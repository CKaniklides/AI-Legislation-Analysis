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28c8c9cd31f35923/0 QIST/Year 2/JIP/AI-Legislation-Analysis/data/conflict_nl/object/"/>
    </mc:Choice>
  </mc:AlternateContent>
  <xr:revisionPtr revIDLastSave="5" documentId="11_AB55BA2790BBAB80089F5B058167973D5F9141DD" xr6:coauthVersionLast="47" xr6:coauthVersionMax="47" xr10:uidLastSave="{8D2C5E40-40E0-44F7-8C8D-E162857FF302}"/>
  <bookViews>
    <workbookView xWindow="-110" yWindow="-110" windowWidth="19420" windowHeight="11500" activeTab="1" xr2:uid="{00000000-000D-0000-FFFF-FFFF00000000}"/>
  </bookViews>
  <sheets>
    <sheet name="README" sheetId="1" r:id="rId1"/>
    <sheet name="Validate" sheetId="2" r:id="rId2"/>
    <sheet name="Summary" sheetId="3" r:id="rId3"/>
    <sheet name="Norms" sheetId="4" r:id="rId4"/>
  </sheets>
  <definedNames>
    <definedName name="_xlnm._FilterDatabase" localSheetId="3" hidden="1">Norms!$A$1:$I$397</definedName>
    <definedName name="_xlnm._FilterDatabase" localSheetId="1" hidden="1">Validate!$A$1:$U$81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3" l="1"/>
  <c r="H10" i="3"/>
  <c r="G10" i="3"/>
  <c r="F10" i="3"/>
  <c r="E10" i="3"/>
  <c r="D10" i="3"/>
  <c r="C10" i="3"/>
  <c r="H9" i="3"/>
  <c r="G9" i="3"/>
  <c r="F9" i="3"/>
  <c r="E9" i="3"/>
  <c r="D9" i="3"/>
  <c r="C9" i="3"/>
  <c r="H8" i="3"/>
  <c r="G8" i="3"/>
  <c r="F8" i="3"/>
  <c r="E8" i="3"/>
  <c r="D8" i="3"/>
  <c r="C8" i="3"/>
  <c r="H7" i="3"/>
  <c r="G7" i="3"/>
  <c r="F7" i="3"/>
  <c r="E7" i="3"/>
  <c r="D7" i="3"/>
  <c r="C7" i="3"/>
  <c r="H6" i="3"/>
  <c r="G6" i="3"/>
  <c r="F6" i="3"/>
  <c r="E6" i="3"/>
  <c r="D6" i="3"/>
  <c r="C6" i="3"/>
  <c r="H5" i="3"/>
  <c r="G5" i="3"/>
  <c r="F5" i="3"/>
  <c r="E5" i="3"/>
  <c r="D5" i="3"/>
  <c r="C5" i="3"/>
  <c r="H4" i="3"/>
  <c r="G4" i="3"/>
  <c r="F4" i="3"/>
  <c r="E4" i="3"/>
  <c r="D4" i="3"/>
  <c r="C4" i="3"/>
  <c r="H3" i="3"/>
  <c r="G3" i="3"/>
  <c r="F3" i="3"/>
  <c r="E3" i="3"/>
  <c r="D3" i="3"/>
  <c r="C3" i="3"/>
  <c r="H2" i="3"/>
  <c r="H11" i="3" s="1"/>
  <c r="G2" i="3"/>
  <c r="G11" i="3" s="1"/>
  <c r="F2" i="3"/>
  <c r="F11" i="3" s="1"/>
  <c r="E2" i="3"/>
  <c r="D2" i="3"/>
  <c r="D11" i="3" s="1"/>
  <c r="C2" i="3"/>
  <c r="C11" i="3" s="1"/>
  <c r="J10" i="3" l="1"/>
  <c r="I10" i="3"/>
  <c r="J9" i="3"/>
  <c r="I9" i="3"/>
  <c r="J8" i="3"/>
  <c r="I8" i="3"/>
  <c r="J7" i="3"/>
  <c r="I7" i="3"/>
  <c r="J6" i="3"/>
  <c r="I6" i="3"/>
  <c r="J5" i="3"/>
  <c r="I5" i="3"/>
  <c r="J4" i="3"/>
  <c r="I4" i="3"/>
  <c r="E11" i="3"/>
  <c r="J3" i="3"/>
  <c r="I3" i="3"/>
  <c r="J2" i="3"/>
  <c r="I2" i="3"/>
  <c r="I11" i="3" l="1"/>
  <c r="J11" i="3"/>
</calcChain>
</file>

<file path=xl/sharedStrings.xml><?xml version="1.0" encoding="utf-8"?>
<sst xmlns="http://schemas.openxmlformats.org/spreadsheetml/2006/main" count="3377" uniqueCount="1353">
  <si>
    <t>in_sample</t>
  </si>
  <si>
    <t>stratum</t>
  </si>
  <si>
    <t>object</t>
  </si>
  <si>
    <t>raw_object</t>
  </si>
  <si>
    <t>norm_type</t>
  </si>
  <si>
    <t>head</t>
  </si>
  <si>
    <t>level</t>
  </si>
  <si>
    <t>matched_label</t>
  </si>
  <si>
    <t>cand_1</t>
  </si>
  <si>
    <t>conf_1</t>
  </si>
  <si>
    <t>pct_1</t>
  </si>
  <si>
    <t>cand_2</t>
  </si>
  <si>
    <t>conf_2</t>
  </si>
  <si>
    <t>cand_3</t>
  </si>
  <si>
    <t>conf_3</t>
  </si>
  <si>
    <t>n_norms</t>
  </si>
  <si>
    <t>example_norm</t>
  </si>
  <si>
    <t>context</t>
  </si>
  <si>
    <t>judgement</t>
  </si>
  <si>
    <t>better_concept</t>
  </si>
  <si>
    <t>notes</t>
  </si>
  <si>
    <t>yes</t>
  </si>
  <si>
    <t>phrase</t>
  </si>
  <si>
    <t>advies</t>
  </si>
  <si>
    <t>informatie en advies over dreigingen en incidenten met betrekking tot hun netwerk- en informatiesystemen</t>
  </si>
  <si>
    <t>advies (EU)</t>
  </si>
  <si>
    <t>BWBR0052872:96:1:2</t>
  </si>
  <si>
    <t>…stellen door Onze Minister of een andere in afwijking hiervan bij of krachtens algemene maatregel van bestuur hiervoor aan te wijzen instantie; en b. informatie en advies over dreigingen en incidenten met betrekking tot hun netwerk- en informatiesystemen van Onze Minister of een andere in afwijking hiervan bij of krachtens algemene maatregel van bestuur hiervoor aan te wijzen instantie.</t>
  </si>
  <si>
    <t>begroting</t>
  </si>
  <si>
    <t>de begroting</t>
  </si>
  <si>
    <t>BWBR0040940:11:3:3</t>
  </si>
  <si>
    <t>De Autoriteit persoonsgegevens stelt de begroting vast in overeenstemming met het budget, bedoeld in het tweede lid.</t>
  </si>
  <si>
    <t>bevoegdheden</t>
  </si>
  <si>
    <t>de bevoegdheden</t>
  </si>
  <si>
    <t>bevoegdheid</t>
  </si>
  <si>
    <t>politieke bevoegdheid</t>
  </si>
  <si>
    <t>BWBR0040940:14:1:2</t>
  </si>
  <si>
    <t>De Autoriteit persoonsgegevens is bevoegd om de taken uit te voeren en de bevoegdheden uit te oefenen die bij of krachtens de verordening zijn toegekend aan de toezichthoudende autoriteit.</t>
  </si>
  <si>
    <t>cyberdreiging</t>
  </si>
  <si>
    <t>het aan het CSIRT gemelde incident, bijna-incident of cyberdreiging</t>
  </si>
  <si>
    <t>informatieoorlog</t>
  </si>
  <si>
    <t>BWBR0052872:39:2:5</t>
  </si>
  <si>
    <t>Als dat passend is en in elk geval als het aan het CSIRT gemelde incident, bijna-incident of cyberdreiging, bedoeld in het eerste lid, betrekking heeft op twee of meer lidstaten van de Europese Unie, stelt het centrale contactpunt de centrale contactpunten…</t>
  </si>
  <si>
    <t>Enisa</t>
  </si>
  <si>
    <t>de Europese Commissie en Enisa</t>
  </si>
  <si>
    <t>enisa</t>
  </si>
  <si>
    <t>Agentschap van de Europese Unie voor cyberbeveiliging</t>
  </si>
  <si>
    <t>BWBR0052872:60:4:5</t>
  </si>
  <si>
    <t>… de betrokken bevoegde autoriteit van de andere lidstaat van de Europese Unie over de voorgenomen afwijzing en, wanneer de lidstaat daartoe verzoekt, de Europese Commissie en Enisa.</t>
  </si>
  <si>
    <t>Europese Commissie</t>
  </si>
  <si>
    <t>europese</t>
  </si>
  <si>
    <t>europees commissie</t>
  </si>
  <si>
    <t>toezichthoudende bevoegdheden</t>
  </si>
  <si>
    <t>hun toezichthoudende bevoegdheden</t>
  </si>
  <si>
    <t>toezichthouden bevoegdheid</t>
  </si>
  <si>
    <t>toezichthoudende bevoegdheid</t>
  </si>
  <si>
    <t>BWBR0052872:68:3:3</t>
  </si>
  <si>
    <t>Ten behoeve van het verlenen van de bijstand, bedoeld in het tweede lid, kunnen de toezichthouders hun toezichthoudende bevoegdheden toepassen.</t>
  </si>
  <si>
    <t>verplichtingen</t>
  </si>
  <si>
    <t>de verplichtingen uit de artikelen 25 tot en met 30</t>
  </si>
  <si>
    <t>verplichting</t>
  </si>
  <si>
    <t>contract</t>
  </si>
  <si>
    <t>BWBR0052872:31:1:1</t>
  </si>
  <si>
    <t>…le entiteit of belangrijke entiteit significante incidenten moet melden en indien deze eisen ten minste gelijkwaardig zijn aan die uit deze wet, zijn de verplichtingen uit de artikelen 25 tot en met 30 niet van toepassing op die specifieke entiteit.</t>
  </si>
  <si>
    <t>voorziening</t>
  </si>
  <si>
    <t>BWBR0040940:20:8:8</t>
  </si>
  <si>
    <t>Tegen het aanhouden van het verzoek door de Afdeling bestuursrechtspraak van de Raad van State, staat geen voorziening open.</t>
  </si>
  <si>
    <t>woning</t>
  </si>
  <si>
    <t>een woning</t>
  </si>
  <si>
    <t>huisvesting</t>
  </si>
  <si>
    <t>BWBR0040940:15:2:2</t>
  </si>
  <si>
    <t>De in het eerste lid bedoelde personen zijn bevoegd een woning te betreden zonder toestemming van de bewoner.</t>
  </si>
  <si>
    <t>aanbieder die voor 16 januari 2023 op grond van de Wet beveiliging netwerk- en informatiesystemen is aangewezen als aanbieder van een essentiële dienst</t>
  </si>
  <si>
    <t>een aanbieder die voor 16 januari 2023 op grond van de Wet beveiliging netwerk- en informatiesystemen is aangewezen als aanbieder van een essentiële dienst</t>
  </si>
  <si>
    <t>aanbieder</t>
  </si>
  <si>
    <t>provider</t>
  </si>
  <si>
    <t>BWBR0052872:10:whole:1</t>
  </si>
  <si>
    <t>Bij regeling of besluit van Onze Minister die het aangaat, na overleg met Onze Minister, kan worden aangewezen als essentiële entiteit: een aanbieder die voor 16 januari 2023 op grond van de Wet beveiliging netwerk- en informatiesystemen is aangewezen als aanbieder van een essentiële dienst.</t>
  </si>
  <si>
    <t>aanvullende technische ondersteuning</t>
  </si>
  <si>
    <t>ondersteuning</t>
  </si>
  <si>
    <t>economische steun</t>
  </si>
  <si>
    <t>BWBR0052872:36:2:1</t>
  </si>
  <si>
    <t>Het CSIRT verleent aanvullende technische ondersteuning indien de betrokken entiteit daar om verzoekt.</t>
  </si>
  <si>
    <t>informatie over dreigingen en incidenten met betrekking tot hun netwerk- en informatiesystemen</t>
  </si>
  <si>
    <t>informatie</t>
  </si>
  <si>
    <t>informatie over een incident, bijna-incident of cyberdreiging</t>
  </si>
  <si>
    <t>BWBR0052872:40:2:2</t>
  </si>
  <si>
    <t>Het CSIRT verstrekt de bevoegde autoriteit, bedoeld in artikel 8 van de Wet weerbaarheid kritieke entiteiten, informatie over een incident, bijna-incident of cyberdreiging dat overeenkomstig artikel 33, eerste lid, onderdeel a, is gemeld door een essentiële entiteit die tevens een kritieke entiteit is als bedoeld in de …</t>
  </si>
  <si>
    <t>overgang van die registergoederen</t>
  </si>
  <si>
    <t>de overgang van die registergoederen</t>
  </si>
  <si>
    <t>overgang</t>
  </si>
  <si>
    <t>menopauze</t>
  </si>
  <si>
    <t>BWBR0040940:48a:6:3</t>
  </si>
  <si>
    <t>Ingeval krachtens het vierde en het vijfde lid registergoederen overgaan, doet Onze Minister van Financiën de overgang van die registergoederen onverwijld inschrijven in de openbare registers, bedoeld in afdeling 2 van titel 1 van Boek 3 van het Burgerlijk Wetboek. Artikel 24, eerste lid, van…</t>
  </si>
  <si>
    <t>relevante informatie die hierover is gemeld tijdig aan het centrale contactpunt wordt verstrekt</t>
  </si>
  <si>
    <t>dat de relevante informatie die hierover is gemeld tijdig aan het centrale contactpunt wordt verstrekt</t>
  </si>
  <si>
    <t>BWBR0052872:39:1:2</t>
  </si>
  <si>
    <t>…enten, bijna-incidenten en cyberdreigingen. In geval van een grensoverschrijdend of sectoroverschrijdend significant incident, zorgt het CSIRT ervoor dat de relevante informatie die hierover is gemeld tijdig aan het centrale contactpunt wordt verstrekt.</t>
  </si>
  <si>
    <t>samenvattend verslag</t>
  </si>
  <si>
    <t>een samenvattend verslag</t>
  </si>
  <si>
    <t>verslag</t>
  </si>
  <si>
    <t>BWBR0052872:39:5:8</t>
  </si>
  <si>
    <t>Het centrale contactpunt dient elke drie maanden bij Enisa een samenvattend verslag in met geanonimiseerde en geaggregeerde gegevens over gemelde significante incidenten, incidenten, bijna-incidenten en cyberdreigingen.</t>
  </si>
  <si>
    <t>significante cyberdreiging</t>
  </si>
  <si>
    <t>de desbetreffende significante cyberdreiging</t>
  </si>
  <si>
    <t>BWBR0052872:30:2:3</t>
  </si>
  <si>
    <t>…erwijld mee welke maatregelen die ontvangers kunnen nemen in reactie op die dreiging. Indien nodig stelt de entiteit die ontvangers ook in kennis van de desbetreffende significante cyberdreiging.</t>
  </si>
  <si>
    <t>Staat dan wel Onze Minister</t>
  </si>
  <si>
    <t>de Staat dan wel Onze Minister</t>
  </si>
  <si>
    <t>minister</t>
  </si>
  <si>
    <t>BWBR0040940:48a:7:5</t>
  </si>
  <si>
    <t>…Autoriteit persoonsgegevens is betrokken, treedt op het tijdstip van inwerkingtreding van dit artikel de Autoriteit persoonsgegevens in de plaats van de Staat dan wel Onze Minister.</t>
  </si>
  <si>
    <t>verplichtingen van de verordening</t>
  </si>
  <si>
    <t>de verplichtingen en rechten, bedoeld in de artikelen 12 tot en met 21 en artikel 34 van de verordening</t>
  </si>
  <si>
    <t>BWBR0040940:41:1:1</t>
  </si>
  <si>
    <t>De verwerkingsverantwoordelijke kan de verplichtingen en rechten, bedoeld in de artikelen 12 tot en met 21 en artikel 34 van de verordening, buiten toepassing laten voor zover zulks noodzakelijk en evenredig is ter waarborging van: a. de nationale veiligheid; b. landsverdediging; c. de op…</t>
  </si>
  <si>
    <t>compound</t>
  </si>
  <si>
    <t>eindverslag</t>
  </si>
  <si>
    <t>een eindverslag</t>
  </si>
  <si>
    <t>BWBR0052872:29:1:1</t>
  </si>
  <si>
    <t>De essentiële entiteit of belangrijke entiteit dient uiterlijk één maand na de melding, bedoeld in artikel 27, eerste lid, een eindverslag in bij haar CSIRT en haar bevoegde autoriteit waarin het volgende is opgenomen: a. een gedetailleerde beschrijving van het incident, de ernst en de g…</t>
  </si>
  <si>
    <t>instelling voor hoger onderwijs.1, onder g, van de Wet op het hoger onderwijs en wetenschappelijk onderzoek</t>
  </si>
  <si>
    <t>een instelling voor hoger onderwijs als bedoeld in artikel 1.1, onder g, van de Wet op het hoger onderwijs en wetenschappelijk onderzoek</t>
  </si>
  <si>
    <t>instelling</t>
  </si>
  <si>
    <t>telling</t>
  </si>
  <si>
    <t>BWBR0052872:11:1:1</t>
  </si>
  <si>
    <t>Bij regeling of besluit van Onze Minister van Onderwijs, Cultuur en Wetenschap, na overleg met Onze Minister, kan een instelling voor hoger onderwijs als bedoeld in artikel 1.1, onder g, van de Wet op het hoger onderwijs en wetenschappelijk onderzoek als essentiële entiteit worden aangewezen.</t>
  </si>
  <si>
    <t>nationale cyberbeveiligingsstrategie</t>
  </si>
  <si>
    <t>de nationale cyberbeveiligingsstrategie</t>
  </si>
  <si>
    <t>cyberbeveiligingsstrategie</t>
  </si>
  <si>
    <t>strategie</t>
  </si>
  <si>
    <t>krijgskunde</t>
  </si>
  <si>
    <t>BWBR0052872:19:3:3</t>
  </si>
  <si>
    <t>Onze Minister beoordeelt in overeenstemming met Onze Ministers die het aangaan de nationale cyberbeveiligingsstrategie regelmatig en ten minste om de vijf jaar, op basis van kernprestatie-indicatoren. Hij werkt de nationale cyberbeveiligingsstrategie in overeenstemmin…</t>
  </si>
  <si>
    <t>nationale cyberbeveiligingsstrategie van de NIS2-richtlijn</t>
  </si>
  <si>
    <t>een nationale cyberbeveiligingsstrategie als bedoeld in artikel 7, eerste lid, van de NIS2-richtlijn</t>
  </si>
  <si>
    <t>BWBR0052872:19:1:1</t>
  </si>
  <si>
    <t>Onze Minister stelt in overeenstemming met Onze Ministers die het aangaan een nationale cyberbeveiligingsstrategie als bedoeld in artikel 7, eerste lid, van de NIS2-richtlijn vast.</t>
  </si>
  <si>
    <t>of beheersmaatregelen mogelijk en realiseerbaar zijn die de nationale veiligheidsrisico’s die in het geding zijn voldoende beschermen</t>
  </si>
  <si>
    <t>veiligheidsrisico</t>
  </si>
  <si>
    <t>risico</t>
  </si>
  <si>
    <t>gedekt risico</t>
  </si>
  <si>
    <t>BWBR0052872:21a:2:2</t>
  </si>
  <si>
    <t>In het kader van de beoordeling van de noodzaak, bedoeld in het eerste lid, beoordeelt Onze Minister die het aangaat in elk geval of beheersmaatregelen mogelijk en realiseerbaar zijn die de nationale veiligheidsrisico’s die in het geding zijn voldoende beschermen.</t>
  </si>
  <si>
    <t>oversightforum dat is opgericht</t>
  </si>
  <si>
    <t>het oversightforum dat is opgericht op grond van artikel 32, eerste lid, van de Verordening (EU) 2022/2554</t>
  </si>
  <si>
    <t>oversightforum</t>
  </si>
  <si>
    <t>forum</t>
  </si>
  <si>
    <t>BWBR0052872:57:2:3</t>
  </si>
  <si>
    <t>De bevoegde autoriteit stelt het oversightforum dat is opgericht op grond van artikel 32, eerste lid, van de Verordening (EU) 2022/2554 in kennis wanneer zij haar toezichts- en handhavingsbevoegdheden uitoefent om ervoor te zorgen dat een essentiële entiteit of belangrijke entiteit, d…</t>
  </si>
  <si>
    <t>Toestemming</t>
  </si>
  <si>
    <t>toestemming</t>
  </si>
  <si>
    <t>stemming</t>
  </si>
  <si>
    <t>BWBR0040940:5:3:3</t>
  </si>
  <si>
    <t>Toestemming kan te allen tijde worden ingetrokken door: a. de wettelijk vertegenwoordiger; b. de betrokkene die de leeftijd van twaalf jaren heeft bereikt, en c.…</t>
  </si>
  <si>
    <t>de toestemming</t>
  </si>
  <si>
    <t>BWBR0040940:5:1:1</t>
  </si>
  <si>
    <t>…erdeel elf, van de verordening en de betrokkene heeft de leeftijd van zestien jaren nog niet bereikt, is in plaats van toestemming van de betrokkene, de toestemming van zijn wettelijk vertegenwoordiger vereist.</t>
  </si>
  <si>
    <t>Toestemming b</t>
  </si>
  <si>
    <t>Toestemming als bedoeld in het tweede lid, onderdeel b</t>
  </si>
  <si>
    <t>BWBR0040940:28:3:3</t>
  </si>
  <si>
    <t>Toestemming als bedoeld in het tweede lid, onderdeel b, is niet vereist, indien het vragen van uitdrukkelijke toestemming onmogelijk blijkt of een onevenredige inspanning vergt.</t>
  </si>
  <si>
    <t>voortgangsverslag</t>
  </si>
  <si>
    <t>een voortgangsverslag</t>
  </si>
  <si>
    <t>BWBR0052872:29:2:2</t>
  </si>
  <si>
    <t>…ent dat het eindverslag had moeten worden ingediend, dient de essentiële entiteit of belangrijke entiteit op dat moment in plaats van een eindverslag een voortgangsverslag in waarin wordt ingegaan op de aspecten, genoemd in het eerste lid. Zij dient een eindverslag in binnen één maand nadat het incident is afgehandeld.</t>
  </si>
  <si>
    <t>embedding p20-47</t>
  </si>
  <si>
    <t>analyses</t>
  </si>
  <si>
    <t>analyses en technisch onderzoek</t>
  </si>
  <si>
    <t>analyse</t>
  </si>
  <si>
    <t>embedding</t>
  </si>
  <si>
    <t>statistische analyse</t>
  </si>
  <si>
    <t>documentaire analyse</t>
  </si>
  <si>
    <t>sociale analyse</t>
  </si>
  <si>
    <t>BWBR0052872:96:2:3</t>
  </si>
  <si>
    <t>…ster onderscheidenlijk de andere instantie, bedoeld in het eerste lid, verricht ten behoeve van het uitvoeren van de in het eerste lid bedoelde taken analyses en technisch onderzoek, naar aanleiding van de in het eerste lid genoemde dreigingen en incidenten of aanwijzingen daarvoor, niet zijnde onderzoek naar personen of organisa…</t>
  </si>
  <si>
    <t>verwerking van genetische gegevens, biometrische gegevens met het oog op de unieke identificatie van een persoon</t>
  </si>
  <si>
    <t>verwerking van persoonsgegevens waaruit ras of etnische afkomst, politieke opvattingen, religieuze of levensbeschouwelijke overtuigingen, of het lidmaatschap van een vakbond blijken, en verwerking van genetische gegevens, biometrische gegevens met het oog op de unieke identificatie van een persoon, of gegevens over gezondheid, of gegevens met betrekking tot iemands seksueel gedrag of seksuele gerichtheid</t>
  </si>
  <si>
    <t>verwerking</t>
  </si>
  <si>
    <t>gegevensverwerking</t>
  </si>
  <si>
    <t>genetische informatiedatabase</t>
  </si>
  <si>
    <t>BWBR0040940:22:1:1</t>
  </si>
  <si>
    <t>Overeenkomstig artikel 9, eerste lid, van de verordening zijn verwerking van persoonsgegevens waaruit ras of etnische afkomst, politieke opvattingen, religieuze of levensbeschouwelijke overtuigingen, of het lidmaatschap van een vakbond blijken, en verwerking van genetische gegevens, biometrische gegevens met het oog op de unieke identificatie van een persoon, of gegevens over gezondheid, of gegevens met betrekking tot iemands seksueel gedrag of seksuele gerichtheid verboden.</t>
  </si>
  <si>
    <t>afspraken</t>
  </si>
  <si>
    <t>afspraak</t>
  </si>
  <si>
    <t>communicatie</t>
  </si>
  <si>
    <t>afspraak tussen ondernemingen</t>
  </si>
  <si>
    <t>besprekingen</t>
  </si>
  <si>
    <t>BWBR0040940:19:1:1</t>
  </si>
  <si>
    <t>De Autoriteit persoonsgegevens is bevoegd om in het belang van een efficiënt en effectief toezicht op de verwerking van persoonsgegevens afspraken te maken met andere toezichthouders en daartoe gezamenlijk met deze toezichthouders samenwerkingsprotocollen vast te stellen. Een samenwerkingsprotoc…</t>
  </si>
  <si>
    <t>nummers die dienen ter identificatie</t>
  </si>
  <si>
    <t>nummers die dienen ter identificatie als bedoeld in artikel 46</t>
  </si>
  <si>
    <t>nummer</t>
  </si>
  <si>
    <t>identiteitsbewijs</t>
  </si>
  <si>
    <t>radiofrequentie-identificatie</t>
  </si>
  <si>
    <t>BWBR0040940:47a:2:2</t>
  </si>
  <si>
    <t>…llingsbesluit worden bepaald dat de commissie of het adviescollege ten behoeve van het in de instellingsregeling of instellingsbesluit opgenomen doel nummers die dienen ter identificatie als bedoeld in artikel 46 kan verwerken. In de instellingsregeling worden passende waarborgen voor de rechten en vrijheden van de betrokkene vastgesteld.</t>
  </si>
  <si>
    <t>last onder bestuursdwang</t>
  </si>
  <si>
    <t>een last onder bestuursdwang</t>
  </si>
  <si>
    <t>last</t>
  </si>
  <si>
    <t>openbaarheid van het bestuur</t>
  </si>
  <si>
    <t>slachtoffer onder burgerbevolking</t>
  </si>
  <si>
    <t>nuttige last</t>
  </si>
  <si>
    <t>BWBR0052872:75:whole:1</t>
  </si>
  <si>
    <t>De bevoegde autoriteit is bevoegd tot oplegging van een last onder bestuursdwang aan een essentiële entiteit ter handhaving van het bepaalde bij of krachtens deze wet en het bepaalde in de op grond van de artikelen 21, vijfde lid,…</t>
  </si>
  <si>
    <t>nummer dat ter identificatie van een persoon bij wet is voorgeschreven</t>
  </si>
  <si>
    <t>Een nummer dat ter identificatie van een persoon bij wet is voorgeschreven</t>
  </si>
  <si>
    <t>BWBR0040940:46:whole:1</t>
  </si>
  <si>
    <t>Een nummer dat ter identificatie van een persoon bij wet is voorgeschreven, wordt bij de verwerking van persoonsgegevens slechts gebruikt ter uitvoering van de desbetreffende wet dan wel voor doeleinden bij de wet bepaald.</t>
  </si>
  <si>
    <t>last onder dwangsom</t>
  </si>
  <si>
    <t>een last onder dwangsom</t>
  </si>
  <si>
    <t>door de EU opgelegde dwangsom</t>
  </si>
  <si>
    <t>ernstige acute ondervoeding</t>
  </si>
  <si>
    <t>BWBR0052872:90:whole:1</t>
  </si>
  <si>
    <t>De bevoegde autoriteit kan een entiteit die domeinnaamregistratiediensten verleent een last onder dwangsom opleggen in geval van overtreding van het bepaalde bij of krachtens de artikelen 42, 44, 47, 49 en 50.</t>
  </si>
  <si>
    <t>kosten van de beveiligingsscan</t>
  </si>
  <si>
    <t>de kosten van de beveiligingsscan</t>
  </si>
  <si>
    <t>kost</t>
  </si>
  <si>
    <t>kosten van milieubescherming</t>
  </si>
  <si>
    <t>kosten van gezondheidsschade</t>
  </si>
  <si>
    <t>BWBR0052872:71:2:3</t>
  </si>
  <si>
    <t>De bevoegde autoriteit draagt de kosten van de beveiligingsscan.</t>
  </si>
  <si>
    <t>verbod om andere bijzondere categorieën van persoonsgegevens te verwerken</t>
  </si>
  <si>
    <t>Het verbod om andere bijzondere categorieën van persoonsgegevens te verwerken</t>
  </si>
  <si>
    <t>verbod</t>
  </si>
  <si>
    <t>gegevensbescherming</t>
  </si>
  <si>
    <t>BWBR0040940:30:5:5</t>
  </si>
  <si>
    <t>Het verbod om andere bijzondere categorieën van persoonsgegevens te verwerken is niet van toepassing, indien de verwerking noodzakelijk is in aanvulling op de verwerking van gegevens over gezondheid, bedoeld in het derde lid, a…</t>
  </si>
  <si>
    <t>controlefunctionaris</t>
  </si>
  <si>
    <t>een controlefunctionaris</t>
  </si>
  <si>
    <t>directiesecretaris</t>
  </si>
  <si>
    <t>BWBR0052872:70:1:1</t>
  </si>
  <si>
    <t>De bevoegde autoriteit kan voor een bepaalde periode een controlefunctionaris aanwijzen bij een essentiële entiteit.</t>
  </si>
  <si>
    <t>embedding p47-73</t>
  </si>
  <si>
    <t>vroegtijdige waarschuwing over het significante incident</t>
  </si>
  <si>
    <t>een vroegtijdige waarschuwing over het significante incident</t>
  </si>
  <si>
    <t>waarschuwing</t>
  </si>
  <si>
    <t>vroegtijdig waarschuwingssysteem</t>
  </si>
  <si>
    <t>BWBR0052872:26:1:1</t>
  </si>
  <si>
    <t>De essentiële entiteit of belangrijke entiteit geeft ten behoeve van de melding, bedoeld in artikel 27, eerste lid, een vroegtijdige waarschuwing over het significante incident aan haar CSIRT en haar bevoegde autoriteit. Dit doet zij onverwijld of, indien dat niet mogelijk is, binnen 24 uur nadat zij kennis heeft gekregen va…</t>
  </si>
  <si>
    <t>beperkingen</t>
  </si>
  <si>
    <t>beperkingen en voorschriften</t>
  </si>
  <si>
    <t>beperking</t>
  </si>
  <si>
    <t>beperking van de invoer</t>
  </si>
  <si>
    <t>beperking van de uitvoer</t>
  </si>
  <si>
    <t>afschaffing van beperkingen</t>
  </si>
  <si>
    <t>BWBR0040940:3:4:2</t>
  </si>
  <si>
    <t>In een besluit of ministeriële regeling als bedoeld in het derde lid, onderdeel a, kunnen beperkingen en voorschriften worden gegeven.</t>
  </si>
  <si>
    <t>over de uitvoering van de wet in de praktijk</t>
  </si>
  <si>
    <t>een verslag over de effecten van deze wet in de praktijk en over de uitvoering van de wet in de praktijk</t>
  </si>
  <si>
    <t>uitvoering</t>
  </si>
  <si>
    <t>toepassing van de wet</t>
  </si>
  <si>
    <t>uitwerking van EU-wetgeving</t>
  </si>
  <si>
    <t>uitvoeringsverordening van de Raad</t>
  </si>
  <si>
    <t>BWBR0040940:50:whole:1</t>
  </si>
  <si>
    <t>Onze Minister zendt binnen drie jaar na de inwerkingtreding van deze wet, en vervolgens telkens na vier jaar, aan de Staten-Generaal een verslag over de effecten van deze wet in de praktijk en over de uitvoering van de wet in de praktijk.</t>
  </si>
  <si>
    <t>vermogensbestanddelen</t>
  </si>
  <si>
    <t>De in het vierde lid bedoelde vermogensbestanddelen</t>
  </si>
  <si>
    <t>vermogensbelasting</t>
  </si>
  <si>
    <t>vermogensbeheerder</t>
  </si>
  <si>
    <t>BWBR0040940:48a:5:2</t>
  </si>
  <si>
    <t>De in het vierde lid bedoelde vermogensbestanddelen gaan op het tijdstip van inwerkingtreding van dit artikel onder algemene titel over op tegen een door Onze Minister in overeenstemming met Onze Minis…</t>
  </si>
  <si>
    <t>van toepassing</t>
  </si>
  <si>
    <t>de van toepassing zijnde rechten</t>
  </si>
  <si>
    <t>toepassing</t>
  </si>
  <si>
    <t>gewoonte en gebruik</t>
  </si>
  <si>
    <t>voorwaarde voor toepassing</t>
  </si>
  <si>
    <t>verzoek tot toetreding</t>
  </si>
  <si>
    <t>BWBR0040940:30a:2:2</t>
  </si>
  <si>
    <t>In een geval als bedoeld in het eerste lid, onder a, wordt de betrokkene geïnformeerd over de overdracht en gewezen op de van toepassing zijnde rechten. Indien het informeren onmogelijk is of onevenredig veel inspanning vergt of de persoonsgegevens vertrouwelijk moeten blijven uit hoofde van een bero…</t>
  </si>
  <si>
    <t>overige genoemde taken van de bevoegde autoriteit</t>
  </si>
  <si>
    <t>de overige in deze wet genoemde taken van de bevoegde autoriteit</t>
  </si>
  <si>
    <t>taak</t>
  </si>
  <si>
    <t>bevoegde nationale autoriteit</t>
  </si>
  <si>
    <t>verordenende bevoegdheid</t>
  </si>
  <si>
    <t>BWBR0052872:15:6:3</t>
  </si>
  <si>
    <t>…lingen of gedelegeerde handelingen is bepaald dat deze verbindend zijn en rechtstreeks toepasselijk zijn in elke lidstaat van de Europese Unie; en c. de overige in deze wet genoemde taken van de bevoegde autoriteit.</t>
  </si>
  <si>
    <t>grensoverschrijdende samenwerking van de autoriteiten van Nederland met de relevante autoriteiten van andere lidstaten van de Europese Unie, de Europese Commissie en Enisa</t>
  </si>
  <si>
    <t>voor grensoverschrijdende samenwerking van de autoriteiten van Nederland met de relevante autoriteiten van andere lidstaten van de Europese Unie, de Europese Commissie en Enisa</t>
  </si>
  <si>
    <t>samenwerking</t>
  </si>
  <si>
    <t>Europese grensoverschrijdende samenwerking</t>
  </si>
  <si>
    <t>Europees Agentschap voor het beheer van de operationele samenwerking aan de buitengrenzen van de lidstaten van de Europese Unie</t>
  </si>
  <si>
    <t>intergouvernementele samenwerking (EU)</t>
  </si>
  <si>
    <t>BWBR0052872:14:whole:3</t>
  </si>
  <si>
    <t>Onze Minister is het centrale contactpunt en heeft in die hoedanigheid de volgende taken: a. het zorgen voor grensoverschrijdende samenwerking van de autoriteiten van Nederland met de relevante autoriteiten van andere lidstaten van de Europese Unie, de Europese Commissie en Enisa, door middel van het vervullen van een verbindingsfunctie; b. het zorgen voor sectoroverschrijdende samenwerking tussen de bevoegde autoriteiten binn…</t>
  </si>
  <si>
    <t>vergunning c</t>
  </si>
  <si>
    <t>Een vergunning als bedoeld in het vierde lid, onderdeel c</t>
  </si>
  <si>
    <t>vergunning</t>
  </si>
  <si>
    <t>verkoopvergunning</t>
  </si>
  <si>
    <t>invoervergunning</t>
  </si>
  <si>
    <t>vervoersvergunning</t>
  </si>
  <si>
    <t>BWBR0040940:33:6:7</t>
  </si>
  <si>
    <t>Een vergunning als bedoeld in het vierde lid, onderdeel c, kan slechts worden verleend, indien de verwerking noodzakelijk is met het oog op een zwaarwegend belang van derden en bij de uitvoering is voorzien …</t>
  </si>
  <si>
    <t>aan het CSIRT gemelde incident</t>
  </si>
  <si>
    <t>incident</t>
  </si>
  <si>
    <t>Cisjordaanse kwestie</t>
  </si>
  <si>
    <t>kwestie Tsjetsjenië</t>
  </si>
  <si>
    <t>klacht aan de Commissie</t>
  </si>
  <si>
    <t>kosten van de controlefunctionaris</t>
  </si>
  <si>
    <t>de kosten van de controlefunctionaris</t>
  </si>
  <si>
    <t>beheerskosten</t>
  </si>
  <si>
    <t>administratieve kosten</t>
  </si>
  <si>
    <t>BWBR0052872:70:3:2</t>
  </si>
  <si>
    <t>De essentiële entiteit draagt de kosten van de controlefunctionaris.</t>
  </si>
  <si>
    <t>embedding p73-100</t>
  </si>
  <si>
    <t>verzoek om toegang</t>
  </si>
  <si>
    <t>een verzoek om toegang als bedoeld in het eerste lid</t>
  </si>
  <si>
    <t>verzoek</t>
  </si>
  <si>
    <t>verzoek om steun</t>
  </si>
  <si>
    <t>verzoek om advies</t>
  </si>
  <si>
    <t>BWBR0052872:50:2:2</t>
  </si>
  <si>
    <t>De registers voor topleveldomeinnamen en de entiteiten die domeinnaamregistratiediensten verlenen beantwoorden een verzoek om toegang als bedoeld in het eerste lid onverwijld of, indien dat niet mogelijk is, binnen 72 uur na ontvangst van het verzoek.</t>
  </si>
  <si>
    <t>registratie</t>
  </si>
  <si>
    <t>een in het eerste lid bedoelde registratie</t>
  </si>
  <si>
    <t>registratierecht</t>
  </si>
  <si>
    <t>inschrijving</t>
  </si>
  <si>
    <t>registratie van documenten</t>
  </si>
  <si>
    <t>BWBR0052872:43:3:4</t>
  </si>
  <si>
    <t>Onze Minister wijzigt, weigert of beëindigt in overeenstemming met de bevoegde autoriteit die het aangaat een in het eerste lid bedoelde registratie, indien de grond voor registratie is gewijzigd, vervallen of ontbreekt.</t>
  </si>
  <si>
    <t>het verzoek</t>
  </si>
  <si>
    <t>verzoekschrift</t>
  </si>
  <si>
    <t>BWBR0052872:60:3:3</t>
  </si>
  <si>
    <t>…nd, genoemd in het eerste en tweede lid, verleent de bevoegde autoriteit bijstand in verhouding tot haar eigen middelen. De bevoegde autoriteit wijst het verzoek alleen af als: a. zij niet bevoegd is om de verzochte bijstand te verlenen; b. de verzochte bijstand niet in verhouding staat tot de toezichthoudende…</t>
  </si>
  <si>
    <t>uitwisseling van persoonsgegevens</t>
  </si>
  <si>
    <t>de uitwisseling van persoonsgegevens</t>
  </si>
  <si>
    <t>uitwisseling</t>
  </si>
  <si>
    <t>uitwisseling van informatie</t>
  </si>
  <si>
    <t>uitwisseling van publikaties</t>
  </si>
  <si>
    <t>uitwisseling van jongeren</t>
  </si>
  <si>
    <t>BWBR0052872:54:1:3</t>
  </si>
  <si>
    <t>…land. Binnen die samenwerkingsrelatie kan relevante informatie worden uitgewisseld, met inbegrip van persoonsgegevens. Een CSIRT gaat alleen over tot de uitwisseling van persoonsgegevens voor zover dat noodzakelijk is voor de doeltreffende en doelmatige uitvoering van haar taken uit hoofde van deze wet.</t>
  </si>
  <si>
    <t>gegevens betreffende de verwerking van persoonsgegevens</t>
  </si>
  <si>
    <t>de gegevens betreffende de verwerking van persoonsgegevens</t>
  </si>
  <si>
    <t>gegeven</t>
  </si>
  <si>
    <t>persoonlijke gegevens</t>
  </si>
  <si>
    <t>BWBR0040940:19:2:4</t>
  </si>
  <si>
    <t>De Autoriteit persoonsgegevens en de toezichthouders, bedoeld in het eerste lid, zijn bevoegd uit eigen beweging en desgevraagd verplicht aan elkaar de gegevens betreffende de verwerking van persoonsgegevens te verstrekken die noodzakelijk zijn voor de uitvoering van hun taak of om te kunnen voldoen aan een op hen rustende wettelijke verplichting.</t>
  </si>
  <si>
    <t>gegevens</t>
  </si>
  <si>
    <t>die gegevens</t>
  </si>
  <si>
    <t>medische gegevens</t>
  </si>
  <si>
    <t>BWBR0052872:49:1:2</t>
  </si>
  <si>
    <t>… de entiteiten die domeinnaamregistratiediensten verlenen verzamelen nauwkeurige en volledige domeinnaamregistratiegegevens in een database en houden die gegevens bij.</t>
  </si>
  <si>
    <t>prioriteit</t>
  </si>
  <si>
    <t>budgettaire prioriteit</t>
  </si>
  <si>
    <t>prioriteitszone</t>
  </si>
  <si>
    <t>economische prioriteit</t>
  </si>
  <si>
    <t>BWBR0052872:16:4:4</t>
  </si>
  <si>
    <t>Bij de uitvoering van de taken, bedoeld in het tweede en derde lid, kan het CSIRT op grond van een risicogebaseerde benadering prioriteit geven aan bepaalde taken.</t>
  </si>
  <si>
    <t>bevoegde autoriteit van een andere lidstaat van de Europese Unie</t>
  </si>
  <si>
    <t>de betrokken bevoegde autoriteit van een andere lidstaat van de Europese Unie</t>
  </si>
  <si>
    <t>autoriteit</t>
  </si>
  <si>
    <t>externe bevoegdheid van de Europese Gemeenschap</t>
  </si>
  <si>
    <t>bevoegdheid van de Europese Unie</t>
  </si>
  <si>
    <t>bevoegdheid van de lidstaten</t>
  </si>
  <si>
    <t>BWBR0052872:60:5:6</t>
  </si>
  <si>
    <t>…door haar genomen toezichts- en handhavingsmaatregelen met betrekking tot een entiteit als bedoeld in het eerste lid, waarna het centrale contactpunt de betrokken bevoegde autoriteit van een andere lidstaat van de Europese Unie informeert over die genomen toezichts- en handhavingsmaatregelen.</t>
  </si>
  <si>
    <t>beleid</t>
  </si>
  <si>
    <t>beleidsvorming</t>
  </si>
  <si>
    <t>beleidsanalyse</t>
  </si>
  <si>
    <t>overheidsbeleid</t>
  </si>
  <si>
    <t>BWBR0052872:19:2:2</t>
  </si>
  <si>
    <t>In het kader van de nationale cyberbeveiligingsstrategie stelt Onze Minister respectievelijk Onze Minister die het aangaat beleid vast over de in artikel 7, tweede lid, van de NIS2-richtlijn genoemde onderwerpen die onder zijn beleidsverantwoordelijkheid vallen.</t>
  </si>
  <si>
    <t>publiek</t>
  </si>
  <si>
    <t>het publiek</t>
  </si>
  <si>
    <t>publiek gebouw</t>
  </si>
  <si>
    <t>publiek recht</t>
  </si>
  <si>
    <t>publieke dienst</t>
  </si>
  <si>
    <t>BWBR0052872:37:whole:1</t>
  </si>
  <si>
    <t>Het CSIRT respectievelijk de bevoegde autoriteit kan, na raadpleging van de betrokken entiteit, het publiek informeren over een significant incident of de entiteit verplichten om dit te doen, wanneer: a. publieke bewustmaking nodig is om een significant inc…</t>
  </si>
  <si>
    <t>unmapped</t>
  </si>
  <si>
    <t>artikel 53, derde lid, van de Wet bescherming persoonsgegevens</t>
  </si>
  <si>
    <t>artikel 53, derde lid, eerste, tweede en derde volzin, van de Wet bescherming persoonsgegevens</t>
  </si>
  <si>
    <t>unknown</t>
  </si>
  <si>
    <t>artikel</t>
  </si>
  <si>
    <t>BWBR0040940:48:4:3</t>
  </si>
  <si>
    <t>Op de leden van het College bescherming persoonsgegevens die zijn benoemd of herbenoemd voor 1 januari 2014, blijft artikel 53, derde lid, eerste, tweede en derde volzin, van de Wet bescherming persoonsgegevens van toepassing, zoals dat luidde voor dat tijdstip.</t>
  </si>
  <si>
    <t>bijna-incident</t>
  </si>
  <si>
    <t>cyberbeveiligingspraktijken van haar leveranciers en dienstverleners, met inbegrip van hun veilige ontwikkelingsprocedures</t>
  </si>
  <si>
    <t>de algemene kwaliteit van de producten en de cyberbeveiligingspraktijken van haar leveranciers en dienstverleners, met inbegrip van hun veilige ontwikkelingsprocedures</t>
  </si>
  <si>
    <t>cyberbeveiligingspraktijken</t>
  </si>
  <si>
    <t>BWBR0052872:21:4:3</t>
  </si>
  <si>
    <t>…erde lid, onderdeel d, passend zijn, houdt zij rekening met: a. de specifieke kwetsbaarheden van elke rechtstreekse leverancier en dienstverlener; b. de algemene kwaliteit van de producten en de cyberbeveiligingspraktijken van haar leveranciers en dienstverleners, met inbegrip van hun veilige ontwikkelingsprocedures; en c. de resultaten van de door de samenwerkingsgroep op grond van artikel 22, eerste lid, van de NIS2-richtlijn uitgevoerde gecoördineerde beveilig…</t>
  </si>
  <si>
    <t>gebruik van gemeenschappelijke of gestandaardiseerde praktijken, classificatieschema’s en taxonomieën</t>
  </si>
  <si>
    <t>de invoering en het gebruik van gemeenschappelijke of gestandaardiseerde praktijken, classificatieschema’s en taxonomieën</t>
  </si>
  <si>
    <t>gebruik</t>
  </si>
  <si>
    <t>BWBR0052872:16:6:6</t>
  </si>
  <si>
    <t>Met het oog op de samenwerking, bedoeld in het vijfde lid, bevordert het CSIRT de invoering en het gebruik van gemeenschappelijke of gestandaardiseerde praktijken, classificatieschema’s en taxonomieën met betrekking tot: a. procedures voor de incidentenbehandeling; b. crisisbeheer; en c. gecoördineerde bekendmaking van kwetsbaarheden.</t>
  </si>
  <si>
    <t>nationaal register van essentiële entiteiten, belangrijke entiteiten en entiteiten die domeinnaamregistratiediensten verlenen</t>
  </si>
  <si>
    <t>een nationaal register van essentiële entiteiten, belangrijke entiteiten en entiteiten die domeinnaamregistratiediensten verlenen</t>
  </si>
  <si>
    <t>register</t>
  </si>
  <si>
    <t>BWBR0052872:43:1:1</t>
  </si>
  <si>
    <t>In het belang van de goede uitvoering van deze wet beheert Onze Minister een nationaal register van essentiële entiteiten, belangrijke entiteiten en entiteiten die domeinnaamregistratiediensten verlenen.</t>
  </si>
  <si>
    <t>resultaten van de door de samenwerkingsgroep van de NIS2-richtlijn uitgevoerde gecoördineerde beveiligingsrisicobeoordelingen van kritieke toeleveringsketens</t>
  </si>
  <si>
    <t>de resultaten van de door de samenwerkingsgroep op grond van artikel 22, eerste lid, van de NIS2-richtlijn uitgevoerde gecoördineerde beveiligingsrisicobeoordelingen van kritieke toeleveringsketens</t>
  </si>
  <si>
    <t>resultaat</t>
  </si>
  <si>
    <t>BWBR0052872:21:4:4</t>
  </si>
  <si>
    <t>… de producten en de cyberbeveiligingspraktijken van haar leveranciers en dienstverleners, met inbegrip van hun veilige ontwikkelingsprocedures; en c. de resultaten van de door de samenwerkingsgroep op grond van artikel 22, eerste lid, van de NIS2-richtlijn uitgevoerde gecoördineerde beveiligingsrisicobeoordelingen van kritieke toeleveringsketens.</t>
  </si>
  <si>
    <t>significante incidenten</t>
  </si>
  <si>
    <t>BWBR0052872:30:1:1</t>
  </si>
  <si>
    <t>De essentiële entiteit of belangrijke entiteit stelt in voorkomend geval onverwijld de ontvangers van haar diensten in kennis van significante incidenten die een nadelige invloed kunnen hebben op de verlening van die diensten.</t>
  </si>
  <si>
    <t>specifieke kwetsbaarheden van elke rechtstreekse leverancier en dienstverlener</t>
  </si>
  <si>
    <t>de specifieke kwetsbaarheden van elke rechtstreekse leverancier en dienstverlener</t>
  </si>
  <si>
    <t>kwetsbaarhed</t>
  </si>
  <si>
    <t>BWBR0052872:21:4:2</t>
  </si>
  <si>
    <t>Wanneer de entiteit overweegt welke maatregelen als bedoeld in het derde lid, onderdeel d, passend zijn, houdt zij rekening met: a. de specifieke kwetsbaarheden van elke rechtstreekse leverancier en dienstverlener; b. de algemene kwaliteit van de producten en de cyberbeveiligingspraktijken van haar leveranciers en dienstverleners, met inbegrip van hun veilige o…</t>
  </si>
  <si>
    <t>verbod om persoonsgegevens te verwerken waaruit religieuze of levensbeschouwelijke overtuigingen blijken</t>
  </si>
  <si>
    <t>het verbod om persoonsgegevens te verwerken waaruit religieuze of levensbeschouwelijke overtuigingen blijken</t>
  </si>
  <si>
    <t>BWBR0040940:27:1:1</t>
  </si>
  <si>
    <t>Gelet op artikel 9, tweede lid, onderdeel g, van de verordening, is het verbod om persoonsgegevens te verwerken waaruit religieuze of levensbeschouwelijke overtuigingen blijken, niet van toepassing, indien de verwerking geschiedt door andere instellingen dan de instellingen, bedoeld in artikel 22, tweede lid, onderdeel c, en…</t>
  </si>
  <si>
    <t>verwerking van persoonsgegevens waaruit ras of etnische afkomst, politieke opvattingen, religieuze of levensbeschouwelijke overtuigingen, of het lidmaatschap van een vakbond blijkenmet betrekking tot iemands seksueel gedrag of seksuele gerichtheid</t>
  </si>
  <si>
    <t>De verwerking van persoonsgegevens waaruit ras of etnische afkomst, politieke opvattingen, religieuze of levensbeschouwelijke overtuigingen, of het lidmaatschap van een vakbond blijken, of gegevens over gezondheid, of gegevens met betrekking tot iemands seksueel gedrag of seksuele gerichtheid</t>
  </si>
  <si>
    <t>BWBR0052872:64:1:1</t>
  </si>
  <si>
    <t>De verwerking van persoonsgegevens waaruit ras of etnische afkomst, politieke opvattingen, religieuze of levensbeschouwelijke overtuigingen, of het lidmaatschap van een vakbond blijken, of gegevens over gezondheid, of gegevens met betrekking tot iemands seksueel gedrag of seksuele gerichtheid door de bevoegde autoriteit geschiedt alleen voor zover de verwerking van deze gegevens noodzakelijk is voor de uitoefening van haar taken op grond v…</t>
  </si>
  <si>
    <t>no unit: no_object</t>
  </si>
  <si>
    <t>no_object</t>
  </si>
  <si>
    <t>BWBR0052872:51:1:2</t>
  </si>
  <si>
    <t>De bevoegde autoriteiten, de CSIRT’s en het centrale contactpunt werken met elkaar samen voor de doeltreffende en doelmatige uitvoering van hun taken uit hoofde van deze wet en wisselen daartoe onderling alle daarvoor noodzakelijke gegevens uit, waaronder persoonsgegevens.</t>
  </si>
  <si>
    <t>BWBR0052872:54:2:5</t>
  </si>
  <si>
    <t>Een CSIRT kan samenwerken met een gelijkwaardig orgaan van een derde land. Deze samenwerking kan bestaan uit het verlenen van bijstand op het gebied van cyberbeveiliging.</t>
  </si>
  <si>
    <t>BWBR0052872:56:4:4</t>
  </si>
  <si>
    <t>De betrokken bevoegde autoriteit, bedoeld in artikel 15, kan de betrokken bevoegde autoriteit, bedoeld in artikel 8 van de Wet weerbaarheid kritieke entiteiten, verzoeken om toezichts- en handhavingsbevoegdheden uit te oefenen of uit te laten oefenen voor de naleving van het bepaalde bij of krachten…</t>
  </si>
  <si>
    <t>BWBR0040940:14:7:5</t>
  </si>
  <si>
    <t>Voordat de Autoriteit Persoonsgegevens beleidsregels vaststelt ter bevordering van een consequente toepassing van de verordening of over de uitoefening van haar handhavingsbevoegdheden, dan raadpleegt zij, voor zover passend, belanghebbende partijen. In de onderbouwing van de beleidsregels gaat de A…</t>
  </si>
  <si>
    <t>BWBR0040940:48a:8:6</t>
  </si>
  <si>
    <t>In zaken waarin voor het tijdstip van inwerkingtreding van dit artikel aan de Nationale ombudsman is verzocht een onderzoek te doen dan wel de Nationale ombudsman een onderzoek heeft ingesteld naar een gedraging die kan worden toegerekend aan de Autoriteit persoonsgegevens, treedt de Autoriteit pers…</t>
  </si>
  <si>
    <t>no unit: unknown</t>
  </si>
  <si>
    <t>daarvan</t>
  </si>
  <si>
    <t>BWBR0052872:39:4:7</t>
  </si>
  <si>
    <t>… een essentiële entiteit of belangrijke entiteit in Nederland, stelt het centrale contactpunt het betrokken CSIRT en de betrokken bevoegde autoriteit daarvan op de hoogte.</t>
  </si>
  <si>
    <t>de buitengewone leden</t>
  </si>
  <si>
    <t>BWBR0040940:11:5:5</t>
  </si>
  <si>
    <t>De leden stellen een verdeling van taken vast en betrekken hierbij zoveel mogelijk de buitengewone leden.</t>
  </si>
  <si>
    <t>het bepaalde bij of krachtens het eerste tot en met zesde lid</t>
  </si>
  <si>
    <t>BWBR0052872:24:8:7</t>
  </si>
  <si>
    <t>…ndien de essentiële entiteit of belangrijke entiteit toepassing heeft gegeven aan de artikelen 129a of 239a van Boek 2 van het Burgerlijk Wetboek, is het bepaalde bij of krachtens het eerste tot en met zesde lid uitsluitend van toepassing op de uitvoerende bestuurders van die essentiële entiteit of belangrijke entiteit.</t>
  </si>
  <si>
    <t>BWBR0052872:24:9:8</t>
  </si>
  <si>
    <t>Indien de essentiële entiteit of belangrijke entiteit een maatschap is, is het bepaalde bij of krachtens het eerste tot en met zesde lid van overeenkomstige toepassing op iedere maat van die maatschap.</t>
  </si>
  <si>
    <t>het volgende</t>
  </si>
  <si>
    <t>BWBR0052872:21:3:1</t>
  </si>
  <si>
    <t>…omvat en tot doel heeft netwerk- en informatiesystemen en de fysieke omgeving van die systemen tegen incidenten te beschermen, en omvatten ten minste het volgende: a. beleid inzake risicoanalyse en beveiliging van informatiesystemen; b. incidentenbehandeling; c. bedrijfscontinuïteit, zoals back-upbeheer en hers…</t>
  </si>
  <si>
    <t>Validation of the object → EuroVoc mapping (Step 7)</t>
  </si>
  <si>
    <t>What to do</t>
  </si>
  <si>
    <t>1. Go to the Validate sheet. Rows with in_sample = yes (green) come first: judge those.</t>
  </si>
  <si>
    <t>2. Fill in the yellow columns only: judgement (drop-down), better_concept (optional), notes.</t>
  </si>
  <si>
    <t>3. Judge candidate 1 mainly; use candidates 2-3 to decide 'partial'.</t>
  </si>
  <si>
    <t>4. The Summary sheet updates automatically as you fill in judgements.</t>
  </si>
  <si>
    <t>Judgement codes</t>
  </si>
  <si>
    <t>correct  – candidate 1 is the right concept, or an acceptable close one.</t>
  </si>
  <si>
    <t>partial  – candidate 1 is in the right area but too broad/narrow, or a lower candidate is right.</t>
  </si>
  <si>
    <t>wrong    – no candidate fits the object.</t>
  </si>
  <si>
    <t>unclear  – the object itself cannot be judged (placeholder, fragment, unresolved reference).</t>
  </si>
  <si>
    <t>For unmapped objects: 'correct' = rightly left unmapped; 'wrong' = a EuroVoc concept clearly exists.</t>
  </si>
  <si>
    <t>Columns</t>
  </si>
  <si>
    <t>stratum     – cascade level; embedding matches are split into three percentile bands.</t>
  </si>
  <si>
    <t>object      – the text that was mapped (a cleaned unit from Step 6).</t>
  </si>
  <si>
    <t>raw_object  – the original object it came from, if different (judge the unit in that light).</t>
  </si>
  <si>
    <t>norm_type   – Step 6 type of the norms that contain this text (unchanged, cleaned, split, …).</t>
  </si>
  <si>
    <t>no unit: …  – strata of norms that kept no unit; object shows the raw object (empty for no_object).</t>
  </si>
  <si>
    <t xml:space="preserve">              Judge: correct = rightly no unit; wrong = a real object was lost.</t>
  </si>
  <si>
    <t>level       – phrase / head / compound / embedding, or empty if unmapped.</t>
  </si>
  <si>
    <t>cand_n, conf_n – candidate concept label and its confidence.</t>
  </si>
  <si>
    <t>pct_1       – percentile of candidate 1 in the Step 4 top-1 distribution (embedding only).</t>
  </si>
  <si>
    <t>n_norms     – how many norms share this object; context shows text around it in an example norm.</t>
  </si>
  <si>
    <t>Example of a filled-in row (not part of the data)</t>
  </si>
  <si>
    <t>ten minste de in lid 6 bepaalde informatie</t>
  </si>
  <si>
    <t>partial</t>
  </si>
  <si>
    <t>melding</t>
  </si>
  <si>
    <t>concept right but generic; the object refers to lid 6</t>
  </si>
  <si>
    <t>objects</t>
  </si>
  <si>
    <t>in sample</t>
  </si>
  <si>
    <t>judged</t>
  </si>
  <si>
    <t>correct</t>
  </si>
  <si>
    <t>wrong</t>
  </si>
  <si>
    <t>unclear</t>
  </si>
  <si>
    <t>precision (strict)</t>
  </si>
  <si>
    <t>precision (lenient)</t>
  </si>
  <si>
    <t>total</t>
  </si>
  <si>
    <t>Precision excludes 'unclear'. Strict = correct only; lenient = correct + partial.</t>
  </si>
  <si>
    <t>For 'unmapped', precision means: share of objects rightly left unmapped. For 'no unit' strata: share of norms that rightly have no unit.</t>
  </si>
  <si>
    <t>Embedding bands split the range above the fallback percentile (20) into three equal parts.</t>
  </si>
  <si>
    <t>'objects' is the full count per stratum; Validate holds only the sample.</t>
  </si>
  <si>
    <t>With 10 judged per stratum, precision per stratum is a rough indication (about ±31 points at worst, 95%); the total is much tighter.</t>
  </si>
  <si>
    <t>norms</t>
  </si>
  <si>
    <t>rows in sample</t>
  </si>
  <si>
    <t>norm_id</t>
  </si>
  <si>
    <t>units</t>
  </si>
  <si>
    <t>BWBR0052872:3:whole:1</t>
  </si>
  <si>
    <t>regels</t>
  </si>
  <si>
    <t>reglement</t>
  </si>
  <si>
    <t>prijsregels</t>
  </si>
  <si>
    <t>BWBR0052872:5:2:1</t>
  </si>
  <si>
    <t>deze wet</t>
  </si>
  <si>
    <t>wet</t>
  </si>
  <si>
    <t>BWBR0052872:9:1:1</t>
  </si>
  <si>
    <t>een in bijlage 1 of bijlage 2 van deze wet genoemde entiteit</t>
  </si>
  <si>
    <t>entiteit</t>
  </si>
  <si>
    <t>wooneenheid</t>
  </si>
  <si>
    <t>anciënniteit</t>
  </si>
  <si>
    <t>nationaliteit</t>
  </si>
  <si>
    <t>BWBR0052872:9:2:2</t>
  </si>
  <si>
    <t>de aanwijzing</t>
  </si>
  <si>
    <t>aanwijzing</t>
  </si>
  <si>
    <t>aanwerving</t>
  </si>
  <si>
    <t>uitwijzing</t>
  </si>
  <si>
    <t>aanbeveling</t>
  </si>
  <si>
    <t>BWBR0052872:11:2:2</t>
  </si>
  <si>
    <t>de aanwijzing, bedoeld in het eerste lid</t>
  </si>
  <si>
    <t>BWBR0052872:13:1:1</t>
  </si>
  <si>
    <t>BWBR0052872:13:2:2</t>
  </si>
  <si>
    <t>BWBR0052872:14:whole:1</t>
  </si>
  <si>
    <t>het centrale contactpunt</t>
  </si>
  <si>
    <t>centrale contactpunt</t>
  </si>
  <si>
    <t>telefooncentrale</t>
  </si>
  <si>
    <t>centrale</t>
  </si>
  <si>
    <t>BWBR0052872:14:whole:2</t>
  </si>
  <si>
    <t>de volgende taken</t>
  </si>
  <si>
    <t>taken</t>
  </si>
  <si>
    <t>BWBR0052872:14:whole:4</t>
  </si>
  <si>
    <t>voor sectoroverschrijdende samenwerking tussen de bevoegde autoriteiten binnen Nederland</t>
  </si>
  <si>
    <t>sectoroverschrijdende samenwerking tussen de bevoegde autoriteiten binnen Nederland</t>
  </si>
  <si>
    <t>samenwerking tussen Instellingen</t>
  </si>
  <si>
    <t>samenwerking tussen ondernemingen</t>
  </si>
  <si>
    <t>BWBR0052872:14:whole:5</t>
  </si>
  <si>
    <t>de overige in deze wet genoemde taken</t>
  </si>
  <si>
    <t>overige genoemde taken</t>
  </si>
  <si>
    <t>aanvullend werk</t>
  </si>
  <si>
    <t>aangevulde realiteit</t>
  </si>
  <si>
    <t>aanvullende begroting</t>
  </si>
  <si>
    <t>BWBR0052872:15:6:1</t>
  </si>
  <si>
    <t>de bestuursrechtelijke handhaving van het bepaalde bij of krachtens deze wet</t>
  </si>
  <si>
    <t>bestuursrechtelijke handhaving van het bepaalde bij of</t>
  </si>
  <si>
    <t>bestuursrecht</t>
  </si>
  <si>
    <t>BWBR0052872:15:6:2</t>
  </si>
  <si>
    <t>de bestuursrechtelijke handhaving van het bepaalde in de op grond van de artikelen 21, vijfde lid, en 23, elfde lid, van de NIS2-richtlijn vastgestelde uitvoeringshandelingen en de op grond van artikel 24, tweede lid, van de NIS2-richtlijn vastgestelde gedelegeerde handelingen</t>
  </si>
  <si>
    <t>bestuursrechtelijke handhaving van het bepaalde in de uitvoeringshandelingen en de gedelegeerde handelingen</t>
  </si>
  <si>
    <t>BWBR0052872:16:1:1</t>
  </si>
  <si>
    <t>het CSIRT</t>
  </si>
  <si>
    <t>CSIRT</t>
  </si>
  <si>
    <t>BWBR0052872:16:3:2</t>
  </si>
  <si>
    <t>een openbaar toegankelijk netwerk- en informatiesysteem van een essentiële entiteit en belangrijke entiteit</t>
  </si>
  <si>
    <t>openbaar toegankelijk netwerk- en informatiesysteem van een essentiële entiteit en belangrijke entiteit</t>
  </si>
  <si>
    <t>informatiesysteem</t>
  </si>
  <si>
    <t>BWBR0052872:16:3:3</t>
  </si>
  <si>
    <t>tot negatieve gevolgen voor de dienstverlening van de betrokken entiteit</t>
  </si>
  <si>
    <t>negatieve gevolgen voor de dienstverlening van de betrokken entiteit</t>
  </si>
  <si>
    <t>BWBR0052872:16:5:5</t>
  </si>
  <si>
    <t>samenwerkingsrelaties</t>
  </si>
  <si>
    <t>samenwerkingsovereenkomst</t>
  </si>
  <si>
    <t>samenwerkingsraad</t>
  </si>
  <si>
    <t>samenwerkingsbeleid</t>
  </si>
  <si>
    <t>invoering | gebruik van gemeenschappelijke of gestandaardiseerde praktijken, classificatieschema’s en taxonomieën</t>
  </si>
  <si>
    <t>invoer</t>
  </si>
  <si>
    <t>invoerregeling</t>
  </si>
  <si>
    <t>BWBR0052872:16:7:7</t>
  </si>
  <si>
    <t>BWBR0052872:17:1:1</t>
  </si>
  <si>
    <t>een CSIRT</t>
  </si>
  <si>
    <t>BWBR0052872:19:3:4</t>
  </si>
  <si>
    <t>BWBR0052872:20:whole:1</t>
  </si>
  <si>
    <t>een nationaal plan voor grootschalige cyberbeveiligingsincidenten en crisisrespons</t>
  </si>
  <si>
    <t>nationaal plan voor grootschalige cyberbeveiligingsincidenten en crisisrespons</t>
  </si>
  <si>
    <t>netwerk- en internetbeveiliging</t>
  </si>
  <si>
    <t>algemene kwaliteit van de producten | cyberbeveiligingspraktijken van haar leveranciers en dienstverleners, met inbegrip van hun veilige ontwikkelingsprocedures</t>
  </si>
  <si>
    <t>kwaliteit van het product</t>
  </si>
  <si>
    <t>kwaliteitsbeheersing van industrieproducten</t>
  </si>
  <si>
    <t>kwaliteit van het milieu</t>
  </si>
  <si>
    <t>BWBR0052872:21:4:5</t>
  </si>
  <si>
    <t>BWBR0052872:21:5:6</t>
  </si>
  <si>
    <t>BWBR0052872:21:5:7</t>
  </si>
  <si>
    <t>eisen</t>
  </si>
  <si>
    <t>ei</t>
  </si>
  <si>
    <t>BWBR0052872:21a:1:1</t>
  </si>
  <si>
    <t>producten of diensten van anderen dan de daarbij door Onze Minister die het aangaat genoemde partij</t>
  </si>
  <si>
    <t>BWBR0052872:21a:3:3</t>
  </si>
  <si>
    <t>een termijn</t>
  </si>
  <si>
    <t>termijn</t>
  </si>
  <si>
    <t>termijncontract</t>
  </si>
  <si>
    <t>procestermijn</t>
  </si>
  <si>
    <t>termijndeposito</t>
  </si>
  <si>
    <t>BWBR0052872:21a:4:4</t>
  </si>
  <si>
    <t>Het eerste lid</t>
  </si>
  <si>
    <t>BWBR0052872:22:1:1</t>
  </si>
  <si>
    <t>artikel 21</t>
  </si>
  <si>
    <t>BWBR0052872:23:1:1</t>
  </si>
  <si>
    <t>een essentiële entiteit respectievelijk een belangrijke entiteit</t>
  </si>
  <si>
    <t>essentiële entiteit respectievelijk een belangrijke entiteit</t>
  </si>
  <si>
    <t>BWBR0052872:23:2:2</t>
  </si>
  <si>
    <t>BWBR0052872:24:1:1</t>
  </si>
  <si>
    <t>De maatregelen, bedoeld in artikel 21</t>
  </si>
  <si>
    <t>maatregelen</t>
  </si>
  <si>
    <t>bestuursmaatregel</t>
  </si>
  <si>
    <t>verkeersregels</t>
  </si>
  <si>
    <t>gezondheidsregels</t>
  </si>
  <si>
    <t>BWBR0052872:24:2:2</t>
  </si>
  <si>
    <t>kennis en vaardigheden</t>
  </si>
  <si>
    <t>kennis | vaardigheden</t>
  </si>
  <si>
    <t>ontwikkeling van vaardigheden</t>
  </si>
  <si>
    <t>open kennis</t>
  </si>
  <si>
    <t>kennisbeheer</t>
  </si>
  <si>
    <t>BWBR0052872:24:3:3</t>
  </si>
  <si>
    <t>aan het bepaalde in het tweede lid</t>
  </si>
  <si>
    <t>BWBR0052872:24:4:4</t>
  </si>
  <si>
    <t>de kennis en vaardigheden, bedoeld in het tweede lid</t>
  </si>
  <si>
    <t>BWBR0052872:24:5:5</t>
  </si>
  <si>
    <t>een certificaat</t>
  </si>
  <si>
    <t>certificaat</t>
  </si>
  <si>
    <t>kwaliteitscertificaat</t>
  </si>
  <si>
    <t>certificaat van oorsprong</t>
  </si>
  <si>
    <t>citaat</t>
  </si>
  <si>
    <t>BWBR0052872:24:6:6</t>
  </si>
  <si>
    <t>BWBR0052872:24:10:9</t>
  </si>
  <si>
    <t>BWBR0052872:24:11:10</t>
  </si>
  <si>
    <t>BWBR0052872:25:1:1</t>
  </si>
  <si>
    <t>ieder significant incident</t>
  </si>
  <si>
    <t>significant incident</t>
  </si>
  <si>
    <t>BWBR0052872:25:3:2</t>
  </si>
  <si>
    <t>de criteria</t>
  </si>
  <si>
    <t>criteria</t>
  </si>
  <si>
    <t>BWBR0052872:25:4:3</t>
  </si>
  <si>
    <t>aanvullende criteria</t>
  </si>
  <si>
    <t>aanvullende uitkering</t>
  </si>
  <si>
    <t>aanvullende middelen</t>
  </si>
  <si>
    <t>aanvullende voeding</t>
  </si>
  <si>
    <t>BWBR0052872:26:2:2</t>
  </si>
  <si>
    <t>aan of het significante incident vermoedelijk door een onrechtmatige of kwaadwillige handeling is veroorzaakt</t>
  </si>
  <si>
    <t>of het significante incident vermoedelijk door een onrechtmatige of kwaadwillige handeling is veroorzaakt</t>
  </si>
  <si>
    <t>BWBR0052872:26:2:3</t>
  </si>
  <si>
    <t>aan of het significante incident grensoverschrijdende gevolgen kan hebben</t>
  </si>
  <si>
    <t>of het significante incident grensoverschrijdende gevolgen kan hebben</t>
  </si>
  <si>
    <t>grensoverschrijdende kwestie</t>
  </si>
  <si>
    <t>BWBR0052872:26:2:4</t>
  </si>
  <si>
    <t>de contactgegevens van de functionaris die verantwoordelijk is voor de melding</t>
  </si>
  <si>
    <t>contactgegevens van de functionaris die verantwoordelijk is voor de melding</t>
  </si>
  <si>
    <t>BWBR0052872:27:1:1</t>
  </si>
  <si>
    <t>een melding</t>
  </si>
  <si>
    <t>manifest</t>
  </si>
  <si>
    <t>BWBR0052872:27:2:2</t>
  </si>
  <si>
    <t>een melding van het significante incident</t>
  </si>
  <si>
    <t>melding van het significante incident</t>
  </si>
  <si>
    <t>informatietechnologisch incident</t>
  </si>
  <si>
    <t>BWBR0052872:28:whole:1</t>
  </si>
  <si>
    <t>een tussentijds verslag</t>
  </si>
  <si>
    <t>tussentijds verslag</t>
  </si>
  <si>
    <t>BWBR0052872:29:2:3</t>
  </si>
  <si>
    <t>BWBR0052872:30:2:2</t>
  </si>
  <si>
    <t>welke maatregelen die ontvangers kunnen nemen in reactie op die dreiging</t>
  </si>
  <si>
    <t>BWBR0052872:32:1:1</t>
  </si>
  <si>
    <t>een essentiële entiteit of belangrijke entiteit</t>
  </si>
  <si>
    <t>essentiële entiteit | belangrijke entiteit</t>
  </si>
  <si>
    <t>essentiële olie</t>
  </si>
  <si>
    <t>BWBR0052872:32:2:2</t>
  </si>
  <si>
    <t>BWBR0052872:33:1:1</t>
  </si>
  <si>
    <t>BWBR0052872:33:2:2</t>
  </si>
  <si>
    <t>de vrijwillige meldingen</t>
  </si>
  <si>
    <t>vrijwillige meldingen</t>
  </si>
  <si>
    <t>vrijwillig werk</t>
  </si>
  <si>
    <t>vrijwillige legerdienst</t>
  </si>
  <si>
    <t>vrije omroep</t>
  </si>
  <si>
    <t>BWBR0052872:33:2:3</t>
  </si>
  <si>
    <t>voorrang</t>
  </si>
  <si>
    <t>voorman</t>
  </si>
  <si>
    <t>voorrecht</t>
  </si>
  <si>
    <t>voorsteden</t>
  </si>
  <si>
    <t>BWBR0052872:33:3:4</t>
  </si>
  <si>
    <t>de vrijwillige melding</t>
  </si>
  <si>
    <t>vrijwillige melding</t>
  </si>
  <si>
    <t>BWBR0052872:34:1:1</t>
  </si>
  <si>
    <t>BWBR0052872:34:2:2</t>
  </si>
  <si>
    <t>De melding</t>
  </si>
  <si>
    <t>BWBR0052872:35:whole:1</t>
  </si>
  <si>
    <t>BWBR0052872:36:3:2</t>
  </si>
  <si>
    <t>richtsnoeren</t>
  </si>
  <si>
    <t>BWBR0052872:37:whole:2</t>
  </si>
  <si>
    <t>de entiteit</t>
  </si>
  <si>
    <t>BWBR0052872:38:whole:1</t>
  </si>
  <si>
    <t>de essentiële entiteit of belangrijke entiteit</t>
  </si>
  <si>
    <t>BWBR0052872:39:1:1</t>
  </si>
  <si>
    <t>BWBR0052872:39:2:3</t>
  </si>
  <si>
    <t>de informatie die overeenkomstig de artikelen 26 tot en met 29 is ontvangen</t>
  </si>
  <si>
    <t>informatie die is ontvangen</t>
  </si>
  <si>
    <t>BWBR0052872:39:2:4</t>
  </si>
  <si>
    <t>de beveiligingsbelangen en commerciële belangen van de entiteit en de vertrouwelijkheid van de verstrekte informatie</t>
  </si>
  <si>
    <t>beveiligingsbelangen en commerciële belangen van de entiteit en de vertrouwelijkheid van de verstrekte informatie</t>
  </si>
  <si>
    <t>beveiliging van gegevens</t>
  </si>
  <si>
    <t>informatiebeveiliging</t>
  </si>
  <si>
    <t>aan het CSIRT gemelde incident | bijna-incident | cyberdreiging</t>
  </si>
  <si>
    <t>BWBR0052872:39:3:6</t>
  </si>
  <si>
    <t>de op grond van de artikelen 25 en 33 ontvangen meldingen</t>
  </si>
  <si>
    <t>ontvangen meldingen</t>
  </si>
  <si>
    <t>ontvanger van hulp</t>
  </si>
  <si>
    <t>monitoringverslag</t>
  </si>
  <si>
    <t>vrij ontvangen van uitzendingen</t>
  </si>
  <si>
    <t>BWBR0052872:40:1:1</t>
  </si>
  <si>
    <t>informatie over een significant incident</t>
  </si>
  <si>
    <t>BWBR0052872:41:whole:1</t>
  </si>
  <si>
    <t>deze informatie</t>
  </si>
  <si>
    <t>BWBR0052872:42:1:1</t>
  </si>
  <si>
    <t>een vertegenwoordiger</t>
  </si>
  <si>
    <t>vertegenwoordiger</t>
  </si>
  <si>
    <t>handelsvertegenwoordiger</t>
  </si>
  <si>
    <t>BWBR0052872:42:2:2</t>
  </si>
  <si>
    <t>BWBR0052872:43:2:2</t>
  </si>
  <si>
    <t>het nationale register</t>
  </si>
  <si>
    <t>nationale register</t>
  </si>
  <si>
    <t>nationale rekening</t>
  </si>
  <si>
    <t>nationale bank</t>
  </si>
  <si>
    <t>nationale belasting</t>
  </si>
  <si>
    <t>BWBR0052872:43:2:3</t>
  </si>
  <si>
    <t>het</t>
  </si>
  <si>
    <t>BWBR0052872:43:3:5</t>
  </si>
  <si>
    <t>BWBR0052872:43:3:6</t>
  </si>
  <si>
    <t>BWBR0052872:44:1:1</t>
  </si>
  <si>
    <t>de volgende informatie</t>
  </si>
  <si>
    <t>BWBR0052872:44:2:2</t>
  </si>
  <si>
    <t>elke wijziging van de informatie die zij op grond van het eerste lid hebben verstrekt</t>
  </si>
  <si>
    <t>wijziging van de informatie die zij hebben verstrekt</t>
  </si>
  <si>
    <t>doorgeven van informatie</t>
  </si>
  <si>
    <t>wijziging van een overeenkomst</t>
  </si>
  <si>
    <t>BWBR0052872:44:3:3</t>
  </si>
  <si>
    <t>BWBR0052872:45:1:1</t>
  </si>
  <si>
    <t>een essentiële entiteit, een belangrijke entiteit of entiteit die domeinnaamregistratiediensten verleent</t>
  </si>
  <si>
    <t>essentiële entiteit, een belangrijke entiteit of entiteit die domeinnaamregistratiediensten verleent</t>
  </si>
  <si>
    <t>BWBR0052872:45:2:2</t>
  </si>
  <si>
    <t>BWBR0052872:46:whole:1</t>
  </si>
  <si>
    <t>toegang tot het nationale register, bedoeld in artikel 43</t>
  </si>
  <si>
    <t>toegang tot het nationale register</t>
  </si>
  <si>
    <t>toegang tot de informatie</t>
  </si>
  <si>
    <t>toegang tot het beroepsleven</t>
  </si>
  <si>
    <t>toegang tot de rechter</t>
  </si>
  <si>
    <t>BWBR0052872:47:1:1</t>
  </si>
  <si>
    <t>de informatie</t>
  </si>
  <si>
    <t>BWBR0052872:47:2:2</t>
  </si>
  <si>
    <t>de informatie, bedoeld in het derde lid van dit artikel</t>
  </si>
  <si>
    <t>BWBR0052872:47:4:3</t>
  </si>
  <si>
    <t>de informatie, bedoeld in het derde lid</t>
  </si>
  <si>
    <t>BWBR0052872:47:5:4</t>
  </si>
  <si>
    <t>wijzigingen van de gegevens, bedoeld in het derde lid</t>
  </si>
  <si>
    <t>wijzigingen van de gegevens</t>
  </si>
  <si>
    <t>invoer van gegevens</t>
  </si>
  <si>
    <t>BWBR0052872:48:1:1</t>
  </si>
  <si>
    <t>een entiteit als bedoeld in artikel 47, eerste en tweede lid</t>
  </si>
  <si>
    <t>BWBR0052872:48:2:2</t>
  </si>
  <si>
    <t>BWBR0052872:49:1:1</t>
  </si>
  <si>
    <t>nauwkeurige en volledige domeinnaamregistratiegegevens</t>
  </si>
  <si>
    <t>BWBR0052872:49:3:3</t>
  </si>
  <si>
    <t>het beleid en de procedures</t>
  </si>
  <si>
    <t>beleid | procedures</t>
  </si>
  <si>
    <t>BWBR0052872:49:3:4</t>
  </si>
  <si>
    <t>dat beleid en die procedures</t>
  </si>
  <si>
    <t>BWBR0052872:49:4:5</t>
  </si>
  <si>
    <t>de domeinnaamregistratiegegevens, die geen persoonsgegevens zijn</t>
  </si>
  <si>
    <t>domeinnaamregistratiegegevens, die geen persoonsgegevens zijn</t>
  </si>
  <si>
    <t>domeinnaam voor internet</t>
  </si>
  <si>
    <t>BWBR0052872:49:5:6</t>
  </si>
  <si>
    <t>BWBR0052872:49:6:7</t>
  </si>
  <si>
    <t>nadere regels</t>
  </si>
  <si>
    <t>BWBR0052872:50:1:1</t>
  </si>
  <si>
    <t>toegang tot specifieke gegevens over de registratie van domeinnamen</t>
  </si>
  <si>
    <t>BWBR0052872:50:3:3</t>
  </si>
  <si>
    <t>het beleid en de procedures met betrekking tot de bekendmaking van de gegevens, bedoeld in het eerste lid</t>
  </si>
  <si>
    <t>beleid | procedures met betrekking tot de bekendmaking van de gegevens</t>
  </si>
  <si>
    <t>BWBR0052872:50:3:4</t>
  </si>
  <si>
    <t>BWBR0052872:50:4:5</t>
  </si>
  <si>
    <t>BWBR0052872:51:1:1</t>
  </si>
  <si>
    <t>alle daarvoor noodzakelijke gegevens</t>
  </si>
  <si>
    <t>noodzakelijke gegevens</t>
  </si>
  <si>
    <t>publieke gegevens</t>
  </si>
  <si>
    <t>BWBR0052872:51:2:3</t>
  </si>
  <si>
    <t>BWBR0052872:51:2:4</t>
  </si>
  <si>
    <t>BWBR0052872:51:3:5</t>
  </si>
  <si>
    <t>BWBR0052872:52:whole:1</t>
  </si>
  <si>
    <t>BWBR0052872:52:whole:2</t>
  </si>
  <si>
    <t>BWBR0052872:53:whole:1</t>
  </si>
  <si>
    <t>relevante informatie</t>
  </si>
  <si>
    <t>BWBR0052872:54:1:1</t>
  </si>
  <si>
    <t>een samenwerkingsrelatie</t>
  </si>
  <si>
    <t>samenwerkingsrelatie</t>
  </si>
  <si>
    <t>samenwerkingsprocedure</t>
  </si>
  <si>
    <t>BWBR0052872:54:1:2</t>
  </si>
  <si>
    <t>BWBR0052872:54:2:4</t>
  </si>
  <si>
    <t>uit het verlenen van bijstand op het gebied van cyberbeveiliging</t>
  </si>
  <si>
    <t>bijstand op het gebied van cyberbeveiliging</t>
  </si>
  <si>
    <t>cyberbeveiliging</t>
  </si>
  <si>
    <t>weerbaarheid op het gebied van cyberbeveiliging</t>
  </si>
  <si>
    <t>financiële bijstand</t>
  </si>
  <si>
    <t>BWBR0052872:55:whole:1</t>
  </si>
  <si>
    <t>BWBR0052872:55:whole:2</t>
  </si>
  <si>
    <t>BWBR0052872:56:1:1</t>
  </si>
  <si>
    <t>BWBR0052872:56:1:2</t>
  </si>
  <si>
    <t>BWBR0052872:56:2:3</t>
  </si>
  <si>
    <t>de betrokken bevoegde autoriteit, bedoeld in artikel 8 van de Wet weerbaarheid kritieke entiteiten</t>
  </si>
  <si>
    <t>bevoegde autoriteit van de Wet weerbaarheid kritieke entiteiten</t>
  </si>
  <si>
    <t>Toezichthoudende Autoriteit van de EVA</t>
  </si>
  <si>
    <t>Autoriteit voor paraatheid en respons inzake noodsituaties op gezondheidsgebied</t>
  </si>
  <si>
    <t>BWBR0052872:57:1:1</t>
  </si>
  <si>
    <t>BWBR0052872:57:1:2</t>
  </si>
  <si>
    <t>BWBR0052872:58:1:1</t>
  </si>
  <si>
    <t>BWBR0052872:58:1:2</t>
  </si>
  <si>
    <t>BWBR0052872:58:2:3</t>
  </si>
  <si>
    <t>BWBR0052872:58:3:4</t>
  </si>
  <si>
    <t>bestuurlijke boete</t>
  </si>
  <si>
    <t>administratieve boete</t>
  </si>
  <si>
    <t>geldboete</t>
  </si>
  <si>
    <t>bestuurlijke verantwoordelijkheid</t>
  </si>
  <si>
    <t>BWBR0052872:58:4:5</t>
  </si>
  <si>
    <t>de potentiële inbreuk in verband met persoonsgegevens, bedoeld in het tweede lid</t>
  </si>
  <si>
    <t>potentiële inbreuk in verband met persoonsgegevens</t>
  </si>
  <si>
    <t>trauma</t>
  </si>
  <si>
    <t>BWBR0052872:59:whole:1</t>
  </si>
  <si>
    <t>BWBR0052872:60:2:1</t>
  </si>
  <si>
    <t>toezichts- en handhavingsmaatregelen</t>
  </si>
  <si>
    <t>toezicht op de invoer</t>
  </si>
  <si>
    <t>BWBR0052872:60:3:2</t>
  </si>
  <si>
    <t>bijstand</t>
  </si>
  <si>
    <t>sociale bijstand</t>
  </si>
  <si>
    <t>rechtsbijstand</t>
  </si>
  <si>
    <t>BWBR0052872:60:4:4</t>
  </si>
  <si>
    <t>de betrokken bevoegde autoriteit</t>
  </si>
  <si>
    <t>bevoegde autoriteit</t>
  </si>
  <si>
    <t>Europese Commissie | Enisa</t>
  </si>
  <si>
    <t>BWBR0052872:60:5:7</t>
  </si>
  <si>
    <t>BWBR0052872:60:6:8</t>
  </si>
  <si>
    <t>op het verstrekken van informatie en het nemen van toezichts- en handhavingsmaatregelen, met inbegrip van inspecties ter plaatse, toezicht elders en beveiligingsaudits</t>
  </si>
  <si>
    <t>informatie en het nemen van toezichts- en handhavingsmaatregelen, met inbegrip van inspecties ter plaatse, toezicht elders en beveiligingsaudits</t>
  </si>
  <si>
    <t>BWBR0052872:61:1:1</t>
  </si>
  <si>
    <t>om bijstand</t>
  </si>
  <si>
    <t>technische bijstand</t>
  </si>
  <si>
    <t>BWBR0052872:61:2:2</t>
  </si>
  <si>
    <t>een bevoegde autoriteit van een andere lidstaat van de Europese Unie</t>
  </si>
  <si>
    <t>BWBR0052872:62:1:1</t>
  </si>
  <si>
    <t>relevante informatie over cyberbeveiliging</t>
  </si>
  <si>
    <t>BWBR0052872:62:3:2</t>
  </si>
  <si>
    <t>verwerking van persoonsgegevens waaruit ras of etnische afkomst, politieke opvattingen, religieuze of levensbeschouwelijke overtuigingen, of het lidmaatschap van een vakbond blijkenmet betrekking tot iemands seksueel gedrag of seksuele gerichtheid | gegevens over gezondheid, of gegevens</t>
  </si>
  <si>
    <t>gezondheid</t>
  </si>
  <si>
    <t>BWBR0052872:64:2:2</t>
  </si>
  <si>
    <t>BWBR0052872:66:1:1</t>
  </si>
  <si>
    <t>vertrouwelijke gegevens</t>
  </si>
  <si>
    <t>vertrouwelijke informatie</t>
  </si>
  <si>
    <t>gegevensintegriteit</t>
  </si>
  <si>
    <t>BWBR0052872:68:1:1</t>
  </si>
  <si>
    <t>het toezicht op de naleving van het bepaalde bij of krachtens deze wet en het bepaalde in de op grond van de artikelen 21, vijfde lid, en 23, elfde lid, van de NIS2-richtlijn vastgestelde uitvoeringshandelingen en de op grond van artikel 24, tweede lid, van de NIS2-richtlijn vastgestelde gedelegeerde handelingen</t>
  </si>
  <si>
    <t>toezicht op de naleving van het bepaalde bij of en het bepaalde in de uitvoeringshandelingen en de gedelegeerde handelingen</t>
  </si>
  <si>
    <t>BWBR0052872:68:2:2</t>
  </si>
  <si>
    <t>het verlenen van bijstand als bedoeld in artikel 60</t>
  </si>
  <si>
    <t>BWBR0052872:68:4:4</t>
  </si>
  <si>
    <t>Van een besluit als bedoeld in het eerste lid</t>
  </si>
  <si>
    <t>besluit</t>
  </si>
  <si>
    <t>besluit (EU)</t>
  </si>
  <si>
    <t>BWBR0052872:69:whole:1</t>
  </si>
  <si>
    <t>de omstandigheden van elk afzonderlijk geval, alsmede: a. de ernst van de overtreding en het belang van de geschonden bepalingen, waarbij onder meer het volgende in ieder geval een ernstige overtreding vormt: 1°. herhaalde overtredingen; 2°. het niet melden of niet verhelpen van significante incidenten; 3°. het niet verhelpen van tekortkomingen naar aanleiding van bindende aanwijzingen van de bevoegde autoriteit; 4°. het belemmeren van audits of monitoringsactiviteiten waartoe de bevoegde autoriteit opdracht heeft gegeven naar aanleiding van de vaststelling van een overtreding; 5°. het verstrekken van valse of zeer onnauwkeurige informatie met betrekking tot de verplichtingen, bedoeld in de artikelen 21 en 25 tot en met 30; b. de duur van de overtreding; c. eventuele relevante eerdere overtredingen door de betrokken entiteit; d. elke veroorzaakte materiële of immateriële schade, met inbegrip van elke financiële of economische schade, effecten op andere diensten en het aantal getroffen gebruikers; e. opzet of nalatigheid van de overtreder; f. door de entiteit genomen maatregelen om de materiële of immateriële schade te voorkomen of te beperken; g. de naleving van goedgekeurde gedragscodes of goedgekeurde certificeringsmechanismen; en h. de mate waarin de overtreder meewerkt met de bevoegde autoriteiten</t>
  </si>
  <si>
    <t>omstandigheden van elk afzonderlijk geval, alsmede: a. de ernst van de overtreding en het belang van de geschonden bepalingen, waarbij onder meer het volgende in ieder geval een ernstige overtreding vormt: 1°. herhaalde overtredingen; 2°. het niet melden of niet verhelpen van significante incidenten; 3°. het niet verhelpen van tekortkomingen naar aanleiding van bindende aanwijzingen van de bevoegde autoriteit; 4°. het belemmeren van audits of monitoringsactiviteiten waartoe de bevoegde autoriteit opdracht heeft gegeven naar aanleiding van de vaststelling van een overtreding; 5°. het verstrekken van valse of zeer onnauwkeurige informatie met betrekking tot de verplichtingen; b. de duur van de overtreding; c. eventuele relevante eerdere overtredingen door de betrokken entiteit; d. elke veroorzaakte materiële of immateriële schade, met inbegrip van elke financiële of economische schade, effecten op andere diensten en het aantal getroffen gebruikers; e. opzet of nalatigheid van de overtreder; f. door de entiteit genomen maatregelen om de materiële of immateriële schade te voorkomen of te beperken; g. de naleving van goedgekeurde gedragscodes of goedgekeurde certificeringsmechanismen; en h. de mate waarin de overtreder meewerkt met de bevoegde autoriteiten</t>
  </si>
  <si>
    <t>BWBR0052872:70:4:3</t>
  </si>
  <si>
    <t>BWBR0052872:71:1:1</t>
  </si>
  <si>
    <t>een beveiligingsscan</t>
  </si>
  <si>
    <t>beveiligingsscan</t>
  </si>
  <si>
    <t>gelaatsscan</t>
  </si>
  <si>
    <t>beveiligingsinrichting</t>
  </si>
  <si>
    <t>BWBR0052872:71:1:2</t>
  </si>
  <si>
    <t>BWBR0052872:72:1:1</t>
  </si>
  <si>
    <t>een essentiële entiteit</t>
  </si>
  <si>
    <t>essentiële entiteit</t>
  </si>
  <si>
    <t>BWBR0052872:72:1:2</t>
  </si>
  <si>
    <t>of de entiteit voldoet aan het bepaalde bij of krachtens deze wet en het bepaalde in de op grond van de artikelen 21, vijfde lid, en 23, elfde lid, van de NIS2-richtlijn vastgestelde uitvoeringshandelingen en de op grond van artikel 24, tweede lid, van de NIS2-richtlijn vastgestelde gedelegeerde handelingen</t>
  </si>
  <si>
    <t>of de entiteit voldoet aan het bepaalde bij of en het bepaalde in de uitvoeringshandelingen en de gedelegeerde handelingen</t>
  </si>
  <si>
    <t>BWBR0052872:72:1:3</t>
  </si>
  <si>
    <t>de resultaten van dat onderzoek</t>
  </si>
  <si>
    <t>resultaten van dat onderzoek</t>
  </si>
  <si>
    <t>uitkomst van het onderzoek</t>
  </si>
  <si>
    <t>onderzoeksverslag</t>
  </si>
  <si>
    <t>onderzoek en ontwikkeling</t>
  </si>
  <si>
    <t>BWBR0052872:72:1:4</t>
  </si>
  <si>
    <t>de aanbevelingen naar aanleiding van het onderzoek</t>
  </si>
  <si>
    <t>aanbevelingen naar aanleiding van het onderzoek</t>
  </si>
  <si>
    <t>aanbeveling (EU)</t>
  </si>
  <si>
    <t>BWBR0052872:72:3:5</t>
  </si>
  <si>
    <t>Het onderzoek</t>
  </si>
  <si>
    <t>onderzoek</t>
  </si>
  <si>
    <t>wetenschappelijk onderzoek</t>
  </si>
  <si>
    <t>onderzoeker</t>
  </si>
  <si>
    <t>vooronderzoek</t>
  </si>
  <si>
    <t>BWBR0052872:72:4:6</t>
  </si>
  <si>
    <t>de kosten van het onderzoek</t>
  </si>
  <si>
    <t>kosten van het onderzoek</t>
  </si>
  <si>
    <t>onderzoeksbegroting</t>
  </si>
  <si>
    <t>financiering van onderzoek</t>
  </si>
  <si>
    <t>studiekosten</t>
  </si>
  <si>
    <t>BWBR0052872:72:5:7</t>
  </si>
  <si>
    <t>BWBR0052872:73:whole:1</t>
  </si>
  <si>
    <t>BWBR0052872:74:whole:1</t>
  </si>
  <si>
    <t>een bindende aanwijzing</t>
  </si>
  <si>
    <t>bindende aanwijzing</t>
  </si>
  <si>
    <t>bindende planning</t>
  </si>
  <si>
    <t>gebonden hulp</t>
  </si>
  <si>
    <t>BWBR0052872:76:1:1</t>
  </si>
  <si>
    <t>een einddatum</t>
  </si>
  <si>
    <t>einddatum</t>
  </si>
  <si>
    <t>eindverbruik</t>
  </si>
  <si>
    <t>BWBR0052872:76:2:2</t>
  </si>
  <si>
    <t>het besluit, bedoeld in het eerste lid</t>
  </si>
  <si>
    <t>BWBR0052872:77:whole:1</t>
  </si>
  <si>
    <t>die certificering of vergunning tijdelijk op te schorten</t>
  </si>
  <si>
    <t>certificering of vergunning tijdelijk op te schorten</t>
  </si>
  <si>
    <t>ontheffing van kartelvergunning</t>
  </si>
  <si>
    <t>BWBR0052872:78:1:1</t>
  </si>
  <si>
    <t>één of meer leden van het bestuur van de betrokken essentiële entiteit te schorsen</t>
  </si>
  <si>
    <t>schorsing van het lidmaatschap van een internationale organisatie</t>
  </si>
  <si>
    <t>BWBR0052872:78:2:2</t>
  </si>
  <si>
    <t>alle overige gevolgen van de door haar uitgesproken schorsing</t>
  </si>
  <si>
    <t>overige gevolgen van de door haar uitgesproken schorsing</t>
  </si>
  <si>
    <t>gevolgen van bestraling</t>
  </si>
  <si>
    <t>BWBR0052872:78:3:3</t>
  </si>
  <si>
    <t>een afschrift van de onherroepelijke uitspraak waarin een schorsing is opgelegd</t>
  </si>
  <si>
    <t>afschrift van de onherroepelijke uitspraak waarin een schorsing is opgelegd</t>
  </si>
  <si>
    <t>BWBR0052872:78:3:4</t>
  </si>
  <si>
    <t>de schorsing</t>
  </si>
  <si>
    <t>schorsing</t>
  </si>
  <si>
    <t>verschoning</t>
  </si>
  <si>
    <t>schorseneer</t>
  </si>
  <si>
    <t>schenking</t>
  </si>
  <si>
    <t>BWBR0052872:78:4:5</t>
  </si>
  <si>
    <t>de opname van de schorsing uit het Handelsregister</t>
  </si>
  <si>
    <t>opname van de schorsing uit het Handelsregister</t>
  </si>
  <si>
    <t>voorbespeelde beeld- of geluidsdrager</t>
  </si>
  <si>
    <t>BWBR0052872:80:2:1</t>
  </si>
  <si>
    <t>een bestuurlijke boete</t>
  </si>
  <si>
    <t>BWBR0052872:80:4:2</t>
  </si>
  <si>
    <t>De werking van het besluit tot oplegging van de boete</t>
  </si>
  <si>
    <t>werking van het besluit tot oplegging van de boete</t>
  </si>
  <si>
    <t>uitvoeringsbesluit van de Raad</t>
  </si>
  <si>
    <t>tenuitvoerlegging van het vonnis</t>
  </si>
  <si>
    <t>gedelegeerd besluit van de Commissie</t>
  </si>
  <si>
    <t>BWBR0052872:80:5:3</t>
  </si>
  <si>
    <t>de tenuitvoerlegging van een dwangbevel dat strekt tot invordering van de boete</t>
  </si>
  <si>
    <t>tenuitvoerlegging van een dwangbevel dat strekt tot invordering van de boete</t>
  </si>
  <si>
    <t>tenuitvoerlegging van de wet</t>
  </si>
  <si>
    <t>voltrekking van de straf</t>
  </si>
  <si>
    <t>BWBR0052872:80:6:4</t>
  </si>
  <si>
    <t>Artikel 184 van het Wetboek van Strafrecht</t>
  </si>
  <si>
    <t>Commissie Misdaadpreventie en Strafrechtspleging</t>
  </si>
  <si>
    <t>Wetboek van Koophandel</t>
  </si>
  <si>
    <t>BWBR0052872:82:1:1</t>
  </si>
  <si>
    <t>BWBR0052872:82:1:2</t>
  </si>
  <si>
    <t>BWBR0052872:82:2:3</t>
  </si>
  <si>
    <t>BWBR0052872:83:1:1</t>
  </si>
  <si>
    <t>een belangrijke entiteit</t>
  </si>
  <si>
    <t>belangrijke entiteit</t>
  </si>
  <si>
    <t>BWBR0052872:83:1:2</t>
  </si>
  <si>
    <t>BWBR0052872:83:1:3</t>
  </si>
  <si>
    <t>BWBR0052872:83:1:4</t>
  </si>
  <si>
    <t>BWBR0052872:83:3:5</t>
  </si>
  <si>
    <t>BWBR0052872:83:4:6</t>
  </si>
  <si>
    <t>BWBR0052872:83:5:7</t>
  </si>
  <si>
    <t>BWBR0052872:84:whole:1</t>
  </si>
  <si>
    <t>BWBR0052872:85:whole:1</t>
  </si>
  <si>
    <t>BWBR0052872:86:whole:1</t>
  </si>
  <si>
    <t>BWBR0052872:87:1:1</t>
  </si>
  <si>
    <t>BWBR0052872:87:2:2</t>
  </si>
  <si>
    <t>BWBR0052872:87:4:3</t>
  </si>
  <si>
    <t>BWBR0052872:87:5:4</t>
  </si>
  <si>
    <t>de tenuitvoerlegging van een dwangbevel</t>
  </si>
  <si>
    <t>tenuitvoerlegging van een dwangbevel</t>
  </si>
  <si>
    <t>uitvoervergunning</t>
  </si>
  <si>
    <t>BWBR0052872:89:whole:1</t>
  </si>
  <si>
    <t>BWBR0052872:91:1:1</t>
  </si>
  <si>
    <t>BWBR0052872:91:2:2</t>
  </si>
  <si>
    <t>De boete</t>
  </si>
  <si>
    <t>boete</t>
  </si>
  <si>
    <t>boetvaardige</t>
  </si>
  <si>
    <t>BWBR0052872:91:3:3</t>
  </si>
  <si>
    <t>BWBR0052872:91:4:4</t>
  </si>
  <si>
    <t>BWBR0052872:92:whole:1</t>
  </si>
  <si>
    <t>BWBR0052872:93:1:1</t>
  </si>
  <si>
    <t>BWBR0052872:93:2:2</t>
  </si>
  <si>
    <t>De boete, bedoeld in het eerste lid</t>
  </si>
  <si>
    <t>BWBR0052872:93:3:3</t>
  </si>
  <si>
    <t>BWBR0052872:93:4:4</t>
  </si>
  <si>
    <t>BWBR0052872:93:5:5</t>
  </si>
  <si>
    <t>BWBR0052872:94:1:1</t>
  </si>
  <si>
    <t>een verslag waarin de resultaten van een invoeringstoets over de uitvoerbaarheid, de handhaafbaarheid, de regeldruk, de samenloop en de werkbaarheid van deze wet in de praktijk zijn opgenomen</t>
  </si>
  <si>
    <t>verslag waarin de resultaten van een invoeringstoets over de uitvoerbaarheid, de handhaafbaarheid, de regeldruk, de samenloop en de werkbaarheid in de praktijk zijn opgenomen</t>
  </si>
  <si>
    <t>BWBR0052872:94:2:2</t>
  </si>
  <si>
    <t>een verslag over de doeltreffendheid en de effecten van deze wet in de praktijk</t>
  </si>
  <si>
    <t>verslag over de doeltreffendheid | effecten in de praktijk</t>
  </si>
  <si>
    <t>effecten</t>
  </si>
  <si>
    <t>BWBR0052872:95:1:1</t>
  </si>
  <si>
    <t>het oude recht</t>
  </si>
  <si>
    <t>oude recht</t>
  </si>
  <si>
    <t>juridische wetenschap</t>
  </si>
  <si>
    <t>BWBR0052872:95:2:2</t>
  </si>
  <si>
    <t>de melding</t>
  </si>
  <si>
    <t>BWBR0052872:95:2:3</t>
  </si>
  <si>
    <t>de op grond van de Wet beveiliging netwerk- en informatiesystemen gedane melding</t>
  </si>
  <si>
    <t>op grond van de Wet beveiliging netwerk- en informatiesystemen gedane melding</t>
  </si>
  <si>
    <t>beveiliging en bewaking</t>
  </si>
  <si>
    <t>BWBR0052872:96:1:1</t>
  </si>
  <si>
    <t>informatie over dreigingen en incidenten met betrekking tot hun netwerk- en informatiesystemen | advies</t>
  </si>
  <si>
    <t>analyses | technisch onderzoek</t>
  </si>
  <si>
    <t>toegepast onderzoek</t>
  </si>
  <si>
    <t>BWBR0052872:98:whole:1</t>
  </si>
  <si>
    <t>BWBR0040940:2:2:1</t>
  </si>
  <si>
    <t>BWBR0040940:2a:whole:1</t>
  </si>
  <si>
    <t>de specifieke behoeften van kleine, middelgrote en micro-ondernemingen als bedoeld in artikel 2 van de bijlage bij Aanbeveling 2003/361/EG van de Commissie van 6 mei 2003 betreffende de definitie van kleine, middelgrote en micro-ondernemingen (PbEU 2003 L124)</t>
  </si>
  <si>
    <t>specifieke behoeften van kleine, middelgrote en micro-ondernemingen bij Aanbeveling 2003/361/EG van de Commissie van 6 mei 2003 betreffende de definitie van kleine, middelgrote en micro-ondernemingen (PbEU 2003 L124)</t>
  </si>
  <si>
    <t>BWBR0040940:3:3:1</t>
  </si>
  <si>
    <t>Het eerste en het tweede lid</t>
  </si>
  <si>
    <t>beperkingen | voorschriften</t>
  </si>
  <si>
    <t>verordening</t>
  </si>
  <si>
    <t>BWBR0040940:3:5:3</t>
  </si>
  <si>
    <t>mededeling</t>
  </si>
  <si>
    <t>mededinging</t>
  </si>
  <si>
    <t>medeëigendom</t>
  </si>
  <si>
    <t>aanbod tot mededinging</t>
  </si>
  <si>
    <t>BWBR0040940:5:2:2</t>
  </si>
  <si>
    <t>die van zijn wettelijk vertegenwoordiger</t>
  </si>
  <si>
    <t>BWBR0040940:5:4:4</t>
  </si>
  <si>
    <t>deze rechten</t>
  </si>
  <si>
    <t>rechten</t>
  </si>
  <si>
    <t>BWBR0040940:5:4:5</t>
  </si>
  <si>
    <t>BWBR0040940:5:5:6</t>
  </si>
  <si>
    <t>BWBR0040940:5:7:7</t>
  </si>
  <si>
    <t>Het eerste tot en met vierde lid</t>
  </si>
  <si>
    <t>BWBR0040940:6:3:1</t>
  </si>
  <si>
    <t>de verwerking van persoonsgegevens</t>
  </si>
  <si>
    <t>verwerking van persoonsgegevens</t>
  </si>
  <si>
    <t>BWBR0040940:6:4:2</t>
  </si>
  <si>
    <t>BWBR0040940:7:3:1</t>
  </si>
  <si>
    <t>De voorzitter, de andere leden en de buitengewone leden van de Autoriteit persoonsgegevens</t>
  </si>
  <si>
    <t>voorzitter, de andere leden | buitengewone leden van de Autoriteit</t>
  </si>
  <si>
    <t>benoeming van de leden</t>
  </si>
  <si>
    <t>voorzitter van de instelling</t>
  </si>
  <si>
    <t>buitengewone rechtbank</t>
  </si>
  <si>
    <t>BWBR0040940:7:4:2</t>
  </si>
  <si>
    <t>aan de bij of krachtens artikel 5 van de Wet rechtspositie rechterlijke ambtenaren gestelde vereisten voor benoembaarheid tot rechter in een rechtbank</t>
  </si>
  <si>
    <t>bij of van de Wet rechtspositie rechterlijke ambtenaren gestelde vereisten voor benoembaarheid tot rechter in een rechtbank</t>
  </si>
  <si>
    <t>verplichtingen van de ambtenaar</t>
  </si>
  <si>
    <t>BWBR0040940:7:6:3</t>
  </si>
  <si>
    <t>De benoeming, bedoeld in het derde lid</t>
  </si>
  <si>
    <t>benoeming</t>
  </si>
  <si>
    <t>bebakening</t>
  </si>
  <si>
    <t>bewapening</t>
  </si>
  <si>
    <t>bemesting</t>
  </si>
  <si>
    <t>BWBR0040940:7:7:4</t>
  </si>
  <si>
    <t>BWBR0040940:7:8:5</t>
  </si>
  <si>
    <t>de voorzitter, de andere leden en de buitengewone leden van de Autoriteit persoonsgegevens</t>
  </si>
  <si>
    <t>BWBR0040940:7:10:6</t>
  </si>
  <si>
    <t>algemene aspecten van de bescherming van persoonsgegevens</t>
  </si>
  <si>
    <t>recht op privacy</t>
  </si>
  <si>
    <t>BWBR0040940:7:10:7</t>
  </si>
  <si>
    <t>De leden</t>
  </si>
  <si>
    <t>BWBR0040940:7:10:8</t>
  </si>
  <si>
    <t>Herbenoeming</t>
  </si>
  <si>
    <t>herbewapening</t>
  </si>
  <si>
    <t>herbebossing</t>
  </si>
  <si>
    <t>BWBR0040940:7:10:9</t>
  </si>
  <si>
    <t>de vergoeding van de kosten</t>
  </si>
  <si>
    <t>vergoeding van de kosten</t>
  </si>
  <si>
    <t>vergoeding</t>
  </si>
  <si>
    <t>BWBR0040940:9:whole:1</t>
  </si>
  <si>
    <t>De rechtspositie van de voorzitter, de andere leden en de buitengewone leden</t>
  </si>
  <si>
    <t>rechtspositie van de voorzitter, de andere leden en de buitengewone leden</t>
  </si>
  <si>
    <t>BWBR0040940:11:1:1</t>
  </si>
  <si>
    <t>een ontwerpbegroting</t>
  </si>
  <si>
    <t>ontwerpbegroting</t>
  </si>
  <si>
    <t>ontwerpbegroting (EU)</t>
  </si>
  <si>
    <t>BWBR0040940:11:2:2</t>
  </si>
  <si>
    <t>een budget</t>
  </si>
  <si>
    <t>budget</t>
  </si>
  <si>
    <t>Cost</t>
  </si>
  <si>
    <t>planning</t>
  </si>
  <si>
    <t>financiering</t>
  </si>
  <si>
    <t>BWBR0040940:11:4:4</t>
  </si>
  <si>
    <t>De Autoriteit persoonsgegevens</t>
  </si>
  <si>
    <t>Autoriteit persoonsgegevens</t>
  </si>
  <si>
    <t>identiteitsdiefstal</t>
  </si>
  <si>
    <t>BWBR0040940:11:5:6</t>
  </si>
  <si>
    <t>een verdeling van taken</t>
  </si>
  <si>
    <t>verdeling van taken</t>
  </si>
  <si>
    <t>verdeling van het bezit</t>
  </si>
  <si>
    <t>verdeling van het werk</t>
  </si>
  <si>
    <t>verdeling van de belasting</t>
  </si>
  <si>
    <t>BWBR0040940:12:whole:1</t>
  </si>
  <si>
    <t>Artikel 20 van de Kaderwet zelfstandige bestuursorganen</t>
  </si>
  <si>
    <t>BWBR0040940:13:1:1</t>
  </si>
  <si>
    <t>De artikelen 21 en 22 van de Kaderwet zelfstandige bestuursorganen</t>
  </si>
  <si>
    <t>artikelen 21 en 22 van de Kaderwet zelfstandige bestuursorganen</t>
  </si>
  <si>
    <t>BWBR0040940:14:1:1</t>
  </si>
  <si>
    <t>de taken</t>
  </si>
  <si>
    <t>BWBR0040940:14:3:3</t>
  </si>
  <si>
    <t>BWBR0040940:14:5:4</t>
  </si>
  <si>
    <t>de termijn voor het geven van een beschikking</t>
  </si>
  <si>
    <t>termijn voor het geven van een beschikking</t>
  </si>
  <si>
    <t>beschikking</t>
  </si>
  <si>
    <t>termijn voor toepassing van de wet</t>
  </si>
  <si>
    <t>termijn voor publikatie</t>
  </si>
  <si>
    <t>BWBR0040940:14:7:6</t>
  </si>
  <si>
    <t>hetgeen in de consultatie naar voren is gebracht</t>
  </si>
  <si>
    <t>BWBR0040940:14:8:7</t>
  </si>
  <si>
    <t>BWBR0040940:15:1:1</t>
  </si>
  <si>
    <t>het toezicht op de naleving van de verordening en op de verwerking van persoonsgegevens overeenkomstig het bij of krachtens de wet bepaalde</t>
  </si>
  <si>
    <t>toezicht op de naleving van de verordening en op de verwerking van persoonsgegevens overeenkomstig het bij of krachtens de wet bepaalde</t>
  </si>
  <si>
    <t>BWBR0040940:15:3:3</t>
  </si>
  <si>
    <t>de uitdrukkelijke en bijzondere volmacht van de Autoriteit persoonsgegevens</t>
  </si>
  <si>
    <t>uitdrukkelijke en bijzondere volmacht van de Autoriteit persoonsgegevens</t>
  </si>
  <si>
    <t>BWBR0040940:15:4:4</t>
  </si>
  <si>
    <t>een geheimhoudingsplicht</t>
  </si>
  <si>
    <t>geheimhoudingsplicht</t>
  </si>
  <si>
    <t>geheimhouding van het vooronderzoek</t>
  </si>
  <si>
    <t>gehoorzaamheidsplicht</t>
  </si>
  <si>
    <t>BWBR0040940:16:1:1</t>
  </si>
  <si>
    <t>BWBR0040940:16:2:2</t>
  </si>
  <si>
    <t>De te betalen geldsom van een verbeurde dwangsom</t>
  </si>
  <si>
    <t>geldsom van een verbeurde dwangsom</t>
  </si>
  <si>
    <t>BWBR0040940:17:1:1</t>
  </si>
  <si>
    <t>BWBR0040940:18:1:1</t>
  </si>
  <si>
    <t>BWBR0040940:18:3:2</t>
  </si>
  <si>
    <t>De bestuurlijke boete</t>
  </si>
  <si>
    <t>BWBR0040940:19:1:2</t>
  </si>
  <si>
    <t>samenwerkingsprotocollen</t>
  </si>
  <si>
    <t>overeenkomstprotocol</t>
  </si>
  <si>
    <t>BWBR0040940:19:1:3</t>
  </si>
  <si>
    <t>Een samenwerkingsprotocol</t>
  </si>
  <si>
    <t>samenwerkingsprotocol</t>
  </si>
  <si>
    <t>protocol (EU)</t>
  </si>
  <si>
    <t>protocol</t>
  </si>
  <si>
    <t>BWBR0040940:19:2:5</t>
  </si>
  <si>
    <t>BWBR0040940:20:1:1</t>
  </si>
  <si>
    <t>een verzoek</t>
  </si>
  <si>
    <t>BWBR0040940:20:3:2</t>
  </si>
  <si>
    <t>een afschrift</t>
  </si>
  <si>
    <t>afschrift</t>
  </si>
  <si>
    <t>afschrijving</t>
  </si>
  <si>
    <t>voorschrift</t>
  </si>
  <si>
    <t>BWBR0040940:20:3:3</t>
  </si>
  <si>
    <t>andere op de zaak betrekking hebbende stukken</t>
  </si>
  <si>
    <t>op de zaak betrekking hebbende stukken</t>
  </si>
  <si>
    <t>Justitie en Binnenlandse Zaken</t>
  </si>
  <si>
    <t>betrekking van de Europese Unie</t>
  </si>
  <si>
    <t>BWBR0040940:20:4:4</t>
  </si>
  <si>
    <t>de termijn voor het geven van een beschikking op het verzoek om handhaving</t>
  </si>
  <si>
    <t>termijn voor het geven van een beschikking op het verzoek om handhaving</t>
  </si>
  <si>
    <t>BWBR0040940:20:6:5</t>
  </si>
  <si>
    <t>dat voor recht</t>
  </si>
  <si>
    <t>voor recht</t>
  </si>
  <si>
    <t>BWBR0040940:20:6:6</t>
  </si>
  <si>
    <t>BWBR0040940:20:7:7</t>
  </si>
  <si>
    <t>BWBR0040940:21a:3:1</t>
  </si>
  <si>
    <t>een last</t>
  </si>
  <si>
    <t>fiscale last</t>
  </si>
  <si>
    <t>BWBR0040940:21a:4:2</t>
  </si>
  <si>
    <t>BWBR0040940:21a:5:3</t>
  </si>
  <si>
    <t>BWBR0040940:21b:1:1</t>
  </si>
  <si>
    <t>een door haar genomen beschikking tot het opleggen van een bestuurlijke sanctie</t>
  </si>
  <si>
    <t>door haar genomen beschikking tot het opleggen van een bestuurlijke sanctie</t>
  </si>
  <si>
    <t>beschikking van de EG</t>
  </si>
  <si>
    <t>BWBR0040940:21b:2:2</t>
  </si>
  <si>
    <t>BWBR0040940:21b:3:3</t>
  </si>
  <si>
    <t>de openbaarmaking van de beschikking</t>
  </si>
  <si>
    <t>openbaarmaking van de beschikking</t>
  </si>
  <si>
    <t>openbaarheid van het besluitvormingsproces</t>
  </si>
  <si>
    <t>beschikking van de Raad</t>
  </si>
  <si>
    <t>verwerking van persoonsgegevens waaruit ras of etnische afkomst, politieke opvattingen, religieuze of levensbeschouwelijke overtuigingen, of het lidmaatschap van een vakbond blijkenmet betrekking tot iemands seksueel gedrag of seksuele gerichtheid | verwerking van genetische gegevens, biometrische gegevens met het oog op de unieke identificatie van een persoon | gegevens over gezondheid, of gegevens</t>
  </si>
  <si>
    <t>BWBR0040940:23:whole:1</t>
  </si>
  <si>
    <t>het verbod om bijzondere categorieën van persoonsgegevens te verwerken</t>
  </si>
  <si>
    <t>verbod om bijzondere categorieën van persoonsgegevens te verwerken</t>
  </si>
  <si>
    <t>BWBR0040940:23a:1:1</t>
  </si>
  <si>
    <t>BWBR0040940:23a:2:2</t>
  </si>
  <si>
    <t>pseudonimisering als bedoeld in artikel 4, onderdeel 5, van de verordening</t>
  </si>
  <si>
    <t>pseudonimisering van de verordening</t>
  </si>
  <si>
    <t>anonimisering</t>
  </si>
  <si>
    <t>BWBR0040940:23a:2:3</t>
  </si>
  <si>
    <t>BWBR0040940:24:whole:1</t>
  </si>
  <si>
    <t>BWBR0040940:25:whole:1</t>
  </si>
  <si>
    <t>het verbod om persoonsgegevens te verwerken waaruit ras of etnische afkomst blijkt</t>
  </si>
  <si>
    <t>verbod om persoonsgegevens te verwerken waaruit ras of etnische afkomst blijkt</t>
  </si>
  <si>
    <t>discriminatie op grond van nationaliteit</t>
  </si>
  <si>
    <t>beperking van de verblijfsvergunning</t>
  </si>
  <si>
    <t>BWBR0040940:26:whole:1</t>
  </si>
  <si>
    <t>het verbod om persoonsgegevens te verwerken waaruit politieke opvattingen blijken</t>
  </si>
  <si>
    <t>verbod om persoonsgegevens te verwerken waaruit politieke opvattingen blijken</t>
  </si>
  <si>
    <t>discriminatie op grond van politieke opvatting</t>
  </si>
  <si>
    <t>BWBR0040940:27:2:2</t>
  </si>
  <si>
    <t>persoonsgegevens</t>
  </si>
  <si>
    <t>BWBR0040940:28:1:1</t>
  </si>
  <si>
    <t>het verbod om genetische gegevens te verwerken</t>
  </si>
  <si>
    <t>verbod om genetische gegevens te verwerken</t>
  </si>
  <si>
    <t>BWBR0040940:28:2:2</t>
  </si>
  <si>
    <t>BWBR0040940:29:whole:1</t>
  </si>
  <si>
    <t>het verbod om biometrische gegevens met het oog op de unieke identificatie van een persoon te verwerken</t>
  </si>
  <si>
    <t>verbod om biometrische gegevens met het oog op de unieke identificatie van een persoon te verwerken</t>
  </si>
  <si>
    <t>BWBR0040940:30:2:1</t>
  </si>
  <si>
    <t>het verbod om gegevens over gezondheid te verwerken</t>
  </si>
  <si>
    <t>verbod om gegevens over gezondheid te verwerken</t>
  </si>
  <si>
    <t>recht op gezondheid</t>
  </si>
  <si>
    <t>BWBR0040940:30:3:2</t>
  </si>
  <si>
    <t>BWBR0040940:30:4:3</t>
  </si>
  <si>
    <t>de gegevens</t>
  </si>
  <si>
    <t>BWBR0040940:30:4:4</t>
  </si>
  <si>
    <t>BWBR0040940:30:6:6</t>
  </si>
  <si>
    <t>BWBR0040940:30a:2:1</t>
  </si>
  <si>
    <t>de betrokkene</t>
  </si>
  <si>
    <t>betrokkene</t>
  </si>
  <si>
    <t>betrokkenheid van burgers</t>
  </si>
  <si>
    <t>politieke betrokkenheid</t>
  </si>
  <si>
    <t>participatie</t>
  </si>
  <si>
    <t>van toepassing | zijnde rechten</t>
  </si>
  <si>
    <t>BWBR0040940:30a:2:3</t>
  </si>
  <si>
    <t>brede kenbaarheid</t>
  </si>
  <si>
    <t>verkiesbaarheid</t>
  </si>
  <si>
    <t>brede maatschappelijke discussie</t>
  </si>
  <si>
    <t>BWBR0040940:30a:3:4</t>
  </si>
  <si>
    <t>BWBR0040940:30a:4:5</t>
  </si>
  <si>
    <t>Het overdragen van dossiers</t>
  </si>
  <si>
    <t>dossiers</t>
  </si>
  <si>
    <t>medisch dossier</t>
  </si>
  <si>
    <t>document</t>
  </si>
  <si>
    <t>BWBR0040940:30a:5:6</t>
  </si>
  <si>
    <t>BWBR0040940:30a:6:7</t>
  </si>
  <si>
    <t>BWBR0040940:30b:1:1</t>
  </si>
  <si>
    <t>BWBR0040940:31:whole:1</t>
  </si>
  <si>
    <t>persoonsgegevens van strafrechtelijke aard</t>
  </si>
  <si>
    <t>strafrechtelijke aansprakelijkheid</t>
  </si>
  <si>
    <t>BWBR0040940:32:whole:1</t>
  </si>
  <si>
    <t>BWBR0040940:33:1:1</t>
  </si>
  <si>
    <t>BWBR0040940:33:1:2</t>
  </si>
  <si>
    <t>de verwerking</t>
  </si>
  <si>
    <t>beeldverwerking</t>
  </si>
  <si>
    <t>informatieverwerking</t>
  </si>
  <si>
    <t>tekstverwerking</t>
  </si>
  <si>
    <t>BWBR0040940:33:2:3</t>
  </si>
  <si>
    <t>Persoonsgegevens van strafrechtelijke aard</t>
  </si>
  <si>
    <t>BWBR0040940:33:3:4</t>
  </si>
  <si>
    <t>Persoonsgegevens van strafrechtelijke aard over personeel in dienst van de verwerkingsverantwoordelijke</t>
  </si>
  <si>
    <t>BWBR0040940:33:4:5</t>
  </si>
  <si>
    <t>BWBR0040940:33:5:6</t>
  </si>
  <si>
    <t>BWBR0040940:33:6:8</t>
  </si>
  <si>
    <t>voorschriften</t>
  </si>
  <si>
    <t>BWBR0040940:34:whole:1</t>
  </si>
  <si>
    <t>Een schriftelijke beslissing op een verzoek als bedoeld in de artikelen 15 tot en met 22 van de verordening</t>
  </si>
  <si>
    <t>schriftelijke beslissing op een verzoek van de verordening</t>
  </si>
  <si>
    <t>beslissing</t>
  </si>
  <si>
    <t>BWBR0040940:35:1:1</t>
  </si>
  <si>
    <t>het schriftelijk verzoek de verwerkingsverantwoordelijke te bevelen het verzoek als bedoeld in de artikelen 15 tot en met 22 van de verordening alsnog toe of af te wijzen</t>
  </si>
  <si>
    <t>schriftelijk verzoek de verwerkingsverantwoordelijke te bevelen het verzoek van de verordening alsnog toe of af te wijzen</t>
  </si>
  <si>
    <t>BWBR0040940:35:2:2</t>
  </si>
  <si>
    <t>Het verzoekschrift</t>
  </si>
  <si>
    <t>BWBR0040940:35:2:3</t>
  </si>
  <si>
    <t>de indiening van het verzoekschrift</t>
  </si>
  <si>
    <t>BWBR0040940:35:3:4</t>
  </si>
  <si>
    <t>de belanghebbenden</t>
  </si>
  <si>
    <t>belanghebbenden</t>
  </si>
  <si>
    <t>belangengroep</t>
  </si>
  <si>
    <t>belangenconflict</t>
  </si>
  <si>
    <t>BWBR0040940:35:3:5</t>
  </si>
  <si>
    <t>BWBR0040940:35:4:6</t>
  </si>
  <si>
    <t>BWBR0040940:36:1:1</t>
  </si>
  <si>
    <t>het beroep</t>
  </si>
  <si>
    <t>beroep</t>
  </si>
  <si>
    <t>beroepsrecht</t>
  </si>
  <si>
    <t>beroepsorde</t>
  </si>
  <si>
    <t>beroepsbetrekking</t>
  </si>
  <si>
    <t>BWBR0040940:36:1:2</t>
  </si>
  <si>
    <t>de procedure ingevolge artikel 35</t>
  </si>
  <si>
    <t>procedure</t>
  </si>
  <si>
    <t>algemene procedure</t>
  </si>
  <si>
    <t>internationale procedure</t>
  </si>
  <si>
    <t>administratieve procedure</t>
  </si>
  <si>
    <t>BWBR0040940:36:1:3</t>
  </si>
  <si>
    <t>een geschillenbeslechtingsregeling als bedoeld in artikel 40, tweede lid, onderdeel k, van de verordening</t>
  </si>
  <si>
    <t>geschillenbeslechtingsregeling k, van de verordening</t>
  </si>
  <si>
    <t>Orgaan voor Geschillenbeslechting</t>
  </si>
  <si>
    <t>beslechting van geschillen</t>
  </si>
  <si>
    <t>gedelegeerde verordening van de Commissie</t>
  </si>
  <si>
    <t>BWBR0040940:36:1:4</t>
  </si>
  <si>
    <t>BWBR0040940:36:2:5</t>
  </si>
  <si>
    <t>BWBR0040940:37:whole:1</t>
  </si>
  <si>
    <t>Een verwerking</t>
  </si>
  <si>
    <t>BWBR0040940:38:whole:1</t>
  </si>
  <si>
    <t>De werking van de beschikking tot oplegging van de bestuurlijke boete</t>
  </si>
  <si>
    <t>werking van de beschikking tot oplegging van de bestuurlijke boete</t>
  </si>
  <si>
    <t>vordering tot administratieve aansprakelijkheid</t>
  </si>
  <si>
    <t>BWBR0040940:39:whole:1</t>
  </si>
  <si>
    <t>hetgeen hem op grond van een klacht of een verzoek van betrokkene is bekend geworden</t>
  </si>
  <si>
    <t>BWBR0040940:40:1:1</t>
  </si>
  <si>
    <t>Artikel 22, eerste lid, van de verordening</t>
  </si>
  <si>
    <t>EOGFL, afdeling Oriëntatie</t>
  </si>
  <si>
    <t>BWBR0040940:40:2:2</t>
  </si>
  <si>
    <t>passende maatregelen</t>
  </si>
  <si>
    <t>betere regelgeving</t>
  </si>
  <si>
    <t>alomvattende aanpak</t>
  </si>
  <si>
    <t>toebereid gerecht</t>
  </si>
  <si>
    <t>BWBR0040940:40:3:3</t>
  </si>
  <si>
    <t>passende maatregelen als bedoeld in het tweede lid</t>
  </si>
  <si>
    <t>verplichtingen van de verordening | rechten</t>
  </si>
  <si>
    <t>BWBR0040940:43:2:1</t>
  </si>
  <si>
    <t>de navolgende hoofdstukken en artikelen van de verordening</t>
  </si>
  <si>
    <t>hoofdstukken en artikelen van de verordening</t>
  </si>
  <si>
    <t>verordening van de Raad</t>
  </si>
  <si>
    <t>richtlijn van het Parlement en de Raad</t>
  </si>
  <si>
    <t>wetgeving van de lidstaten</t>
  </si>
  <si>
    <t>BWBR0040940:43:3:2</t>
  </si>
  <si>
    <t>De artikelen 9 en 10 van de verordening</t>
  </si>
  <si>
    <t>artikelen 9 en 10 van de verordening</t>
  </si>
  <si>
    <t>BWBR0040940:44:whole:1</t>
  </si>
  <si>
    <t>de artikelen 15, 16 en 18 van de verordening</t>
  </si>
  <si>
    <t>artikelen 15, 16 en 18 van de verordening</t>
  </si>
  <si>
    <t>advies van de Commissie</t>
  </si>
  <si>
    <t>BWBR0040940:45:2:1</t>
  </si>
  <si>
    <t>inzage</t>
  </si>
  <si>
    <t>BWBR0040940:45:3:2</t>
  </si>
  <si>
    <t>zijn eigen lezing</t>
  </si>
  <si>
    <t>eigen lezing</t>
  </si>
  <si>
    <t>eigen verbruik</t>
  </si>
  <si>
    <t>eigen middelen</t>
  </si>
  <si>
    <t>BWBR0040940:47:1:1</t>
  </si>
  <si>
    <t>De artikelen 15, 16, 18 en 19 van de verordening</t>
  </si>
  <si>
    <t>artikelen 15, 16, 18 en 19 van de verordening</t>
  </si>
  <si>
    <t>BWBR0040940:47:2:2</t>
  </si>
  <si>
    <t>Artikel 21 van de verordening</t>
  </si>
  <si>
    <t>Groep van 20</t>
  </si>
  <si>
    <t>aanbeveling van de Commissie</t>
  </si>
  <si>
    <t>BWBR0040940:47a:1:1</t>
  </si>
  <si>
    <t>BWBR0040940:47a:2:3</t>
  </si>
  <si>
    <t>passende waarborgen voor de rechten en vrijheden van de betrokkene</t>
  </si>
  <si>
    <t>vooruitbetaling</t>
  </si>
  <si>
    <t>BWBR0040940:47a:3:4</t>
  </si>
  <si>
    <t>het verbod om bijzondere categorieën van persoonsgegevens en persoonsgegevens van strafrechtelijke aard te verwerken</t>
  </si>
  <si>
    <t>verbod om bijzondere categorieën van persoonsgegevens en persoonsgegevens van strafrechtelijke aard te verwerken</t>
  </si>
  <si>
    <t>BWBR0040940:47a:4:5</t>
  </si>
  <si>
    <t>een verslag</t>
  </si>
  <si>
    <t>BWBR0040940:47a:6:6</t>
  </si>
  <si>
    <t>De instellingsregeling of het instellingsbesluit waarin een commissie als bedoeld in het eerste lid wordt ingesteld en waarin een regeling wordt getroffen met betrekking tot de verwerking van bijzondere categorieën van persoonsgegevens of strafrechtelijke persoonsgegevens</t>
  </si>
  <si>
    <t>instellingsregeling of het instellingsbesluit waarin een commissie wordt ingesteld en waarin een regeling wordt getroffen met betrekking tot de verwerking van bijzondere categorieën van persoonsgegevens of strafrechtelijke persoonsgegevens</t>
  </si>
  <si>
    <t>BWBR0040940:48:1:1</t>
  </si>
  <si>
    <t>BWBR0040940:48:2:2</t>
  </si>
  <si>
    <t>artikel 53, derde lid, van de Wet bescherming persoonsgegevens | eerste, tweede en derde volzin</t>
  </si>
  <si>
    <t>BWBR0040940:48:5:4</t>
  </si>
  <si>
    <t>BWBR0040940:48:7:5</t>
  </si>
  <si>
    <t>BWBR0040940:48:9:6</t>
  </si>
  <si>
    <t>het College bescherming persoonsgegevens</t>
  </si>
  <si>
    <t>College bescherming persoonsgegevens</t>
  </si>
  <si>
    <t>Europese Toezichthouder voor gegevensbescherming</t>
  </si>
  <si>
    <t>BWBR0040940:48:10:7</t>
  </si>
  <si>
    <t>het recht</t>
  </si>
  <si>
    <t>recht</t>
  </si>
  <si>
    <t>BWBR0040940:48:12:8</t>
  </si>
  <si>
    <t>regels of nadere regels</t>
  </si>
  <si>
    <t>regels | nadere regels</t>
  </si>
  <si>
    <t>BWBR0040940:48a:4:1</t>
  </si>
  <si>
    <t>welke vermogensbestanddelen van de Staat worden toebedeeld aan de Autoriteit persoonsgegevens</t>
  </si>
  <si>
    <t>BWBR0040940:48a:6:4</t>
  </si>
  <si>
    <t>Artikel 24, eerste lid, van Boek 3 van het Burgerlijk Wetboek</t>
  </si>
  <si>
    <t>BWBR0040940:48b:whole:1</t>
  </si>
  <si>
    <t>Het tweede lid van artikel 46</t>
  </si>
  <si>
    <t>verslag over de effecten in de praktijk | over de uitvoering van de wet in de praktijk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</si>
</sst>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3"/>
      <name val="Arial"/>
    </font>
    <font>
      <sz val="11"/>
      <name val="Arial"/>
    </font>
    <font>
      <b/>
      <sz val="11"/>
      <name val="Arial"/>
    </font>
    <font>
      <sz val="11"/>
      <name val="Arial"/>
    </font>
    <font>
      <b/>
      <sz val="11"/>
      <color rgb="FFFFFFFF"/>
      <name val="Arial"/>
    </font>
    <font>
      <b/>
      <sz val="11"/>
      <name val="Arial"/>
    </font>
    <font>
      <i/>
      <sz val="11"/>
      <name val="Arial"/>
    </font>
  </fonts>
  <fills count="5">
    <fill>
      <patternFill patternType="none"/>
    </fill>
    <fill>
      <patternFill patternType="gray125"/>
    </fill>
    <fill>
      <patternFill patternType="solid">
        <fgColor rgb="FFFFF2CC"/>
      </patternFill>
    </fill>
    <fill>
      <patternFill patternType="solid">
        <fgColor rgb="FF1F3864"/>
      </patternFill>
    </fill>
    <fill>
      <patternFill patternType="solid">
        <fgColor rgb="FFEAF1DD"/>
      </patternFill>
    </fill>
  </fills>
  <borders count="2">
    <border>
      <left/>
      <right/>
      <top/>
      <bottom/>
      <diagonal/>
    </border>
    <border>
      <left/>
      <right/>
      <top/>
      <bottom style="thin">
        <color rgb="FFBFBFBF"/>
      </bottom>
      <diagonal/>
    </border>
  </borders>
  <cellStyleXfs count="1">
    <xf numFmtId="0" fontId="0" fillId="0" borderId="0"/>
  </cellStyleXfs>
  <cellXfs count="18">
    <xf numFmtId="0" fontId="0" fillId="0" borderId="0" xfId="0"/>
    <xf numFmtId="0" fontId="1" fillId="0" borderId="0" xfId="0" applyFont="1"/>
    <xf numFmtId="0" fontId="2" fillId="0" borderId="0" xfId="0" applyFont="1"/>
    <xf numFmtId="0" fontId="3" fillId="0" borderId="0" xfId="0" applyFont="1"/>
    <xf numFmtId="0" fontId="5" fillId="3" borderId="0" xfId="0" applyFont="1" applyFill="1" applyAlignment="1">
      <alignment vertical="center" wrapText="1"/>
    </xf>
    <xf numFmtId="0" fontId="4" fillId="0" borderId="0" xfId="0" applyFont="1"/>
    <xf numFmtId="0" fontId="4" fillId="2" borderId="0" xfId="0" applyFont="1" applyFill="1"/>
    <xf numFmtId="0" fontId="4" fillId="4" borderId="1" xfId="0" applyFont="1" applyFill="1" applyBorder="1" applyAlignment="1">
      <alignment vertical="top"/>
    </xf>
    <xf numFmtId="0" fontId="4" fillId="4" borderId="1" xfId="0" applyFont="1" applyFill="1" applyBorder="1" applyAlignment="1">
      <alignment vertical="top" wrapText="1"/>
    </xf>
    <xf numFmtId="2" fontId="4" fillId="4" borderId="1" xfId="0" applyNumberFormat="1" applyFont="1" applyFill="1" applyBorder="1" applyAlignment="1">
      <alignment vertical="top"/>
    </xf>
    <xf numFmtId="0" fontId="4" fillId="2" borderId="1" xfId="0" applyFont="1" applyFill="1" applyBorder="1" applyAlignment="1">
      <alignment vertical="top"/>
    </xf>
    <xf numFmtId="0" fontId="4" fillId="2" borderId="1" xfId="0" applyFont="1" applyFill="1" applyBorder="1" applyAlignment="1">
      <alignment vertical="top" wrapText="1"/>
    </xf>
    <xf numFmtId="9" fontId="4" fillId="0" borderId="0" xfId="0" applyNumberFormat="1" applyFont="1"/>
    <xf numFmtId="0" fontId="6" fillId="0" borderId="0" xfId="0" applyFont="1"/>
    <xf numFmtId="9" fontId="6" fillId="0" borderId="0" xfId="0" applyNumberFormat="1" applyFont="1"/>
    <xf numFmtId="0" fontId="7" fillId="0" borderId="0" xfId="0" applyFont="1"/>
    <xf numFmtId="0" fontId="4" fillId="0" borderId="0" xfId="0" applyFont="1" applyAlignment="1">
      <alignment vertical="top"/>
    </xf>
    <xf numFmtId="0" fontId="4"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0"/>
  <sheetViews>
    <sheetView workbookViewId="0"/>
  </sheetViews>
  <sheetFormatPr defaultRowHeight="14.5" x14ac:dyDescent="0.35"/>
  <cols>
    <col min="1" max="1" width="45" customWidth="1"/>
    <col min="2" max="7" width="18" customWidth="1"/>
  </cols>
  <sheetData>
    <row r="1" spans="1:1" ht="16.5" x14ac:dyDescent="0.35">
      <c r="A1" s="1" t="s">
        <v>440</v>
      </c>
    </row>
    <row r="2" spans="1:1" x14ac:dyDescent="0.35">
      <c r="A2" s="2"/>
    </row>
    <row r="3" spans="1:1" x14ac:dyDescent="0.35">
      <c r="A3" s="3" t="s">
        <v>441</v>
      </c>
    </row>
    <row r="4" spans="1:1" x14ac:dyDescent="0.35">
      <c r="A4" s="2" t="s">
        <v>442</v>
      </c>
    </row>
    <row r="5" spans="1:1" x14ac:dyDescent="0.35">
      <c r="A5" s="2" t="s">
        <v>443</v>
      </c>
    </row>
    <row r="6" spans="1:1" x14ac:dyDescent="0.35">
      <c r="A6" s="2" t="s">
        <v>444</v>
      </c>
    </row>
    <row r="7" spans="1:1" x14ac:dyDescent="0.35">
      <c r="A7" s="2" t="s">
        <v>445</v>
      </c>
    </row>
    <row r="8" spans="1:1" x14ac:dyDescent="0.35">
      <c r="A8" s="2"/>
    </row>
    <row r="9" spans="1:1" x14ac:dyDescent="0.35">
      <c r="A9" s="3" t="s">
        <v>446</v>
      </c>
    </row>
    <row r="10" spans="1:1" x14ac:dyDescent="0.35">
      <c r="A10" s="2" t="s">
        <v>447</v>
      </c>
    </row>
    <row r="11" spans="1:1" x14ac:dyDescent="0.35">
      <c r="A11" s="2" t="s">
        <v>448</v>
      </c>
    </row>
    <row r="12" spans="1:1" x14ac:dyDescent="0.35">
      <c r="A12" s="2" t="s">
        <v>449</v>
      </c>
    </row>
    <row r="13" spans="1:1" x14ac:dyDescent="0.35">
      <c r="A13" s="2" t="s">
        <v>450</v>
      </c>
    </row>
    <row r="14" spans="1:1" x14ac:dyDescent="0.35">
      <c r="A14" s="2" t="s">
        <v>451</v>
      </c>
    </row>
    <row r="15" spans="1:1" x14ac:dyDescent="0.35">
      <c r="A15" s="2"/>
    </row>
    <row r="16" spans="1:1" x14ac:dyDescent="0.35">
      <c r="A16" s="3" t="s">
        <v>452</v>
      </c>
    </row>
    <row r="17" spans="1:7" x14ac:dyDescent="0.35">
      <c r="A17" s="2" t="s">
        <v>453</v>
      </c>
    </row>
    <row r="18" spans="1:7" x14ac:dyDescent="0.35">
      <c r="A18" s="2" t="s">
        <v>454</v>
      </c>
    </row>
    <row r="19" spans="1:7" x14ac:dyDescent="0.35">
      <c r="A19" s="2" t="s">
        <v>455</v>
      </c>
    </row>
    <row r="20" spans="1:7" x14ac:dyDescent="0.35">
      <c r="A20" s="2" t="s">
        <v>456</v>
      </c>
    </row>
    <row r="21" spans="1:7" x14ac:dyDescent="0.35">
      <c r="A21" s="2" t="s">
        <v>457</v>
      </c>
    </row>
    <row r="22" spans="1:7" x14ac:dyDescent="0.35">
      <c r="A22" s="2" t="s">
        <v>458</v>
      </c>
    </row>
    <row r="23" spans="1:7" x14ac:dyDescent="0.35">
      <c r="A23" s="2" t="s">
        <v>459</v>
      </c>
    </row>
    <row r="24" spans="1:7" x14ac:dyDescent="0.35">
      <c r="A24" s="2" t="s">
        <v>460</v>
      </c>
    </row>
    <row r="25" spans="1:7" x14ac:dyDescent="0.35">
      <c r="A25" s="2" t="s">
        <v>461</v>
      </c>
    </row>
    <row r="26" spans="1:7" x14ac:dyDescent="0.35">
      <c r="A26" s="2" t="s">
        <v>462</v>
      </c>
    </row>
    <row r="27" spans="1:7" x14ac:dyDescent="0.35">
      <c r="A27" s="2"/>
    </row>
    <row r="28" spans="1:7" x14ac:dyDescent="0.35">
      <c r="A28" s="3" t="s">
        <v>463</v>
      </c>
    </row>
    <row r="29" spans="1:7" x14ac:dyDescent="0.35">
      <c r="A29" s="4" t="s">
        <v>2</v>
      </c>
      <c r="B29" s="4" t="s">
        <v>6</v>
      </c>
      <c r="C29" s="4" t="s">
        <v>8</v>
      </c>
      <c r="D29" s="4" t="s">
        <v>9</v>
      </c>
      <c r="E29" s="4" t="s">
        <v>18</v>
      </c>
      <c r="F29" s="4" t="s">
        <v>19</v>
      </c>
      <c r="G29" s="4" t="s">
        <v>20</v>
      </c>
    </row>
    <row r="30" spans="1:7" x14ac:dyDescent="0.35">
      <c r="A30" s="5" t="s">
        <v>464</v>
      </c>
      <c r="B30" s="5" t="s">
        <v>5</v>
      </c>
      <c r="C30" s="5" t="s">
        <v>84</v>
      </c>
      <c r="D30" s="5">
        <v>0.8</v>
      </c>
      <c r="E30" s="6" t="s">
        <v>465</v>
      </c>
      <c r="F30" s="6" t="s">
        <v>466</v>
      </c>
      <c r="G30" s="6" t="s">
        <v>467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81"/>
  <sheetViews>
    <sheetView tabSelected="1" topLeftCell="C1" workbookViewId="0">
      <pane xSplit="6" topLeftCell="L1" activePane="topRight" state="frozen"/>
      <selection activeCell="C1" sqref="C1"/>
      <selection pane="topRight" activeCell="K2" sqref="K2"/>
    </sheetView>
  </sheetViews>
  <sheetFormatPr defaultRowHeight="14.5" x14ac:dyDescent="0.35"/>
  <cols>
    <col min="1" max="1" width="11" hidden="1" customWidth="1"/>
    <col min="2" max="2" width="18" hidden="1" customWidth="1"/>
    <col min="3" max="3" width="40" customWidth="1"/>
    <col min="4" max="4" width="40" hidden="1" customWidth="1"/>
    <col min="5" max="6" width="16" hidden="1" customWidth="1"/>
    <col min="7" max="7" width="11" hidden="1" customWidth="1"/>
    <col min="8" max="8" width="16" hidden="1" customWidth="1"/>
    <col min="9" max="9" width="26" customWidth="1"/>
    <col min="10" max="10" width="8" customWidth="1"/>
    <col min="11" max="11" width="7" customWidth="1"/>
    <col min="12" max="12" width="22" customWidth="1"/>
    <col min="13" max="13" width="8" customWidth="1"/>
    <col min="14" max="14" width="22" customWidth="1"/>
    <col min="15" max="15" width="8" customWidth="1"/>
    <col min="16" max="16" width="9" customWidth="1"/>
    <col min="17" max="17" width="18" customWidth="1"/>
    <col min="18" max="18" width="60" customWidth="1"/>
    <col min="19" max="19" width="12" customWidth="1"/>
    <col min="20" max="20" width="22" customWidth="1"/>
    <col min="21" max="21" width="30" customWidth="1"/>
  </cols>
  <sheetData>
    <row r="1" spans="1:21" x14ac:dyDescent="0.3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ht="98" x14ac:dyDescent="0.35">
      <c r="A2" s="7" t="s">
        <v>21</v>
      </c>
      <c r="B2" s="7" t="s">
        <v>22</v>
      </c>
      <c r="C2" s="8" t="s">
        <v>23</v>
      </c>
      <c r="D2" s="8" t="s">
        <v>24</v>
      </c>
      <c r="E2" s="7" t="s">
        <v>22</v>
      </c>
      <c r="F2" s="7" t="s">
        <v>23</v>
      </c>
      <c r="G2" s="7" t="s">
        <v>22</v>
      </c>
      <c r="H2" s="7" t="s">
        <v>23</v>
      </c>
      <c r="I2" s="7" t="s">
        <v>23</v>
      </c>
      <c r="J2" s="9">
        <v>0.8</v>
      </c>
      <c r="K2" s="7"/>
      <c r="L2" s="7" t="s">
        <v>25</v>
      </c>
      <c r="M2" s="9">
        <v>0.8</v>
      </c>
      <c r="N2" s="7"/>
      <c r="O2" s="9"/>
      <c r="P2" s="7">
        <v>2</v>
      </c>
      <c r="Q2" s="7" t="s">
        <v>26</v>
      </c>
      <c r="R2" s="8" t="s">
        <v>27</v>
      </c>
      <c r="S2" s="10"/>
      <c r="T2" s="10"/>
      <c r="U2" s="11"/>
    </row>
    <row r="3" spans="1:21" ht="28" x14ac:dyDescent="0.35">
      <c r="A3" s="7" t="s">
        <v>21</v>
      </c>
      <c r="B3" s="7" t="s">
        <v>22</v>
      </c>
      <c r="C3" s="8" t="s">
        <v>28</v>
      </c>
      <c r="D3" s="8" t="s">
        <v>29</v>
      </c>
      <c r="E3" s="7" t="s">
        <v>22</v>
      </c>
      <c r="F3" s="7" t="s">
        <v>28</v>
      </c>
      <c r="G3" s="7" t="s">
        <v>22</v>
      </c>
      <c r="H3" s="7" t="s">
        <v>28</v>
      </c>
      <c r="I3" s="7" t="s">
        <v>28</v>
      </c>
      <c r="J3" s="9">
        <v>1</v>
      </c>
      <c r="K3" s="7"/>
      <c r="L3" s="7"/>
      <c r="M3" s="9"/>
      <c r="N3" s="7"/>
      <c r="O3" s="9"/>
      <c r="P3" s="7">
        <v>1</v>
      </c>
      <c r="Q3" s="7" t="s">
        <v>30</v>
      </c>
      <c r="R3" s="8" t="s">
        <v>31</v>
      </c>
      <c r="S3" s="10"/>
      <c r="T3" s="10"/>
      <c r="U3" s="11"/>
    </row>
    <row r="4" spans="1:21" ht="42" x14ac:dyDescent="0.35">
      <c r="A4" s="7" t="s">
        <v>21</v>
      </c>
      <c r="B4" s="7" t="s">
        <v>22</v>
      </c>
      <c r="C4" s="8" t="s">
        <v>32</v>
      </c>
      <c r="D4" s="8" t="s">
        <v>33</v>
      </c>
      <c r="E4" s="7" t="s">
        <v>22</v>
      </c>
      <c r="F4" s="7" t="s">
        <v>34</v>
      </c>
      <c r="G4" s="7" t="s">
        <v>22</v>
      </c>
      <c r="H4" s="7" t="s">
        <v>34</v>
      </c>
      <c r="I4" s="7" t="s">
        <v>35</v>
      </c>
      <c r="J4" s="9">
        <v>1</v>
      </c>
      <c r="K4" s="7"/>
      <c r="L4" s="7"/>
      <c r="M4" s="9"/>
      <c r="N4" s="7"/>
      <c r="O4" s="9"/>
      <c r="P4" s="7">
        <v>1</v>
      </c>
      <c r="Q4" s="7" t="s">
        <v>36</v>
      </c>
      <c r="R4" s="8" t="s">
        <v>37</v>
      </c>
      <c r="S4" s="10"/>
      <c r="T4" s="10"/>
      <c r="U4" s="11"/>
    </row>
    <row r="5" spans="1:21" ht="56" x14ac:dyDescent="0.35">
      <c r="A5" s="7" t="s">
        <v>21</v>
      </c>
      <c r="B5" s="7" t="s">
        <v>22</v>
      </c>
      <c r="C5" s="8" t="s">
        <v>38</v>
      </c>
      <c r="D5" s="8" t="s">
        <v>39</v>
      </c>
      <c r="E5" s="7" t="s">
        <v>22</v>
      </c>
      <c r="F5" s="7" t="s">
        <v>38</v>
      </c>
      <c r="G5" s="7" t="s">
        <v>22</v>
      </c>
      <c r="H5" s="7" t="s">
        <v>38</v>
      </c>
      <c r="I5" s="7" t="s">
        <v>40</v>
      </c>
      <c r="J5" s="9">
        <v>1</v>
      </c>
      <c r="K5" s="7"/>
      <c r="L5" s="7"/>
      <c r="M5" s="9"/>
      <c r="N5" s="7"/>
      <c r="O5" s="9"/>
      <c r="P5" s="7">
        <v>1</v>
      </c>
      <c r="Q5" s="7" t="s">
        <v>41</v>
      </c>
      <c r="R5" s="8" t="s">
        <v>42</v>
      </c>
      <c r="S5" s="10"/>
      <c r="T5" s="10"/>
      <c r="U5" s="11"/>
    </row>
    <row r="6" spans="1:21" ht="42" x14ac:dyDescent="0.35">
      <c r="A6" s="7" t="s">
        <v>21</v>
      </c>
      <c r="B6" s="7" t="s">
        <v>22</v>
      </c>
      <c r="C6" s="8" t="s">
        <v>43</v>
      </c>
      <c r="D6" s="8" t="s">
        <v>44</v>
      </c>
      <c r="E6" s="7" t="s">
        <v>22</v>
      </c>
      <c r="F6" s="7" t="s">
        <v>45</v>
      </c>
      <c r="G6" s="7" t="s">
        <v>22</v>
      </c>
      <c r="H6" s="7" t="s">
        <v>45</v>
      </c>
      <c r="I6" s="7" t="s">
        <v>46</v>
      </c>
      <c r="J6" s="9">
        <v>1</v>
      </c>
      <c r="K6" s="7"/>
      <c r="L6" s="7"/>
      <c r="M6" s="9"/>
      <c r="N6" s="7"/>
      <c r="O6" s="9"/>
      <c r="P6" s="7">
        <v>1</v>
      </c>
      <c r="Q6" s="7" t="s">
        <v>47</v>
      </c>
      <c r="R6" s="8" t="s">
        <v>48</v>
      </c>
      <c r="S6" s="10"/>
      <c r="T6" s="10"/>
      <c r="U6" s="11"/>
    </row>
    <row r="7" spans="1:21" ht="42" x14ac:dyDescent="0.35">
      <c r="A7" s="7" t="s">
        <v>21</v>
      </c>
      <c r="B7" s="7" t="s">
        <v>22</v>
      </c>
      <c r="C7" s="8" t="s">
        <v>49</v>
      </c>
      <c r="D7" s="8" t="s">
        <v>44</v>
      </c>
      <c r="E7" s="7" t="s">
        <v>22</v>
      </c>
      <c r="F7" s="7" t="s">
        <v>50</v>
      </c>
      <c r="G7" s="7" t="s">
        <v>22</v>
      </c>
      <c r="H7" s="7" t="s">
        <v>51</v>
      </c>
      <c r="I7" s="7" t="s">
        <v>49</v>
      </c>
      <c r="J7" s="9">
        <v>1</v>
      </c>
      <c r="K7" s="7"/>
      <c r="L7" s="7"/>
      <c r="M7" s="9"/>
      <c r="N7" s="7"/>
      <c r="O7" s="9"/>
      <c r="P7" s="7">
        <v>1</v>
      </c>
      <c r="Q7" s="7" t="s">
        <v>47</v>
      </c>
      <c r="R7" s="8" t="s">
        <v>48</v>
      </c>
      <c r="S7" s="10"/>
      <c r="T7" s="10"/>
      <c r="U7" s="11"/>
    </row>
    <row r="8" spans="1:21" ht="42" x14ac:dyDescent="0.35">
      <c r="A8" s="7" t="s">
        <v>21</v>
      </c>
      <c r="B8" s="7" t="s">
        <v>22</v>
      </c>
      <c r="C8" s="8" t="s">
        <v>52</v>
      </c>
      <c r="D8" s="8" t="s">
        <v>53</v>
      </c>
      <c r="E8" s="7" t="s">
        <v>22</v>
      </c>
      <c r="F8" s="7" t="s">
        <v>34</v>
      </c>
      <c r="G8" s="7" t="s">
        <v>22</v>
      </c>
      <c r="H8" s="7" t="s">
        <v>54</v>
      </c>
      <c r="I8" s="7" t="s">
        <v>55</v>
      </c>
      <c r="J8" s="9">
        <v>1</v>
      </c>
      <c r="K8" s="7"/>
      <c r="L8" s="7"/>
      <c r="M8" s="9"/>
      <c r="N8" s="7"/>
      <c r="O8" s="9"/>
      <c r="P8" s="7">
        <v>1</v>
      </c>
      <c r="Q8" s="7" t="s">
        <v>56</v>
      </c>
      <c r="R8" s="8" t="s">
        <v>57</v>
      </c>
      <c r="S8" s="10"/>
      <c r="T8" s="10"/>
      <c r="U8" s="11"/>
    </row>
    <row r="9" spans="1:21" ht="56" x14ac:dyDescent="0.35">
      <c r="A9" s="7" t="s">
        <v>21</v>
      </c>
      <c r="B9" s="7" t="s">
        <v>22</v>
      </c>
      <c r="C9" s="8" t="s">
        <v>58</v>
      </c>
      <c r="D9" s="8" t="s">
        <v>59</v>
      </c>
      <c r="E9" s="7" t="s">
        <v>22</v>
      </c>
      <c r="F9" s="7" t="s">
        <v>60</v>
      </c>
      <c r="G9" s="7" t="s">
        <v>22</v>
      </c>
      <c r="H9" s="7" t="s">
        <v>60</v>
      </c>
      <c r="I9" s="7" t="s">
        <v>61</v>
      </c>
      <c r="J9" s="9">
        <v>1</v>
      </c>
      <c r="K9" s="7"/>
      <c r="L9" s="7"/>
      <c r="M9" s="9"/>
      <c r="N9" s="7"/>
      <c r="O9" s="9"/>
      <c r="P9" s="7">
        <v>1</v>
      </c>
      <c r="Q9" s="7" t="s">
        <v>62</v>
      </c>
      <c r="R9" s="8" t="s">
        <v>63</v>
      </c>
      <c r="S9" s="10"/>
      <c r="T9" s="10"/>
      <c r="U9" s="11"/>
    </row>
    <row r="10" spans="1:21" ht="42" x14ac:dyDescent="0.35">
      <c r="A10" s="7" t="s">
        <v>21</v>
      </c>
      <c r="B10" s="7" t="s">
        <v>22</v>
      </c>
      <c r="C10" s="8" t="s">
        <v>64</v>
      </c>
      <c r="D10" s="8"/>
      <c r="E10" s="7" t="s">
        <v>22</v>
      </c>
      <c r="F10" s="7" t="s">
        <v>64</v>
      </c>
      <c r="G10" s="7" t="s">
        <v>22</v>
      </c>
      <c r="H10" s="7" t="s">
        <v>64</v>
      </c>
      <c r="I10" s="7" t="s">
        <v>64</v>
      </c>
      <c r="J10" s="9">
        <v>1</v>
      </c>
      <c r="K10" s="7"/>
      <c r="L10" s="7"/>
      <c r="M10" s="9"/>
      <c r="N10" s="7"/>
      <c r="O10" s="9"/>
      <c r="P10" s="7">
        <v>1</v>
      </c>
      <c r="Q10" s="7" t="s">
        <v>65</v>
      </c>
      <c r="R10" s="8" t="s">
        <v>66</v>
      </c>
      <c r="S10" s="10"/>
      <c r="T10" s="10"/>
      <c r="U10" s="11"/>
    </row>
    <row r="11" spans="1:21" ht="28" x14ac:dyDescent="0.35">
      <c r="A11" s="7" t="s">
        <v>21</v>
      </c>
      <c r="B11" s="7" t="s">
        <v>22</v>
      </c>
      <c r="C11" s="8" t="s">
        <v>67</v>
      </c>
      <c r="D11" s="8" t="s">
        <v>68</v>
      </c>
      <c r="E11" s="7" t="s">
        <v>22</v>
      </c>
      <c r="F11" s="7" t="s">
        <v>67</v>
      </c>
      <c r="G11" s="7" t="s">
        <v>22</v>
      </c>
      <c r="H11" s="7" t="s">
        <v>67</v>
      </c>
      <c r="I11" s="7" t="s">
        <v>69</v>
      </c>
      <c r="J11" s="9">
        <v>1</v>
      </c>
      <c r="K11" s="7"/>
      <c r="L11" s="7"/>
      <c r="M11" s="9"/>
      <c r="N11" s="7"/>
      <c r="O11" s="9"/>
      <c r="P11" s="7">
        <v>1</v>
      </c>
      <c r="Q11" s="7" t="s">
        <v>70</v>
      </c>
      <c r="R11" s="8" t="s">
        <v>71</v>
      </c>
      <c r="S11" s="10"/>
      <c r="T11" s="10"/>
      <c r="U11" s="11"/>
    </row>
    <row r="12" spans="1:21" ht="70" x14ac:dyDescent="0.35">
      <c r="A12" s="7" t="s">
        <v>21</v>
      </c>
      <c r="B12" s="7" t="s">
        <v>5</v>
      </c>
      <c r="C12" s="8" t="s">
        <v>72</v>
      </c>
      <c r="D12" s="8" t="s">
        <v>73</v>
      </c>
      <c r="E12" s="7" t="s">
        <v>5</v>
      </c>
      <c r="F12" s="7" t="s">
        <v>74</v>
      </c>
      <c r="G12" s="7" t="s">
        <v>5</v>
      </c>
      <c r="H12" s="7" t="s">
        <v>74</v>
      </c>
      <c r="I12" s="7" t="s">
        <v>75</v>
      </c>
      <c r="J12" s="9">
        <v>0.8</v>
      </c>
      <c r="K12" s="7"/>
      <c r="L12" s="7"/>
      <c r="M12" s="9"/>
      <c r="N12" s="7"/>
      <c r="O12" s="9"/>
      <c r="P12" s="7">
        <v>1</v>
      </c>
      <c r="Q12" s="7" t="s">
        <v>76</v>
      </c>
      <c r="R12" s="8" t="s">
        <v>77</v>
      </c>
      <c r="S12" s="10"/>
      <c r="T12" s="10"/>
      <c r="U12" s="11"/>
    </row>
    <row r="13" spans="1:21" ht="28" x14ac:dyDescent="0.35">
      <c r="A13" s="7" t="s">
        <v>21</v>
      </c>
      <c r="B13" s="7" t="s">
        <v>5</v>
      </c>
      <c r="C13" s="8" t="s">
        <v>78</v>
      </c>
      <c r="D13" s="8"/>
      <c r="E13" s="7" t="s">
        <v>5</v>
      </c>
      <c r="F13" s="7" t="s">
        <v>79</v>
      </c>
      <c r="G13" s="7" t="s">
        <v>5</v>
      </c>
      <c r="H13" s="7" t="s">
        <v>79</v>
      </c>
      <c r="I13" s="7" t="s">
        <v>80</v>
      </c>
      <c r="J13" s="9">
        <v>0.8</v>
      </c>
      <c r="K13" s="7"/>
      <c r="L13" s="7"/>
      <c r="M13" s="9"/>
      <c r="N13" s="7"/>
      <c r="O13" s="9"/>
      <c r="P13" s="7">
        <v>1</v>
      </c>
      <c r="Q13" s="7" t="s">
        <v>81</v>
      </c>
      <c r="R13" s="8" t="s">
        <v>82</v>
      </c>
      <c r="S13" s="10"/>
      <c r="T13" s="10"/>
      <c r="U13" s="11"/>
    </row>
    <row r="14" spans="1:21" ht="98" x14ac:dyDescent="0.35">
      <c r="A14" s="7" t="s">
        <v>21</v>
      </c>
      <c r="B14" s="7" t="s">
        <v>5</v>
      </c>
      <c r="C14" s="8" t="s">
        <v>83</v>
      </c>
      <c r="D14" s="8" t="s">
        <v>24</v>
      </c>
      <c r="E14" s="7" t="s">
        <v>22</v>
      </c>
      <c r="F14" s="7" t="s">
        <v>84</v>
      </c>
      <c r="G14" s="7" t="s">
        <v>5</v>
      </c>
      <c r="H14" s="7" t="s">
        <v>84</v>
      </c>
      <c r="I14" s="7" t="s">
        <v>84</v>
      </c>
      <c r="J14" s="9">
        <v>0.8</v>
      </c>
      <c r="K14" s="7"/>
      <c r="L14" s="7"/>
      <c r="M14" s="9"/>
      <c r="N14" s="7"/>
      <c r="O14" s="9"/>
      <c r="P14" s="7">
        <v>1</v>
      </c>
      <c r="Q14" s="7" t="s">
        <v>26</v>
      </c>
      <c r="R14" s="8" t="s">
        <v>27</v>
      </c>
      <c r="S14" s="10"/>
      <c r="T14" s="10"/>
      <c r="U14" s="11"/>
    </row>
    <row r="15" spans="1:21" ht="70" x14ac:dyDescent="0.35">
      <c r="A15" s="7" t="s">
        <v>21</v>
      </c>
      <c r="B15" s="7" t="s">
        <v>5</v>
      </c>
      <c r="C15" s="8" t="s">
        <v>85</v>
      </c>
      <c r="D15" s="8"/>
      <c r="E15" s="7" t="s">
        <v>5</v>
      </c>
      <c r="F15" s="7" t="s">
        <v>84</v>
      </c>
      <c r="G15" s="7" t="s">
        <v>5</v>
      </c>
      <c r="H15" s="7" t="s">
        <v>84</v>
      </c>
      <c r="I15" s="7" t="s">
        <v>84</v>
      </c>
      <c r="J15" s="9">
        <v>0.8</v>
      </c>
      <c r="K15" s="7"/>
      <c r="L15" s="7"/>
      <c r="M15" s="9"/>
      <c r="N15" s="7"/>
      <c r="O15" s="9"/>
      <c r="P15" s="7">
        <v>1</v>
      </c>
      <c r="Q15" s="7" t="s">
        <v>86</v>
      </c>
      <c r="R15" s="8" t="s">
        <v>87</v>
      </c>
      <c r="S15" s="10"/>
      <c r="T15" s="10"/>
      <c r="U15" s="11"/>
    </row>
    <row r="16" spans="1:21" ht="70" x14ac:dyDescent="0.35">
      <c r="A16" s="7" t="s">
        <v>21</v>
      </c>
      <c r="B16" s="7" t="s">
        <v>5</v>
      </c>
      <c r="C16" s="8" t="s">
        <v>88</v>
      </c>
      <c r="D16" s="8" t="s">
        <v>89</v>
      </c>
      <c r="E16" s="7" t="s">
        <v>5</v>
      </c>
      <c r="F16" s="7" t="s">
        <v>90</v>
      </c>
      <c r="G16" s="7" t="s">
        <v>5</v>
      </c>
      <c r="H16" s="7" t="s">
        <v>90</v>
      </c>
      <c r="I16" s="7" t="s">
        <v>91</v>
      </c>
      <c r="J16" s="9">
        <v>0.8</v>
      </c>
      <c r="K16" s="7"/>
      <c r="L16" s="7"/>
      <c r="M16" s="9"/>
      <c r="N16" s="7"/>
      <c r="O16" s="9"/>
      <c r="P16" s="7">
        <v>1</v>
      </c>
      <c r="Q16" s="7" t="s">
        <v>92</v>
      </c>
      <c r="R16" s="8" t="s">
        <v>93</v>
      </c>
      <c r="S16" s="10"/>
      <c r="T16" s="10"/>
      <c r="U16" s="11"/>
    </row>
    <row r="17" spans="1:21" ht="56" x14ac:dyDescent="0.35">
      <c r="A17" s="7" t="s">
        <v>21</v>
      </c>
      <c r="B17" s="7" t="s">
        <v>5</v>
      </c>
      <c r="C17" s="8" t="s">
        <v>94</v>
      </c>
      <c r="D17" s="8" t="s">
        <v>95</v>
      </c>
      <c r="E17" s="7" t="s">
        <v>5</v>
      </c>
      <c r="F17" s="7" t="s">
        <v>84</v>
      </c>
      <c r="G17" s="7" t="s">
        <v>5</v>
      </c>
      <c r="H17" s="7" t="s">
        <v>84</v>
      </c>
      <c r="I17" s="7" t="s">
        <v>84</v>
      </c>
      <c r="J17" s="9">
        <v>0.8</v>
      </c>
      <c r="K17" s="7"/>
      <c r="L17" s="7"/>
      <c r="M17" s="9"/>
      <c r="N17" s="7"/>
      <c r="O17" s="9"/>
      <c r="P17" s="7">
        <v>1</v>
      </c>
      <c r="Q17" s="7" t="s">
        <v>96</v>
      </c>
      <c r="R17" s="8" t="s">
        <v>97</v>
      </c>
      <c r="S17" s="10"/>
      <c r="T17" s="10"/>
      <c r="U17" s="11"/>
    </row>
    <row r="18" spans="1:21" ht="56" x14ac:dyDescent="0.35">
      <c r="A18" s="7" t="s">
        <v>21</v>
      </c>
      <c r="B18" s="7" t="s">
        <v>5</v>
      </c>
      <c r="C18" s="8" t="s">
        <v>98</v>
      </c>
      <c r="D18" s="8" t="s">
        <v>99</v>
      </c>
      <c r="E18" s="7" t="s">
        <v>5</v>
      </c>
      <c r="F18" s="7" t="s">
        <v>100</v>
      </c>
      <c r="G18" s="7" t="s">
        <v>5</v>
      </c>
      <c r="H18" s="7" t="s">
        <v>100</v>
      </c>
      <c r="I18" s="7" t="s">
        <v>100</v>
      </c>
      <c r="J18" s="9">
        <v>0.8</v>
      </c>
      <c r="K18" s="7"/>
      <c r="L18" s="7"/>
      <c r="M18" s="9"/>
      <c r="N18" s="7"/>
      <c r="O18" s="9"/>
      <c r="P18" s="7">
        <v>1</v>
      </c>
      <c r="Q18" s="7" t="s">
        <v>101</v>
      </c>
      <c r="R18" s="8" t="s">
        <v>102</v>
      </c>
      <c r="S18" s="10"/>
      <c r="T18" s="10"/>
      <c r="U18" s="11"/>
    </row>
    <row r="19" spans="1:21" ht="42" x14ac:dyDescent="0.35">
      <c r="A19" s="7" t="s">
        <v>21</v>
      </c>
      <c r="B19" s="7" t="s">
        <v>5</v>
      </c>
      <c r="C19" s="8" t="s">
        <v>103</v>
      </c>
      <c r="D19" s="8" t="s">
        <v>104</v>
      </c>
      <c r="E19" s="7" t="s">
        <v>5</v>
      </c>
      <c r="F19" s="7" t="s">
        <v>38</v>
      </c>
      <c r="G19" s="7" t="s">
        <v>5</v>
      </c>
      <c r="H19" s="7" t="s">
        <v>38</v>
      </c>
      <c r="I19" s="7" t="s">
        <v>40</v>
      </c>
      <c r="J19" s="9">
        <v>0.8</v>
      </c>
      <c r="K19" s="7"/>
      <c r="L19" s="7"/>
      <c r="M19" s="9"/>
      <c r="N19" s="7"/>
      <c r="O19" s="9"/>
      <c r="P19" s="7">
        <v>1</v>
      </c>
      <c r="Q19" s="7" t="s">
        <v>105</v>
      </c>
      <c r="R19" s="8" t="s">
        <v>106</v>
      </c>
      <c r="S19" s="10"/>
      <c r="T19" s="10"/>
      <c r="U19" s="11"/>
    </row>
    <row r="20" spans="1:21" ht="42" x14ac:dyDescent="0.35">
      <c r="A20" s="7" t="s">
        <v>21</v>
      </c>
      <c r="B20" s="7" t="s">
        <v>5</v>
      </c>
      <c r="C20" s="8" t="s">
        <v>107</v>
      </c>
      <c r="D20" s="8" t="s">
        <v>108</v>
      </c>
      <c r="E20" s="7" t="s">
        <v>5</v>
      </c>
      <c r="F20" s="7" t="s">
        <v>109</v>
      </c>
      <c r="G20" s="7" t="s">
        <v>5</v>
      </c>
      <c r="H20" s="7" t="s">
        <v>109</v>
      </c>
      <c r="I20" s="7" t="s">
        <v>109</v>
      </c>
      <c r="J20" s="9">
        <v>0.8</v>
      </c>
      <c r="K20" s="7"/>
      <c r="L20" s="7"/>
      <c r="M20" s="9"/>
      <c r="N20" s="7"/>
      <c r="O20" s="9"/>
      <c r="P20" s="7">
        <v>1</v>
      </c>
      <c r="Q20" s="7" t="s">
        <v>110</v>
      </c>
      <c r="R20" s="8" t="s">
        <v>111</v>
      </c>
      <c r="S20" s="10"/>
      <c r="T20" s="10"/>
      <c r="U20" s="11"/>
    </row>
    <row r="21" spans="1:21" ht="70" x14ac:dyDescent="0.35">
      <c r="A21" s="7" t="s">
        <v>21</v>
      </c>
      <c r="B21" s="7" t="s">
        <v>5</v>
      </c>
      <c r="C21" s="8" t="s">
        <v>112</v>
      </c>
      <c r="D21" s="8" t="s">
        <v>113</v>
      </c>
      <c r="E21" s="7" t="s">
        <v>22</v>
      </c>
      <c r="F21" s="7" t="s">
        <v>60</v>
      </c>
      <c r="G21" s="7" t="s">
        <v>5</v>
      </c>
      <c r="H21" s="7" t="s">
        <v>60</v>
      </c>
      <c r="I21" s="7" t="s">
        <v>61</v>
      </c>
      <c r="J21" s="9">
        <v>0.8</v>
      </c>
      <c r="K21" s="7"/>
      <c r="L21" s="7"/>
      <c r="M21" s="9"/>
      <c r="N21" s="7"/>
      <c r="O21" s="9"/>
      <c r="P21" s="7">
        <v>1</v>
      </c>
      <c r="Q21" s="7" t="s">
        <v>114</v>
      </c>
      <c r="R21" s="8" t="s">
        <v>115</v>
      </c>
      <c r="S21" s="10"/>
      <c r="T21" s="10"/>
      <c r="U21" s="11"/>
    </row>
    <row r="22" spans="1:21" ht="70" x14ac:dyDescent="0.35">
      <c r="A22" s="7" t="s">
        <v>21</v>
      </c>
      <c r="B22" s="7" t="s">
        <v>116</v>
      </c>
      <c r="C22" s="8" t="s">
        <v>117</v>
      </c>
      <c r="D22" s="8" t="s">
        <v>118</v>
      </c>
      <c r="E22" s="7" t="s">
        <v>116</v>
      </c>
      <c r="F22" s="7" t="s">
        <v>117</v>
      </c>
      <c r="G22" s="7" t="s">
        <v>116</v>
      </c>
      <c r="H22" s="7" t="s">
        <v>100</v>
      </c>
      <c r="I22" s="7" t="s">
        <v>100</v>
      </c>
      <c r="J22" s="9">
        <v>0.6</v>
      </c>
      <c r="K22" s="7"/>
      <c r="L22" s="7"/>
      <c r="M22" s="9"/>
      <c r="N22" s="7"/>
      <c r="O22" s="9"/>
      <c r="P22" s="7">
        <v>2</v>
      </c>
      <c r="Q22" s="7" t="s">
        <v>119</v>
      </c>
      <c r="R22" s="8" t="s">
        <v>120</v>
      </c>
      <c r="S22" s="10"/>
      <c r="T22" s="10"/>
      <c r="U22" s="11"/>
    </row>
    <row r="23" spans="1:21" ht="70" x14ac:dyDescent="0.35">
      <c r="A23" s="7" t="s">
        <v>21</v>
      </c>
      <c r="B23" s="7" t="s">
        <v>116</v>
      </c>
      <c r="C23" s="8" t="s">
        <v>121</v>
      </c>
      <c r="D23" s="8" t="s">
        <v>122</v>
      </c>
      <c r="E23" s="7" t="s">
        <v>116</v>
      </c>
      <c r="F23" s="7" t="s">
        <v>123</v>
      </c>
      <c r="G23" s="7" t="s">
        <v>116</v>
      </c>
      <c r="H23" s="7" t="s">
        <v>124</v>
      </c>
      <c r="I23" s="7" t="s">
        <v>124</v>
      </c>
      <c r="J23" s="9">
        <v>0.6</v>
      </c>
      <c r="K23" s="7"/>
      <c r="L23" s="7"/>
      <c r="M23" s="9"/>
      <c r="N23" s="7"/>
      <c r="O23" s="9"/>
      <c r="P23" s="7">
        <v>2</v>
      </c>
      <c r="Q23" s="7" t="s">
        <v>125</v>
      </c>
      <c r="R23" s="8" t="s">
        <v>126</v>
      </c>
      <c r="S23" s="10"/>
      <c r="T23" s="10"/>
      <c r="U23" s="11"/>
    </row>
    <row r="24" spans="1:21" ht="70" x14ac:dyDescent="0.35">
      <c r="A24" s="7" t="s">
        <v>21</v>
      </c>
      <c r="B24" s="7" t="s">
        <v>116</v>
      </c>
      <c r="C24" s="8" t="s">
        <v>127</v>
      </c>
      <c r="D24" s="8" t="s">
        <v>128</v>
      </c>
      <c r="E24" s="7" t="s">
        <v>116</v>
      </c>
      <c r="F24" s="7" t="s">
        <v>129</v>
      </c>
      <c r="G24" s="7" t="s">
        <v>116</v>
      </c>
      <c r="H24" s="7" t="s">
        <v>130</v>
      </c>
      <c r="I24" s="7" t="s">
        <v>131</v>
      </c>
      <c r="J24" s="9">
        <v>0.6</v>
      </c>
      <c r="K24" s="7"/>
      <c r="L24" s="7"/>
      <c r="M24" s="9"/>
      <c r="N24" s="7"/>
      <c r="O24" s="9"/>
      <c r="P24" s="7">
        <v>2</v>
      </c>
      <c r="Q24" s="7" t="s">
        <v>132</v>
      </c>
      <c r="R24" s="8" t="s">
        <v>133</v>
      </c>
      <c r="S24" s="10"/>
      <c r="T24" s="10"/>
      <c r="U24" s="11"/>
    </row>
    <row r="25" spans="1:21" ht="42" x14ac:dyDescent="0.35">
      <c r="A25" s="7" t="s">
        <v>21</v>
      </c>
      <c r="B25" s="7" t="s">
        <v>116</v>
      </c>
      <c r="C25" s="8" t="s">
        <v>134</v>
      </c>
      <c r="D25" s="8" t="s">
        <v>135</v>
      </c>
      <c r="E25" s="7" t="s">
        <v>116</v>
      </c>
      <c r="F25" s="7" t="s">
        <v>129</v>
      </c>
      <c r="G25" s="7" t="s">
        <v>116</v>
      </c>
      <c r="H25" s="7" t="s">
        <v>130</v>
      </c>
      <c r="I25" s="7" t="s">
        <v>131</v>
      </c>
      <c r="J25" s="9">
        <v>0.6</v>
      </c>
      <c r="K25" s="7"/>
      <c r="L25" s="7"/>
      <c r="M25" s="9"/>
      <c r="N25" s="7"/>
      <c r="O25" s="9"/>
      <c r="P25" s="7">
        <v>1</v>
      </c>
      <c r="Q25" s="7" t="s">
        <v>136</v>
      </c>
      <c r="R25" s="8" t="s">
        <v>137</v>
      </c>
      <c r="S25" s="10"/>
      <c r="T25" s="10"/>
      <c r="U25" s="11"/>
    </row>
    <row r="26" spans="1:21" ht="56" x14ac:dyDescent="0.35">
      <c r="A26" s="7" t="s">
        <v>21</v>
      </c>
      <c r="B26" s="7" t="s">
        <v>116</v>
      </c>
      <c r="C26" s="8" t="s">
        <v>138</v>
      </c>
      <c r="D26" s="8"/>
      <c r="E26" s="7" t="s">
        <v>116</v>
      </c>
      <c r="F26" s="7" t="s">
        <v>139</v>
      </c>
      <c r="G26" s="7" t="s">
        <v>116</v>
      </c>
      <c r="H26" s="7" t="s">
        <v>140</v>
      </c>
      <c r="I26" s="7" t="s">
        <v>141</v>
      </c>
      <c r="J26" s="9">
        <v>0.6</v>
      </c>
      <c r="K26" s="7"/>
      <c r="L26" s="7"/>
      <c r="M26" s="9"/>
      <c r="N26" s="7"/>
      <c r="O26" s="9"/>
      <c r="P26" s="7">
        <v>1</v>
      </c>
      <c r="Q26" s="7" t="s">
        <v>142</v>
      </c>
      <c r="R26" s="8" t="s">
        <v>143</v>
      </c>
      <c r="S26" s="10"/>
      <c r="T26" s="10"/>
      <c r="U26" s="11"/>
    </row>
    <row r="27" spans="1:21" ht="70" x14ac:dyDescent="0.35">
      <c r="A27" s="7" t="s">
        <v>21</v>
      </c>
      <c r="B27" s="7" t="s">
        <v>116</v>
      </c>
      <c r="C27" s="8" t="s">
        <v>144</v>
      </c>
      <c r="D27" s="8" t="s">
        <v>145</v>
      </c>
      <c r="E27" s="7" t="s">
        <v>116</v>
      </c>
      <c r="F27" s="7" t="s">
        <v>146</v>
      </c>
      <c r="G27" s="7" t="s">
        <v>116</v>
      </c>
      <c r="H27" s="7" t="s">
        <v>147</v>
      </c>
      <c r="I27" s="7" t="s">
        <v>147</v>
      </c>
      <c r="J27" s="9">
        <v>0.6</v>
      </c>
      <c r="K27" s="7"/>
      <c r="L27" s="7"/>
      <c r="M27" s="9"/>
      <c r="N27" s="7"/>
      <c r="O27" s="9"/>
      <c r="P27" s="7">
        <v>1</v>
      </c>
      <c r="Q27" s="7" t="s">
        <v>148</v>
      </c>
      <c r="R27" s="8" t="s">
        <v>149</v>
      </c>
      <c r="S27" s="10"/>
      <c r="T27" s="10"/>
      <c r="U27" s="11"/>
    </row>
    <row r="28" spans="1:21" ht="42" x14ac:dyDescent="0.35">
      <c r="A28" s="7" t="s">
        <v>21</v>
      </c>
      <c r="B28" s="7" t="s">
        <v>116</v>
      </c>
      <c r="C28" s="8" t="s">
        <v>150</v>
      </c>
      <c r="D28" s="8"/>
      <c r="E28" s="7" t="s">
        <v>116</v>
      </c>
      <c r="F28" s="7" t="s">
        <v>151</v>
      </c>
      <c r="G28" s="7" t="s">
        <v>116</v>
      </c>
      <c r="H28" s="7" t="s">
        <v>152</v>
      </c>
      <c r="I28" s="7" t="s">
        <v>152</v>
      </c>
      <c r="J28" s="9">
        <v>0.6</v>
      </c>
      <c r="K28" s="7"/>
      <c r="L28" s="7"/>
      <c r="M28" s="9"/>
      <c r="N28" s="7"/>
      <c r="O28" s="9"/>
      <c r="P28" s="7">
        <v>1</v>
      </c>
      <c r="Q28" s="7" t="s">
        <v>153</v>
      </c>
      <c r="R28" s="8" t="s">
        <v>154</v>
      </c>
      <c r="S28" s="10"/>
      <c r="T28" s="10"/>
      <c r="U28" s="11"/>
    </row>
    <row r="29" spans="1:21" ht="56" x14ac:dyDescent="0.35">
      <c r="A29" s="7" t="s">
        <v>21</v>
      </c>
      <c r="B29" s="7" t="s">
        <v>116</v>
      </c>
      <c r="C29" s="8" t="s">
        <v>151</v>
      </c>
      <c r="D29" s="8" t="s">
        <v>155</v>
      </c>
      <c r="E29" s="7" t="s">
        <v>116</v>
      </c>
      <c r="F29" s="7" t="s">
        <v>151</v>
      </c>
      <c r="G29" s="7" t="s">
        <v>116</v>
      </c>
      <c r="H29" s="7" t="s">
        <v>152</v>
      </c>
      <c r="I29" s="7" t="s">
        <v>152</v>
      </c>
      <c r="J29" s="9">
        <v>0.6</v>
      </c>
      <c r="K29" s="7"/>
      <c r="L29" s="7"/>
      <c r="M29" s="9"/>
      <c r="N29" s="7"/>
      <c r="O29" s="9"/>
      <c r="P29" s="7">
        <v>1</v>
      </c>
      <c r="Q29" s="7" t="s">
        <v>156</v>
      </c>
      <c r="R29" s="8" t="s">
        <v>157</v>
      </c>
      <c r="S29" s="10"/>
      <c r="T29" s="10"/>
      <c r="U29" s="11"/>
    </row>
    <row r="30" spans="1:21" ht="42" x14ac:dyDescent="0.35">
      <c r="A30" s="7" t="s">
        <v>21</v>
      </c>
      <c r="B30" s="7" t="s">
        <v>116</v>
      </c>
      <c r="C30" s="8" t="s">
        <v>158</v>
      </c>
      <c r="D30" s="8" t="s">
        <v>159</v>
      </c>
      <c r="E30" s="7" t="s">
        <v>116</v>
      </c>
      <c r="F30" s="7" t="s">
        <v>151</v>
      </c>
      <c r="G30" s="7" t="s">
        <v>116</v>
      </c>
      <c r="H30" s="7" t="s">
        <v>152</v>
      </c>
      <c r="I30" s="7" t="s">
        <v>152</v>
      </c>
      <c r="J30" s="9">
        <v>0.6</v>
      </c>
      <c r="K30" s="7"/>
      <c r="L30" s="7"/>
      <c r="M30" s="9"/>
      <c r="N30" s="7"/>
      <c r="O30" s="9"/>
      <c r="P30" s="7">
        <v>1</v>
      </c>
      <c r="Q30" s="7" t="s">
        <v>160</v>
      </c>
      <c r="R30" s="8" t="s">
        <v>161</v>
      </c>
      <c r="S30" s="10"/>
      <c r="T30" s="10"/>
      <c r="U30" s="11"/>
    </row>
    <row r="31" spans="1:21" ht="70" x14ac:dyDescent="0.35">
      <c r="A31" s="7" t="s">
        <v>21</v>
      </c>
      <c r="B31" s="7" t="s">
        <v>116</v>
      </c>
      <c r="C31" s="8" t="s">
        <v>162</v>
      </c>
      <c r="D31" s="8" t="s">
        <v>163</v>
      </c>
      <c r="E31" s="7" t="s">
        <v>116</v>
      </c>
      <c r="F31" s="7" t="s">
        <v>162</v>
      </c>
      <c r="G31" s="7" t="s">
        <v>116</v>
      </c>
      <c r="H31" s="7" t="s">
        <v>100</v>
      </c>
      <c r="I31" s="7" t="s">
        <v>100</v>
      </c>
      <c r="J31" s="9">
        <v>0.6</v>
      </c>
      <c r="K31" s="7"/>
      <c r="L31" s="7"/>
      <c r="M31" s="9"/>
      <c r="N31" s="7"/>
      <c r="O31" s="9"/>
      <c r="P31" s="7">
        <v>1</v>
      </c>
      <c r="Q31" s="7" t="s">
        <v>164</v>
      </c>
      <c r="R31" s="8" t="s">
        <v>165</v>
      </c>
      <c r="S31" s="10"/>
      <c r="T31" s="10"/>
      <c r="U31" s="11"/>
    </row>
    <row r="32" spans="1:21" ht="84" x14ac:dyDescent="0.35">
      <c r="A32" s="7" t="s">
        <v>21</v>
      </c>
      <c r="B32" s="7" t="s">
        <v>166</v>
      </c>
      <c r="C32" s="8" t="s">
        <v>167</v>
      </c>
      <c r="D32" s="8" t="s">
        <v>168</v>
      </c>
      <c r="E32" s="7" t="s">
        <v>22</v>
      </c>
      <c r="F32" s="7" t="s">
        <v>169</v>
      </c>
      <c r="G32" s="7" t="s">
        <v>170</v>
      </c>
      <c r="H32" s="7"/>
      <c r="I32" s="7" t="s">
        <v>171</v>
      </c>
      <c r="J32" s="9">
        <v>0.29370000000000002</v>
      </c>
      <c r="K32" s="7">
        <v>45</v>
      </c>
      <c r="L32" s="7" t="s">
        <v>172</v>
      </c>
      <c r="M32" s="9">
        <v>0.22600000000000001</v>
      </c>
      <c r="N32" s="7" t="s">
        <v>173</v>
      </c>
      <c r="O32" s="9">
        <v>0.22259999999999999</v>
      </c>
      <c r="P32" s="7">
        <v>1</v>
      </c>
      <c r="Q32" s="7" t="s">
        <v>174</v>
      </c>
      <c r="R32" s="8" t="s">
        <v>175</v>
      </c>
      <c r="S32" s="10"/>
      <c r="T32" s="10"/>
      <c r="U32" s="11"/>
    </row>
    <row r="33" spans="1:21" ht="154" x14ac:dyDescent="0.35">
      <c r="A33" s="7" t="s">
        <v>21</v>
      </c>
      <c r="B33" s="7" t="s">
        <v>166</v>
      </c>
      <c r="C33" s="8" t="s">
        <v>176</v>
      </c>
      <c r="D33" s="8" t="s">
        <v>177</v>
      </c>
      <c r="E33" s="7" t="s">
        <v>170</v>
      </c>
      <c r="F33" s="7" t="s">
        <v>178</v>
      </c>
      <c r="G33" s="7" t="s">
        <v>170</v>
      </c>
      <c r="H33" s="7"/>
      <c r="I33" s="7" t="s">
        <v>179</v>
      </c>
      <c r="J33" s="9">
        <v>0.28720000000000001</v>
      </c>
      <c r="K33" s="7">
        <v>43.2</v>
      </c>
      <c r="L33" s="7" t="s">
        <v>180</v>
      </c>
      <c r="M33" s="9">
        <v>0.21249999999999999</v>
      </c>
      <c r="N33" s="7"/>
      <c r="O33" s="9"/>
      <c r="P33" s="7">
        <v>1</v>
      </c>
      <c r="Q33" s="7" t="s">
        <v>181</v>
      </c>
      <c r="R33" s="8" t="s">
        <v>182</v>
      </c>
      <c r="S33" s="10"/>
      <c r="T33" s="10"/>
      <c r="U33" s="11"/>
    </row>
    <row r="34" spans="1:21" ht="84" x14ac:dyDescent="0.35">
      <c r="A34" s="7" t="s">
        <v>21</v>
      </c>
      <c r="B34" s="7" t="s">
        <v>166</v>
      </c>
      <c r="C34" s="8" t="s">
        <v>183</v>
      </c>
      <c r="D34" s="8"/>
      <c r="E34" s="7" t="s">
        <v>170</v>
      </c>
      <c r="F34" s="7" t="s">
        <v>184</v>
      </c>
      <c r="G34" s="7" t="s">
        <v>170</v>
      </c>
      <c r="H34" s="7"/>
      <c r="I34" s="7" t="s">
        <v>185</v>
      </c>
      <c r="J34" s="9">
        <v>0.28660000000000002</v>
      </c>
      <c r="K34" s="7">
        <v>43.1</v>
      </c>
      <c r="L34" s="7" t="s">
        <v>186</v>
      </c>
      <c r="M34" s="9">
        <v>0.28100000000000003</v>
      </c>
      <c r="N34" s="7" t="s">
        <v>187</v>
      </c>
      <c r="O34" s="9">
        <v>0.2359</v>
      </c>
      <c r="P34" s="7">
        <v>1</v>
      </c>
      <c r="Q34" s="7" t="s">
        <v>188</v>
      </c>
      <c r="R34" s="8" t="s">
        <v>189</v>
      </c>
      <c r="S34" s="10"/>
      <c r="T34" s="10"/>
      <c r="U34" s="11"/>
    </row>
    <row r="35" spans="1:21" ht="84" x14ac:dyDescent="0.35">
      <c r="A35" s="7" t="s">
        <v>21</v>
      </c>
      <c r="B35" s="7" t="s">
        <v>166</v>
      </c>
      <c r="C35" s="8" t="s">
        <v>190</v>
      </c>
      <c r="D35" s="8" t="s">
        <v>191</v>
      </c>
      <c r="E35" s="7" t="s">
        <v>170</v>
      </c>
      <c r="F35" s="7" t="s">
        <v>192</v>
      </c>
      <c r="G35" s="7" t="s">
        <v>170</v>
      </c>
      <c r="H35" s="7"/>
      <c r="I35" s="7" t="s">
        <v>193</v>
      </c>
      <c r="J35" s="9">
        <v>0.26750000000000002</v>
      </c>
      <c r="K35" s="7">
        <v>38</v>
      </c>
      <c r="L35" s="7" t="s">
        <v>194</v>
      </c>
      <c r="M35" s="9">
        <v>0.20200000000000001</v>
      </c>
      <c r="N35" s="7"/>
      <c r="O35" s="9"/>
      <c r="P35" s="7">
        <v>1</v>
      </c>
      <c r="Q35" s="7" t="s">
        <v>195</v>
      </c>
      <c r="R35" s="8" t="s">
        <v>196</v>
      </c>
      <c r="S35" s="10"/>
      <c r="T35" s="10"/>
      <c r="U35" s="11"/>
    </row>
    <row r="36" spans="1:21" ht="56" x14ac:dyDescent="0.35">
      <c r="A36" s="7" t="s">
        <v>21</v>
      </c>
      <c r="B36" s="7" t="s">
        <v>166</v>
      </c>
      <c r="C36" s="8" t="s">
        <v>197</v>
      </c>
      <c r="D36" s="8" t="s">
        <v>198</v>
      </c>
      <c r="E36" s="7" t="s">
        <v>170</v>
      </c>
      <c r="F36" s="7" t="s">
        <v>199</v>
      </c>
      <c r="G36" s="7" t="s">
        <v>170</v>
      </c>
      <c r="H36" s="7"/>
      <c r="I36" s="7" t="s">
        <v>200</v>
      </c>
      <c r="J36" s="9">
        <v>0.24959999999999999</v>
      </c>
      <c r="K36" s="7">
        <v>33.200000000000003</v>
      </c>
      <c r="L36" s="7" t="s">
        <v>201</v>
      </c>
      <c r="M36" s="9">
        <v>0.23230000000000001</v>
      </c>
      <c r="N36" s="7" t="s">
        <v>202</v>
      </c>
      <c r="O36" s="9">
        <v>0.22359999999999999</v>
      </c>
      <c r="P36" s="7">
        <v>3</v>
      </c>
      <c r="Q36" s="7" t="s">
        <v>203</v>
      </c>
      <c r="R36" s="8" t="s">
        <v>204</v>
      </c>
      <c r="S36" s="10"/>
      <c r="T36" s="10"/>
      <c r="U36" s="11"/>
    </row>
    <row r="37" spans="1:21" ht="56" x14ac:dyDescent="0.35">
      <c r="A37" s="7" t="s">
        <v>21</v>
      </c>
      <c r="B37" s="7" t="s">
        <v>166</v>
      </c>
      <c r="C37" s="8" t="s">
        <v>205</v>
      </c>
      <c r="D37" s="8" t="s">
        <v>206</v>
      </c>
      <c r="E37" s="7" t="s">
        <v>170</v>
      </c>
      <c r="F37" s="7" t="s">
        <v>192</v>
      </c>
      <c r="G37" s="7" t="s">
        <v>170</v>
      </c>
      <c r="H37" s="7"/>
      <c r="I37" s="7" t="s">
        <v>193</v>
      </c>
      <c r="J37" s="9">
        <v>0.2452</v>
      </c>
      <c r="K37" s="7">
        <v>32</v>
      </c>
      <c r="L37" s="7"/>
      <c r="M37" s="9"/>
      <c r="N37" s="7"/>
      <c r="O37" s="9"/>
      <c r="P37" s="7">
        <v>1</v>
      </c>
      <c r="Q37" s="7" t="s">
        <v>207</v>
      </c>
      <c r="R37" s="8" t="s">
        <v>208</v>
      </c>
      <c r="S37" s="10"/>
      <c r="T37" s="10"/>
      <c r="U37" s="11"/>
    </row>
    <row r="38" spans="1:21" ht="56" x14ac:dyDescent="0.35">
      <c r="A38" s="7" t="s">
        <v>21</v>
      </c>
      <c r="B38" s="7" t="s">
        <v>166</v>
      </c>
      <c r="C38" s="8" t="s">
        <v>209</v>
      </c>
      <c r="D38" s="8" t="s">
        <v>210</v>
      </c>
      <c r="E38" s="7" t="s">
        <v>170</v>
      </c>
      <c r="F38" s="7" t="s">
        <v>199</v>
      </c>
      <c r="G38" s="7" t="s">
        <v>170</v>
      </c>
      <c r="H38" s="7"/>
      <c r="I38" s="7" t="s">
        <v>211</v>
      </c>
      <c r="J38" s="9">
        <v>0.2382</v>
      </c>
      <c r="K38" s="7">
        <v>30.2</v>
      </c>
      <c r="L38" s="7" t="s">
        <v>202</v>
      </c>
      <c r="M38" s="9">
        <v>0.2235</v>
      </c>
      <c r="N38" s="7" t="s">
        <v>212</v>
      </c>
      <c r="O38" s="9">
        <v>0.20519999999999999</v>
      </c>
      <c r="P38" s="7">
        <v>2</v>
      </c>
      <c r="Q38" s="7" t="s">
        <v>213</v>
      </c>
      <c r="R38" s="8" t="s">
        <v>214</v>
      </c>
      <c r="S38" s="10"/>
      <c r="T38" s="10"/>
      <c r="U38" s="11"/>
    </row>
    <row r="39" spans="1:21" x14ac:dyDescent="0.35">
      <c r="A39" s="7" t="s">
        <v>21</v>
      </c>
      <c r="B39" s="7" t="s">
        <v>166</v>
      </c>
      <c r="C39" s="8" t="s">
        <v>215</v>
      </c>
      <c r="D39" s="8" t="s">
        <v>216</v>
      </c>
      <c r="E39" s="7" t="s">
        <v>170</v>
      </c>
      <c r="F39" s="7" t="s">
        <v>217</v>
      </c>
      <c r="G39" s="7" t="s">
        <v>170</v>
      </c>
      <c r="H39" s="7"/>
      <c r="I39" s="7" t="s">
        <v>218</v>
      </c>
      <c r="J39" s="9">
        <v>0.23719999999999999</v>
      </c>
      <c r="K39" s="7">
        <v>29.9</v>
      </c>
      <c r="L39" s="7" t="s">
        <v>219</v>
      </c>
      <c r="M39" s="9">
        <v>0.21149999999999999</v>
      </c>
      <c r="N39" s="7"/>
      <c r="O39" s="9"/>
      <c r="P39" s="7">
        <v>2</v>
      </c>
      <c r="Q39" s="7" t="s">
        <v>220</v>
      </c>
      <c r="R39" s="8" t="s">
        <v>221</v>
      </c>
      <c r="S39" s="10"/>
      <c r="T39" s="10"/>
      <c r="U39" s="11"/>
    </row>
    <row r="40" spans="1:21" ht="56" x14ac:dyDescent="0.35">
      <c r="A40" s="7" t="s">
        <v>21</v>
      </c>
      <c r="B40" s="7" t="s">
        <v>166</v>
      </c>
      <c r="C40" s="8" t="s">
        <v>222</v>
      </c>
      <c r="D40" s="8" t="s">
        <v>223</v>
      </c>
      <c r="E40" s="7" t="s">
        <v>170</v>
      </c>
      <c r="F40" s="7" t="s">
        <v>224</v>
      </c>
      <c r="G40" s="7" t="s">
        <v>170</v>
      </c>
      <c r="H40" s="7"/>
      <c r="I40" s="7" t="s">
        <v>225</v>
      </c>
      <c r="J40" s="9">
        <v>0.23680000000000001</v>
      </c>
      <c r="K40" s="7">
        <v>29.8</v>
      </c>
      <c r="L40" s="7"/>
      <c r="M40" s="9"/>
      <c r="N40" s="7"/>
      <c r="O40" s="9"/>
      <c r="P40" s="7">
        <v>1</v>
      </c>
      <c r="Q40" s="7" t="s">
        <v>226</v>
      </c>
      <c r="R40" s="8" t="s">
        <v>227</v>
      </c>
      <c r="S40" s="10"/>
      <c r="T40" s="10"/>
      <c r="U40" s="11"/>
    </row>
    <row r="41" spans="1:21" ht="28" x14ac:dyDescent="0.35">
      <c r="A41" s="7" t="s">
        <v>21</v>
      </c>
      <c r="B41" s="7" t="s">
        <v>166</v>
      </c>
      <c r="C41" s="8" t="s">
        <v>228</v>
      </c>
      <c r="D41" s="8" t="s">
        <v>229</v>
      </c>
      <c r="E41" s="7" t="s">
        <v>170</v>
      </c>
      <c r="F41" s="7" t="s">
        <v>228</v>
      </c>
      <c r="G41" s="7" t="s">
        <v>170</v>
      </c>
      <c r="H41" s="7"/>
      <c r="I41" s="7" t="s">
        <v>230</v>
      </c>
      <c r="J41" s="9">
        <v>0.20699999999999999</v>
      </c>
      <c r="K41" s="7">
        <v>21.9</v>
      </c>
      <c r="L41" s="7"/>
      <c r="M41" s="9"/>
      <c r="N41" s="7"/>
      <c r="O41" s="9"/>
      <c r="P41" s="7">
        <v>1</v>
      </c>
      <c r="Q41" s="7" t="s">
        <v>231</v>
      </c>
      <c r="R41" s="8" t="s">
        <v>232</v>
      </c>
      <c r="S41" s="10"/>
      <c r="T41" s="10"/>
      <c r="U41" s="11"/>
    </row>
    <row r="42" spans="1:21" ht="70" x14ac:dyDescent="0.35">
      <c r="A42" s="7" t="s">
        <v>21</v>
      </c>
      <c r="B42" s="7" t="s">
        <v>233</v>
      </c>
      <c r="C42" s="8" t="s">
        <v>234</v>
      </c>
      <c r="D42" s="8" t="s">
        <v>235</v>
      </c>
      <c r="E42" s="7" t="s">
        <v>170</v>
      </c>
      <c r="F42" s="7" t="s">
        <v>236</v>
      </c>
      <c r="G42" s="7" t="s">
        <v>170</v>
      </c>
      <c r="H42" s="7"/>
      <c r="I42" s="7" t="s">
        <v>237</v>
      </c>
      <c r="J42" s="9">
        <v>0.39489999999999997</v>
      </c>
      <c r="K42" s="7">
        <v>72</v>
      </c>
      <c r="L42" s="7"/>
      <c r="M42" s="9"/>
      <c r="N42" s="7"/>
      <c r="O42" s="9"/>
      <c r="P42" s="7">
        <v>1</v>
      </c>
      <c r="Q42" s="7" t="s">
        <v>238</v>
      </c>
      <c r="R42" s="8" t="s">
        <v>239</v>
      </c>
      <c r="S42" s="10"/>
      <c r="T42" s="10"/>
      <c r="U42" s="11"/>
    </row>
    <row r="43" spans="1:21" ht="42" x14ac:dyDescent="0.35">
      <c r="A43" s="7" t="s">
        <v>21</v>
      </c>
      <c r="B43" s="7" t="s">
        <v>233</v>
      </c>
      <c r="C43" s="8" t="s">
        <v>240</v>
      </c>
      <c r="D43" s="8" t="s">
        <v>241</v>
      </c>
      <c r="E43" s="7" t="s">
        <v>22</v>
      </c>
      <c r="F43" s="7" t="s">
        <v>242</v>
      </c>
      <c r="G43" s="7" t="s">
        <v>170</v>
      </c>
      <c r="H43" s="7"/>
      <c r="I43" s="7" t="s">
        <v>243</v>
      </c>
      <c r="J43" s="9">
        <v>0.38850000000000001</v>
      </c>
      <c r="K43" s="7">
        <v>70.3</v>
      </c>
      <c r="L43" s="7" t="s">
        <v>244</v>
      </c>
      <c r="M43" s="9">
        <v>0.36849999999999999</v>
      </c>
      <c r="N43" s="7" t="s">
        <v>245</v>
      </c>
      <c r="O43" s="9">
        <v>0.35539999999999999</v>
      </c>
      <c r="P43" s="7">
        <v>1</v>
      </c>
      <c r="Q43" s="7" t="s">
        <v>246</v>
      </c>
      <c r="R43" s="8" t="s">
        <v>247</v>
      </c>
      <c r="S43" s="10"/>
      <c r="T43" s="10"/>
      <c r="U43" s="11"/>
    </row>
    <row r="44" spans="1:21" ht="56" x14ac:dyDescent="0.35">
      <c r="A44" s="7" t="s">
        <v>21</v>
      </c>
      <c r="B44" s="7" t="s">
        <v>233</v>
      </c>
      <c r="C44" s="8" t="s">
        <v>248</v>
      </c>
      <c r="D44" s="8" t="s">
        <v>249</v>
      </c>
      <c r="E44" s="7" t="s">
        <v>5</v>
      </c>
      <c r="F44" s="7" t="s">
        <v>250</v>
      </c>
      <c r="G44" s="7" t="s">
        <v>170</v>
      </c>
      <c r="H44" s="7"/>
      <c r="I44" s="7" t="s">
        <v>251</v>
      </c>
      <c r="J44" s="9">
        <v>0.3856</v>
      </c>
      <c r="K44" s="7">
        <v>69.5</v>
      </c>
      <c r="L44" s="7" t="s">
        <v>252</v>
      </c>
      <c r="M44" s="9">
        <v>0.3604</v>
      </c>
      <c r="N44" s="7" t="s">
        <v>253</v>
      </c>
      <c r="O44" s="9">
        <v>0.33639999999999998</v>
      </c>
      <c r="P44" s="7">
        <v>1</v>
      </c>
      <c r="Q44" s="7" t="s">
        <v>254</v>
      </c>
      <c r="R44" s="8" t="s">
        <v>255</v>
      </c>
      <c r="S44" s="10"/>
      <c r="T44" s="10"/>
      <c r="U44" s="11"/>
    </row>
    <row r="45" spans="1:21" ht="56" x14ac:dyDescent="0.35">
      <c r="A45" s="7" t="s">
        <v>21</v>
      </c>
      <c r="B45" s="7" t="s">
        <v>233</v>
      </c>
      <c r="C45" s="8" t="s">
        <v>256</v>
      </c>
      <c r="D45" s="8" t="s">
        <v>257</v>
      </c>
      <c r="E45" s="7" t="s">
        <v>170</v>
      </c>
      <c r="F45" s="7"/>
      <c r="G45" s="7" t="s">
        <v>170</v>
      </c>
      <c r="H45" s="7"/>
      <c r="I45" s="7" t="s">
        <v>258</v>
      </c>
      <c r="J45" s="9">
        <v>0.38440000000000002</v>
      </c>
      <c r="K45" s="7">
        <v>69.2</v>
      </c>
      <c r="L45" s="7" t="s">
        <v>259</v>
      </c>
      <c r="M45" s="9">
        <v>0.30080000000000001</v>
      </c>
      <c r="N45" s="7"/>
      <c r="O45" s="9"/>
      <c r="P45" s="7">
        <v>1</v>
      </c>
      <c r="Q45" s="7" t="s">
        <v>260</v>
      </c>
      <c r="R45" s="8" t="s">
        <v>261</v>
      </c>
      <c r="S45" s="10"/>
      <c r="T45" s="10"/>
      <c r="U45" s="11"/>
    </row>
    <row r="46" spans="1:21" ht="70" x14ac:dyDescent="0.35">
      <c r="A46" s="7" t="s">
        <v>21</v>
      </c>
      <c r="B46" s="7" t="s">
        <v>233</v>
      </c>
      <c r="C46" s="8" t="s">
        <v>262</v>
      </c>
      <c r="D46" s="8" t="s">
        <v>263</v>
      </c>
      <c r="E46" s="7" t="s">
        <v>5</v>
      </c>
      <c r="F46" s="7" t="s">
        <v>264</v>
      </c>
      <c r="G46" s="7" t="s">
        <v>170</v>
      </c>
      <c r="H46" s="7"/>
      <c r="I46" s="7" t="s">
        <v>265</v>
      </c>
      <c r="J46" s="9">
        <v>0.36709999999999998</v>
      </c>
      <c r="K46" s="7">
        <v>64.599999999999994</v>
      </c>
      <c r="L46" s="7" t="s">
        <v>266</v>
      </c>
      <c r="M46" s="9">
        <v>0.35799999999999998</v>
      </c>
      <c r="N46" s="7" t="s">
        <v>267</v>
      </c>
      <c r="O46" s="9">
        <v>0.31879999999999997</v>
      </c>
      <c r="P46" s="7">
        <v>1</v>
      </c>
      <c r="Q46" s="7" t="s">
        <v>268</v>
      </c>
      <c r="R46" s="8" t="s">
        <v>269</v>
      </c>
      <c r="S46" s="10"/>
      <c r="T46" s="10"/>
      <c r="U46" s="11"/>
    </row>
    <row r="47" spans="1:21" ht="56" x14ac:dyDescent="0.35">
      <c r="A47" s="7" t="s">
        <v>21</v>
      </c>
      <c r="B47" s="7" t="s">
        <v>233</v>
      </c>
      <c r="C47" s="8" t="s">
        <v>270</v>
      </c>
      <c r="D47" s="8" t="s">
        <v>271</v>
      </c>
      <c r="E47" s="7" t="s">
        <v>170</v>
      </c>
      <c r="F47" s="7" t="s">
        <v>272</v>
      </c>
      <c r="G47" s="7" t="s">
        <v>170</v>
      </c>
      <c r="H47" s="7"/>
      <c r="I47" s="7" t="s">
        <v>273</v>
      </c>
      <c r="J47" s="9">
        <v>0.3538</v>
      </c>
      <c r="K47" s="7">
        <v>61</v>
      </c>
      <c r="L47" s="7" t="s">
        <v>274</v>
      </c>
      <c r="M47" s="9">
        <v>0.27329999999999999</v>
      </c>
      <c r="N47" s="7" t="s">
        <v>32</v>
      </c>
      <c r="O47" s="9">
        <v>0.24779999999999999</v>
      </c>
      <c r="P47" s="7">
        <v>1</v>
      </c>
      <c r="Q47" s="7" t="s">
        <v>275</v>
      </c>
      <c r="R47" s="8" t="s">
        <v>276</v>
      </c>
      <c r="S47" s="10"/>
      <c r="T47" s="10"/>
      <c r="U47" s="11"/>
    </row>
    <row r="48" spans="1:21" ht="112" x14ac:dyDescent="0.35">
      <c r="A48" s="7" t="s">
        <v>21</v>
      </c>
      <c r="B48" s="7" t="s">
        <v>233</v>
      </c>
      <c r="C48" s="8" t="s">
        <v>277</v>
      </c>
      <c r="D48" s="8" t="s">
        <v>278</v>
      </c>
      <c r="E48" s="7" t="s">
        <v>170</v>
      </c>
      <c r="F48" s="7" t="s">
        <v>279</v>
      </c>
      <c r="G48" s="7" t="s">
        <v>170</v>
      </c>
      <c r="H48" s="7"/>
      <c r="I48" s="7" t="s">
        <v>280</v>
      </c>
      <c r="J48" s="9">
        <v>0.35020000000000001</v>
      </c>
      <c r="K48" s="7">
        <v>60.1</v>
      </c>
      <c r="L48" s="7" t="s">
        <v>281</v>
      </c>
      <c r="M48" s="9">
        <v>0.29799999999999999</v>
      </c>
      <c r="N48" s="7" t="s">
        <v>282</v>
      </c>
      <c r="O48" s="9">
        <v>0.21759999999999999</v>
      </c>
      <c r="P48" s="7">
        <v>1</v>
      </c>
      <c r="Q48" s="7" t="s">
        <v>283</v>
      </c>
      <c r="R48" s="8" t="s">
        <v>284</v>
      </c>
      <c r="S48" s="10"/>
      <c r="T48" s="10"/>
      <c r="U48" s="11"/>
    </row>
    <row r="49" spans="1:21" ht="56" x14ac:dyDescent="0.35">
      <c r="A49" s="7" t="s">
        <v>21</v>
      </c>
      <c r="B49" s="7" t="s">
        <v>233</v>
      </c>
      <c r="C49" s="8" t="s">
        <v>285</v>
      </c>
      <c r="D49" s="8" t="s">
        <v>286</v>
      </c>
      <c r="E49" s="7" t="s">
        <v>170</v>
      </c>
      <c r="F49" s="7" t="s">
        <v>287</v>
      </c>
      <c r="G49" s="7" t="s">
        <v>170</v>
      </c>
      <c r="H49" s="7"/>
      <c r="I49" s="7" t="s">
        <v>288</v>
      </c>
      <c r="J49" s="9">
        <v>0.32919999999999999</v>
      </c>
      <c r="K49" s="7">
        <v>54.4</v>
      </c>
      <c r="L49" s="7" t="s">
        <v>289</v>
      </c>
      <c r="M49" s="9">
        <v>0.32469999999999999</v>
      </c>
      <c r="N49" s="7" t="s">
        <v>290</v>
      </c>
      <c r="O49" s="9">
        <v>0.30499999999999999</v>
      </c>
      <c r="P49" s="7">
        <v>1</v>
      </c>
      <c r="Q49" s="7" t="s">
        <v>291</v>
      </c>
      <c r="R49" s="8" t="s">
        <v>292</v>
      </c>
      <c r="S49" s="10"/>
      <c r="T49" s="10"/>
      <c r="U49" s="11"/>
    </row>
    <row r="50" spans="1:21" ht="56" x14ac:dyDescent="0.35">
      <c r="A50" s="7" t="s">
        <v>21</v>
      </c>
      <c r="B50" s="7" t="s">
        <v>233</v>
      </c>
      <c r="C50" s="8" t="s">
        <v>293</v>
      </c>
      <c r="D50" s="8" t="s">
        <v>39</v>
      </c>
      <c r="E50" s="7" t="s">
        <v>22</v>
      </c>
      <c r="F50" s="7" t="s">
        <v>294</v>
      </c>
      <c r="G50" s="7" t="s">
        <v>170</v>
      </c>
      <c r="H50" s="7"/>
      <c r="I50" s="7" t="s">
        <v>295</v>
      </c>
      <c r="J50" s="9">
        <v>0.314</v>
      </c>
      <c r="K50" s="7">
        <v>50.4</v>
      </c>
      <c r="L50" s="7" t="s">
        <v>296</v>
      </c>
      <c r="M50" s="9">
        <v>0.26150000000000001</v>
      </c>
      <c r="N50" s="7" t="s">
        <v>297</v>
      </c>
      <c r="O50" s="9">
        <v>0.2581</v>
      </c>
      <c r="P50" s="7">
        <v>1</v>
      </c>
      <c r="Q50" s="7" t="s">
        <v>41</v>
      </c>
      <c r="R50" s="8" t="s">
        <v>42</v>
      </c>
      <c r="S50" s="10"/>
      <c r="T50" s="10"/>
      <c r="U50" s="11"/>
    </row>
    <row r="51" spans="1:21" x14ac:dyDescent="0.35">
      <c r="A51" s="7" t="s">
        <v>21</v>
      </c>
      <c r="B51" s="7" t="s">
        <v>233</v>
      </c>
      <c r="C51" s="8" t="s">
        <v>298</v>
      </c>
      <c r="D51" s="8" t="s">
        <v>299</v>
      </c>
      <c r="E51" s="7" t="s">
        <v>170</v>
      </c>
      <c r="F51" s="7" t="s">
        <v>217</v>
      </c>
      <c r="G51" s="7" t="s">
        <v>170</v>
      </c>
      <c r="H51" s="7"/>
      <c r="I51" s="7" t="s">
        <v>300</v>
      </c>
      <c r="J51" s="9">
        <v>0.3125</v>
      </c>
      <c r="K51" s="7">
        <v>50</v>
      </c>
      <c r="L51" s="7" t="s">
        <v>301</v>
      </c>
      <c r="M51" s="9">
        <v>0.2601</v>
      </c>
      <c r="N51" s="7"/>
      <c r="O51" s="9"/>
      <c r="P51" s="7">
        <v>1</v>
      </c>
      <c r="Q51" s="7" t="s">
        <v>302</v>
      </c>
      <c r="R51" s="8" t="s">
        <v>303</v>
      </c>
      <c r="S51" s="10"/>
      <c r="T51" s="10"/>
      <c r="U51" s="11"/>
    </row>
    <row r="52" spans="1:21" ht="70" x14ac:dyDescent="0.35">
      <c r="A52" s="7" t="s">
        <v>21</v>
      </c>
      <c r="B52" s="7" t="s">
        <v>304</v>
      </c>
      <c r="C52" s="8" t="s">
        <v>305</v>
      </c>
      <c r="D52" s="8" t="s">
        <v>306</v>
      </c>
      <c r="E52" s="7" t="s">
        <v>170</v>
      </c>
      <c r="F52" s="7" t="s">
        <v>307</v>
      </c>
      <c r="G52" s="7" t="s">
        <v>170</v>
      </c>
      <c r="H52" s="7"/>
      <c r="I52" s="7" t="s">
        <v>267</v>
      </c>
      <c r="J52" s="9">
        <v>0.46360000000000001</v>
      </c>
      <c r="K52" s="7">
        <v>90.3</v>
      </c>
      <c r="L52" s="7" t="s">
        <v>308</v>
      </c>
      <c r="M52" s="9">
        <v>0.4546</v>
      </c>
      <c r="N52" s="7" t="s">
        <v>309</v>
      </c>
      <c r="O52" s="9">
        <v>0.44619999999999999</v>
      </c>
      <c r="P52" s="7">
        <v>1</v>
      </c>
      <c r="Q52" s="7" t="s">
        <v>310</v>
      </c>
      <c r="R52" s="8" t="s">
        <v>311</v>
      </c>
      <c r="S52" s="10"/>
      <c r="T52" s="10"/>
      <c r="U52" s="11"/>
    </row>
    <row r="53" spans="1:21" ht="56" x14ac:dyDescent="0.35">
      <c r="A53" s="7" t="s">
        <v>21</v>
      </c>
      <c r="B53" s="7" t="s">
        <v>304</v>
      </c>
      <c r="C53" s="8" t="s">
        <v>312</v>
      </c>
      <c r="D53" s="8" t="s">
        <v>313</v>
      </c>
      <c r="E53" s="7" t="s">
        <v>170</v>
      </c>
      <c r="F53" s="7" t="s">
        <v>312</v>
      </c>
      <c r="G53" s="7" t="s">
        <v>170</v>
      </c>
      <c r="H53" s="7"/>
      <c r="I53" s="7" t="s">
        <v>314</v>
      </c>
      <c r="J53" s="9">
        <v>0.45660000000000001</v>
      </c>
      <c r="K53" s="7">
        <v>88.4</v>
      </c>
      <c r="L53" s="7" t="s">
        <v>315</v>
      </c>
      <c r="M53" s="9">
        <v>0.42309999999999998</v>
      </c>
      <c r="N53" s="7" t="s">
        <v>316</v>
      </c>
      <c r="O53" s="9">
        <v>0.4173</v>
      </c>
      <c r="P53" s="7">
        <v>3</v>
      </c>
      <c r="Q53" s="7" t="s">
        <v>317</v>
      </c>
      <c r="R53" s="8" t="s">
        <v>318</v>
      </c>
      <c r="S53" s="10"/>
      <c r="T53" s="10"/>
      <c r="U53" s="11"/>
    </row>
    <row r="54" spans="1:21" ht="70" x14ac:dyDescent="0.35">
      <c r="A54" s="7" t="s">
        <v>21</v>
      </c>
      <c r="B54" s="7" t="s">
        <v>304</v>
      </c>
      <c r="C54" s="8" t="s">
        <v>307</v>
      </c>
      <c r="D54" s="8" t="s">
        <v>319</v>
      </c>
      <c r="E54" s="7" t="s">
        <v>170</v>
      </c>
      <c r="F54" s="7" t="s">
        <v>307</v>
      </c>
      <c r="G54" s="7" t="s">
        <v>170</v>
      </c>
      <c r="H54" s="7"/>
      <c r="I54" s="7" t="s">
        <v>320</v>
      </c>
      <c r="J54" s="9">
        <v>0.45400000000000001</v>
      </c>
      <c r="K54" s="7">
        <v>87.7</v>
      </c>
      <c r="L54" s="7" t="s">
        <v>309</v>
      </c>
      <c r="M54" s="9">
        <v>0.41470000000000001</v>
      </c>
      <c r="N54" s="7" t="s">
        <v>60</v>
      </c>
      <c r="O54" s="9">
        <v>0.39360000000000001</v>
      </c>
      <c r="P54" s="7">
        <v>5</v>
      </c>
      <c r="Q54" s="7" t="s">
        <v>321</v>
      </c>
      <c r="R54" s="8" t="s">
        <v>322</v>
      </c>
      <c r="S54" s="10"/>
      <c r="T54" s="10"/>
      <c r="U54" s="11"/>
    </row>
    <row r="55" spans="1:21" ht="70" x14ac:dyDescent="0.35">
      <c r="A55" s="7" t="s">
        <v>21</v>
      </c>
      <c r="B55" s="7" t="s">
        <v>304</v>
      </c>
      <c r="C55" s="8" t="s">
        <v>323</v>
      </c>
      <c r="D55" s="8" t="s">
        <v>324</v>
      </c>
      <c r="E55" s="7" t="s">
        <v>170</v>
      </c>
      <c r="F55" s="7" t="s">
        <v>325</v>
      </c>
      <c r="G55" s="7" t="s">
        <v>170</v>
      </c>
      <c r="H55" s="7"/>
      <c r="I55" s="7" t="s">
        <v>326</v>
      </c>
      <c r="J55" s="9">
        <v>0.44379999999999997</v>
      </c>
      <c r="K55" s="7">
        <v>85</v>
      </c>
      <c r="L55" s="7" t="s">
        <v>327</v>
      </c>
      <c r="M55" s="9">
        <v>0.39400000000000002</v>
      </c>
      <c r="N55" s="7" t="s">
        <v>328</v>
      </c>
      <c r="O55" s="9">
        <v>0.37990000000000002</v>
      </c>
      <c r="P55" s="7">
        <v>1</v>
      </c>
      <c r="Q55" s="7" t="s">
        <v>329</v>
      </c>
      <c r="R55" s="8" t="s">
        <v>330</v>
      </c>
      <c r="S55" s="10"/>
      <c r="T55" s="10"/>
      <c r="U55" s="11"/>
    </row>
    <row r="56" spans="1:21" ht="84" x14ac:dyDescent="0.35">
      <c r="A56" s="7" t="s">
        <v>21</v>
      </c>
      <c r="B56" s="7" t="s">
        <v>304</v>
      </c>
      <c r="C56" s="8" t="s">
        <v>331</v>
      </c>
      <c r="D56" s="8" t="s">
        <v>332</v>
      </c>
      <c r="E56" s="7" t="s">
        <v>170</v>
      </c>
      <c r="F56" s="7" t="s">
        <v>333</v>
      </c>
      <c r="G56" s="7" t="s">
        <v>170</v>
      </c>
      <c r="H56" s="7"/>
      <c r="I56" s="7" t="s">
        <v>334</v>
      </c>
      <c r="J56" s="9">
        <v>0.44319999999999998</v>
      </c>
      <c r="K56" s="7">
        <v>84.8</v>
      </c>
      <c r="L56" s="7" t="s">
        <v>225</v>
      </c>
      <c r="M56" s="9">
        <v>0.44319999999999998</v>
      </c>
      <c r="N56" s="7" t="s">
        <v>179</v>
      </c>
      <c r="O56" s="9">
        <v>0.44080000000000003</v>
      </c>
      <c r="P56" s="7">
        <v>2</v>
      </c>
      <c r="Q56" s="7" t="s">
        <v>335</v>
      </c>
      <c r="R56" s="8" t="s">
        <v>336</v>
      </c>
      <c r="S56" s="10"/>
      <c r="T56" s="10"/>
      <c r="U56" s="11"/>
    </row>
    <row r="57" spans="1:21" ht="56" x14ac:dyDescent="0.35">
      <c r="A57" s="7" t="s">
        <v>21</v>
      </c>
      <c r="B57" s="7" t="s">
        <v>304</v>
      </c>
      <c r="C57" s="8" t="s">
        <v>337</v>
      </c>
      <c r="D57" s="8" t="s">
        <v>338</v>
      </c>
      <c r="E57" s="7" t="s">
        <v>170</v>
      </c>
      <c r="F57" s="7" t="s">
        <v>333</v>
      </c>
      <c r="G57" s="7" t="s">
        <v>170</v>
      </c>
      <c r="H57" s="7"/>
      <c r="I57" s="7" t="s">
        <v>334</v>
      </c>
      <c r="J57" s="9">
        <v>0.4244</v>
      </c>
      <c r="K57" s="7">
        <v>79.8</v>
      </c>
      <c r="L57" s="7" t="s">
        <v>84</v>
      </c>
      <c r="M57" s="9">
        <v>0.4173</v>
      </c>
      <c r="N57" s="7" t="s">
        <v>339</v>
      </c>
      <c r="O57" s="9">
        <v>0.41410000000000002</v>
      </c>
      <c r="P57" s="7">
        <v>3</v>
      </c>
      <c r="Q57" s="7" t="s">
        <v>340</v>
      </c>
      <c r="R57" s="8" t="s">
        <v>341</v>
      </c>
      <c r="S57" s="10"/>
      <c r="T57" s="10"/>
      <c r="U57" s="11"/>
    </row>
    <row r="58" spans="1:21" ht="42" x14ac:dyDescent="0.35">
      <c r="A58" s="7" t="s">
        <v>21</v>
      </c>
      <c r="B58" s="7" t="s">
        <v>304</v>
      </c>
      <c r="C58" s="8" t="s">
        <v>342</v>
      </c>
      <c r="D58" s="8"/>
      <c r="E58" s="7" t="s">
        <v>170</v>
      </c>
      <c r="F58" s="7" t="s">
        <v>342</v>
      </c>
      <c r="G58" s="7" t="s">
        <v>170</v>
      </c>
      <c r="H58" s="7"/>
      <c r="I58" s="7" t="s">
        <v>343</v>
      </c>
      <c r="J58" s="9">
        <v>0.42109999999999997</v>
      </c>
      <c r="K58" s="7">
        <v>79</v>
      </c>
      <c r="L58" s="7" t="s">
        <v>344</v>
      </c>
      <c r="M58" s="9">
        <v>0.40389999999999998</v>
      </c>
      <c r="N58" s="7" t="s">
        <v>345</v>
      </c>
      <c r="O58" s="9">
        <v>0.27829999999999999</v>
      </c>
      <c r="P58" s="7">
        <v>1</v>
      </c>
      <c r="Q58" s="7" t="s">
        <v>346</v>
      </c>
      <c r="R58" s="8" t="s">
        <v>347</v>
      </c>
      <c r="S58" s="10"/>
      <c r="T58" s="10"/>
      <c r="U58" s="11"/>
    </row>
    <row r="59" spans="1:21" ht="70" x14ac:dyDescent="0.35">
      <c r="A59" s="7" t="s">
        <v>21</v>
      </c>
      <c r="B59" s="7" t="s">
        <v>304</v>
      </c>
      <c r="C59" s="8" t="s">
        <v>348</v>
      </c>
      <c r="D59" s="8" t="s">
        <v>349</v>
      </c>
      <c r="E59" s="7" t="s">
        <v>170</v>
      </c>
      <c r="F59" s="7" t="s">
        <v>350</v>
      </c>
      <c r="G59" s="7" t="s">
        <v>170</v>
      </c>
      <c r="H59" s="7"/>
      <c r="I59" s="7" t="s">
        <v>351</v>
      </c>
      <c r="J59" s="9">
        <v>0.4173</v>
      </c>
      <c r="K59" s="7">
        <v>78</v>
      </c>
      <c r="L59" s="7" t="s">
        <v>352</v>
      </c>
      <c r="M59" s="9">
        <v>0.41170000000000001</v>
      </c>
      <c r="N59" s="7" t="s">
        <v>353</v>
      </c>
      <c r="O59" s="9">
        <v>0.37940000000000002</v>
      </c>
      <c r="P59" s="7">
        <v>2</v>
      </c>
      <c r="Q59" s="7" t="s">
        <v>354</v>
      </c>
      <c r="R59" s="8" t="s">
        <v>355</v>
      </c>
      <c r="S59" s="10"/>
      <c r="T59" s="10"/>
      <c r="U59" s="11"/>
    </row>
    <row r="60" spans="1:21" ht="56" x14ac:dyDescent="0.35">
      <c r="A60" s="7" t="s">
        <v>21</v>
      </c>
      <c r="B60" s="7" t="s">
        <v>304</v>
      </c>
      <c r="C60" s="8" t="s">
        <v>356</v>
      </c>
      <c r="D60" s="8"/>
      <c r="E60" s="7" t="s">
        <v>170</v>
      </c>
      <c r="F60" s="7" t="s">
        <v>356</v>
      </c>
      <c r="G60" s="7" t="s">
        <v>170</v>
      </c>
      <c r="H60" s="7"/>
      <c r="I60" s="7" t="s">
        <v>357</v>
      </c>
      <c r="J60" s="9">
        <v>0.41170000000000001</v>
      </c>
      <c r="K60" s="7">
        <v>76.400000000000006</v>
      </c>
      <c r="L60" s="7" t="s">
        <v>358</v>
      </c>
      <c r="M60" s="9">
        <v>0.36859999999999998</v>
      </c>
      <c r="N60" s="7" t="s">
        <v>359</v>
      </c>
      <c r="O60" s="9">
        <v>0.34870000000000001</v>
      </c>
      <c r="P60" s="7">
        <v>5</v>
      </c>
      <c r="Q60" s="7" t="s">
        <v>360</v>
      </c>
      <c r="R60" s="8" t="s">
        <v>361</v>
      </c>
      <c r="S60" s="10"/>
      <c r="T60" s="10"/>
      <c r="U60" s="11"/>
    </row>
    <row r="61" spans="1:21" ht="70" x14ac:dyDescent="0.35">
      <c r="A61" s="7" t="s">
        <v>21</v>
      </c>
      <c r="B61" s="7" t="s">
        <v>304</v>
      </c>
      <c r="C61" s="8" t="s">
        <v>362</v>
      </c>
      <c r="D61" s="8" t="s">
        <v>363</v>
      </c>
      <c r="E61" s="7" t="s">
        <v>170</v>
      </c>
      <c r="F61" s="7" t="s">
        <v>362</v>
      </c>
      <c r="G61" s="7" t="s">
        <v>170</v>
      </c>
      <c r="H61" s="7"/>
      <c r="I61" s="7" t="s">
        <v>364</v>
      </c>
      <c r="J61" s="9">
        <v>0.40279999999999999</v>
      </c>
      <c r="K61" s="7">
        <v>74.099999999999994</v>
      </c>
      <c r="L61" s="7" t="s">
        <v>365</v>
      </c>
      <c r="M61" s="9">
        <v>0.36830000000000002</v>
      </c>
      <c r="N61" s="7" t="s">
        <v>366</v>
      </c>
      <c r="O61" s="9">
        <v>0.35959999999999998</v>
      </c>
      <c r="P61" s="7">
        <v>1</v>
      </c>
      <c r="Q61" s="7" t="s">
        <v>367</v>
      </c>
      <c r="R61" s="8" t="s">
        <v>368</v>
      </c>
      <c r="S61" s="10"/>
      <c r="T61" s="10"/>
      <c r="U61" s="11"/>
    </row>
    <row r="62" spans="1:21" ht="70" x14ac:dyDescent="0.35">
      <c r="A62" s="7" t="s">
        <v>21</v>
      </c>
      <c r="B62" s="7" t="s">
        <v>369</v>
      </c>
      <c r="C62" s="8" t="s">
        <v>370</v>
      </c>
      <c r="D62" s="8" t="s">
        <v>371</v>
      </c>
      <c r="E62" s="7" t="s">
        <v>372</v>
      </c>
      <c r="F62" s="7" t="s">
        <v>373</v>
      </c>
      <c r="G62" s="7"/>
      <c r="H62" s="7"/>
      <c r="I62" s="7"/>
      <c r="J62" s="9"/>
      <c r="K62" s="7"/>
      <c r="L62" s="7"/>
      <c r="M62" s="9"/>
      <c r="N62" s="7"/>
      <c r="O62" s="9"/>
      <c r="P62" s="7">
        <v>1</v>
      </c>
      <c r="Q62" s="7" t="s">
        <v>374</v>
      </c>
      <c r="R62" s="8" t="s">
        <v>375</v>
      </c>
      <c r="S62" s="10"/>
      <c r="T62" s="10"/>
      <c r="U62" s="11"/>
    </row>
    <row r="63" spans="1:21" ht="56" x14ac:dyDescent="0.35">
      <c r="A63" s="7" t="s">
        <v>21</v>
      </c>
      <c r="B63" s="7" t="s">
        <v>369</v>
      </c>
      <c r="C63" s="8" t="s">
        <v>376</v>
      </c>
      <c r="D63" s="8" t="s">
        <v>39</v>
      </c>
      <c r="E63" s="7" t="s">
        <v>22</v>
      </c>
      <c r="F63" s="7" t="s">
        <v>376</v>
      </c>
      <c r="G63" s="7"/>
      <c r="H63" s="7"/>
      <c r="I63" s="7"/>
      <c r="J63" s="9"/>
      <c r="K63" s="7"/>
      <c r="L63" s="7"/>
      <c r="M63" s="9"/>
      <c r="N63" s="7"/>
      <c r="O63" s="9"/>
      <c r="P63" s="7">
        <v>1</v>
      </c>
      <c r="Q63" s="7" t="s">
        <v>41</v>
      </c>
      <c r="R63" s="8" t="s">
        <v>42</v>
      </c>
      <c r="S63" s="10"/>
      <c r="T63" s="10"/>
      <c r="U63" s="11"/>
    </row>
    <row r="64" spans="1:21" ht="112" x14ac:dyDescent="0.35">
      <c r="A64" s="7" t="s">
        <v>21</v>
      </c>
      <c r="B64" s="7" t="s">
        <v>369</v>
      </c>
      <c r="C64" s="8" t="s">
        <v>377</v>
      </c>
      <c r="D64" s="8" t="s">
        <v>378</v>
      </c>
      <c r="E64" s="7" t="s">
        <v>170</v>
      </c>
      <c r="F64" s="7" t="s">
        <v>379</v>
      </c>
      <c r="G64" s="7"/>
      <c r="H64" s="7"/>
      <c r="I64" s="7"/>
      <c r="J64" s="9"/>
      <c r="K64" s="7"/>
      <c r="L64" s="7"/>
      <c r="M64" s="9"/>
      <c r="N64" s="7"/>
      <c r="O64" s="9"/>
      <c r="P64" s="7">
        <v>1</v>
      </c>
      <c r="Q64" s="7" t="s">
        <v>380</v>
      </c>
      <c r="R64" s="8" t="s">
        <v>381</v>
      </c>
      <c r="S64" s="10"/>
      <c r="T64" s="10"/>
      <c r="U64" s="11"/>
    </row>
    <row r="65" spans="1:21" ht="84" x14ac:dyDescent="0.35">
      <c r="A65" s="7" t="s">
        <v>21</v>
      </c>
      <c r="B65" s="7" t="s">
        <v>369</v>
      </c>
      <c r="C65" s="8" t="s">
        <v>382</v>
      </c>
      <c r="D65" s="8" t="s">
        <v>383</v>
      </c>
      <c r="E65" s="7" t="s">
        <v>170</v>
      </c>
      <c r="F65" s="7" t="s">
        <v>384</v>
      </c>
      <c r="G65" s="7"/>
      <c r="H65" s="7"/>
      <c r="I65" s="7"/>
      <c r="J65" s="9"/>
      <c r="K65" s="7"/>
      <c r="L65" s="7"/>
      <c r="M65" s="9"/>
      <c r="N65" s="7"/>
      <c r="O65" s="9"/>
      <c r="P65" s="7">
        <v>1</v>
      </c>
      <c r="Q65" s="7" t="s">
        <v>385</v>
      </c>
      <c r="R65" s="8" t="s">
        <v>386</v>
      </c>
      <c r="S65" s="10"/>
      <c r="T65" s="10"/>
      <c r="U65" s="11"/>
    </row>
    <row r="66" spans="1:21" ht="42" x14ac:dyDescent="0.35">
      <c r="A66" s="7" t="s">
        <v>21</v>
      </c>
      <c r="B66" s="7" t="s">
        <v>369</v>
      </c>
      <c r="C66" s="8" t="s">
        <v>387</v>
      </c>
      <c r="D66" s="8" t="s">
        <v>388</v>
      </c>
      <c r="E66" s="7" t="s">
        <v>372</v>
      </c>
      <c r="F66" s="7" t="s">
        <v>389</v>
      </c>
      <c r="G66" s="7"/>
      <c r="H66" s="7"/>
      <c r="I66" s="7"/>
      <c r="J66" s="9"/>
      <c r="K66" s="7"/>
      <c r="L66" s="7"/>
      <c r="M66" s="9"/>
      <c r="N66" s="7"/>
      <c r="O66" s="9"/>
      <c r="P66" s="7">
        <v>1</v>
      </c>
      <c r="Q66" s="7" t="s">
        <v>390</v>
      </c>
      <c r="R66" s="8" t="s">
        <v>391</v>
      </c>
      <c r="S66" s="10"/>
      <c r="T66" s="10"/>
      <c r="U66" s="11"/>
    </row>
    <row r="67" spans="1:21" ht="84" x14ac:dyDescent="0.35">
      <c r="A67" s="7" t="s">
        <v>21</v>
      </c>
      <c r="B67" s="7" t="s">
        <v>369</v>
      </c>
      <c r="C67" s="8" t="s">
        <v>392</v>
      </c>
      <c r="D67" s="8" t="s">
        <v>393</v>
      </c>
      <c r="E67" s="7" t="s">
        <v>372</v>
      </c>
      <c r="F67" s="7" t="s">
        <v>394</v>
      </c>
      <c r="G67" s="7"/>
      <c r="H67" s="7"/>
      <c r="I67" s="7"/>
      <c r="J67" s="9"/>
      <c r="K67" s="7"/>
      <c r="L67" s="7"/>
      <c r="M67" s="9"/>
      <c r="N67" s="7"/>
      <c r="O67" s="9"/>
      <c r="P67" s="7">
        <v>1</v>
      </c>
      <c r="Q67" s="7" t="s">
        <v>395</v>
      </c>
      <c r="R67" s="8" t="s">
        <v>396</v>
      </c>
      <c r="S67" s="10"/>
      <c r="T67" s="10"/>
      <c r="U67" s="11"/>
    </row>
    <row r="68" spans="1:21" ht="56" x14ac:dyDescent="0.35">
      <c r="A68" s="7" t="s">
        <v>21</v>
      </c>
      <c r="B68" s="7" t="s">
        <v>369</v>
      </c>
      <c r="C68" s="8" t="s">
        <v>397</v>
      </c>
      <c r="D68" s="8"/>
      <c r="E68" s="7" t="s">
        <v>372</v>
      </c>
      <c r="F68" s="7" t="s">
        <v>294</v>
      </c>
      <c r="G68" s="7"/>
      <c r="H68" s="7"/>
      <c r="I68" s="7"/>
      <c r="J68" s="9"/>
      <c r="K68" s="7"/>
      <c r="L68" s="7"/>
      <c r="M68" s="9"/>
      <c r="N68" s="7"/>
      <c r="O68" s="9"/>
      <c r="P68" s="7">
        <v>1</v>
      </c>
      <c r="Q68" s="7" t="s">
        <v>398</v>
      </c>
      <c r="R68" s="8" t="s">
        <v>399</v>
      </c>
      <c r="S68" s="10"/>
      <c r="T68" s="10"/>
      <c r="U68" s="11"/>
    </row>
    <row r="69" spans="1:21" ht="84" x14ac:dyDescent="0.35">
      <c r="A69" s="7" t="s">
        <v>21</v>
      </c>
      <c r="B69" s="7" t="s">
        <v>369</v>
      </c>
      <c r="C69" s="8" t="s">
        <v>400</v>
      </c>
      <c r="D69" s="8" t="s">
        <v>401</v>
      </c>
      <c r="E69" s="7" t="s">
        <v>372</v>
      </c>
      <c r="F69" s="7" t="s">
        <v>402</v>
      </c>
      <c r="G69" s="7"/>
      <c r="H69" s="7"/>
      <c r="I69" s="7"/>
      <c r="J69" s="9"/>
      <c r="K69" s="7"/>
      <c r="L69" s="7"/>
      <c r="M69" s="9"/>
      <c r="N69" s="7"/>
      <c r="O69" s="9"/>
      <c r="P69" s="7">
        <v>1</v>
      </c>
      <c r="Q69" s="7" t="s">
        <v>403</v>
      </c>
      <c r="R69" s="8" t="s">
        <v>404</v>
      </c>
      <c r="S69" s="10"/>
      <c r="T69" s="10"/>
      <c r="U69" s="11"/>
    </row>
    <row r="70" spans="1:21" ht="70" x14ac:dyDescent="0.35">
      <c r="A70" s="7" t="s">
        <v>21</v>
      </c>
      <c r="B70" s="7" t="s">
        <v>369</v>
      </c>
      <c r="C70" s="8" t="s">
        <v>405</v>
      </c>
      <c r="D70" s="8" t="s">
        <v>406</v>
      </c>
      <c r="E70" s="7" t="s">
        <v>372</v>
      </c>
      <c r="F70" s="7" t="s">
        <v>224</v>
      </c>
      <c r="G70" s="7"/>
      <c r="H70" s="7"/>
      <c r="I70" s="7"/>
      <c r="J70" s="9"/>
      <c r="K70" s="7"/>
      <c r="L70" s="7"/>
      <c r="M70" s="9"/>
      <c r="N70" s="7"/>
      <c r="O70" s="9"/>
      <c r="P70" s="7">
        <v>1</v>
      </c>
      <c r="Q70" s="7" t="s">
        <v>407</v>
      </c>
      <c r="R70" s="8" t="s">
        <v>408</v>
      </c>
      <c r="S70" s="10"/>
      <c r="T70" s="10"/>
      <c r="U70" s="11"/>
    </row>
    <row r="71" spans="1:21" ht="112" x14ac:dyDescent="0.35">
      <c r="A71" s="7" t="s">
        <v>21</v>
      </c>
      <c r="B71" s="7" t="s">
        <v>369</v>
      </c>
      <c r="C71" s="8" t="s">
        <v>409</v>
      </c>
      <c r="D71" s="8" t="s">
        <v>410</v>
      </c>
      <c r="E71" s="7" t="s">
        <v>170</v>
      </c>
      <c r="F71" s="7" t="s">
        <v>178</v>
      </c>
      <c r="G71" s="7"/>
      <c r="H71" s="7"/>
      <c r="I71" s="7"/>
      <c r="J71" s="9"/>
      <c r="K71" s="7"/>
      <c r="L71" s="7"/>
      <c r="M71" s="9"/>
      <c r="N71" s="7"/>
      <c r="O71" s="9"/>
      <c r="P71" s="7">
        <v>3</v>
      </c>
      <c r="Q71" s="7" t="s">
        <v>411</v>
      </c>
      <c r="R71" s="8" t="s">
        <v>412</v>
      </c>
      <c r="S71" s="10"/>
      <c r="T71" s="10"/>
      <c r="U71" s="11"/>
    </row>
    <row r="72" spans="1:21" ht="70" x14ac:dyDescent="0.35">
      <c r="A72" s="7" t="s">
        <v>21</v>
      </c>
      <c r="B72" s="7" t="s">
        <v>413</v>
      </c>
      <c r="C72" s="8"/>
      <c r="D72" s="8"/>
      <c r="E72" s="7" t="s">
        <v>414</v>
      </c>
      <c r="F72" s="7"/>
      <c r="G72" s="7"/>
      <c r="H72" s="7"/>
      <c r="I72" s="7"/>
      <c r="J72" s="9"/>
      <c r="K72" s="7"/>
      <c r="L72" s="7"/>
      <c r="M72" s="9"/>
      <c r="N72" s="7"/>
      <c r="O72" s="9"/>
      <c r="P72" s="7">
        <v>1</v>
      </c>
      <c r="Q72" s="7" t="s">
        <v>415</v>
      </c>
      <c r="R72" s="8" t="s">
        <v>416</v>
      </c>
      <c r="S72" s="10"/>
      <c r="T72" s="10"/>
      <c r="U72" s="11"/>
    </row>
    <row r="73" spans="1:21" ht="42" x14ac:dyDescent="0.35">
      <c r="A73" s="7" t="s">
        <v>21</v>
      </c>
      <c r="B73" s="7" t="s">
        <v>413</v>
      </c>
      <c r="C73" s="8"/>
      <c r="D73" s="8"/>
      <c r="E73" s="7" t="s">
        <v>414</v>
      </c>
      <c r="F73" s="7"/>
      <c r="G73" s="7"/>
      <c r="H73" s="7"/>
      <c r="I73" s="7"/>
      <c r="J73" s="9"/>
      <c r="K73" s="7"/>
      <c r="L73" s="7"/>
      <c r="M73" s="9"/>
      <c r="N73" s="7"/>
      <c r="O73" s="9"/>
      <c r="P73" s="7">
        <v>1</v>
      </c>
      <c r="Q73" s="7" t="s">
        <v>417</v>
      </c>
      <c r="R73" s="8" t="s">
        <v>418</v>
      </c>
      <c r="S73" s="10"/>
      <c r="T73" s="10"/>
      <c r="U73" s="11"/>
    </row>
    <row r="74" spans="1:21" ht="70" x14ac:dyDescent="0.35">
      <c r="A74" s="7" t="s">
        <v>21</v>
      </c>
      <c r="B74" s="7" t="s">
        <v>413</v>
      </c>
      <c r="C74" s="8"/>
      <c r="D74" s="8"/>
      <c r="E74" s="7" t="s">
        <v>414</v>
      </c>
      <c r="F74" s="7"/>
      <c r="G74" s="7"/>
      <c r="H74" s="7"/>
      <c r="I74" s="7"/>
      <c r="J74" s="9"/>
      <c r="K74" s="7"/>
      <c r="L74" s="7"/>
      <c r="M74" s="9"/>
      <c r="N74" s="7"/>
      <c r="O74" s="9"/>
      <c r="P74" s="7">
        <v>1</v>
      </c>
      <c r="Q74" s="7" t="s">
        <v>419</v>
      </c>
      <c r="R74" s="8" t="s">
        <v>420</v>
      </c>
      <c r="S74" s="10"/>
      <c r="T74" s="10"/>
      <c r="U74" s="11"/>
    </row>
    <row r="75" spans="1:21" ht="84" x14ac:dyDescent="0.35">
      <c r="A75" s="7" t="s">
        <v>21</v>
      </c>
      <c r="B75" s="7" t="s">
        <v>413</v>
      </c>
      <c r="C75" s="8"/>
      <c r="D75" s="8"/>
      <c r="E75" s="7" t="s">
        <v>414</v>
      </c>
      <c r="F75" s="7"/>
      <c r="G75" s="7"/>
      <c r="H75" s="7"/>
      <c r="I75" s="7"/>
      <c r="J75" s="9"/>
      <c r="K75" s="7"/>
      <c r="L75" s="7"/>
      <c r="M75" s="9"/>
      <c r="N75" s="7"/>
      <c r="O75" s="9"/>
      <c r="P75" s="7">
        <v>1</v>
      </c>
      <c r="Q75" s="7" t="s">
        <v>421</v>
      </c>
      <c r="R75" s="8" t="s">
        <v>422</v>
      </c>
      <c r="S75" s="10"/>
      <c r="T75" s="10"/>
      <c r="U75" s="11"/>
    </row>
    <row r="76" spans="1:21" ht="70" x14ac:dyDescent="0.35">
      <c r="A76" s="7" t="s">
        <v>21</v>
      </c>
      <c r="B76" s="7" t="s">
        <v>413</v>
      </c>
      <c r="C76" s="8"/>
      <c r="D76" s="8"/>
      <c r="E76" s="7" t="s">
        <v>414</v>
      </c>
      <c r="F76" s="7"/>
      <c r="G76" s="7"/>
      <c r="H76" s="7"/>
      <c r="I76" s="7"/>
      <c r="J76" s="9"/>
      <c r="K76" s="7"/>
      <c r="L76" s="7"/>
      <c r="M76" s="9"/>
      <c r="N76" s="7"/>
      <c r="O76" s="9"/>
      <c r="P76" s="7">
        <v>1</v>
      </c>
      <c r="Q76" s="7" t="s">
        <v>423</v>
      </c>
      <c r="R76" s="8" t="s">
        <v>424</v>
      </c>
      <c r="S76" s="10"/>
      <c r="T76" s="10"/>
      <c r="U76" s="11"/>
    </row>
    <row r="77" spans="1:21" ht="42" x14ac:dyDescent="0.35">
      <c r="A77" s="7" t="s">
        <v>21</v>
      </c>
      <c r="B77" s="7" t="s">
        <v>425</v>
      </c>
      <c r="C77" s="8" t="s">
        <v>426</v>
      </c>
      <c r="D77" s="8"/>
      <c r="E77" s="7" t="s">
        <v>372</v>
      </c>
      <c r="F77" s="7"/>
      <c r="G77" s="7"/>
      <c r="H77" s="7"/>
      <c r="I77" s="7"/>
      <c r="J77" s="9"/>
      <c r="K77" s="7"/>
      <c r="L77" s="7"/>
      <c r="M77" s="9"/>
      <c r="N77" s="7"/>
      <c r="O77" s="9"/>
      <c r="P77" s="7">
        <v>1</v>
      </c>
      <c r="Q77" s="7" t="s">
        <v>427</v>
      </c>
      <c r="R77" s="8" t="s">
        <v>428</v>
      </c>
      <c r="S77" s="10"/>
      <c r="T77" s="10"/>
      <c r="U77" s="11"/>
    </row>
    <row r="78" spans="1:21" ht="28" x14ac:dyDescent="0.35">
      <c r="A78" s="7" t="s">
        <v>21</v>
      </c>
      <c r="B78" s="7" t="s">
        <v>425</v>
      </c>
      <c r="C78" s="8" t="s">
        <v>429</v>
      </c>
      <c r="D78" s="8"/>
      <c r="E78" s="7" t="s">
        <v>372</v>
      </c>
      <c r="F78" s="7"/>
      <c r="G78" s="7"/>
      <c r="H78" s="7"/>
      <c r="I78" s="7"/>
      <c r="J78" s="9"/>
      <c r="K78" s="7"/>
      <c r="L78" s="7"/>
      <c r="M78" s="9"/>
      <c r="N78" s="7"/>
      <c r="O78" s="9"/>
      <c r="P78" s="7">
        <v>1</v>
      </c>
      <c r="Q78" s="7" t="s">
        <v>430</v>
      </c>
      <c r="R78" s="8" t="s">
        <v>431</v>
      </c>
      <c r="S78" s="10"/>
      <c r="T78" s="10"/>
      <c r="U78" s="11"/>
    </row>
    <row r="79" spans="1:21" ht="70" x14ac:dyDescent="0.35">
      <c r="A79" s="7" t="s">
        <v>21</v>
      </c>
      <c r="B79" s="7" t="s">
        <v>425</v>
      </c>
      <c r="C79" s="8" t="s">
        <v>432</v>
      </c>
      <c r="D79" s="8"/>
      <c r="E79" s="7" t="s">
        <v>372</v>
      </c>
      <c r="F79" s="7"/>
      <c r="G79" s="7"/>
      <c r="H79" s="7"/>
      <c r="I79" s="7"/>
      <c r="J79" s="9"/>
      <c r="K79" s="7"/>
      <c r="L79" s="7"/>
      <c r="M79" s="9"/>
      <c r="N79" s="7"/>
      <c r="O79" s="9"/>
      <c r="P79" s="7">
        <v>1</v>
      </c>
      <c r="Q79" s="7" t="s">
        <v>433</v>
      </c>
      <c r="R79" s="8" t="s">
        <v>434</v>
      </c>
      <c r="S79" s="10"/>
      <c r="T79" s="10"/>
      <c r="U79" s="11"/>
    </row>
    <row r="80" spans="1:21" ht="56" x14ac:dyDescent="0.35">
      <c r="A80" s="7" t="s">
        <v>21</v>
      </c>
      <c r="B80" s="7" t="s">
        <v>425</v>
      </c>
      <c r="C80" s="8" t="s">
        <v>432</v>
      </c>
      <c r="D80" s="8"/>
      <c r="E80" s="7" t="s">
        <v>372</v>
      </c>
      <c r="F80" s="7"/>
      <c r="G80" s="7"/>
      <c r="H80" s="7"/>
      <c r="I80" s="7"/>
      <c r="J80" s="9"/>
      <c r="K80" s="7"/>
      <c r="L80" s="7"/>
      <c r="M80" s="9"/>
      <c r="N80" s="7"/>
      <c r="O80" s="9"/>
      <c r="P80" s="7">
        <v>1</v>
      </c>
      <c r="Q80" s="7" t="s">
        <v>435</v>
      </c>
      <c r="R80" s="8" t="s">
        <v>436</v>
      </c>
      <c r="S80" s="10"/>
      <c r="T80" s="10"/>
      <c r="U80" s="11"/>
    </row>
    <row r="81" spans="1:21" ht="84" x14ac:dyDescent="0.35">
      <c r="A81" s="7" t="s">
        <v>21</v>
      </c>
      <c r="B81" s="7" t="s">
        <v>425</v>
      </c>
      <c r="C81" s="8" t="s">
        <v>437</v>
      </c>
      <c r="D81" s="8"/>
      <c r="E81" s="7" t="s">
        <v>372</v>
      </c>
      <c r="F81" s="7"/>
      <c r="G81" s="7"/>
      <c r="H81" s="7"/>
      <c r="I81" s="7"/>
      <c r="J81" s="9"/>
      <c r="K81" s="7"/>
      <c r="L81" s="7"/>
      <c r="M81" s="9"/>
      <c r="N81" s="7"/>
      <c r="O81" s="9"/>
      <c r="P81" s="7">
        <v>1</v>
      </c>
      <c r="Q81" s="7" t="s">
        <v>438</v>
      </c>
      <c r="R81" s="8" t="s">
        <v>439</v>
      </c>
      <c r="S81" s="10"/>
      <c r="T81" s="10"/>
      <c r="U81" s="11"/>
    </row>
  </sheetData>
  <autoFilter ref="A1:U81" xr:uid="{00000000-0009-0000-0000-000001000000}"/>
  <dataValidations count="1">
    <dataValidation type="list" allowBlank="1" showErrorMessage="1" errorTitle="Judgement" error="Choose: correct, partial, wrong, unclear" sqref="S2:S81" xr:uid="{00000000-0002-0000-0100-000000000000}">
      <formula1>"correct,partial,wrong,unclear"</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5"/>
  <sheetViews>
    <sheetView workbookViewId="0"/>
  </sheetViews>
  <sheetFormatPr defaultRowHeight="14.5" x14ac:dyDescent="0.35"/>
  <cols>
    <col min="1" max="1" width="22" customWidth="1"/>
    <col min="2" max="2" width="9" customWidth="1"/>
    <col min="3" max="3" width="10" customWidth="1"/>
    <col min="4" max="8" width="8" customWidth="1"/>
    <col min="9" max="9" width="17" customWidth="1"/>
    <col min="10" max="10" width="18" customWidth="1"/>
  </cols>
  <sheetData>
    <row r="1" spans="1:10" x14ac:dyDescent="0.35">
      <c r="A1" s="4" t="s">
        <v>1</v>
      </c>
      <c r="B1" s="4" t="s">
        <v>468</v>
      </c>
      <c r="C1" s="4" t="s">
        <v>469</v>
      </c>
      <c r="D1" s="4" t="s">
        <v>470</v>
      </c>
      <c r="E1" s="4" t="s">
        <v>471</v>
      </c>
      <c r="F1" s="4" t="s">
        <v>465</v>
      </c>
      <c r="G1" s="4" t="s">
        <v>472</v>
      </c>
      <c r="H1" s="4" t="s">
        <v>473</v>
      </c>
      <c r="I1" s="4" t="s">
        <v>474</v>
      </c>
      <c r="J1" s="4" t="s">
        <v>475</v>
      </c>
    </row>
    <row r="2" spans="1:10" x14ac:dyDescent="0.35">
      <c r="A2" s="5" t="s">
        <v>22</v>
      </c>
      <c r="B2" s="5">
        <v>21</v>
      </c>
      <c r="C2" s="5">
        <f>COUNTIFS(Validate!$B$2:$B$81,A2,Validate!$A$2:$A$81,"yes")</f>
        <v>10</v>
      </c>
      <c r="D2" s="5">
        <f>COUNTIFS(Validate!$B$2:$B$81,A2,Validate!$S$2:$S$81,"&lt;&gt;")</f>
        <v>0</v>
      </c>
      <c r="E2" s="5">
        <f>COUNTIFS(Validate!$B$2:$B$81,A2,Validate!$S$2:$S$81,"correct")</f>
        <v>0</v>
      </c>
      <c r="F2" s="5">
        <f>COUNTIFS(Validate!$B$2:$B$81,A2,Validate!$S$2:$S$81,"partial")</f>
        <v>0</v>
      </c>
      <c r="G2" s="5">
        <f>COUNTIFS(Validate!$B$2:$B$81,A2,Validate!$S$2:$S$81,"wrong")</f>
        <v>0</v>
      </c>
      <c r="H2" s="5">
        <f>COUNTIFS(Validate!$B$2:$B$81,A2,Validate!$S$2:$S$81,"unclear")</f>
        <v>0</v>
      </c>
      <c r="I2" s="12" t="str">
        <f t="shared" ref="I2:I11" si="0">IFERROR(E2/(D2-H2),"")</f>
        <v/>
      </c>
      <c r="J2" s="12" t="str">
        <f t="shared" ref="J2:J11" si="1">IFERROR((E2+F2)/(D2-H2),"")</f>
        <v/>
      </c>
    </row>
    <row r="3" spans="1:10" x14ac:dyDescent="0.35">
      <c r="A3" s="5" t="s">
        <v>5</v>
      </c>
      <c r="B3" s="5">
        <v>31</v>
      </c>
      <c r="C3" s="5">
        <f>COUNTIFS(Validate!$B$2:$B$81,A3,Validate!$A$2:$A$81,"yes")</f>
        <v>10</v>
      </c>
      <c r="D3" s="5">
        <f>COUNTIFS(Validate!$B$2:$B$81,A3,Validate!$S$2:$S$81,"&lt;&gt;")</f>
        <v>0</v>
      </c>
      <c r="E3" s="5">
        <f>COUNTIFS(Validate!$B$2:$B$81,A3,Validate!$S$2:$S$81,"correct")</f>
        <v>0</v>
      </c>
      <c r="F3" s="5">
        <f>COUNTIFS(Validate!$B$2:$B$81,A3,Validate!$S$2:$S$81,"partial")</f>
        <v>0</v>
      </c>
      <c r="G3" s="5">
        <f>COUNTIFS(Validate!$B$2:$B$81,A3,Validate!$S$2:$S$81,"wrong")</f>
        <v>0</v>
      </c>
      <c r="H3" s="5">
        <f>COUNTIFS(Validate!$B$2:$B$81,A3,Validate!$S$2:$S$81,"unclear")</f>
        <v>0</v>
      </c>
      <c r="I3" s="12" t="str">
        <f t="shared" si="0"/>
        <v/>
      </c>
      <c r="J3" s="12" t="str">
        <f t="shared" si="1"/>
        <v/>
      </c>
    </row>
    <row r="4" spans="1:10" x14ac:dyDescent="0.35">
      <c r="A4" s="5" t="s">
        <v>116</v>
      </c>
      <c r="B4" s="5">
        <v>12</v>
      </c>
      <c r="C4" s="5">
        <f>COUNTIFS(Validate!$B$2:$B$81,A4,Validate!$A$2:$A$81,"yes")</f>
        <v>10</v>
      </c>
      <c r="D4" s="5">
        <f>COUNTIFS(Validate!$B$2:$B$81,A4,Validate!$S$2:$S$81,"&lt;&gt;")</f>
        <v>0</v>
      </c>
      <c r="E4" s="5">
        <f>COUNTIFS(Validate!$B$2:$B$81,A4,Validate!$S$2:$S$81,"correct")</f>
        <v>0</v>
      </c>
      <c r="F4" s="5">
        <f>COUNTIFS(Validate!$B$2:$B$81,A4,Validate!$S$2:$S$81,"partial")</f>
        <v>0</v>
      </c>
      <c r="G4" s="5">
        <f>COUNTIFS(Validate!$B$2:$B$81,A4,Validate!$S$2:$S$81,"wrong")</f>
        <v>0</v>
      </c>
      <c r="H4" s="5">
        <f>COUNTIFS(Validate!$B$2:$B$81,A4,Validate!$S$2:$S$81,"unclear")</f>
        <v>0</v>
      </c>
      <c r="I4" s="12" t="str">
        <f t="shared" si="0"/>
        <v/>
      </c>
      <c r="J4" s="12" t="str">
        <f t="shared" si="1"/>
        <v/>
      </c>
    </row>
    <row r="5" spans="1:10" x14ac:dyDescent="0.35">
      <c r="A5" s="5" t="s">
        <v>166</v>
      </c>
      <c r="B5" s="5">
        <v>59</v>
      </c>
      <c r="C5" s="5">
        <f>COUNTIFS(Validate!$B$2:$B$81,A5,Validate!$A$2:$A$81,"yes")</f>
        <v>10</v>
      </c>
      <c r="D5" s="5">
        <f>COUNTIFS(Validate!$B$2:$B$81,A5,Validate!$S$2:$S$81,"&lt;&gt;")</f>
        <v>0</v>
      </c>
      <c r="E5" s="5">
        <f>COUNTIFS(Validate!$B$2:$B$81,A5,Validate!$S$2:$S$81,"correct")</f>
        <v>0</v>
      </c>
      <c r="F5" s="5">
        <f>COUNTIFS(Validate!$B$2:$B$81,A5,Validate!$S$2:$S$81,"partial")</f>
        <v>0</v>
      </c>
      <c r="G5" s="5">
        <f>COUNTIFS(Validate!$B$2:$B$81,A5,Validate!$S$2:$S$81,"wrong")</f>
        <v>0</v>
      </c>
      <c r="H5" s="5">
        <f>COUNTIFS(Validate!$B$2:$B$81,A5,Validate!$S$2:$S$81,"unclear")</f>
        <v>0</v>
      </c>
      <c r="I5" s="12" t="str">
        <f t="shared" si="0"/>
        <v/>
      </c>
      <c r="J5" s="12" t="str">
        <f t="shared" si="1"/>
        <v/>
      </c>
    </row>
    <row r="6" spans="1:10" x14ac:dyDescent="0.35">
      <c r="A6" s="5" t="s">
        <v>233</v>
      </c>
      <c r="B6" s="5">
        <v>46</v>
      </c>
      <c r="C6" s="5">
        <f>COUNTIFS(Validate!$B$2:$B$81,A6,Validate!$A$2:$A$81,"yes")</f>
        <v>10</v>
      </c>
      <c r="D6" s="5">
        <f>COUNTIFS(Validate!$B$2:$B$81,A6,Validate!$S$2:$S$81,"&lt;&gt;")</f>
        <v>0</v>
      </c>
      <c r="E6" s="5">
        <f>COUNTIFS(Validate!$B$2:$B$81,A6,Validate!$S$2:$S$81,"correct")</f>
        <v>0</v>
      </c>
      <c r="F6" s="5">
        <f>COUNTIFS(Validate!$B$2:$B$81,A6,Validate!$S$2:$S$81,"partial")</f>
        <v>0</v>
      </c>
      <c r="G6" s="5">
        <f>COUNTIFS(Validate!$B$2:$B$81,A6,Validate!$S$2:$S$81,"wrong")</f>
        <v>0</v>
      </c>
      <c r="H6" s="5">
        <f>COUNTIFS(Validate!$B$2:$B$81,A6,Validate!$S$2:$S$81,"unclear")</f>
        <v>0</v>
      </c>
      <c r="I6" s="12" t="str">
        <f t="shared" si="0"/>
        <v/>
      </c>
      <c r="J6" s="12" t="str">
        <f t="shared" si="1"/>
        <v/>
      </c>
    </row>
    <row r="7" spans="1:10" x14ac:dyDescent="0.35">
      <c r="A7" s="5" t="s">
        <v>304</v>
      </c>
      <c r="B7" s="5">
        <v>34</v>
      </c>
      <c r="C7" s="5">
        <f>COUNTIFS(Validate!$B$2:$B$81,A7,Validate!$A$2:$A$81,"yes")</f>
        <v>10</v>
      </c>
      <c r="D7" s="5">
        <f>COUNTIFS(Validate!$B$2:$B$81,A7,Validate!$S$2:$S$81,"&lt;&gt;")</f>
        <v>0</v>
      </c>
      <c r="E7" s="5">
        <f>COUNTIFS(Validate!$B$2:$B$81,A7,Validate!$S$2:$S$81,"correct")</f>
        <v>0</v>
      </c>
      <c r="F7" s="5">
        <f>COUNTIFS(Validate!$B$2:$B$81,A7,Validate!$S$2:$S$81,"partial")</f>
        <v>0</v>
      </c>
      <c r="G7" s="5">
        <f>COUNTIFS(Validate!$B$2:$B$81,A7,Validate!$S$2:$S$81,"wrong")</f>
        <v>0</v>
      </c>
      <c r="H7" s="5">
        <f>COUNTIFS(Validate!$B$2:$B$81,A7,Validate!$S$2:$S$81,"unclear")</f>
        <v>0</v>
      </c>
      <c r="I7" s="12" t="str">
        <f t="shared" si="0"/>
        <v/>
      </c>
      <c r="J7" s="12" t="str">
        <f t="shared" si="1"/>
        <v/>
      </c>
    </row>
    <row r="8" spans="1:10" x14ac:dyDescent="0.35">
      <c r="A8" s="5" t="s">
        <v>369</v>
      </c>
      <c r="B8" s="5">
        <v>46</v>
      </c>
      <c r="C8" s="5">
        <f>COUNTIFS(Validate!$B$2:$B$81,A8,Validate!$A$2:$A$81,"yes")</f>
        <v>10</v>
      </c>
      <c r="D8" s="5">
        <f>COUNTIFS(Validate!$B$2:$B$81,A8,Validate!$S$2:$S$81,"&lt;&gt;")</f>
        <v>0</v>
      </c>
      <c r="E8" s="5">
        <f>COUNTIFS(Validate!$B$2:$B$81,A8,Validate!$S$2:$S$81,"correct")</f>
        <v>0</v>
      </c>
      <c r="F8" s="5">
        <f>COUNTIFS(Validate!$B$2:$B$81,A8,Validate!$S$2:$S$81,"partial")</f>
        <v>0</v>
      </c>
      <c r="G8" s="5">
        <f>COUNTIFS(Validate!$B$2:$B$81,A8,Validate!$S$2:$S$81,"wrong")</f>
        <v>0</v>
      </c>
      <c r="H8" s="5">
        <f>COUNTIFS(Validate!$B$2:$B$81,A8,Validate!$S$2:$S$81,"unclear")</f>
        <v>0</v>
      </c>
      <c r="I8" s="12" t="str">
        <f t="shared" si="0"/>
        <v/>
      </c>
      <c r="J8" s="12" t="str">
        <f t="shared" si="1"/>
        <v/>
      </c>
    </row>
    <row r="9" spans="1:10" x14ac:dyDescent="0.35">
      <c r="A9" s="5" t="s">
        <v>413</v>
      </c>
      <c r="B9" s="5">
        <v>24</v>
      </c>
      <c r="C9" s="5">
        <f>COUNTIFS(Validate!$B$2:$B$81,A9,Validate!$A$2:$A$81,"yes")</f>
        <v>5</v>
      </c>
      <c r="D9" s="5">
        <f>COUNTIFS(Validate!$B$2:$B$81,A9,Validate!$S$2:$S$81,"&lt;&gt;")</f>
        <v>0</v>
      </c>
      <c r="E9" s="5">
        <f>COUNTIFS(Validate!$B$2:$B$81,A9,Validate!$S$2:$S$81,"correct")</f>
        <v>0</v>
      </c>
      <c r="F9" s="5">
        <f>COUNTIFS(Validate!$B$2:$B$81,A9,Validate!$S$2:$S$81,"partial")</f>
        <v>0</v>
      </c>
      <c r="G9" s="5">
        <f>COUNTIFS(Validate!$B$2:$B$81,A9,Validate!$S$2:$S$81,"wrong")</f>
        <v>0</v>
      </c>
      <c r="H9" s="5">
        <f>COUNTIFS(Validate!$B$2:$B$81,A9,Validate!$S$2:$S$81,"unclear")</f>
        <v>0</v>
      </c>
      <c r="I9" s="12" t="str">
        <f t="shared" si="0"/>
        <v/>
      </c>
      <c r="J9" s="12" t="str">
        <f t="shared" si="1"/>
        <v/>
      </c>
    </row>
    <row r="10" spans="1:10" x14ac:dyDescent="0.35">
      <c r="A10" s="5" t="s">
        <v>425</v>
      </c>
      <c r="B10" s="5">
        <v>21</v>
      </c>
      <c r="C10" s="5">
        <f>COUNTIFS(Validate!$B$2:$B$81,A10,Validate!$A$2:$A$81,"yes")</f>
        <v>5</v>
      </c>
      <c r="D10" s="5">
        <f>COUNTIFS(Validate!$B$2:$B$81,A10,Validate!$S$2:$S$81,"&lt;&gt;")</f>
        <v>0</v>
      </c>
      <c r="E10" s="5">
        <f>COUNTIFS(Validate!$B$2:$B$81,A10,Validate!$S$2:$S$81,"correct")</f>
        <v>0</v>
      </c>
      <c r="F10" s="5">
        <f>COUNTIFS(Validate!$B$2:$B$81,A10,Validate!$S$2:$S$81,"partial")</f>
        <v>0</v>
      </c>
      <c r="G10" s="5">
        <f>COUNTIFS(Validate!$B$2:$B$81,A10,Validate!$S$2:$S$81,"wrong")</f>
        <v>0</v>
      </c>
      <c r="H10" s="5">
        <f>COUNTIFS(Validate!$B$2:$B$81,A10,Validate!$S$2:$S$81,"unclear")</f>
        <v>0</v>
      </c>
      <c r="I10" s="12" t="str">
        <f t="shared" si="0"/>
        <v/>
      </c>
      <c r="J10" s="12" t="str">
        <f t="shared" si="1"/>
        <v/>
      </c>
    </row>
    <row r="11" spans="1:10" x14ac:dyDescent="0.35">
      <c r="A11" s="13" t="s">
        <v>476</v>
      </c>
      <c r="B11" s="13">
        <f t="shared" ref="B11:H11" si="2">SUM(B2:B10)</f>
        <v>294</v>
      </c>
      <c r="C11" s="13">
        <f t="shared" si="2"/>
        <v>80</v>
      </c>
      <c r="D11" s="13">
        <f t="shared" si="2"/>
        <v>0</v>
      </c>
      <c r="E11" s="13">
        <f t="shared" si="2"/>
        <v>0</v>
      </c>
      <c r="F11" s="13">
        <f t="shared" si="2"/>
        <v>0</v>
      </c>
      <c r="G11" s="13">
        <f t="shared" si="2"/>
        <v>0</v>
      </c>
      <c r="H11" s="13">
        <f t="shared" si="2"/>
        <v>0</v>
      </c>
      <c r="I11" s="14" t="str">
        <f t="shared" si="0"/>
        <v/>
      </c>
      <c r="J11" s="14" t="str">
        <f t="shared" si="1"/>
        <v/>
      </c>
    </row>
    <row r="13" spans="1:10" x14ac:dyDescent="0.35">
      <c r="A13" s="15" t="s">
        <v>477</v>
      </c>
    </row>
    <row r="14" spans="1:10" x14ac:dyDescent="0.35">
      <c r="A14" s="15" t="s">
        <v>478</v>
      </c>
    </row>
    <row r="15" spans="1:10" x14ac:dyDescent="0.35">
      <c r="A15" s="15" t="s">
        <v>479</v>
      </c>
    </row>
    <row r="16" spans="1:10" x14ac:dyDescent="0.35">
      <c r="A16" s="15" t="s">
        <v>480</v>
      </c>
    </row>
    <row r="17" spans="1:3" x14ac:dyDescent="0.35">
      <c r="A17" s="15" t="s">
        <v>481</v>
      </c>
    </row>
    <row r="19" spans="1:3" ht="28" x14ac:dyDescent="0.35">
      <c r="A19" s="4" t="s">
        <v>4</v>
      </c>
      <c r="B19" s="4" t="s">
        <v>482</v>
      </c>
      <c r="C19" s="4" t="s">
        <v>483</v>
      </c>
    </row>
    <row r="20" spans="1:3" x14ac:dyDescent="0.35">
      <c r="A20" s="5" t="s">
        <v>170</v>
      </c>
      <c r="B20" s="5">
        <v>217</v>
      </c>
      <c r="C20" s="5">
        <v>28</v>
      </c>
    </row>
    <row r="21" spans="1:3" x14ac:dyDescent="0.35">
      <c r="A21" s="5" t="s">
        <v>372</v>
      </c>
      <c r="B21" s="5">
        <v>74</v>
      </c>
      <c r="C21" s="5">
        <v>11</v>
      </c>
    </row>
    <row r="22" spans="1:3" x14ac:dyDescent="0.35">
      <c r="A22" s="5" t="s">
        <v>22</v>
      </c>
      <c r="B22" s="5">
        <v>35</v>
      </c>
      <c r="C22" s="5">
        <v>16</v>
      </c>
    </row>
    <row r="23" spans="1:3" x14ac:dyDescent="0.35">
      <c r="A23" s="5" t="s">
        <v>5</v>
      </c>
      <c r="B23" s="5">
        <v>31</v>
      </c>
      <c r="C23" s="5">
        <v>10</v>
      </c>
    </row>
    <row r="24" spans="1:3" x14ac:dyDescent="0.35">
      <c r="A24" s="5" t="s">
        <v>414</v>
      </c>
      <c r="B24" s="5">
        <v>24</v>
      </c>
      <c r="C24" s="5">
        <v>5</v>
      </c>
    </row>
    <row r="25" spans="1:3" x14ac:dyDescent="0.35">
      <c r="A25" s="5" t="s">
        <v>116</v>
      </c>
      <c r="B25" s="5">
        <v>15</v>
      </c>
      <c r="C25" s="5">
        <v>10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97"/>
  <sheetViews>
    <sheetView workbookViewId="0">
      <pane xSplit="1" ySplit="1" topLeftCell="B2" activePane="bottomRight" state="frozen"/>
      <selection pane="topRight"/>
      <selection pane="bottomLeft"/>
      <selection pane="bottomRight"/>
    </sheetView>
  </sheetViews>
  <sheetFormatPr defaultRowHeight="14.5" x14ac:dyDescent="0.35"/>
  <cols>
    <col min="1" max="1" width="22" customWidth="1"/>
    <col min="2" max="2" width="50" customWidth="1"/>
    <col min="3" max="3" width="35" customWidth="1"/>
    <col min="4" max="4" width="11" customWidth="1"/>
    <col min="5" max="5" width="26" customWidth="1"/>
    <col min="6" max="6" width="8" customWidth="1"/>
    <col min="7" max="8" width="22" customWidth="1"/>
    <col min="9" max="9" width="16" customWidth="1"/>
  </cols>
  <sheetData>
    <row r="1" spans="1:9" x14ac:dyDescent="0.35">
      <c r="A1" s="4" t="s">
        <v>484</v>
      </c>
      <c r="B1" s="4" t="s">
        <v>2</v>
      </c>
      <c r="C1" s="4" t="s">
        <v>485</v>
      </c>
      <c r="D1" s="4" t="s">
        <v>6</v>
      </c>
      <c r="E1" s="4" t="s">
        <v>8</v>
      </c>
      <c r="F1" s="4" t="s">
        <v>9</v>
      </c>
      <c r="G1" s="4" t="s">
        <v>11</v>
      </c>
      <c r="H1" s="4" t="s">
        <v>13</v>
      </c>
      <c r="I1" s="4" t="s">
        <v>4</v>
      </c>
    </row>
    <row r="2" spans="1:9" x14ac:dyDescent="0.35">
      <c r="A2" s="16" t="s">
        <v>486</v>
      </c>
      <c r="B2" s="17" t="s">
        <v>487</v>
      </c>
      <c r="C2" s="17" t="s">
        <v>487</v>
      </c>
      <c r="D2" s="16" t="s">
        <v>170</v>
      </c>
      <c r="E2" s="16" t="s">
        <v>488</v>
      </c>
      <c r="F2" s="16">
        <v>0.3594</v>
      </c>
      <c r="G2" s="16" t="s">
        <v>489</v>
      </c>
      <c r="H2" s="16"/>
      <c r="I2" s="16" t="s">
        <v>170</v>
      </c>
    </row>
    <row r="3" spans="1:9" x14ac:dyDescent="0.35">
      <c r="A3" s="16" t="s">
        <v>490</v>
      </c>
      <c r="B3" s="17" t="s">
        <v>491</v>
      </c>
      <c r="C3" s="17" t="s">
        <v>492</v>
      </c>
      <c r="D3" s="16" t="s">
        <v>22</v>
      </c>
      <c r="E3" s="16" t="s">
        <v>492</v>
      </c>
      <c r="F3" s="16">
        <v>1</v>
      </c>
      <c r="G3" s="16"/>
      <c r="H3" s="16"/>
      <c r="I3" s="16" t="s">
        <v>22</v>
      </c>
    </row>
    <row r="4" spans="1:9" ht="28" x14ac:dyDescent="0.35">
      <c r="A4" s="16" t="s">
        <v>493</v>
      </c>
      <c r="B4" s="17" t="s">
        <v>494</v>
      </c>
      <c r="C4" s="17" t="s">
        <v>495</v>
      </c>
      <c r="D4" s="16" t="s">
        <v>170</v>
      </c>
      <c r="E4" s="16" t="s">
        <v>496</v>
      </c>
      <c r="F4" s="16">
        <v>0.30659999999999998</v>
      </c>
      <c r="G4" s="16" t="s">
        <v>497</v>
      </c>
      <c r="H4" s="16" t="s">
        <v>498</v>
      </c>
      <c r="I4" s="16" t="s">
        <v>170</v>
      </c>
    </row>
    <row r="5" spans="1:9" x14ac:dyDescent="0.35">
      <c r="A5" s="16" t="s">
        <v>499</v>
      </c>
      <c r="B5" s="17" t="s">
        <v>500</v>
      </c>
      <c r="C5" s="17" t="s">
        <v>501</v>
      </c>
      <c r="D5" s="16" t="s">
        <v>170</v>
      </c>
      <c r="E5" s="16" t="s">
        <v>502</v>
      </c>
      <c r="F5" s="16">
        <v>0.4128</v>
      </c>
      <c r="G5" s="16" t="s">
        <v>503</v>
      </c>
      <c r="H5" s="16" t="s">
        <v>504</v>
      </c>
      <c r="I5" s="16" t="s">
        <v>170</v>
      </c>
    </row>
    <row r="6" spans="1:9" ht="70" x14ac:dyDescent="0.35">
      <c r="A6" s="16" t="s">
        <v>76</v>
      </c>
      <c r="B6" s="17" t="s">
        <v>73</v>
      </c>
      <c r="C6" s="17" t="s">
        <v>72</v>
      </c>
      <c r="D6" s="16" t="s">
        <v>5</v>
      </c>
      <c r="E6" s="16" t="s">
        <v>75</v>
      </c>
      <c r="F6" s="16">
        <v>0.8</v>
      </c>
      <c r="G6" s="16"/>
      <c r="H6" s="16"/>
      <c r="I6" s="16" t="s">
        <v>5</v>
      </c>
    </row>
    <row r="7" spans="1:9" ht="56" x14ac:dyDescent="0.35">
      <c r="A7" s="16" t="s">
        <v>125</v>
      </c>
      <c r="B7" s="17" t="s">
        <v>122</v>
      </c>
      <c r="C7" s="17" t="s">
        <v>121</v>
      </c>
      <c r="D7" s="16" t="s">
        <v>116</v>
      </c>
      <c r="E7" s="16" t="s">
        <v>124</v>
      </c>
      <c r="F7" s="16">
        <v>0.6</v>
      </c>
      <c r="G7" s="16"/>
      <c r="H7" s="16"/>
      <c r="I7" s="16" t="s">
        <v>116</v>
      </c>
    </row>
    <row r="8" spans="1:9" x14ac:dyDescent="0.35">
      <c r="A8" s="16" t="s">
        <v>505</v>
      </c>
      <c r="B8" s="17" t="s">
        <v>506</v>
      </c>
      <c r="C8" s="17" t="s">
        <v>501</v>
      </c>
      <c r="D8" s="16" t="s">
        <v>170</v>
      </c>
      <c r="E8" s="16" t="s">
        <v>502</v>
      </c>
      <c r="F8" s="16">
        <v>0.4128</v>
      </c>
      <c r="G8" s="16" t="s">
        <v>503</v>
      </c>
      <c r="H8" s="16" t="s">
        <v>504</v>
      </c>
      <c r="I8" s="16" t="s">
        <v>170</v>
      </c>
    </row>
    <row r="9" spans="1:9" ht="56" x14ac:dyDescent="0.35">
      <c r="A9" s="16" t="s">
        <v>507</v>
      </c>
      <c r="B9" s="17" t="s">
        <v>122</v>
      </c>
      <c r="C9" s="17" t="s">
        <v>121</v>
      </c>
      <c r="D9" s="16" t="s">
        <v>116</v>
      </c>
      <c r="E9" s="16" t="s">
        <v>124</v>
      </c>
      <c r="F9" s="16">
        <v>0.6</v>
      </c>
      <c r="G9" s="16"/>
      <c r="H9" s="16"/>
      <c r="I9" s="16" t="s">
        <v>116</v>
      </c>
    </row>
    <row r="10" spans="1:9" x14ac:dyDescent="0.35">
      <c r="A10" s="16" t="s">
        <v>508</v>
      </c>
      <c r="B10" s="17" t="s">
        <v>506</v>
      </c>
      <c r="C10" s="17" t="s">
        <v>501</v>
      </c>
      <c r="D10" s="16" t="s">
        <v>170</v>
      </c>
      <c r="E10" s="16" t="s">
        <v>502</v>
      </c>
      <c r="F10" s="16">
        <v>0.4128</v>
      </c>
      <c r="G10" s="16" t="s">
        <v>503</v>
      </c>
      <c r="H10" s="16" t="s">
        <v>504</v>
      </c>
      <c r="I10" s="16" t="s">
        <v>170</v>
      </c>
    </row>
    <row r="11" spans="1:9" x14ac:dyDescent="0.35">
      <c r="A11" s="16" t="s">
        <v>509</v>
      </c>
      <c r="B11" s="17" t="s">
        <v>510</v>
      </c>
      <c r="C11" s="17" t="s">
        <v>511</v>
      </c>
      <c r="D11" s="16" t="s">
        <v>170</v>
      </c>
      <c r="E11" s="16" t="s">
        <v>512</v>
      </c>
      <c r="F11" s="16">
        <v>0.26040000000000002</v>
      </c>
      <c r="G11" s="16" t="s">
        <v>513</v>
      </c>
      <c r="H11" s="16"/>
      <c r="I11" s="16" t="s">
        <v>170</v>
      </c>
    </row>
    <row r="12" spans="1:9" x14ac:dyDescent="0.35">
      <c r="A12" s="16" t="s">
        <v>514</v>
      </c>
      <c r="B12" s="17" t="s">
        <v>515</v>
      </c>
      <c r="C12" s="17" t="s">
        <v>516</v>
      </c>
      <c r="D12" s="16"/>
      <c r="E12" s="16"/>
      <c r="F12" s="16"/>
      <c r="G12" s="16"/>
      <c r="H12" s="16"/>
      <c r="I12" s="16" t="s">
        <v>372</v>
      </c>
    </row>
    <row r="13" spans="1:9" ht="70" x14ac:dyDescent="0.35">
      <c r="A13" s="16" t="s">
        <v>283</v>
      </c>
      <c r="B13" s="17" t="s">
        <v>278</v>
      </c>
      <c r="C13" s="17" t="s">
        <v>277</v>
      </c>
      <c r="D13" s="16" t="s">
        <v>170</v>
      </c>
      <c r="E13" s="16" t="s">
        <v>280</v>
      </c>
      <c r="F13" s="16">
        <v>0.35020000000000001</v>
      </c>
      <c r="G13" s="16" t="s">
        <v>281</v>
      </c>
      <c r="H13" s="16" t="s">
        <v>282</v>
      </c>
      <c r="I13" s="16" t="s">
        <v>170</v>
      </c>
    </row>
    <row r="14" spans="1:9" ht="42" x14ac:dyDescent="0.35">
      <c r="A14" s="16" t="s">
        <v>517</v>
      </c>
      <c r="B14" s="17" t="s">
        <v>518</v>
      </c>
      <c r="C14" s="17" t="s">
        <v>519</v>
      </c>
      <c r="D14" s="16" t="s">
        <v>170</v>
      </c>
      <c r="E14" s="16" t="s">
        <v>520</v>
      </c>
      <c r="F14" s="16">
        <v>0.2747</v>
      </c>
      <c r="G14" s="16" t="s">
        <v>521</v>
      </c>
      <c r="H14" s="16" t="s">
        <v>282</v>
      </c>
      <c r="I14" s="16" t="s">
        <v>170</v>
      </c>
    </row>
    <row r="15" spans="1:9" x14ac:dyDescent="0.35">
      <c r="A15" s="16" t="s">
        <v>522</v>
      </c>
      <c r="B15" s="17" t="s">
        <v>523</v>
      </c>
      <c r="C15" s="17" t="s">
        <v>524</v>
      </c>
      <c r="D15" s="16" t="s">
        <v>170</v>
      </c>
      <c r="E15" s="16" t="s">
        <v>525</v>
      </c>
      <c r="F15" s="16">
        <v>0.27279999999999999</v>
      </c>
      <c r="G15" s="16" t="s">
        <v>526</v>
      </c>
      <c r="H15" s="16" t="s">
        <v>527</v>
      </c>
      <c r="I15" s="16" t="s">
        <v>170</v>
      </c>
    </row>
    <row r="16" spans="1:9" ht="28" x14ac:dyDescent="0.35">
      <c r="A16" s="16" t="s">
        <v>528</v>
      </c>
      <c r="B16" s="17" t="s">
        <v>529</v>
      </c>
      <c r="C16" s="17" t="s">
        <v>530</v>
      </c>
      <c r="D16" s="16" t="s">
        <v>170</v>
      </c>
      <c r="E16" s="16" t="s">
        <v>531</v>
      </c>
      <c r="F16" s="16">
        <v>0.20799999999999999</v>
      </c>
      <c r="G16" s="16"/>
      <c r="H16" s="16"/>
      <c r="I16" s="16" t="s">
        <v>170</v>
      </c>
    </row>
    <row r="17" spans="1:9" ht="84" x14ac:dyDescent="0.35">
      <c r="A17" s="16" t="s">
        <v>532</v>
      </c>
      <c r="B17" s="17" t="s">
        <v>533</v>
      </c>
      <c r="C17" s="17" t="s">
        <v>534</v>
      </c>
      <c r="D17" s="16"/>
      <c r="E17" s="16"/>
      <c r="F17" s="16"/>
      <c r="G17" s="16"/>
      <c r="H17" s="16"/>
      <c r="I17" s="16" t="s">
        <v>372</v>
      </c>
    </row>
    <row r="18" spans="1:9" ht="28" x14ac:dyDescent="0.35">
      <c r="A18" s="16" t="s">
        <v>275</v>
      </c>
      <c r="B18" s="17" t="s">
        <v>271</v>
      </c>
      <c r="C18" s="17" t="s">
        <v>270</v>
      </c>
      <c r="D18" s="16" t="s">
        <v>170</v>
      </c>
      <c r="E18" s="16" t="s">
        <v>273</v>
      </c>
      <c r="F18" s="16">
        <v>0.3538</v>
      </c>
      <c r="G18" s="16" t="s">
        <v>274</v>
      </c>
      <c r="H18" s="16" t="s">
        <v>32</v>
      </c>
      <c r="I18" s="16" t="s">
        <v>170</v>
      </c>
    </row>
    <row r="19" spans="1:9" x14ac:dyDescent="0.35">
      <c r="A19" s="16" t="s">
        <v>535</v>
      </c>
      <c r="B19" s="17" t="s">
        <v>536</v>
      </c>
      <c r="C19" s="17" t="s">
        <v>537</v>
      </c>
      <c r="D19" s="16"/>
      <c r="E19" s="16"/>
      <c r="F19" s="16"/>
      <c r="G19" s="16"/>
      <c r="H19" s="16"/>
      <c r="I19" s="16" t="s">
        <v>372</v>
      </c>
    </row>
    <row r="20" spans="1:9" ht="42" x14ac:dyDescent="0.35">
      <c r="A20" s="16" t="s">
        <v>538</v>
      </c>
      <c r="B20" s="17" t="s">
        <v>539</v>
      </c>
      <c r="C20" s="17" t="s">
        <v>540</v>
      </c>
      <c r="D20" s="16" t="s">
        <v>5</v>
      </c>
      <c r="E20" s="16" t="s">
        <v>541</v>
      </c>
      <c r="F20" s="16">
        <v>0.8</v>
      </c>
      <c r="G20" s="16"/>
      <c r="H20" s="16"/>
      <c r="I20" s="16" t="s">
        <v>5</v>
      </c>
    </row>
    <row r="21" spans="1:9" ht="42" x14ac:dyDescent="0.35">
      <c r="A21" s="16" t="s">
        <v>542</v>
      </c>
      <c r="B21" s="17" t="s">
        <v>543</v>
      </c>
      <c r="C21" s="17" t="s">
        <v>544</v>
      </c>
      <c r="D21" s="16"/>
      <c r="E21" s="16"/>
      <c r="F21" s="16"/>
      <c r="G21" s="16"/>
      <c r="H21" s="16"/>
      <c r="I21" s="16" t="s">
        <v>372</v>
      </c>
    </row>
    <row r="22" spans="1:9" x14ac:dyDescent="0.35">
      <c r="A22" s="16" t="s">
        <v>346</v>
      </c>
      <c r="B22" s="17" t="s">
        <v>342</v>
      </c>
      <c r="C22" s="17" t="s">
        <v>342</v>
      </c>
      <c r="D22" s="16" t="s">
        <v>170</v>
      </c>
      <c r="E22" s="16" t="s">
        <v>343</v>
      </c>
      <c r="F22" s="16">
        <v>0.42109999999999997</v>
      </c>
      <c r="G22" s="16" t="s">
        <v>344</v>
      </c>
      <c r="H22" s="16" t="s">
        <v>345</v>
      </c>
      <c r="I22" s="16" t="s">
        <v>170</v>
      </c>
    </row>
    <row r="23" spans="1:9" x14ac:dyDescent="0.35">
      <c r="A23" s="16" t="s">
        <v>545</v>
      </c>
      <c r="B23" s="17" t="s">
        <v>546</v>
      </c>
      <c r="C23" s="17" t="s">
        <v>546</v>
      </c>
      <c r="D23" s="16" t="s">
        <v>170</v>
      </c>
      <c r="E23" s="16" t="s">
        <v>547</v>
      </c>
      <c r="F23" s="16">
        <v>0.39750000000000002</v>
      </c>
      <c r="G23" s="16" t="s">
        <v>548</v>
      </c>
      <c r="H23" s="16" t="s">
        <v>549</v>
      </c>
      <c r="I23" s="16" t="s">
        <v>170</v>
      </c>
    </row>
    <row r="24" spans="1:9" ht="56" x14ac:dyDescent="0.35">
      <c r="A24" s="16" t="s">
        <v>385</v>
      </c>
      <c r="B24" s="17" t="s">
        <v>383</v>
      </c>
      <c r="C24" s="17" t="s">
        <v>550</v>
      </c>
      <c r="D24" s="16" t="s">
        <v>170</v>
      </c>
      <c r="E24" s="16" t="s">
        <v>551</v>
      </c>
      <c r="F24" s="16">
        <v>0.46210000000000001</v>
      </c>
      <c r="G24" s="16" t="s">
        <v>289</v>
      </c>
      <c r="H24" s="16" t="s">
        <v>552</v>
      </c>
      <c r="I24" s="16" t="s">
        <v>170</v>
      </c>
    </row>
    <row r="25" spans="1:9" x14ac:dyDescent="0.35">
      <c r="A25" s="16" t="s">
        <v>553</v>
      </c>
      <c r="B25" s="17" t="s">
        <v>487</v>
      </c>
      <c r="C25" s="17" t="s">
        <v>487</v>
      </c>
      <c r="D25" s="16" t="s">
        <v>170</v>
      </c>
      <c r="E25" s="16" t="s">
        <v>488</v>
      </c>
      <c r="F25" s="16">
        <v>0.3594</v>
      </c>
      <c r="G25" s="16" t="s">
        <v>489</v>
      </c>
      <c r="H25" s="16"/>
      <c r="I25" s="16" t="s">
        <v>170</v>
      </c>
    </row>
    <row r="26" spans="1:9" x14ac:dyDescent="0.35">
      <c r="A26" s="16" t="s">
        <v>554</v>
      </c>
      <c r="B26" s="17" t="s">
        <v>555</v>
      </c>
      <c r="C26" s="17" t="s">
        <v>537</v>
      </c>
      <c r="D26" s="16"/>
      <c r="E26" s="16"/>
      <c r="F26" s="16"/>
      <c r="G26" s="16"/>
      <c r="H26" s="16"/>
      <c r="I26" s="16" t="s">
        <v>372</v>
      </c>
    </row>
    <row r="27" spans="1:9" ht="28" x14ac:dyDescent="0.35">
      <c r="A27" s="16" t="s">
        <v>136</v>
      </c>
      <c r="B27" s="17" t="s">
        <v>135</v>
      </c>
      <c r="C27" s="17" t="s">
        <v>134</v>
      </c>
      <c r="D27" s="16" t="s">
        <v>116</v>
      </c>
      <c r="E27" s="16" t="s">
        <v>131</v>
      </c>
      <c r="F27" s="16">
        <v>0.6</v>
      </c>
      <c r="G27" s="16"/>
      <c r="H27" s="16"/>
      <c r="I27" s="16" t="s">
        <v>116</v>
      </c>
    </row>
    <row r="28" spans="1:9" x14ac:dyDescent="0.35">
      <c r="A28" s="16" t="s">
        <v>360</v>
      </c>
      <c r="B28" s="17" t="s">
        <v>356</v>
      </c>
      <c r="C28" s="17" t="s">
        <v>356</v>
      </c>
      <c r="D28" s="16" t="s">
        <v>170</v>
      </c>
      <c r="E28" s="16" t="s">
        <v>357</v>
      </c>
      <c r="F28" s="16">
        <v>0.41170000000000001</v>
      </c>
      <c r="G28" s="16" t="s">
        <v>358</v>
      </c>
      <c r="H28" s="16" t="s">
        <v>359</v>
      </c>
      <c r="I28" s="16" t="s">
        <v>170</v>
      </c>
    </row>
    <row r="29" spans="1:9" x14ac:dyDescent="0.35">
      <c r="A29" s="16" t="s">
        <v>132</v>
      </c>
      <c r="B29" s="17" t="s">
        <v>128</v>
      </c>
      <c r="C29" s="17" t="s">
        <v>127</v>
      </c>
      <c r="D29" s="16" t="s">
        <v>116</v>
      </c>
      <c r="E29" s="16" t="s">
        <v>131</v>
      </c>
      <c r="F29" s="16">
        <v>0.6</v>
      </c>
      <c r="G29" s="16"/>
      <c r="H29" s="16"/>
      <c r="I29" s="16" t="s">
        <v>116</v>
      </c>
    </row>
    <row r="30" spans="1:9" x14ac:dyDescent="0.35">
      <c r="A30" s="16" t="s">
        <v>556</v>
      </c>
      <c r="B30" s="17" t="s">
        <v>128</v>
      </c>
      <c r="C30" s="17" t="s">
        <v>127</v>
      </c>
      <c r="D30" s="16" t="s">
        <v>116</v>
      </c>
      <c r="E30" s="16" t="s">
        <v>131</v>
      </c>
      <c r="F30" s="16">
        <v>0.6</v>
      </c>
      <c r="G30" s="16"/>
      <c r="H30" s="16"/>
      <c r="I30" s="16" t="s">
        <v>116</v>
      </c>
    </row>
    <row r="31" spans="1:9" ht="42" x14ac:dyDescent="0.35">
      <c r="A31" s="16" t="s">
        <v>557</v>
      </c>
      <c r="B31" s="17" t="s">
        <v>558</v>
      </c>
      <c r="C31" s="17" t="s">
        <v>559</v>
      </c>
      <c r="D31" s="16" t="s">
        <v>170</v>
      </c>
      <c r="E31" s="16" t="s">
        <v>560</v>
      </c>
      <c r="F31" s="16">
        <v>0.22140000000000001</v>
      </c>
      <c r="G31" s="16"/>
      <c r="H31" s="16"/>
      <c r="I31" s="16" t="s">
        <v>170</v>
      </c>
    </row>
    <row r="32" spans="1:9" x14ac:dyDescent="0.35">
      <c r="A32" s="16" t="s">
        <v>438</v>
      </c>
      <c r="B32" s="17" t="s">
        <v>437</v>
      </c>
      <c r="C32" s="17"/>
      <c r="D32" s="16"/>
      <c r="E32" s="16"/>
      <c r="F32" s="16"/>
      <c r="G32" s="16"/>
      <c r="H32" s="16"/>
      <c r="I32" s="16" t="s">
        <v>372</v>
      </c>
    </row>
    <row r="33" spans="1:9" ht="42" x14ac:dyDescent="0.35">
      <c r="A33" s="16" t="s">
        <v>403</v>
      </c>
      <c r="B33" s="17" t="s">
        <v>401</v>
      </c>
      <c r="C33" s="17" t="s">
        <v>400</v>
      </c>
      <c r="D33" s="16"/>
      <c r="E33" s="16"/>
      <c r="F33" s="16"/>
      <c r="G33" s="16"/>
      <c r="H33" s="16"/>
      <c r="I33" s="16" t="s">
        <v>372</v>
      </c>
    </row>
    <row r="34" spans="1:9" ht="70" x14ac:dyDescent="0.35">
      <c r="A34" s="16" t="s">
        <v>380</v>
      </c>
      <c r="B34" s="17" t="s">
        <v>378</v>
      </c>
      <c r="C34" s="17" t="s">
        <v>561</v>
      </c>
      <c r="D34" s="16" t="s">
        <v>170</v>
      </c>
      <c r="E34" s="16" t="s">
        <v>562</v>
      </c>
      <c r="F34" s="16">
        <v>0.46310000000000001</v>
      </c>
      <c r="G34" s="16" t="s">
        <v>563</v>
      </c>
      <c r="H34" s="16" t="s">
        <v>564</v>
      </c>
      <c r="I34" s="16" t="s">
        <v>170</v>
      </c>
    </row>
    <row r="35" spans="1:9" ht="70" x14ac:dyDescent="0.35">
      <c r="A35" s="16" t="s">
        <v>395</v>
      </c>
      <c r="B35" s="17" t="s">
        <v>393</v>
      </c>
      <c r="C35" s="17" t="s">
        <v>392</v>
      </c>
      <c r="D35" s="16"/>
      <c r="E35" s="16"/>
      <c r="F35" s="16"/>
      <c r="G35" s="16"/>
      <c r="H35" s="16"/>
      <c r="I35" s="16" t="s">
        <v>372</v>
      </c>
    </row>
    <row r="36" spans="1:9" x14ac:dyDescent="0.35">
      <c r="A36" s="16" t="s">
        <v>565</v>
      </c>
      <c r="B36" s="17"/>
      <c r="C36" s="17"/>
      <c r="D36" s="16"/>
      <c r="E36" s="16"/>
      <c r="F36" s="16"/>
      <c r="G36" s="16"/>
      <c r="H36" s="16"/>
      <c r="I36" s="16" t="s">
        <v>414</v>
      </c>
    </row>
    <row r="37" spans="1:9" x14ac:dyDescent="0.35">
      <c r="A37" s="16" t="s">
        <v>566</v>
      </c>
      <c r="B37" s="17" t="s">
        <v>487</v>
      </c>
      <c r="C37" s="17" t="s">
        <v>487</v>
      </c>
      <c r="D37" s="16" t="s">
        <v>170</v>
      </c>
      <c r="E37" s="16" t="s">
        <v>488</v>
      </c>
      <c r="F37" s="16">
        <v>0.3594</v>
      </c>
      <c r="G37" s="16" t="s">
        <v>489</v>
      </c>
      <c r="H37" s="16"/>
      <c r="I37" s="16" t="s">
        <v>170</v>
      </c>
    </row>
    <row r="38" spans="1:9" x14ac:dyDescent="0.35">
      <c r="A38" s="16" t="s">
        <v>567</v>
      </c>
      <c r="B38" s="17" t="s">
        <v>568</v>
      </c>
      <c r="C38" s="17" t="s">
        <v>568</v>
      </c>
      <c r="D38" s="16" t="s">
        <v>170</v>
      </c>
      <c r="E38" s="16" t="s">
        <v>569</v>
      </c>
      <c r="F38" s="16">
        <v>0.24079999999999999</v>
      </c>
      <c r="G38" s="16"/>
      <c r="H38" s="16"/>
      <c r="I38" s="16" t="s">
        <v>170</v>
      </c>
    </row>
    <row r="39" spans="1:9" ht="42" x14ac:dyDescent="0.35">
      <c r="A39" s="16" t="s">
        <v>570</v>
      </c>
      <c r="B39" s="17" t="s">
        <v>571</v>
      </c>
      <c r="C39" s="17" t="s">
        <v>571</v>
      </c>
      <c r="D39" s="16"/>
      <c r="E39" s="16"/>
      <c r="F39" s="16"/>
      <c r="G39" s="16"/>
      <c r="H39" s="16"/>
      <c r="I39" s="16" t="s">
        <v>372</v>
      </c>
    </row>
    <row r="40" spans="1:9" ht="56" x14ac:dyDescent="0.35">
      <c r="A40" s="16" t="s">
        <v>142</v>
      </c>
      <c r="B40" s="17" t="s">
        <v>138</v>
      </c>
      <c r="C40" s="17" t="s">
        <v>138</v>
      </c>
      <c r="D40" s="16" t="s">
        <v>116</v>
      </c>
      <c r="E40" s="16" t="s">
        <v>141</v>
      </c>
      <c r="F40" s="16">
        <v>0.6</v>
      </c>
      <c r="G40" s="16"/>
      <c r="H40" s="16"/>
      <c r="I40" s="16" t="s">
        <v>116</v>
      </c>
    </row>
    <row r="41" spans="1:9" x14ac:dyDescent="0.35">
      <c r="A41" s="16" t="s">
        <v>572</v>
      </c>
      <c r="B41" s="17" t="s">
        <v>573</v>
      </c>
      <c r="C41" s="17" t="s">
        <v>574</v>
      </c>
      <c r="D41" s="16" t="s">
        <v>170</v>
      </c>
      <c r="E41" s="16" t="s">
        <v>575</v>
      </c>
      <c r="F41" s="16">
        <v>0.42049999999999998</v>
      </c>
      <c r="G41" s="16" t="s">
        <v>576</v>
      </c>
      <c r="H41" s="16" t="s">
        <v>577</v>
      </c>
      <c r="I41" s="16" t="s">
        <v>170</v>
      </c>
    </row>
    <row r="42" spans="1:9" x14ac:dyDescent="0.35">
      <c r="A42" s="16" t="s">
        <v>578</v>
      </c>
      <c r="B42" s="17" t="s">
        <v>579</v>
      </c>
      <c r="C42" s="17"/>
      <c r="D42" s="16"/>
      <c r="E42" s="16"/>
      <c r="F42" s="16"/>
      <c r="G42" s="16"/>
      <c r="H42" s="16"/>
      <c r="I42" s="16" t="s">
        <v>372</v>
      </c>
    </row>
    <row r="43" spans="1:9" x14ac:dyDescent="0.35">
      <c r="A43" s="16" t="s">
        <v>580</v>
      </c>
      <c r="B43" s="17" t="s">
        <v>581</v>
      </c>
      <c r="C43" s="17"/>
      <c r="D43" s="16"/>
      <c r="E43" s="16"/>
      <c r="F43" s="16"/>
      <c r="G43" s="16"/>
      <c r="H43" s="16"/>
      <c r="I43" s="16" t="s">
        <v>372</v>
      </c>
    </row>
    <row r="44" spans="1:9" ht="28" x14ac:dyDescent="0.35">
      <c r="A44" s="16" t="s">
        <v>582</v>
      </c>
      <c r="B44" s="17" t="s">
        <v>583</v>
      </c>
      <c r="C44" s="17" t="s">
        <v>584</v>
      </c>
      <c r="D44" s="16"/>
      <c r="E44" s="16"/>
      <c r="F44" s="16"/>
      <c r="G44" s="16"/>
      <c r="H44" s="16"/>
      <c r="I44" s="16" t="s">
        <v>372</v>
      </c>
    </row>
    <row r="45" spans="1:9" x14ac:dyDescent="0.35">
      <c r="A45" s="16" t="s">
        <v>585</v>
      </c>
      <c r="B45" s="17" t="s">
        <v>579</v>
      </c>
      <c r="C45" s="17"/>
      <c r="D45" s="16"/>
      <c r="E45" s="16"/>
      <c r="F45" s="16"/>
      <c r="G45" s="16"/>
      <c r="H45" s="16"/>
      <c r="I45" s="16" t="s">
        <v>372</v>
      </c>
    </row>
    <row r="46" spans="1:9" x14ac:dyDescent="0.35">
      <c r="A46" s="16" t="s">
        <v>586</v>
      </c>
      <c r="B46" s="17" t="s">
        <v>587</v>
      </c>
      <c r="C46" s="17" t="s">
        <v>588</v>
      </c>
      <c r="D46" s="16" t="s">
        <v>170</v>
      </c>
      <c r="E46" s="16" t="s">
        <v>589</v>
      </c>
      <c r="F46" s="16">
        <v>0.29260000000000003</v>
      </c>
      <c r="G46" s="16" t="s">
        <v>590</v>
      </c>
      <c r="H46" s="16" t="s">
        <v>591</v>
      </c>
      <c r="I46" s="16" t="s">
        <v>170</v>
      </c>
    </row>
    <row r="47" spans="1:9" x14ac:dyDescent="0.35">
      <c r="A47" s="16" t="s">
        <v>592</v>
      </c>
      <c r="B47" s="17" t="s">
        <v>593</v>
      </c>
      <c r="C47" s="17" t="s">
        <v>594</v>
      </c>
      <c r="D47" s="16" t="s">
        <v>170</v>
      </c>
      <c r="E47" s="16" t="s">
        <v>595</v>
      </c>
      <c r="F47" s="16">
        <v>0.45019999999999999</v>
      </c>
      <c r="G47" s="16" t="s">
        <v>596</v>
      </c>
      <c r="H47" s="16" t="s">
        <v>597</v>
      </c>
      <c r="I47" s="16" t="s">
        <v>170</v>
      </c>
    </row>
    <row r="48" spans="1:9" x14ac:dyDescent="0.35">
      <c r="A48" s="16" t="s">
        <v>598</v>
      </c>
      <c r="B48" s="17" t="s">
        <v>599</v>
      </c>
      <c r="C48" s="17"/>
      <c r="D48" s="16"/>
      <c r="E48" s="16"/>
      <c r="F48" s="16"/>
      <c r="G48" s="16"/>
      <c r="H48" s="16"/>
      <c r="I48" s="16" t="s">
        <v>372</v>
      </c>
    </row>
    <row r="49" spans="1:9" x14ac:dyDescent="0.35">
      <c r="A49" s="16" t="s">
        <v>600</v>
      </c>
      <c r="B49" s="17" t="s">
        <v>601</v>
      </c>
      <c r="C49" s="17" t="s">
        <v>594</v>
      </c>
      <c r="D49" s="16" t="s">
        <v>170</v>
      </c>
      <c r="E49" s="16" t="s">
        <v>595</v>
      </c>
      <c r="F49" s="16">
        <v>0.45019999999999999</v>
      </c>
      <c r="G49" s="16" t="s">
        <v>596</v>
      </c>
      <c r="H49" s="16" t="s">
        <v>597</v>
      </c>
      <c r="I49" s="16" t="s">
        <v>170</v>
      </c>
    </row>
    <row r="50" spans="1:9" x14ac:dyDescent="0.35">
      <c r="A50" s="16" t="s">
        <v>602</v>
      </c>
      <c r="B50" s="17" t="s">
        <v>603</v>
      </c>
      <c r="C50" s="17" t="s">
        <v>604</v>
      </c>
      <c r="D50" s="16" t="s">
        <v>170</v>
      </c>
      <c r="E50" s="16" t="s">
        <v>605</v>
      </c>
      <c r="F50" s="16">
        <v>0.32600000000000001</v>
      </c>
      <c r="G50" s="16" t="s">
        <v>606</v>
      </c>
      <c r="H50" s="16" t="s">
        <v>607</v>
      </c>
      <c r="I50" s="16" t="s">
        <v>170</v>
      </c>
    </row>
    <row r="51" spans="1:9" x14ac:dyDescent="0.35">
      <c r="A51" s="16" t="s">
        <v>608</v>
      </c>
      <c r="B51" s="17" t="s">
        <v>487</v>
      </c>
      <c r="C51" s="17" t="s">
        <v>487</v>
      </c>
      <c r="D51" s="16" t="s">
        <v>170</v>
      </c>
      <c r="E51" s="16" t="s">
        <v>488</v>
      </c>
      <c r="F51" s="16">
        <v>0.3594</v>
      </c>
      <c r="G51" s="16" t="s">
        <v>489</v>
      </c>
      <c r="H51" s="16"/>
      <c r="I51" s="16" t="s">
        <v>170</v>
      </c>
    </row>
    <row r="52" spans="1:9" ht="28" x14ac:dyDescent="0.35">
      <c r="A52" s="16" t="s">
        <v>433</v>
      </c>
      <c r="B52" s="17" t="s">
        <v>432</v>
      </c>
      <c r="C52" s="17"/>
      <c r="D52" s="16"/>
      <c r="E52" s="16"/>
      <c r="F52" s="16"/>
      <c r="G52" s="16"/>
      <c r="H52" s="16"/>
      <c r="I52" s="16" t="s">
        <v>372</v>
      </c>
    </row>
    <row r="53" spans="1:9" ht="28" x14ac:dyDescent="0.35">
      <c r="A53" s="16" t="s">
        <v>435</v>
      </c>
      <c r="B53" s="17" t="s">
        <v>432</v>
      </c>
      <c r="C53" s="17"/>
      <c r="D53" s="16"/>
      <c r="E53" s="16"/>
      <c r="F53" s="16"/>
      <c r="G53" s="16"/>
      <c r="H53" s="16"/>
      <c r="I53" s="16" t="s">
        <v>372</v>
      </c>
    </row>
    <row r="54" spans="1:9" ht="28" x14ac:dyDescent="0.35">
      <c r="A54" s="16" t="s">
        <v>609</v>
      </c>
      <c r="B54" s="17" t="s">
        <v>432</v>
      </c>
      <c r="C54" s="17"/>
      <c r="D54" s="16"/>
      <c r="E54" s="16"/>
      <c r="F54" s="16"/>
      <c r="G54" s="16"/>
      <c r="H54" s="16"/>
      <c r="I54" s="16" t="s">
        <v>372</v>
      </c>
    </row>
    <row r="55" spans="1:9" ht="28" x14ac:dyDescent="0.35">
      <c r="A55" s="16" t="s">
        <v>610</v>
      </c>
      <c r="B55" s="17" t="s">
        <v>432</v>
      </c>
      <c r="C55" s="17"/>
      <c r="D55" s="16"/>
      <c r="E55" s="16"/>
      <c r="F55" s="16"/>
      <c r="G55" s="16"/>
      <c r="H55" s="16"/>
      <c r="I55" s="16" t="s">
        <v>372</v>
      </c>
    </row>
    <row r="56" spans="1:9" x14ac:dyDescent="0.35">
      <c r="A56" s="16" t="s">
        <v>611</v>
      </c>
      <c r="B56" s="17" t="s">
        <v>612</v>
      </c>
      <c r="C56" s="17" t="s">
        <v>613</v>
      </c>
      <c r="D56" s="16"/>
      <c r="E56" s="16"/>
      <c r="F56" s="16"/>
      <c r="G56" s="16"/>
      <c r="H56" s="16"/>
      <c r="I56" s="16" t="s">
        <v>372</v>
      </c>
    </row>
    <row r="57" spans="1:9" x14ac:dyDescent="0.35">
      <c r="A57" s="16" t="s">
        <v>614</v>
      </c>
      <c r="B57" s="17" t="s">
        <v>615</v>
      </c>
      <c r="C57" s="17" t="s">
        <v>616</v>
      </c>
      <c r="D57" s="16"/>
      <c r="E57" s="16"/>
      <c r="F57" s="16"/>
      <c r="G57" s="16"/>
      <c r="H57" s="16"/>
      <c r="I57" s="16" t="s">
        <v>372</v>
      </c>
    </row>
    <row r="58" spans="1:9" x14ac:dyDescent="0.35">
      <c r="A58" s="16" t="s">
        <v>617</v>
      </c>
      <c r="B58" s="17" t="s">
        <v>618</v>
      </c>
      <c r="C58" s="17" t="s">
        <v>618</v>
      </c>
      <c r="D58" s="16" t="s">
        <v>170</v>
      </c>
      <c r="E58" s="16" t="s">
        <v>619</v>
      </c>
      <c r="F58" s="16">
        <v>0.39639999999999997</v>
      </c>
      <c r="G58" s="16" t="s">
        <v>620</v>
      </c>
      <c r="H58" s="16" t="s">
        <v>621</v>
      </c>
      <c r="I58" s="16" t="s">
        <v>170</v>
      </c>
    </row>
    <row r="59" spans="1:9" ht="28" x14ac:dyDescent="0.35">
      <c r="A59" s="16" t="s">
        <v>238</v>
      </c>
      <c r="B59" s="17" t="s">
        <v>235</v>
      </c>
      <c r="C59" s="17" t="s">
        <v>234</v>
      </c>
      <c r="D59" s="16" t="s">
        <v>170</v>
      </c>
      <c r="E59" s="16" t="s">
        <v>237</v>
      </c>
      <c r="F59" s="16">
        <v>0.39489999999999997</v>
      </c>
      <c r="G59" s="16"/>
      <c r="H59" s="16"/>
      <c r="I59" s="16" t="s">
        <v>170</v>
      </c>
    </row>
    <row r="60" spans="1:9" ht="56" x14ac:dyDescent="0.35">
      <c r="A60" s="16" t="s">
        <v>622</v>
      </c>
      <c r="B60" s="17" t="s">
        <v>623</v>
      </c>
      <c r="C60" s="17" t="s">
        <v>624</v>
      </c>
      <c r="D60" s="16"/>
      <c r="E60" s="16"/>
      <c r="F60" s="16"/>
      <c r="G60" s="16"/>
      <c r="H60" s="16"/>
      <c r="I60" s="16" t="s">
        <v>372</v>
      </c>
    </row>
    <row r="61" spans="1:9" ht="42" x14ac:dyDescent="0.35">
      <c r="A61" s="16" t="s">
        <v>625</v>
      </c>
      <c r="B61" s="17" t="s">
        <v>626</v>
      </c>
      <c r="C61" s="17" t="s">
        <v>627</v>
      </c>
      <c r="D61" s="16" t="s">
        <v>170</v>
      </c>
      <c r="E61" s="16" t="s">
        <v>628</v>
      </c>
      <c r="F61" s="16">
        <v>0.24540000000000001</v>
      </c>
      <c r="G61" s="16"/>
      <c r="H61" s="16"/>
      <c r="I61" s="16" t="s">
        <v>170</v>
      </c>
    </row>
    <row r="62" spans="1:9" ht="42" x14ac:dyDescent="0.35">
      <c r="A62" s="16" t="s">
        <v>629</v>
      </c>
      <c r="B62" s="17" t="s">
        <v>630</v>
      </c>
      <c r="C62" s="17" t="s">
        <v>631</v>
      </c>
      <c r="D62" s="16"/>
      <c r="E62" s="16"/>
      <c r="F62" s="16"/>
      <c r="G62" s="16"/>
      <c r="H62" s="16"/>
      <c r="I62" s="16" t="s">
        <v>372</v>
      </c>
    </row>
    <row r="63" spans="1:9" x14ac:dyDescent="0.35">
      <c r="A63" s="16" t="s">
        <v>632</v>
      </c>
      <c r="B63" s="17" t="s">
        <v>633</v>
      </c>
      <c r="C63" s="17" t="s">
        <v>466</v>
      </c>
      <c r="D63" s="16" t="s">
        <v>170</v>
      </c>
      <c r="E63" s="16" t="s">
        <v>634</v>
      </c>
      <c r="F63" s="16">
        <v>0.2261</v>
      </c>
      <c r="G63" s="16"/>
      <c r="H63" s="16"/>
      <c r="I63" s="16" t="s">
        <v>170</v>
      </c>
    </row>
    <row r="64" spans="1:9" x14ac:dyDescent="0.35">
      <c r="A64" s="16" t="s">
        <v>635</v>
      </c>
      <c r="B64" s="17" t="s">
        <v>636</v>
      </c>
      <c r="C64" s="17" t="s">
        <v>637</v>
      </c>
      <c r="D64" s="16" t="s">
        <v>170</v>
      </c>
      <c r="E64" s="16" t="s">
        <v>638</v>
      </c>
      <c r="F64" s="16">
        <v>0.2122</v>
      </c>
      <c r="G64" s="16"/>
      <c r="H64" s="16"/>
      <c r="I64" s="16" t="s">
        <v>170</v>
      </c>
    </row>
    <row r="65" spans="1:9" x14ac:dyDescent="0.35">
      <c r="A65" s="16" t="s">
        <v>639</v>
      </c>
      <c r="B65" s="17" t="s">
        <v>640</v>
      </c>
      <c r="C65" s="17" t="s">
        <v>641</v>
      </c>
      <c r="D65" s="16" t="s">
        <v>5</v>
      </c>
      <c r="E65" s="16" t="s">
        <v>100</v>
      </c>
      <c r="F65" s="16">
        <v>0.8</v>
      </c>
      <c r="G65" s="16"/>
      <c r="H65" s="16"/>
      <c r="I65" s="16" t="s">
        <v>5</v>
      </c>
    </row>
    <row r="66" spans="1:9" x14ac:dyDescent="0.35">
      <c r="A66" s="16" t="s">
        <v>119</v>
      </c>
      <c r="B66" s="17" t="s">
        <v>118</v>
      </c>
      <c r="C66" s="17" t="s">
        <v>117</v>
      </c>
      <c r="D66" s="16" t="s">
        <v>116</v>
      </c>
      <c r="E66" s="16" t="s">
        <v>100</v>
      </c>
      <c r="F66" s="16">
        <v>0.6</v>
      </c>
      <c r="G66" s="16"/>
      <c r="H66" s="16"/>
      <c r="I66" s="16" t="s">
        <v>116</v>
      </c>
    </row>
    <row r="67" spans="1:9" x14ac:dyDescent="0.35">
      <c r="A67" s="16" t="s">
        <v>164</v>
      </c>
      <c r="B67" s="17" t="s">
        <v>163</v>
      </c>
      <c r="C67" s="17" t="s">
        <v>162</v>
      </c>
      <c r="D67" s="16" t="s">
        <v>116</v>
      </c>
      <c r="E67" s="16" t="s">
        <v>100</v>
      </c>
      <c r="F67" s="16">
        <v>0.6</v>
      </c>
      <c r="G67" s="16"/>
      <c r="H67" s="16"/>
      <c r="I67" s="16" t="s">
        <v>116</v>
      </c>
    </row>
    <row r="68" spans="1:9" x14ac:dyDescent="0.35">
      <c r="A68" s="16" t="s">
        <v>642</v>
      </c>
      <c r="B68" s="17" t="s">
        <v>118</v>
      </c>
      <c r="C68" s="17" t="s">
        <v>117</v>
      </c>
      <c r="D68" s="16" t="s">
        <v>116</v>
      </c>
      <c r="E68" s="16" t="s">
        <v>100</v>
      </c>
      <c r="F68" s="16">
        <v>0.6</v>
      </c>
      <c r="G68" s="16"/>
      <c r="H68" s="16"/>
      <c r="I68" s="16" t="s">
        <v>116</v>
      </c>
    </row>
    <row r="69" spans="1:9" x14ac:dyDescent="0.35">
      <c r="A69" s="16" t="s">
        <v>398</v>
      </c>
      <c r="B69" s="17" t="s">
        <v>397</v>
      </c>
      <c r="C69" s="17" t="s">
        <v>397</v>
      </c>
      <c r="D69" s="16"/>
      <c r="E69" s="16"/>
      <c r="F69" s="16"/>
      <c r="G69" s="16"/>
      <c r="H69" s="16"/>
      <c r="I69" s="16" t="s">
        <v>372</v>
      </c>
    </row>
    <row r="70" spans="1:9" ht="42" x14ac:dyDescent="0.35">
      <c r="A70" s="16" t="s">
        <v>643</v>
      </c>
      <c r="B70" s="17" t="s">
        <v>644</v>
      </c>
      <c r="C70" s="17" t="s">
        <v>644</v>
      </c>
      <c r="D70" s="16"/>
      <c r="E70" s="16"/>
      <c r="F70" s="16"/>
      <c r="G70" s="16"/>
      <c r="H70" s="16"/>
      <c r="I70" s="16" t="s">
        <v>372</v>
      </c>
    </row>
    <row r="71" spans="1:9" x14ac:dyDescent="0.35">
      <c r="A71" s="16" t="s">
        <v>105</v>
      </c>
      <c r="B71" s="17" t="s">
        <v>104</v>
      </c>
      <c r="C71" s="17" t="s">
        <v>103</v>
      </c>
      <c r="D71" s="16" t="s">
        <v>5</v>
      </c>
      <c r="E71" s="16" t="s">
        <v>40</v>
      </c>
      <c r="F71" s="16">
        <v>0.8</v>
      </c>
      <c r="G71" s="16"/>
      <c r="H71" s="16"/>
      <c r="I71" s="16" t="s">
        <v>5</v>
      </c>
    </row>
    <row r="72" spans="1:9" x14ac:dyDescent="0.35">
      <c r="A72" s="16" t="s">
        <v>62</v>
      </c>
      <c r="B72" s="17" t="s">
        <v>59</v>
      </c>
      <c r="C72" s="17" t="s">
        <v>58</v>
      </c>
      <c r="D72" s="16" t="s">
        <v>22</v>
      </c>
      <c r="E72" s="16" t="s">
        <v>61</v>
      </c>
      <c r="F72" s="16">
        <v>1</v>
      </c>
      <c r="G72" s="16"/>
      <c r="H72" s="16"/>
      <c r="I72" s="16" t="s">
        <v>22</v>
      </c>
    </row>
    <row r="73" spans="1:9" x14ac:dyDescent="0.35">
      <c r="A73" s="16" t="s">
        <v>645</v>
      </c>
      <c r="B73" s="17" t="s">
        <v>646</v>
      </c>
      <c r="C73" s="17" t="s">
        <v>647</v>
      </c>
      <c r="D73" s="16" t="s">
        <v>170</v>
      </c>
      <c r="E73" s="16" t="s">
        <v>648</v>
      </c>
      <c r="F73" s="16">
        <v>0.34449999999999997</v>
      </c>
      <c r="G73" s="16"/>
      <c r="H73" s="16"/>
      <c r="I73" s="16" t="s">
        <v>170</v>
      </c>
    </row>
    <row r="74" spans="1:9" x14ac:dyDescent="0.35">
      <c r="A74" s="16" t="s">
        <v>649</v>
      </c>
      <c r="B74" s="17" t="s">
        <v>579</v>
      </c>
      <c r="C74" s="17"/>
      <c r="D74" s="16"/>
      <c r="E74" s="16"/>
      <c r="F74" s="16"/>
      <c r="G74" s="16"/>
      <c r="H74" s="16"/>
      <c r="I74" s="16" t="s">
        <v>372</v>
      </c>
    </row>
    <row r="75" spans="1:9" x14ac:dyDescent="0.35">
      <c r="A75" s="16" t="s">
        <v>650</v>
      </c>
      <c r="B75" s="17" t="s">
        <v>633</v>
      </c>
      <c r="C75" s="17" t="s">
        <v>466</v>
      </c>
      <c r="D75" s="16" t="s">
        <v>170</v>
      </c>
      <c r="E75" s="16" t="s">
        <v>634</v>
      </c>
      <c r="F75" s="16">
        <v>0.2261</v>
      </c>
      <c r="G75" s="16"/>
      <c r="H75" s="16"/>
      <c r="I75" s="16" t="s">
        <v>170</v>
      </c>
    </row>
    <row r="76" spans="1:9" x14ac:dyDescent="0.35">
      <c r="A76" s="16" t="s">
        <v>651</v>
      </c>
      <c r="B76" s="17" t="s">
        <v>652</v>
      </c>
      <c r="C76" s="17" t="s">
        <v>653</v>
      </c>
      <c r="D76" s="16" t="s">
        <v>170</v>
      </c>
      <c r="E76" s="16" t="s">
        <v>654</v>
      </c>
      <c r="F76" s="16">
        <v>0.35310000000000002</v>
      </c>
      <c r="G76" s="16" t="s">
        <v>655</v>
      </c>
      <c r="H76" s="16" t="s">
        <v>656</v>
      </c>
      <c r="I76" s="16" t="s">
        <v>170</v>
      </c>
    </row>
    <row r="77" spans="1:9" x14ac:dyDescent="0.35">
      <c r="A77" s="16" t="s">
        <v>657</v>
      </c>
      <c r="B77" s="17" t="s">
        <v>658</v>
      </c>
      <c r="C77" s="17" t="s">
        <v>658</v>
      </c>
      <c r="D77" s="16" t="s">
        <v>170</v>
      </c>
      <c r="E77" s="16" t="s">
        <v>659</v>
      </c>
      <c r="F77" s="16">
        <v>0.31430000000000002</v>
      </c>
      <c r="G77" s="16" t="s">
        <v>660</v>
      </c>
      <c r="H77" s="16" t="s">
        <v>661</v>
      </c>
      <c r="I77" s="16" t="s">
        <v>170</v>
      </c>
    </row>
    <row r="78" spans="1:9" x14ac:dyDescent="0.35">
      <c r="A78" s="16" t="s">
        <v>662</v>
      </c>
      <c r="B78" s="17" t="s">
        <v>663</v>
      </c>
      <c r="C78" s="17" t="s">
        <v>664</v>
      </c>
      <c r="D78" s="16" t="s">
        <v>170</v>
      </c>
      <c r="E78" s="16" t="s">
        <v>654</v>
      </c>
      <c r="F78" s="16">
        <v>0.37619999999999998</v>
      </c>
      <c r="G78" s="16" t="s">
        <v>655</v>
      </c>
      <c r="H78" s="16" t="s">
        <v>656</v>
      </c>
      <c r="I78" s="16" t="s">
        <v>170</v>
      </c>
    </row>
    <row r="79" spans="1:9" x14ac:dyDescent="0.35">
      <c r="A79" s="16" t="s">
        <v>665</v>
      </c>
      <c r="B79" s="17" t="s">
        <v>633</v>
      </c>
      <c r="C79" s="17" t="s">
        <v>466</v>
      </c>
      <c r="D79" s="16" t="s">
        <v>170</v>
      </c>
      <c r="E79" s="16" t="s">
        <v>634</v>
      </c>
      <c r="F79" s="16">
        <v>0.2261</v>
      </c>
      <c r="G79" s="16"/>
      <c r="H79" s="16"/>
      <c r="I79" s="16" t="s">
        <v>170</v>
      </c>
    </row>
    <row r="80" spans="1:9" x14ac:dyDescent="0.35">
      <c r="A80" s="16" t="s">
        <v>666</v>
      </c>
      <c r="B80" s="17" t="s">
        <v>667</v>
      </c>
      <c r="C80" s="17" t="s">
        <v>466</v>
      </c>
      <c r="D80" s="16" t="s">
        <v>170</v>
      </c>
      <c r="E80" s="16" t="s">
        <v>634</v>
      </c>
      <c r="F80" s="16">
        <v>0.2261</v>
      </c>
      <c r="G80" s="16"/>
      <c r="H80" s="16"/>
      <c r="I80" s="16" t="s">
        <v>170</v>
      </c>
    </row>
    <row r="81" spans="1:9" x14ac:dyDescent="0.35">
      <c r="A81" s="16" t="s">
        <v>668</v>
      </c>
      <c r="B81" s="17" t="s">
        <v>487</v>
      </c>
      <c r="C81" s="17" t="s">
        <v>487</v>
      </c>
      <c r="D81" s="16" t="s">
        <v>170</v>
      </c>
      <c r="E81" s="16" t="s">
        <v>488</v>
      </c>
      <c r="F81" s="16">
        <v>0.3594</v>
      </c>
      <c r="G81" s="16" t="s">
        <v>489</v>
      </c>
      <c r="H81" s="16"/>
      <c r="I81" s="16" t="s">
        <v>170</v>
      </c>
    </row>
    <row r="82" spans="1:9" x14ac:dyDescent="0.35">
      <c r="A82" s="16" t="s">
        <v>81</v>
      </c>
      <c r="B82" s="17" t="s">
        <v>78</v>
      </c>
      <c r="C82" s="17" t="s">
        <v>78</v>
      </c>
      <c r="D82" s="16" t="s">
        <v>5</v>
      </c>
      <c r="E82" s="16" t="s">
        <v>80</v>
      </c>
      <c r="F82" s="16">
        <v>0.8</v>
      </c>
      <c r="G82" s="16"/>
      <c r="H82" s="16"/>
      <c r="I82" s="16" t="s">
        <v>5</v>
      </c>
    </row>
    <row r="83" spans="1:9" x14ac:dyDescent="0.35">
      <c r="A83" s="16" t="s">
        <v>669</v>
      </c>
      <c r="B83" s="17" t="s">
        <v>670</v>
      </c>
      <c r="C83" s="17" t="s">
        <v>670</v>
      </c>
      <c r="D83" s="16"/>
      <c r="E83" s="16"/>
      <c r="F83" s="16"/>
      <c r="G83" s="16"/>
      <c r="H83" s="16"/>
      <c r="I83" s="16" t="s">
        <v>372</v>
      </c>
    </row>
    <row r="84" spans="1:9" x14ac:dyDescent="0.35">
      <c r="A84" s="16" t="s">
        <v>367</v>
      </c>
      <c r="B84" s="17" t="s">
        <v>363</v>
      </c>
      <c r="C84" s="17" t="s">
        <v>362</v>
      </c>
      <c r="D84" s="16" t="s">
        <v>170</v>
      </c>
      <c r="E84" s="16" t="s">
        <v>364</v>
      </c>
      <c r="F84" s="16">
        <v>0.40279999999999999</v>
      </c>
      <c r="G84" s="16" t="s">
        <v>365</v>
      </c>
      <c r="H84" s="16" t="s">
        <v>366</v>
      </c>
      <c r="I84" s="16" t="s">
        <v>170</v>
      </c>
    </row>
    <row r="85" spans="1:9" x14ac:dyDescent="0.35">
      <c r="A85" s="16" t="s">
        <v>671</v>
      </c>
      <c r="B85" s="17" t="s">
        <v>672</v>
      </c>
      <c r="C85" s="17" t="s">
        <v>495</v>
      </c>
      <c r="D85" s="16" t="s">
        <v>170</v>
      </c>
      <c r="E85" s="16" t="s">
        <v>496</v>
      </c>
      <c r="F85" s="16">
        <v>0.30659999999999998</v>
      </c>
      <c r="G85" s="16" t="s">
        <v>497</v>
      </c>
      <c r="H85" s="16" t="s">
        <v>498</v>
      </c>
      <c r="I85" s="16" t="s">
        <v>170</v>
      </c>
    </row>
    <row r="86" spans="1:9" x14ac:dyDescent="0.35">
      <c r="A86" s="16" t="s">
        <v>673</v>
      </c>
      <c r="B86" s="17" t="s">
        <v>674</v>
      </c>
      <c r="C86" s="17" t="s">
        <v>647</v>
      </c>
      <c r="D86" s="16" t="s">
        <v>170</v>
      </c>
      <c r="E86" s="16" t="s">
        <v>648</v>
      </c>
      <c r="F86" s="16">
        <v>0.34449999999999997</v>
      </c>
      <c r="G86" s="16"/>
      <c r="H86" s="16"/>
      <c r="I86" s="16" t="s">
        <v>170</v>
      </c>
    </row>
    <row r="87" spans="1:9" x14ac:dyDescent="0.35">
      <c r="A87" s="16" t="s">
        <v>675</v>
      </c>
      <c r="B87" s="17" t="s">
        <v>510</v>
      </c>
      <c r="C87" s="17" t="s">
        <v>511</v>
      </c>
      <c r="D87" s="16" t="s">
        <v>170</v>
      </c>
      <c r="E87" s="16" t="s">
        <v>512</v>
      </c>
      <c r="F87" s="16">
        <v>0.26040000000000002</v>
      </c>
      <c r="G87" s="16" t="s">
        <v>513</v>
      </c>
      <c r="H87" s="16"/>
      <c r="I87" s="16" t="s">
        <v>170</v>
      </c>
    </row>
    <row r="88" spans="1:9" ht="42" x14ac:dyDescent="0.35">
      <c r="A88" s="16" t="s">
        <v>96</v>
      </c>
      <c r="B88" s="17" t="s">
        <v>95</v>
      </c>
      <c r="C88" s="17" t="s">
        <v>94</v>
      </c>
      <c r="D88" s="16" t="s">
        <v>5</v>
      </c>
      <c r="E88" s="16" t="s">
        <v>84</v>
      </c>
      <c r="F88" s="16">
        <v>0.8</v>
      </c>
      <c r="G88" s="16"/>
      <c r="H88" s="16"/>
      <c r="I88" s="16" t="s">
        <v>5</v>
      </c>
    </row>
    <row r="89" spans="1:9" ht="28" x14ac:dyDescent="0.35">
      <c r="A89" s="16" t="s">
        <v>676</v>
      </c>
      <c r="B89" s="17" t="s">
        <v>677</v>
      </c>
      <c r="C89" s="17" t="s">
        <v>678</v>
      </c>
      <c r="D89" s="16" t="s">
        <v>5</v>
      </c>
      <c r="E89" s="16" t="s">
        <v>84</v>
      </c>
      <c r="F89" s="16">
        <v>0.8</v>
      </c>
      <c r="G89" s="16"/>
      <c r="H89" s="16"/>
      <c r="I89" s="16" t="s">
        <v>5</v>
      </c>
    </row>
    <row r="90" spans="1:9" ht="56" x14ac:dyDescent="0.35">
      <c r="A90" s="16" t="s">
        <v>679</v>
      </c>
      <c r="B90" s="17" t="s">
        <v>680</v>
      </c>
      <c r="C90" s="17" t="s">
        <v>681</v>
      </c>
      <c r="D90" s="16" t="s">
        <v>170</v>
      </c>
      <c r="E90" s="16" t="s">
        <v>682</v>
      </c>
      <c r="F90" s="16">
        <v>0.27800000000000002</v>
      </c>
      <c r="G90" s="16" t="s">
        <v>683</v>
      </c>
      <c r="H90" s="16"/>
      <c r="I90" s="16" t="s">
        <v>170</v>
      </c>
    </row>
    <row r="91" spans="1:9" ht="28" x14ac:dyDescent="0.35">
      <c r="A91" s="16" t="s">
        <v>41</v>
      </c>
      <c r="B91" s="17" t="s">
        <v>39</v>
      </c>
      <c r="C91" s="17" t="s">
        <v>684</v>
      </c>
      <c r="D91" s="16" t="s">
        <v>22</v>
      </c>
      <c r="E91" s="16" t="s">
        <v>40</v>
      </c>
      <c r="F91" s="16">
        <v>1</v>
      </c>
      <c r="G91" s="16" t="s">
        <v>295</v>
      </c>
      <c r="H91" s="16" t="s">
        <v>296</v>
      </c>
      <c r="I91" s="16" t="s">
        <v>22</v>
      </c>
    </row>
    <row r="92" spans="1:9" ht="28" x14ac:dyDescent="0.35">
      <c r="A92" s="16" t="s">
        <v>685</v>
      </c>
      <c r="B92" s="17" t="s">
        <v>686</v>
      </c>
      <c r="C92" s="17" t="s">
        <v>687</v>
      </c>
      <c r="D92" s="16" t="s">
        <v>170</v>
      </c>
      <c r="E92" s="16" t="s">
        <v>688</v>
      </c>
      <c r="F92" s="16">
        <v>0.27929999999999999</v>
      </c>
      <c r="G92" s="16" t="s">
        <v>689</v>
      </c>
      <c r="H92" s="16" t="s">
        <v>690</v>
      </c>
      <c r="I92" s="16" t="s">
        <v>170</v>
      </c>
    </row>
    <row r="93" spans="1:9" x14ac:dyDescent="0.35">
      <c r="A93" s="16" t="s">
        <v>427</v>
      </c>
      <c r="B93" s="17" t="s">
        <v>426</v>
      </c>
      <c r="C93" s="17"/>
      <c r="D93" s="16"/>
      <c r="E93" s="16"/>
      <c r="F93" s="16"/>
      <c r="G93" s="16"/>
      <c r="H93" s="16"/>
      <c r="I93" s="16" t="s">
        <v>372</v>
      </c>
    </row>
    <row r="94" spans="1:9" x14ac:dyDescent="0.35">
      <c r="A94" s="16" t="s">
        <v>101</v>
      </c>
      <c r="B94" s="17" t="s">
        <v>99</v>
      </c>
      <c r="C94" s="17" t="s">
        <v>98</v>
      </c>
      <c r="D94" s="16" t="s">
        <v>5</v>
      </c>
      <c r="E94" s="16" t="s">
        <v>100</v>
      </c>
      <c r="F94" s="16">
        <v>0.8</v>
      </c>
      <c r="G94" s="16"/>
      <c r="H94" s="16"/>
      <c r="I94" s="16" t="s">
        <v>5</v>
      </c>
    </row>
    <row r="95" spans="1:9" x14ac:dyDescent="0.35">
      <c r="A95" s="16" t="s">
        <v>691</v>
      </c>
      <c r="B95" s="17" t="s">
        <v>692</v>
      </c>
      <c r="C95" s="17" t="s">
        <v>692</v>
      </c>
      <c r="D95" s="16" t="s">
        <v>5</v>
      </c>
      <c r="E95" s="16" t="s">
        <v>84</v>
      </c>
      <c r="F95" s="16">
        <v>0.8</v>
      </c>
      <c r="G95" s="16"/>
      <c r="H95" s="16"/>
      <c r="I95" s="16" t="s">
        <v>5</v>
      </c>
    </row>
    <row r="96" spans="1:9" ht="28" x14ac:dyDescent="0.35">
      <c r="A96" s="16" t="s">
        <v>86</v>
      </c>
      <c r="B96" s="17" t="s">
        <v>85</v>
      </c>
      <c r="C96" s="17" t="s">
        <v>85</v>
      </c>
      <c r="D96" s="16" t="s">
        <v>5</v>
      </c>
      <c r="E96" s="16" t="s">
        <v>84</v>
      </c>
      <c r="F96" s="16">
        <v>0.8</v>
      </c>
      <c r="G96" s="16"/>
      <c r="H96" s="16"/>
      <c r="I96" s="16" t="s">
        <v>5</v>
      </c>
    </row>
    <row r="97" spans="1:9" x14ac:dyDescent="0.35">
      <c r="A97" s="16" t="s">
        <v>693</v>
      </c>
      <c r="B97" s="17" t="s">
        <v>694</v>
      </c>
      <c r="C97" s="17" t="s">
        <v>84</v>
      </c>
      <c r="D97" s="16" t="s">
        <v>22</v>
      </c>
      <c r="E97" s="16" t="s">
        <v>84</v>
      </c>
      <c r="F97" s="16">
        <v>1</v>
      </c>
      <c r="G97" s="16"/>
      <c r="H97" s="16"/>
      <c r="I97" s="16" t="s">
        <v>22</v>
      </c>
    </row>
    <row r="98" spans="1:9" x14ac:dyDescent="0.35">
      <c r="A98" s="16" t="s">
        <v>695</v>
      </c>
      <c r="B98" s="17" t="s">
        <v>696</v>
      </c>
      <c r="C98" s="17" t="s">
        <v>697</v>
      </c>
      <c r="D98" s="16" t="s">
        <v>22</v>
      </c>
      <c r="E98" s="16" t="s">
        <v>698</v>
      </c>
      <c r="F98" s="16">
        <v>1</v>
      </c>
      <c r="G98" s="16"/>
      <c r="H98" s="16"/>
      <c r="I98" s="16" t="s">
        <v>22</v>
      </c>
    </row>
    <row r="99" spans="1:9" x14ac:dyDescent="0.35">
      <c r="A99" s="16" t="s">
        <v>699</v>
      </c>
      <c r="B99" s="17" t="s">
        <v>696</v>
      </c>
      <c r="C99" s="17" t="s">
        <v>697</v>
      </c>
      <c r="D99" s="16" t="s">
        <v>22</v>
      </c>
      <c r="E99" s="16" t="s">
        <v>698</v>
      </c>
      <c r="F99" s="16">
        <v>1</v>
      </c>
      <c r="G99" s="16"/>
      <c r="H99" s="16"/>
      <c r="I99" s="16" t="s">
        <v>22</v>
      </c>
    </row>
    <row r="100" spans="1:9" ht="70" x14ac:dyDescent="0.35">
      <c r="A100" s="16" t="s">
        <v>390</v>
      </c>
      <c r="B100" s="17" t="s">
        <v>388</v>
      </c>
      <c r="C100" s="17" t="s">
        <v>387</v>
      </c>
      <c r="D100" s="16"/>
      <c r="E100" s="16"/>
      <c r="F100" s="16"/>
      <c r="G100" s="16"/>
      <c r="H100" s="16"/>
      <c r="I100" s="16" t="s">
        <v>372</v>
      </c>
    </row>
    <row r="101" spans="1:9" x14ac:dyDescent="0.35">
      <c r="A101" s="16" t="s">
        <v>700</v>
      </c>
      <c r="B101" s="17" t="s">
        <v>701</v>
      </c>
      <c r="C101" s="17" t="s">
        <v>702</v>
      </c>
      <c r="D101" s="16" t="s">
        <v>170</v>
      </c>
      <c r="E101" s="16" t="s">
        <v>703</v>
      </c>
      <c r="F101" s="16">
        <v>0.37169999999999997</v>
      </c>
      <c r="G101" s="16" t="s">
        <v>704</v>
      </c>
      <c r="H101" s="16" t="s">
        <v>705</v>
      </c>
      <c r="I101" s="16" t="s">
        <v>170</v>
      </c>
    </row>
    <row r="102" spans="1:9" x14ac:dyDescent="0.35">
      <c r="A102" s="16" t="s">
        <v>706</v>
      </c>
      <c r="B102" s="17" t="s">
        <v>707</v>
      </c>
      <c r="C102" s="17"/>
      <c r="D102" s="16"/>
      <c r="E102" s="16"/>
      <c r="F102" s="16"/>
      <c r="G102" s="16"/>
      <c r="H102" s="16"/>
      <c r="I102" s="16" t="s">
        <v>372</v>
      </c>
    </row>
    <row r="103" spans="1:9" x14ac:dyDescent="0.35">
      <c r="A103" s="16" t="s">
        <v>317</v>
      </c>
      <c r="B103" s="17" t="s">
        <v>313</v>
      </c>
      <c r="C103" s="17" t="s">
        <v>312</v>
      </c>
      <c r="D103" s="16" t="s">
        <v>170</v>
      </c>
      <c r="E103" s="16" t="s">
        <v>314</v>
      </c>
      <c r="F103" s="16">
        <v>0.45660000000000001</v>
      </c>
      <c r="G103" s="16" t="s">
        <v>315</v>
      </c>
      <c r="H103" s="16" t="s">
        <v>316</v>
      </c>
      <c r="I103" s="16" t="s">
        <v>170</v>
      </c>
    </row>
    <row r="104" spans="1:9" x14ac:dyDescent="0.35">
      <c r="A104" s="16" t="s">
        <v>708</v>
      </c>
      <c r="B104" s="17" t="s">
        <v>313</v>
      </c>
      <c r="C104" s="17" t="s">
        <v>312</v>
      </c>
      <c r="D104" s="16" t="s">
        <v>170</v>
      </c>
      <c r="E104" s="16" t="s">
        <v>314</v>
      </c>
      <c r="F104" s="16">
        <v>0.45660000000000001</v>
      </c>
      <c r="G104" s="16" t="s">
        <v>315</v>
      </c>
      <c r="H104" s="16" t="s">
        <v>316</v>
      </c>
      <c r="I104" s="16" t="s">
        <v>170</v>
      </c>
    </row>
    <row r="105" spans="1:9" x14ac:dyDescent="0.35">
      <c r="A105" s="16" t="s">
        <v>709</v>
      </c>
      <c r="B105" s="17" t="s">
        <v>313</v>
      </c>
      <c r="C105" s="17" t="s">
        <v>312</v>
      </c>
      <c r="D105" s="16" t="s">
        <v>170</v>
      </c>
      <c r="E105" s="16" t="s">
        <v>314</v>
      </c>
      <c r="F105" s="16">
        <v>0.45660000000000001</v>
      </c>
      <c r="G105" s="16" t="s">
        <v>315</v>
      </c>
      <c r="H105" s="16" t="s">
        <v>316</v>
      </c>
      <c r="I105" s="16" t="s">
        <v>170</v>
      </c>
    </row>
    <row r="106" spans="1:9" x14ac:dyDescent="0.35">
      <c r="A106" s="16" t="s">
        <v>710</v>
      </c>
      <c r="B106" s="17" t="s">
        <v>711</v>
      </c>
      <c r="C106" s="17" t="s">
        <v>84</v>
      </c>
      <c r="D106" s="16" t="s">
        <v>22</v>
      </c>
      <c r="E106" s="16" t="s">
        <v>84</v>
      </c>
      <c r="F106" s="16">
        <v>1</v>
      </c>
      <c r="G106" s="16"/>
      <c r="H106" s="16"/>
      <c r="I106" s="16" t="s">
        <v>22</v>
      </c>
    </row>
    <row r="107" spans="1:9" ht="28" x14ac:dyDescent="0.35">
      <c r="A107" s="16" t="s">
        <v>712</v>
      </c>
      <c r="B107" s="17" t="s">
        <v>713</v>
      </c>
      <c r="C107" s="17" t="s">
        <v>714</v>
      </c>
      <c r="D107" s="16" t="s">
        <v>170</v>
      </c>
      <c r="E107" s="16" t="s">
        <v>715</v>
      </c>
      <c r="F107" s="16">
        <v>0.33910000000000001</v>
      </c>
      <c r="G107" s="16" t="s">
        <v>716</v>
      </c>
      <c r="H107" s="16" t="s">
        <v>326</v>
      </c>
      <c r="I107" s="16" t="s">
        <v>170</v>
      </c>
    </row>
    <row r="108" spans="1:9" x14ac:dyDescent="0.35">
      <c r="A108" s="16" t="s">
        <v>717</v>
      </c>
      <c r="B108" s="17" t="s">
        <v>487</v>
      </c>
      <c r="C108" s="17" t="s">
        <v>487</v>
      </c>
      <c r="D108" s="16" t="s">
        <v>170</v>
      </c>
      <c r="E108" s="16" t="s">
        <v>488</v>
      </c>
      <c r="F108" s="16">
        <v>0.3594</v>
      </c>
      <c r="G108" s="16" t="s">
        <v>489</v>
      </c>
      <c r="H108" s="16"/>
      <c r="I108" s="16" t="s">
        <v>170</v>
      </c>
    </row>
    <row r="109" spans="1:9" ht="56" x14ac:dyDescent="0.35">
      <c r="A109" s="16" t="s">
        <v>718</v>
      </c>
      <c r="B109" s="17" t="s">
        <v>719</v>
      </c>
      <c r="C109" s="17" t="s">
        <v>720</v>
      </c>
      <c r="D109" s="16"/>
      <c r="E109" s="16"/>
      <c r="F109" s="16"/>
      <c r="G109" s="16"/>
      <c r="H109" s="16"/>
      <c r="I109" s="16" t="s">
        <v>372</v>
      </c>
    </row>
    <row r="110" spans="1:9" x14ac:dyDescent="0.35">
      <c r="A110" s="16" t="s">
        <v>721</v>
      </c>
      <c r="B110" s="17" t="s">
        <v>579</v>
      </c>
      <c r="C110" s="17"/>
      <c r="D110" s="16"/>
      <c r="E110" s="16"/>
      <c r="F110" s="16"/>
      <c r="G110" s="16"/>
      <c r="H110" s="16"/>
      <c r="I110" s="16" t="s">
        <v>372</v>
      </c>
    </row>
    <row r="111" spans="1:9" x14ac:dyDescent="0.35">
      <c r="A111" s="16" t="s">
        <v>722</v>
      </c>
      <c r="B111" s="17" t="s">
        <v>723</v>
      </c>
      <c r="C111" s="17" t="s">
        <v>724</v>
      </c>
      <c r="D111" s="16" t="s">
        <v>170</v>
      </c>
      <c r="E111" s="16" t="s">
        <v>725</v>
      </c>
      <c r="F111" s="16">
        <v>0.33210000000000001</v>
      </c>
      <c r="G111" s="16" t="s">
        <v>726</v>
      </c>
      <c r="H111" s="16" t="s">
        <v>727</v>
      </c>
      <c r="I111" s="16" t="s">
        <v>170</v>
      </c>
    </row>
    <row r="112" spans="1:9" x14ac:dyDescent="0.35">
      <c r="A112" s="16" t="s">
        <v>728</v>
      </c>
      <c r="B112" s="17" t="s">
        <v>729</v>
      </c>
      <c r="C112" s="17" t="s">
        <v>84</v>
      </c>
      <c r="D112" s="16" t="s">
        <v>22</v>
      </c>
      <c r="E112" s="16" t="s">
        <v>84</v>
      </c>
      <c r="F112" s="16">
        <v>1</v>
      </c>
      <c r="G112" s="16"/>
      <c r="H112" s="16"/>
      <c r="I112" s="16" t="s">
        <v>22</v>
      </c>
    </row>
    <row r="113" spans="1:9" x14ac:dyDescent="0.35">
      <c r="A113" s="16" t="s">
        <v>730</v>
      </c>
      <c r="B113" s="17" t="s">
        <v>731</v>
      </c>
      <c r="C113" s="17" t="s">
        <v>84</v>
      </c>
      <c r="D113" s="16" t="s">
        <v>22</v>
      </c>
      <c r="E113" s="16" t="s">
        <v>84</v>
      </c>
      <c r="F113" s="16">
        <v>1</v>
      </c>
      <c r="G113" s="16"/>
      <c r="H113" s="16"/>
      <c r="I113" s="16" t="s">
        <v>22</v>
      </c>
    </row>
    <row r="114" spans="1:9" x14ac:dyDescent="0.35">
      <c r="A114" s="16" t="s">
        <v>732</v>
      </c>
      <c r="B114" s="17" t="s">
        <v>733</v>
      </c>
      <c r="C114" s="17" t="s">
        <v>84</v>
      </c>
      <c r="D114" s="16" t="s">
        <v>22</v>
      </c>
      <c r="E114" s="16" t="s">
        <v>84</v>
      </c>
      <c r="F114" s="16">
        <v>1</v>
      </c>
      <c r="G114" s="16"/>
      <c r="H114" s="16"/>
      <c r="I114" s="16" t="s">
        <v>22</v>
      </c>
    </row>
    <row r="115" spans="1:9" x14ac:dyDescent="0.35">
      <c r="A115" s="16" t="s">
        <v>734</v>
      </c>
      <c r="B115" s="17" t="s">
        <v>735</v>
      </c>
      <c r="C115" s="17" t="s">
        <v>736</v>
      </c>
      <c r="D115" s="16" t="s">
        <v>170</v>
      </c>
      <c r="E115" s="16" t="s">
        <v>334</v>
      </c>
      <c r="F115" s="16">
        <v>0.37609999999999999</v>
      </c>
      <c r="G115" s="16" t="s">
        <v>737</v>
      </c>
      <c r="H115" s="16" t="s">
        <v>179</v>
      </c>
      <c r="I115" s="16" t="s">
        <v>170</v>
      </c>
    </row>
    <row r="116" spans="1:9" ht="28" x14ac:dyDescent="0.35">
      <c r="A116" s="16" t="s">
        <v>738</v>
      </c>
      <c r="B116" s="17" t="s">
        <v>739</v>
      </c>
      <c r="C116" s="17" t="s">
        <v>495</v>
      </c>
      <c r="D116" s="16" t="s">
        <v>170</v>
      </c>
      <c r="E116" s="16" t="s">
        <v>496</v>
      </c>
      <c r="F116" s="16">
        <v>0.30659999999999998</v>
      </c>
      <c r="G116" s="16" t="s">
        <v>497</v>
      </c>
      <c r="H116" s="16" t="s">
        <v>498</v>
      </c>
      <c r="I116" s="16" t="s">
        <v>170</v>
      </c>
    </row>
    <row r="117" spans="1:9" x14ac:dyDescent="0.35">
      <c r="A117" s="16" t="s">
        <v>740</v>
      </c>
      <c r="B117" s="17" t="s">
        <v>579</v>
      </c>
      <c r="C117" s="17"/>
      <c r="D117" s="16"/>
      <c r="E117" s="16"/>
      <c r="F117" s="16"/>
      <c r="G117" s="16"/>
      <c r="H117" s="16"/>
      <c r="I117" s="16" t="s">
        <v>372</v>
      </c>
    </row>
    <row r="118" spans="1:9" ht="28" x14ac:dyDescent="0.35">
      <c r="A118" s="16" t="s">
        <v>741</v>
      </c>
      <c r="B118" s="17" t="s">
        <v>742</v>
      </c>
      <c r="C118" s="17" t="s">
        <v>742</v>
      </c>
      <c r="D118" s="16"/>
      <c r="E118" s="16"/>
      <c r="F118" s="16"/>
      <c r="G118" s="16"/>
      <c r="H118" s="16"/>
      <c r="I118" s="16" t="s">
        <v>372</v>
      </c>
    </row>
    <row r="119" spans="1:9" x14ac:dyDescent="0.35">
      <c r="A119" s="16" t="s">
        <v>340</v>
      </c>
      <c r="B119" s="17" t="s">
        <v>338</v>
      </c>
      <c r="C119" s="17" t="s">
        <v>337</v>
      </c>
      <c r="D119" s="16" t="s">
        <v>170</v>
      </c>
      <c r="E119" s="16" t="s">
        <v>334</v>
      </c>
      <c r="F119" s="16">
        <v>0.4244</v>
      </c>
      <c r="G119" s="16" t="s">
        <v>84</v>
      </c>
      <c r="H119" s="16" t="s">
        <v>339</v>
      </c>
      <c r="I119" s="16" t="s">
        <v>170</v>
      </c>
    </row>
    <row r="120" spans="1:9" x14ac:dyDescent="0.35">
      <c r="A120" s="16" t="s">
        <v>743</v>
      </c>
      <c r="B120" s="17" t="s">
        <v>744</v>
      </c>
      <c r="C120" s="17" t="s">
        <v>745</v>
      </c>
      <c r="D120" s="16" t="s">
        <v>170</v>
      </c>
      <c r="E120" s="16" t="s">
        <v>357</v>
      </c>
      <c r="F120" s="16">
        <v>0.41170000000000001</v>
      </c>
      <c r="G120" s="16" t="s">
        <v>358</v>
      </c>
      <c r="H120" s="16" t="s">
        <v>359</v>
      </c>
      <c r="I120" s="16" t="s">
        <v>170</v>
      </c>
    </row>
    <row r="121" spans="1:9" x14ac:dyDescent="0.35">
      <c r="A121" s="16" t="s">
        <v>746</v>
      </c>
      <c r="B121" s="17" t="s">
        <v>747</v>
      </c>
      <c r="C121" s="17" t="s">
        <v>745</v>
      </c>
      <c r="D121" s="16" t="s">
        <v>170</v>
      </c>
      <c r="E121" s="16" t="s">
        <v>357</v>
      </c>
      <c r="F121" s="16">
        <v>0.41170000000000001</v>
      </c>
      <c r="G121" s="16" t="s">
        <v>358</v>
      </c>
      <c r="H121" s="16" t="s">
        <v>359</v>
      </c>
      <c r="I121" s="16" t="s">
        <v>170</v>
      </c>
    </row>
    <row r="122" spans="1:9" ht="28" x14ac:dyDescent="0.35">
      <c r="A122" s="16" t="s">
        <v>748</v>
      </c>
      <c r="B122" s="17" t="s">
        <v>749</v>
      </c>
      <c r="C122" s="17" t="s">
        <v>750</v>
      </c>
      <c r="D122" s="16" t="s">
        <v>170</v>
      </c>
      <c r="E122" s="16" t="s">
        <v>751</v>
      </c>
      <c r="F122" s="16">
        <v>0.26840000000000003</v>
      </c>
      <c r="G122" s="16" t="s">
        <v>225</v>
      </c>
      <c r="H122" s="16" t="s">
        <v>334</v>
      </c>
      <c r="I122" s="16" t="s">
        <v>170</v>
      </c>
    </row>
    <row r="123" spans="1:9" x14ac:dyDescent="0.35">
      <c r="A123" s="16" t="s">
        <v>752</v>
      </c>
      <c r="B123" s="17"/>
      <c r="C123" s="17"/>
      <c r="D123" s="16"/>
      <c r="E123" s="16"/>
      <c r="F123" s="16"/>
      <c r="G123" s="16"/>
      <c r="H123" s="16"/>
      <c r="I123" s="16" t="s">
        <v>414</v>
      </c>
    </row>
    <row r="124" spans="1:9" x14ac:dyDescent="0.35">
      <c r="A124" s="16" t="s">
        <v>753</v>
      </c>
      <c r="B124" s="17" t="s">
        <v>754</v>
      </c>
      <c r="C124" s="17" t="s">
        <v>754</v>
      </c>
      <c r="D124" s="16"/>
      <c r="E124" s="16"/>
      <c r="F124" s="16"/>
      <c r="G124" s="16"/>
      <c r="H124" s="16"/>
      <c r="I124" s="16" t="s">
        <v>372</v>
      </c>
    </row>
    <row r="125" spans="1:9" ht="28" x14ac:dyDescent="0.35">
      <c r="A125" s="16" t="s">
        <v>755</v>
      </c>
      <c r="B125" s="17" t="s">
        <v>756</v>
      </c>
      <c r="C125" s="17" t="s">
        <v>756</v>
      </c>
      <c r="D125" s="16" t="s">
        <v>170</v>
      </c>
      <c r="E125" s="16" t="s">
        <v>316</v>
      </c>
      <c r="F125" s="16">
        <v>0.2364</v>
      </c>
      <c r="G125" s="16" t="s">
        <v>725</v>
      </c>
      <c r="H125" s="16" t="s">
        <v>751</v>
      </c>
      <c r="I125" s="16" t="s">
        <v>170</v>
      </c>
    </row>
    <row r="126" spans="1:9" x14ac:dyDescent="0.35">
      <c r="A126" s="16" t="s">
        <v>310</v>
      </c>
      <c r="B126" s="17" t="s">
        <v>306</v>
      </c>
      <c r="C126" s="17" t="s">
        <v>305</v>
      </c>
      <c r="D126" s="16" t="s">
        <v>170</v>
      </c>
      <c r="E126" s="16" t="s">
        <v>267</v>
      </c>
      <c r="F126" s="16">
        <v>0.46360000000000001</v>
      </c>
      <c r="G126" s="16" t="s">
        <v>308</v>
      </c>
      <c r="H126" s="16" t="s">
        <v>309</v>
      </c>
      <c r="I126" s="16" t="s">
        <v>170</v>
      </c>
    </row>
    <row r="127" spans="1:9" ht="42" x14ac:dyDescent="0.35">
      <c r="A127" s="16" t="s">
        <v>757</v>
      </c>
      <c r="B127" s="17" t="s">
        <v>758</v>
      </c>
      <c r="C127" s="17" t="s">
        <v>759</v>
      </c>
      <c r="D127" s="16" t="s">
        <v>170</v>
      </c>
      <c r="E127" s="16" t="s">
        <v>357</v>
      </c>
      <c r="F127" s="16">
        <v>0.41170000000000001</v>
      </c>
      <c r="G127" s="16" t="s">
        <v>358</v>
      </c>
      <c r="H127" s="16" t="s">
        <v>359</v>
      </c>
      <c r="I127" s="16" t="s">
        <v>170</v>
      </c>
    </row>
    <row r="128" spans="1:9" x14ac:dyDescent="0.35">
      <c r="A128" s="16" t="s">
        <v>760</v>
      </c>
      <c r="B128" s="17" t="s">
        <v>747</v>
      </c>
      <c r="C128" s="17" t="s">
        <v>745</v>
      </c>
      <c r="D128" s="16" t="s">
        <v>170</v>
      </c>
      <c r="E128" s="16" t="s">
        <v>357</v>
      </c>
      <c r="F128" s="16">
        <v>0.41170000000000001</v>
      </c>
      <c r="G128" s="16" t="s">
        <v>358</v>
      </c>
      <c r="H128" s="16" t="s">
        <v>359</v>
      </c>
      <c r="I128" s="16" t="s">
        <v>170</v>
      </c>
    </row>
    <row r="129" spans="1:9" x14ac:dyDescent="0.35">
      <c r="A129" s="16" t="s">
        <v>761</v>
      </c>
      <c r="B129" s="17" t="s">
        <v>754</v>
      </c>
      <c r="C129" s="17" t="s">
        <v>754</v>
      </c>
      <c r="D129" s="16"/>
      <c r="E129" s="16"/>
      <c r="F129" s="16"/>
      <c r="G129" s="16"/>
      <c r="H129" s="16"/>
      <c r="I129" s="16" t="s">
        <v>372</v>
      </c>
    </row>
    <row r="130" spans="1:9" x14ac:dyDescent="0.35">
      <c r="A130" s="16" t="s">
        <v>762</v>
      </c>
      <c r="B130" s="17" t="s">
        <v>763</v>
      </c>
      <c r="C130" s="17" t="s">
        <v>764</v>
      </c>
      <c r="D130" s="16" t="s">
        <v>170</v>
      </c>
      <c r="E130" s="16" t="s">
        <v>334</v>
      </c>
      <c r="F130" s="16">
        <v>0.39679999999999999</v>
      </c>
      <c r="G130" s="16" t="s">
        <v>737</v>
      </c>
      <c r="H130" s="16" t="s">
        <v>765</v>
      </c>
      <c r="I130" s="16" t="s">
        <v>170</v>
      </c>
    </row>
    <row r="131" spans="1:9" x14ac:dyDescent="0.35">
      <c r="A131" s="16" t="s">
        <v>415</v>
      </c>
      <c r="B131" s="17"/>
      <c r="C131" s="17"/>
      <c r="D131" s="16"/>
      <c r="E131" s="16"/>
      <c r="F131" s="16"/>
      <c r="G131" s="16"/>
      <c r="H131" s="16"/>
      <c r="I131" s="16" t="s">
        <v>414</v>
      </c>
    </row>
    <row r="132" spans="1:9" x14ac:dyDescent="0.35">
      <c r="A132" s="16" t="s">
        <v>766</v>
      </c>
      <c r="B132" s="17" t="s">
        <v>763</v>
      </c>
      <c r="C132" s="17" t="s">
        <v>764</v>
      </c>
      <c r="D132" s="16" t="s">
        <v>170</v>
      </c>
      <c r="E132" s="16" t="s">
        <v>334</v>
      </c>
      <c r="F132" s="16">
        <v>0.39679999999999999</v>
      </c>
      <c r="G132" s="16" t="s">
        <v>737</v>
      </c>
      <c r="H132" s="16" t="s">
        <v>765</v>
      </c>
      <c r="I132" s="16" t="s">
        <v>170</v>
      </c>
    </row>
    <row r="133" spans="1:9" x14ac:dyDescent="0.35">
      <c r="A133" s="16" t="s">
        <v>767</v>
      </c>
      <c r="B133" s="17"/>
      <c r="C133" s="17"/>
      <c r="D133" s="16"/>
      <c r="E133" s="16"/>
      <c r="F133" s="16"/>
      <c r="G133" s="16"/>
      <c r="H133" s="16"/>
      <c r="I133" s="16" t="s">
        <v>414</v>
      </c>
    </row>
    <row r="134" spans="1:9" x14ac:dyDescent="0.35">
      <c r="A134" s="16" t="s">
        <v>768</v>
      </c>
      <c r="B134" s="17" t="s">
        <v>729</v>
      </c>
      <c r="C134" s="17" t="s">
        <v>84</v>
      </c>
      <c r="D134" s="16" t="s">
        <v>22</v>
      </c>
      <c r="E134" s="16" t="s">
        <v>84</v>
      </c>
      <c r="F134" s="16">
        <v>1</v>
      </c>
      <c r="G134" s="16"/>
      <c r="H134" s="16"/>
      <c r="I134" s="16" t="s">
        <v>22</v>
      </c>
    </row>
    <row r="135" spans="1:9" x14ac:dyDescent="0.35">
      <c r="A135" s="16" t="s">
        <v>769</v>
      </c>
      <c r="B135" s="17"/>
      <c r="C135" s="17"/>
      <c r="D135" s="16"/>
      <c r="E135" s="16"/>
      <c r="F135" s="16"/>
      <c r="G135" s="16"/>
      <c r="H135" s="16"/>
      <c r="I135" s="16" t="s">
        <v>414</v>
      </c>
    </row>
    <row r="136" spans="1:9" x14ac:dyDescent="0.35">
      <c r="A136" s="16" t="s">
        <v>770</v>
      </c>
      <c r="B136" s="17" t="s">
        <v>763</v>
      </c>
      <c r="C136" s="17" t="s">
        <v>764</v>
      </c>
      <c r="D136" s="16" t="s">
        <v>170</v>
      </c>
      <c r="E136" s="16" t="s">
        <v>334</v>
      </c>
      <c r="F136" s="16">
        <v>0.39679999999999999</v>
      </c>
      <c r="G136" s="16" t="s">
        <v>737</v>
      </c>
      <c r="H136" s="16" t="s">
        <v>765</v>
      </c>
      <c r="I136" s="16" t="s">
        <v>170</v>
      </c>
    </row>
    <row r="137" spans="1:9" x14ac:dyDescent="0.35">
      <c r="A137" s="16" t="s">
        <v>771</v>
      </c>
      <c r="B137" s="17" t="s">
        <v>772</v>
      </c>
      <c r="C137" s="17" t="s">
        <v>772</v>
      </c>
      <c r="D137" s="16" t="s">
        <v>5</v>
      </c>
      <c r="E137" s="16" t="s">
        <v>84</v>
      </c>
      <c r="F137" s="16">
        <v>0.8</v>
      </c>
      <c r="G137" s="16"/>
      <c r="H137" s="16"/>
      <c r="I137" s="16" t="s">
        <v>5</v>
      </c>
    </row>
    <row r="138" spans="1:9" x14ac:dyDescent="0.35">
      <c r="A138" s="16" t="s">
        <v>773</v>
      </c>
      <c r="B138" s="17" t="s">
        <v>774</v>
      </c>
      <c r="C138" s="17" t="s">
        <v>775</v>
      </c>
      <c r="D138" s="16" t="s">
        <v>170</v>
      </c>
      <c r="E138" s="16" t="s">
        <v>547</v>
      </c>
      <c r="F138" s="16">
        <v>0.42420000000000002</v>
      </c>
      <c r="G138" s="16" t="s">
        <v>548</v>
      </c>
      <c r="H138" s="16" t="s">
        <v>776</v>
      </c>
      <c r="I138" s="16" t="s">
        <v>170</v>
      </c>
    </row>
    <row r="139" spans="1:9" x14ac:dyDescent="0.35">
      <c r="A139" s="16" t="s">
        <v>777</v>
      </c>
      <c r="B139" s="17" t="s">
        <v>772</v>
      </c>
      <c r="C139" s="17" t="s">
        <v>772</v>
      </c>
      <c r="D139" s="16" t="s">
        <v>5</v>
      </c>
      <c r="E139" s="16" t="s">
        <v>84</v>
      </c>
      <c r="F139" s="16">
        <v>0.8</v>
      </c>
      <c r="G139" s="16"/>
      <c r="H139" s="16"/>
      <c r="I139" s="16" t="s">
        <v>5</v>
      </c>
    </row>
    <row r="140" spans="1:9" x14ac:dyDescent="0.35">
      <c r="A140" s="16" t="s">
        <v>329</v>
      </c>
      <c r="B140" s="17" t="s">
        <v>324</v>
      </c>
      <c r="C140" s="17" t="s">
        <v>323</v>
      </c>
      <c r="D140" s="16" t="s">
        <v>170</v>
      </c>
      <c r="E140" s="16" t="s">
        <v>326</v>
      </c>
      <c r="F140" s="16">
        <v>0.44379999999999997</v>
      </c>
      <c r="G140" s="16" t="s">
        <v>327</v>
      </c>
      <c r="H140" s="16" t="s">
        <v>328</v>
      </c>
      <c r="I140" s="16" t="s">
        <v>170</v>
      </c>
    </row>
    <row r="141" spans="1:9" ht="28" x14ac:dyDescent="0.35">
      <c r="A141" s="16" t="s">
        <v>778</v>
      </c>
      <c r="B141" s="17" t="s">
        <v>779</v>
      </c>
      <c r="C141" s="17" t="s">
        <v>780</v>
      </c>
      <c r="D141" s="16" t="s">
        <v>170</v>
      </c>
      <c r="E141" s="16" t="s">
        <v>781</v>
      </c>
      <c r="F141" s="16">
        <v>0.4088</v>
      </c>
      <c r="G141" s="16" t="s">
        <v>782</v>
      </c>
      <c r="H141" s="16" t="s">
        <v>783</v>
      </c>
      <c r="I141" s="16" t="s">
        <v>170</v>
      </c>
    </row>
    <row r="142" spans="1:9" x14ac:dyDescent="0.35">
      <c r="A142" s="16" t="s">
        <v>417</v>
      </c>
      <c r="B142" s="17"/>
      <c r="C142" s="17"/>
      <c r="D142" s="16"/>
      <c r="E142" s="16"/>
      <c r="F142" s="16"/>
      <c r="G142" s="16"/>
      <c r="H142" s="16"/>
      <c r="I142" s="16" t="s">
        <v>414</v>
      </c>
    </row>
    <row r="143" spans="1:9" x14ac:dyDescent="0.35">
      <c r="A143" s="16" t="s">
        <v>784</v>
      </c>
      <c r="B143" s="17" t="s">
        <v>763</v>
      </c>
      <c r="C143" s="17" t="s">
        <v>764</v>
      </c>
      <c r="D143" s="16" t="s">
        <v>170</v>
      </c>
      <c r="E143" s="16" t="s">
        <v>334</v>
      </c>
      <c r="F143" s="16">
        <v>0.39679999999999999</v>
      </c>
      <c r="G143" s="16" t="s">
        <v>737</v>
      </c>
      <c r="H143" s="16" t="s">
        <v>765</v>
      </c>
      <c r="I143" s="16" t="s">
        <v>170</v>
      </c>
    </row>
    <row r="144" spans="1:9" x14ac:dyDescent="0.35">
      <c r="A144" s="16" t="s">
        <v>785</v>
      </c>
      <c r="B144" s="17"/>
      <c r="C144" s="17"/>
      <c r="D144" s="16"/>
      <c r="E144" s="16"/>
      <c r="F144" s="16"/>
      <c r="G144" s="16"/>
      <c r="H144" s="16"/>
      <c r="I144" s="16" t="s">
        <v>414</v>
      </c>
    </row>
    <row r="145" spans="1:9" x14ac:dyDescent="0.35">
      <c r="A145" s="16" t="s">
        <v>786</v>
      </c>
      <c r="B145" s="17" t="s">
        <v>763</v>
      </c>
      <c r="C145" s="17" t="s">
        <v>764</v>
      </c>
      <c r="D145" s="16" t="s">
        <v>170</v>
      </c>
      <c r="E145" s="16" t="s">
        <v>334</v>
      </c>
      <c r="F145" s="16">
        <v>0.39679999999999999</v>
      </c>
      <c r="G145" s="16" t="s">
        <v>737</v>
      </c>
      <c r="H145" s="16" t="s">
        <v>765</v>
      </c>
      <c r="I145" s="16" t="s">
        <v>170</v>
      </c>
    </row>
    <row r="146" spans="1:9" x14ac:dyDescent="0.35">
      <c r="A146" s="16" t="s">
        <v>787</v>
      </c>
      <c r="B146" s="17"/>
      <c r="C146" s="17"/>
      <c r="D146" s="16"/>
      <c r="E146" s="16"/>
      <c r="F146" s="16"/>
      <c r="G146" s="16"/>
      <c r="H146" s="16"/>
      <c r="I146" s="16" t="s">
        <v>414</v>
      </c>
    </row>
    <row r="147" spans="1:9" ht="28" x14ac:dyDescent="0.35">
      <c r="A147" s="16" t="s">
        <v>788</v>
      </c>
      <c r="B147" s="17" t="s">
        <v>789</v>
      </c>
      <c r="C147" s="17" t="s">
        <v>790</v>
      </c>
      <c r="D147" s="16" t="s">
        <v>170</v>
      </c>
      <c r="E147" s="16" t="s">
        <v>273</v>
      </c>
      <c r="F147" s="16">
        <v>0.29120000000000001</v>
      </c>
      <c r="G147" s="16" t="s">
        <v>791</v>
      </c>
      <c r="H147" s="16" t="s">
        <v>792</v>
      </c>
      <c r="I147" s="16" t="s">
        <v>170</v>
      </c>
    </row>
    <row r="148" spans="1:9" x14ac:dyDescent="0.35">
      <c r="A148" s="16" t="s">
        <v>419</v>
      </c>
      <c r="B148" s="17"/>
      <c r="C148" s="17"/>
      <c r="D148" s="16"/>
      <c r="E148" s="16"/>
      <c r="F148" s="16"/>
      <c r="G148" s="16"/>
      <c r="H148" s="16"/>
      <c r="I148" s="16" t="s">
        <v>414</v>
      </c>
    </row>
    <row r="149" spans="1:9" x14ac:dyDescent="0.35">
      <c r="A149" s="16" t="s">
        <v>793</v>
      </c>
      <c r="B149" s="17" t="s">
        <v>763</v>
      </c>
      <c r="C149" s="17" t="s">
        <v>764</v>
      </c>
      <c r="D149" s="16" t="s">
        <v>170</v>
      </c>
      <c r="E149" s="16" t="s">
        <v>334</v>
      </c>
      <c r="F149" s="16">
        <v>0.39679999999999999</v>
      </c>
      <c r="G149" s="16" t="s">
        <v>737</v>
      </c>
      <c r="H149" s="16" t="s">
        <v>765</v>
      </c>
      <c r="I149" s="16" t="s">
        <v>170</v>
      </c>
    </row>
    <row r="150" spans="1:9" x14ac:dyDescent="0.35">
      <c r="A150" s="16" t="s">
        <v>794</v>
      </c>
      <c r="B150" s="17"/>
      <c r="C150" s="17"/>
      <c r="D150" s="16"/>
      <c r="E150" s="16"/>
      <c r="F150" s="16"/>
      <c r="G150" s="16"/>
      <c r="H150" s="16"/>
      <c r="I150" s="16" t="s">
        <v>414</v>
      </c>
    </row>
    <row r="151" spans="1:9" ht="28" x14ac:dyDescent="0.35">
      <c r="A151" s="16" t="s">
        <v>148</v>
      </c>
      <c r="B151" s="17" t="s">
        <v>145</v>
      </c>
      <c r="C151" s="17" t="s">
        <v>144</v>
      </c>
      <c r="D151" s="16" t="s">
        <v>116</v>
      </c>
      <c r="E151" s="16" t="s">
        <v>147</v>
      </c>
      <c r="F151" s="16">
        <v>0.6</v>
      </c>
      <c r="G151" s="16"/>
      <c r="H151" s="16"/>
      <c r="I151" s="16" t="s">
        <v>116</v>
      </c>
    </row>
    <row r="152" spans="1:9" x14ac:dyDescent="0.35">
      <c r="A152" s="16" t="s">
        <v>795</v>
      </c>
      <c r="B152" s="17" t="s">
        <v>763</v>
      </c>
      <c r="C152" s="17" t="s">
        <v>764</v>
      </c>
      <c r="D152" s="16" t="s">
        <v>170</v>
      </c>
      <c r="E152" s="16" t="s">
        <v>334</v>
      </c>
      <c r="F152" s="16">
        <v>0.39679999999999999</v>
      </c>
      <c r="G152" s="16" t="s">
        <v>737</v>
      </c>
      <c r="H152" s="16" t="s">
        <v>765</v>
      </c>
      <c r="I152" s="16" t="s">
        <v>170</v>
      </c>
    </row>
    <row r="153" spans="1:9" x14ac:dyDescent="0.35">
      <c r="A153" s="16" t="s">
        <v>796</v>
      </c>
      <c r="B153" s="17"/>
      <c r="C153" s="17"/>
      <c r="D153" s="16"/>
      <c r="E153" s="16"/>
      <c r="F153" s="16"/>
      <c r="G153" s="16"/>
      <c r="H153" s="16"/>
      <c r="I153" s="16" t="s">
        <v>414</v>
      </c>
    </row>
    <row r="154" spans="1:9" x14ac:dyDescent="0.35">
      <c r="A154" s="16" t="s">
        <v>797</v>
      </c>
      <c r="B154" s="17" t="s">
        <v>426</v>
      </c>
      <c r="C154" s="17"/>
      <c r="D154" s="16"/>
      <c r="E154" s="16"/>
      <c r="F154" s="16"/>
      <c r="G154" s="16"/>
      <c r="H154" s="16"/>
      <c r="I154" s="16" t="s">
        <v>372</v>
      </c>
    </row>
    <row r="155" spans="1:9" x14ac:dyDescent="0.35">
      <c r="A155" s="16" t="s">
        <v>798</v>
      </c>
      <c r="B155" s="17" t="s">
        <v>799</v>
      </c>
      <c r="C155" s="17" t="s">
        <v>799</v>
      </c>
      <c r="D155" s="16" t="s">
        <v>170</v>
      </c>
      <c r="E155" s="16" t="s">
        <v>800</v>
      </c>
      <c r="F155" s="16">
        <v>0.44990000000000002</v>
      </c>
      <c r="G155" s="16" t="s">
        <v>801</v>
      </c>
      <c r="H155" s="16" t="s">
        <v>802</v>
      </c>
      <c r="I155" s="16" t="s">
        <v>170</v>
      </c>
    </row>
    <row r="156" spans="1:9" ht="28" x14ac:dyDescent="0.35">
      <c r="A156" s="16" t="s">
        <v>803</v>
      </c>
      <c r="B156" s="17" t="s">
        <v>804</v>
      </c>
      <c r="C156" s="17" t="s">
        <v>805</v>
      </c>
      <c r="D156" s="16" t="s">
        <v>116</v>
      </c>
      <c r="E156" s="16" t="s">
        <v>806</v>
      </c>
      <c r="F156" s="16">
        <v>0.6</v>
      </c>
      <c r="G156" s="16"/>
      <c r="H156" s="16"/>
      <c r="I156" s="16" t="s">
        <v>116</v>
      </c>
    </row>
    <row r="157" spans="1:9" x14ac:dyDescent="0.35">
      <c r="A157" s="16" t="s">
        <v>807</v>
      </c>
      <c r="B157" s="17" t="s">
        <v>84</v>
      </c>
      <c r="C157" s="17" t="s">
        <v>84</v>
      </c>
      <c r="D157" s="16" t="s">
        <v>22</v>
      </c>
      <c r="E157" s="16" t="s">
        <v>84</v>
      </c>
      <c r="F157" s="16">
        <v>1</v>
      </c>
      <c r="G157" s="16"/>
      <c r="H157" s="16"/>
      <c r="I157" s="16" t="s">
        <v>22</v>
      </c>
    </row>
    <row r="158" spans="1:9" x14ac:dyDescent="0.35">
      <c r="A158" s="16" t="s">
        <v>808</v>
      </c>
      <c r="B158" s="17" t="s">
        <v>809</v>
      </c>
      <c r="C158" s="17" t="s">
        <v>809</v>
      </c>
      <c r="D158" s="16" t="s">
        <v>170</v>
      </c>
      <c r="E158" s="16" t="s">
        <v>55</v>
      </c>
      <c r="F158" s="16">
        <v>0.26550000000000001</v>
      </c>
      <c r="G158" s="16" t="s">
        <v>810</v>
      </c>
      <c r="H158" s="16" t="s">
        <v>589</v>
      </c>
      <c r="I158" s="16" t="s">
        <v>170</v>
      </c>
    </row>
    <row r="159" spans="1:9" x14ac:dyDescent="0.35">
      <c r="A159" s="16" t="s">
        <v>811</v>
      </c>
      <c r="B159" s="17" t="s">
        <v>812</v>
      </c>
      <c r="C159" s="17" t="s">
        <v>812</v>
      </c>
      <c r="D159" s="16" t="s">
        <v>170</v>
      </c>
      <c r="E159" s="16" t="s">
        <v>783</v>
      </c>
      <c r="F159" s="16">
        <v>0.44059999999999999</v>
      </c>
      <c r="G159" s="16" t="s">
        <v>813</v>
      </c>
      <c r="H159" s="16" t="s">
        <v>814</v>
      </c>
      <c r="I159" s="16" t="s">
        <v>170</v>
      </c>
    </row>
    <row r="160" spans="1:9" x14ac:dyDescent="0.35">
      <c r="A160" s="16" t="s">
        <v>321</v>
      </c>
      <c r="B160" s="17" t="s">
        <v>319</v>
      </c>
      <c r="C160" s="17" t="s">
        <v>307</v>
      </c>
      <c r="D160" s="16" t="s">
        <v>170</v>
      </c>
      <c r="E160" s="16" t="s">
        <v>320</v>
      </c>
      <c r="F160" s="16">
        <v>0.45400000000000001</v>
      </c>
      <c r="G160" s="16" t="s">
        <v>309</v>
      </c>
      <c r="H160" s="16" t="s">
        <v>60</v>
      </c>
      <c r="I160" s="16" t="s">
        <v>170</v>
      </c>
    </row>
    <row r="161" spans="1:9" x14ac:dyDescent="0.35">
      <c r="A161" s="16" t="s">
        <v>815</v>
      </c>
      <c r="B161" s="17" t="s">
        <v>816</v>
      </c>
      <c r="C161" s="17" t="s">
        <v>817</v>
      </c>
      <c r="D161" s="16" t="s">
        <v>170</v>
      </c>
      <c r="E161" s="16" t="s">
        <v>273</v>
      </c>
      <c r="F161" s="16">
        <v>0.46889999999999998</v>
      </c>
      <c r="G161" s="16" t="s">
        <v>34</v>
      </c>
      <c r="H161" s="16" t="s">
        <v>274</v>
      </c>
      <c r="I161" s="16" t="s">
        <v>170</v>
      </c>
    </row>
    <row r="162" spans="1:9" x14ac:dyDescent="0.35">
      <c r="A162" s="16" t="s">
        <v>47</v>
      </c>
      <c r="B162" s="17" t="s">
        <v>44</v>
      </c>
      <c r="C162" s="17" t="s">
        <v>818</v>
      </c>
      <c r="D162" s="16" t="s">
        <v>22</v>
      </c>
      <c r="E162" s="16" t="s">
        <v>49</v>
      </c>
      <c r="F162" s="16">
        <v>1</v>
      </c>
      <c r="G162" s="16" t="s">
        <v>46</v>
      </c>
      <c r="H162" s="16"/>
      <c r="I162" s="16" t="s">
        <v>22</v>
      </c>
    </row>
    <row r="163" spans="1:9" ht="28" x14ac:dyDescent="0.35">
      <c r="A163" s="16" t="s">
        <v>354</v>
      </c>
      <c r="B163" s="17" t="s">
        <v>349</v>
      </c>
      <c r="C163" s="17" t="s">
        <v>348</v>
      </c>
      <c r="D163" s="16" t="s">
        <v>170</v>
      </c>
      <c r="E163" s="16" t="s">
        <v>351</v>
      </c>
      <c r="F163" s="16">
        <v>0.4173</v>
      </c>
      <c r="G163" s="16" t="s">
        <v>352</v>
      </c>
      <c r="H163" s="16" t="s">
        <v>353</v>
      </c>
      <c r="I163" s="16" t="s">
        <v>170</v>
      </c>
    </row>
    <row r="164" spans="1:9" x14ac:dyDescent="0.35">
      <c r="A164" s="16" t="s">
        <v>819</v>
      </c>
      <c r="B164" s="17" t="s">
        <v>510</v>
      </c>
      <c r="C164" s="17" t="s">
        <v>511</v>
      </c>
      <c r="D164" s="16" t="s">
        <v>170</v>
      </c>
      <c r="E164" s="16" t="s">
        <v>512</v>
      </c>
      <c r="F164" s="16">
        <v>0.26040000000000002</v>
      </c>
      <c r="G164" s="16" t="s">
        <v>513</v>
      </c>
      <c r="H164" s="16"/>
      <c r="I164" s="16" t="s">
        <v>170</v>
      </c>
    </row>
    <row r="165" spans="1:9" ht="56" x14ac:dyDescent="0.35">
      <c r="A165" s="16" t="s">
        <v>820</v>
      </c>
      <c r="B165" s="17" t="s">
        <v>821</v>
      </c>
      <c r="C165" s="17" t="s">
        <v>822</v>
      </c>
      <c r="D165" s="16" t="s">
        <v>5</v>
      </c>
      <c r="E165" s="16" t="s">
        <v>84</v>
      </c>
      <c r="F165" s="16">
        <v>0.8</v>
      </c>
      <c r="G165" s="16"/>
      <c r="H165" s="16"/>
      <c r="I165" s="16" t="s">
        <v>5</v>
      </c>
    </row>
    <row r="166" spans="1:9" x14ac:dyDescent="0.35">
      <c r="A166" s="16" t="s">
        <v>823</v>
      </c>
      <c r="B166" s="17" t="s">
        <v>824</v>
      </c>
      <c r="C166" s="17" t="s">
        <v>824</v>
      </c>
      <c r="D166" s="16" t="s">
        <v>170</v>
      </c>
      <c r="E166" s="16" t="s">
        <v>783</v>
      </c>
      <c r="F166" s="16">
        <v>0.33860000000000001</v>
      </c>
      <c r="G166" s="16" t="s">
        <v>813</v>
      </c>
      <c r="H166" s="16" t="s">
        <v>825</v>
      </c>
      <c r="I166" s="16" t="s">
        <v>170</v>
      </c>
    </row>
    <row r="167" spans="1:9" ht="28" x14ac:dyDescent="0.35">
      <c r="A167" s="16" t="s">
        <v>826</v>
      </c>
      <c r="B167" s="17" t="s">
        <v>827</v>
      </c>
      <c r="C167" s="17" t="s">
        <v>348</v>
      </c>
      <c r="D167" s="16" t="s">
        <v>170</v>
      </c>
      <c r="E167" s="16" t="s">
        <v>351</v>
      </c>
      <c r="F167" s="16">
        <v>0.4173</v>
      </c>
      <c r="G167" s="16" t="s">
        <v>352</v>
      </c>
      <c r="H167" s="16" t="s">
        <v>353</v>
      </c>
      <c r="I167" s="16" t="s">
        <v>170</v>
      </c>
    </row>
    <row r="168" spans="1:9" ht="28" x14ac:dyDescent="0.35">
      <c r="A168" s="16" t="s">
        <v>828</v>
      </c>
      <c r="B168" s="17" t="s">
        <v>829</v>
      </c>
      <c r="C168" s="17" t="s">
        <v>829</v>
      </c>
      <c r="D168" s="16" t="s">
        <v>5</v>
      </c>
      <c r="E168" s="16" t="s">
        <v>84</v>
      </c>
      <c r="F168" s="16">
        <v>0.8</v>
      </c>
      <c r="G168" s="16"/>
      <c r="H168" s="16"/>
      <c r="I168" s="16" t="s">
        <v>5</v>
      </c>
    </row>
    <row r="169" spans="1:9" x14ac:dyDescent="0.35">
      <c r="A169" s="16" t="s">
        <v>830</v>
      </c>
      <c r="B169" s="17" t="s">
        <v>487</v>
      </c>
      <c r="C169" s="17" t="s">
        <v>487</v>
      </c>
      <c r="D169" s="16" t="s">
        <v>170</v>
      </c>
      <c r="E169" s="16" t="s">
        <v>488</v>
      </c>
      <c r="F169" s="16">
        <v>0.3594</v>
      </c>
      <c r="G169" s="16" t="s">
        <v>489</v>
      </c>
      <c r="H169" s="16"/>
      <c r="I169" s="16" t="s">
        <v>170</v>
      </c>
    </row>
    <row r="170" spans="1:9" ht="126" x14ac:dyDescent="0.35">
      <c r="A170" s="16" t="s">
        <v>411</v>
      </c>
      <c r="B170" s="17" t="s">
        <v>410</v>
      </c>
      <c r="C170" s="17" t="s">
        <v>831</v>
      </c>
      <c r="D170" s="16" t="s">
        <v>170</v>
      </c>
      <c r="E170" s="16" t="s">
        <v>339</v>
      </c>
      <c r="F170" s="16">
        <v>0.4284</v>
      </c>
      <c r="G170" s="16" t="s">
        <v>334</v>
      </c>
      <c r="H170" s="16" t="s">
        <v>832</v>
      </c>
      <c r="I170" s="16" t="s">
        <v>170</v>
      </c>
    </row>
    <row r="171" spans="1:9" ht="126" x14ac:dyDescent="0.35">
      <c r="A171" s="16" t="s">
        <v>833</v>
      </c>
      <c r="B171" s="17" t="s">
        <v>410</v>
      </c>
      <c r="C171" s="17" t="s">
        <v>831</v>
      </c>
      <c r="D171" s="16" t="s">
        <v>170</v>
      </c>
      <c r="E171" s="16" t="s">
        <v>339</v>
      </c>
      <c r="F171" s="16">
        <v>0.4284</v>
      </c>
      <c r="G171" s="16" t="s">
        <v>334</v>
      </c>
      <c r="H171" s="16" t="s">
        <v>832</v>
      </c>
      <c r="I171" s="16" t="s">
        <v>170</v>
      </c>
    </row>
    <row r="172" spans="1:9" x14ac:dyDescent="0.35">
      <c r="A172" s="16" t="s">
        <v>834</v>
      </c>
      <c r="B172" s="17" t="s">
        <v>835</v>
      </c>
      <c r="C172" s="17" t="s">
        <v>835</v>
      </c>
      <c r="D172" s="16" t="s">
        <v>170</v>
      </c>
      <c r="E172" s="16" t="s">
        <v>836</v>
      </c>
      <c r="F172" s="16">
        <v>0.47189999999999999</v>
      </c>
      <c r="G172" s="16" t="s">
        <v>837</v>
      </c>
      <c r="H172" s="16" t="s">
        <v>682</v>
      </c>
      <c r="I172" s="16" t="s">
        <v>170</v>
      </c>
    </row>
    <row r="173" spans="1:9" ht="84" x14ac:dyDescent="0.35">
      <c r="A173" s="16" t="s">
        <v>838</v>
      </c>
      <c r="B173" s="17" t="s">
        <v>839</v>
      </c>
      <c r="C173" s="17" t="s">
        <v>840</v>
      </c>
      <c r="D173" s="16"/>
      <c r="E173" s="16"/>
      <c r="F173" s="16"/>
      <c r="G173" s="16"/>
      <c r="H173" s="16"/>
      <c r="I173" s="16" t="s">
        <v>372</v>
      </c>
    </row>
    <row r="174" spans="1:9" x14ac:dyDescent="0.35">
      <c r="A174" s="16" t="s">
        <v>841</v>
      </c>
      <c r="B174" s="17" t="s">
        <v>842</v>
      </c>
      <c r="C174" s="17" t="s">
        <v>812</v>
      </c>
      <c r="D174" s="16" t="s">
        <v>170</v>
      </c>
      <c r="E174" s="16" t="s">
        <v>783</v>
      </c>
      <c r="F174" s="16">
        <v>0.44059999999999999</v>
      </c>
      <c r="G174" s="16" t="s">
        <v>813</v>
      </c>
      <c r="H174" s="16" t="s">
        <v>814</v>
      </c>
      <c r="I174" s="16" t="s">
        <v>170</v>
      </c>
    </row>
    <row r="175" spans="1:9" x14ac:dyDescent="0.35">
      <c r="A175" s="16" t="s">
        <v>56</v>
      </c>
      <c r="B175" s="17" t="s">
        <v>53</v>
      </c>
      <c r="C175" s="17" t="s">
        <v>52</v>
      </c>
      <c r="D175" s="16" t="s">
        <v>22</v>
      </c>
      <c r="E175" s="16" t="s">
        <v>55</v>
      </c>
      <c r="F175" s="16">
        <v>1</v>
      </c>
      <c r="G175" s="16"/>
      <c r="H175" s="16"/>
      <c r="I175" s="16" t="s">
        <v>22</v>
      </c>
    </row>
    <row r="176" spans="1:9" x14ac:dyDescent="0.35">
      <c r="A176" s="16" t="s">
        <v>843</v>
      </c>
      <c r="B176" s="17" t="s">
        <v>844</v>
      </c>
      <c r="C176" s="17" t="s">
        <v>845</v>
      </c>
      <c r="D176" s="16" t="s">
        <v>22</v>
      </c>
      <c r="E176" s="16" t="s">
        <v>845</v>
      </c>
      <c r="F176" s="16">
        <v>0.8</v>
      </c>
      <c r="G176" s="16" t="s">
        <v>846</v>
      </c>
      <c r="H176" s="16"/>
      <c r="I176" s="16" t="s">
        <v>22</v>
      </c>
    </row>
    <row r="177" spans="1:9" ht="409.5" x14ac:dyDescent="0.35">
      <c r="A177" s="16" t="s">
        <v>847</v>
      </c>
      <c r="B177" s="17" t="s">
        <v>848</v>
      </c>
      <c r="C177" s="17" t="s">
        <v>849</v>
      </c>
      <c r="D177" s="16"/>
      <c r="E177" s="16"/>
      <c r="F177" s="16"/>
      <c r="G177" s="16"/>
      <c r="H177" s="16"/>
      <c r="I177" s="16" t="s">
        <v>372</v>
      </c>
    </row>
    <row r="178" spans="1:9" x14ac:dyDescent="0.35">
      <c r="A178" s="16" t="s">
        <v>231</v>
      </c>
      <c r="B178" s="17" t="s">
        <v>229</v>
      </c>
      <c r="C178" s="17" t="s">
        <v>228</v>
      </c>
      <c r="D178" s="16" t="s">
        <v>170</v>
      </c>
      <c r="E178" s="16" t="s">
        <v>230</v>
      </c>
      <c r="F178" s="16">
        <v>0.20699999999999999</v>
      </c>
      <c r="G178" s="16"/>
      <c r="H178" s="16"/>
      <c r="I178" s="16" t="s">
        <v>170</v>
      </c>
    </row>
    <row r="179" spans="1:9" x14ac:dyDescent="0.35">
      <c r="A179" s="16" t="s">
        <v>302</v>
      </c>
      <c r="B179" s="17" t="s">
        <v>299</v>
      </c>
      <c r="C179" s="17" t="s">
        <v>298</v>
      </c>
      <c r="D179" s="16" t="s">
        <v>170</v>
      </c>
      <c r="E179" s="16" t="s">
        <v>300</v>
      </c>
      <c r="F179" s="16">
        <v>0.3125</v>
      </c>
      <c r="G179" s="16" t="s">
        <v>301</v>
      </c>
      <c r="H179" s="16"/>
      <c r="I179" s="16" t="s">
        <v>170</v>
      </c>
    </row>
    <row r="180" spans="1:9" x14ac:dyDescent="0.35">
      <c r="A180" s="16" t="s">
        <v>850</v>
      </c>
      <c r="B180" s="17" t="s">
        <v>754</v>
      </c>
      <c r="C180" s="17" t="s">
        <v>754</v>
      </c>
      <c r="D180" s="16"/>
      <c r="E180" s="16"/>
      <c r="F180" s="16"/>
      <c r="G180" s="16"/>
      <c r="H180" s="16"/>
      <c r="I180" s="16" t="s">
        <v>372</v>
      </c>
    </row>
    <row r="181" spans="1:9" x14ac:dyDescent="0.35">
      <c r="A181" s="16" t="s">
        <v>851</v>
      </c>
      <c r="B181" s="17" t="s">
        <v>852</v>
      </c>
      <c r="C181" s="17" t="s">
        <v>853</v>
      </c>
      <c r="D181" s="16" t="s">
        <v>170</v>
      </c>
      <c r="E181" s="16" t="s">
        <v>854</v>
      </c>
      <c r="F181" s="16">
        <v>0.34589999999999999</v>
      </c>
      <c r="G181" s="16" t="s">
        <v>682</v>
      </c>
      <c r="H181" s="16" t="s">
        <v>855</v>
      </c>
      <c r="I181" s="16" t="s">
        <v>170</v>
      </c>
    </row>
    <row r="182" spans="1:9" x14ac:dyDescent="0.35">
      <c r="A182" s="16" t="s">
        <v>856</v>
      </c>
      <c r="B182" s="17" t="s">
        <v>852</v>
      </c>
      <c r="C182" s="17" t="s">
        <v>853</v>
      </c>
      <c r="D182" s="16" t="s">
        <v>170</v>
      </c>
      <c r="E182" s="16" t="s">
        <v>854</v>
      </c>
      <c r="F182" s="16">
        <v>0.34589999999999999</v>
      </c>
      <c r="G182" s="16" t="s">
        <v>682</v>
      </c>
      <c r="H182" s="16" t="s">
        <v>855</v>
      </c>
      <c r="I182" s="16" t="s">
        <v>170</v>
      </c>
    </row>
    <row r="183" spans="1:9" x14ac:dyDescent="0.35">
      <c r="A183" s="16" t="s">
        <v>220</v>
      </c>
      <c r="B183" s="17" t="s">
        <v>216</v>
      </c>
      <c r="C183" s="17" t="s">
        <v>215</v>
      </c>
      <c r="D183" s="16" t="s">
        <v>170</v>
      </c>
      <c r="E183" s="16" t="s">
        <v>218</v>
      </c>
      <c r="F183" s="16">
        <v>0.23719999999999999</v>
      </c>
      <c r="G183" s="16" t="s">
        <v>219</v>
      </c>
      <c r="H183" s="16"/>
      <c r="I183" s="16" t="s">
        <v>170</v>
      </c>
    </row>
    <row r="184" spans="1:9" x14ac:dyDescent="0.35">
      <c r="A184" s="16" t="s">
        <v>857</v>
      </c>
      <c r="B184" s="17" t="s">
        <v>858</v>
      </c>
      <c r="C184" s="17" t="s">
        <v>859</v>
      </c>
      <c r="D184" s="16" t="s">
        <v>170</v>
      </c>
      <c r="E184" s="16" t="s">
        <v>648</v>
      </c>
      <c r="F184" s="16">
        <v>0.34449999999999997</v>
      </c>
      <c r="G184" s="16"/>
      <c r="H184" s="16"/>
      <c r="I184" s="16" t="s">
        <v>170</v>
      </c>
    </row>
    <row r="185" spans="1:9" ht="84" x14ac:dyDescent="0.35">
      <c r="A185" s="16" t="s">
        <v>860</v>
      </c>
      <c r="B185" s="17" t="s">
        <v>861</v>
      </c>
      <c r="C185" s="17" t="s">
        <v>862</v>
      </c>
      <c r="D185" s="16"/>
      <c r="E185" s="16"/>
      <c r="F185" s="16"/>
      <c r="G185" s="16"/>
      <c r="H185" s="16"/>
      <c r="I185" s="16" t="s">
        <v>372</v>
      </c>
    </row>
    <row r="186" spans="1:9" x14ac:dyDescent="0.35">
      <c r="A186" s="16" t="s">
        <v>863</v>
      </c>
      <c r="B186" s="17" t="s">
        <v>864</v>
      </c>
      <c r="C186" s="17" t="s">
        <v>865</v>
      </c>
      <c r="D186" s="16" t="s">
        <v>170</v>
      </c>
      <c r="E186" s="16" t="s">
        <v>866</v>
      </c>
      <c r="F186" s="16">
        <v>0.46150000000000002</v>
      </c>
      <c r="G186" s="16" t="s">
        <v>867</v>
      </c>
      <c r="H186" s="16" t="s">
        <v>868</v>
      </c>
      <c r="I186" s="16" t="s">
        <v>170</v>
      </c>
    </row>
    <row r="187" spans="1:9" ht="28" x14ac:dyDescent="0.35">
      <c r="A187" s="16" t="s">
        <v>869</v>
      </c>
      <c r="B187" s="17" t="s">
        <v>870</v>
      </c>
      <c r="C187" s="17" t="s">
        <v>871</v>
      </c>
      <c r="D187" s="16" t="s">
        <v>5</v>
      </c>
      <c r="E187" s="16" t="s">
        <v>872</v>
      </c>
      <c r="F187" s="16">
        <v>0.64</v>
      </c>
      <c r="G187" s="16" t="s">
        <v>504</v>
      </c>
      <c r="H187" s="16"/>
      <c r="I187" s="16" t="s">
        <v>5</v>
      </c>
    </row>
    <row r="188" spans="1:9" x14ac:dyDescent="0.35">
      <c r="A188" s="16" t="s">
        <v>873</v>
      </c>
      <c r="B188" s="17" t="s">
        <v>874</v>
      </c>
      <c r="C188" s="17" t="s">
        <v>875</v>
      </c>
      <c r="D188" s="16" t="s">
        <v>170</v>
      </c>
      <c r="E188" s="16" t="s">
        <v>876</v>
      </c>
      <c r="F188" s="16">
        <v>0.46310000000000001</v>
      </c>
      <c r="G188" s="16" t="s">
        <v>877</v>
      </c>
      <c r="H188" s="16" t="s">
        <v>878</v>
      </c>
      <c r="I188" s="16" t="s">
        <v>170</v>
      </c>
    </row>
    <row r="189" spans="1:9" x14ac:dyDescent="0.35">
      <c r="A189" s="16" t="s">
        <v>879</v>
      </c>
      <c r="B189" s="17" t="s">
        <v>880</v>
      </c>
      <c r="C189" s="17" t="s">
        <v>881</v>
      </c>
      <c r="D189" s="16" t="s">
        <v>170</v>
      </c>
      <c r="E189" s="16" t="s">
        <v>882</v>
      </c>
      <c r="F189" s="16">
        <v>0.42609999999999998</v>
      </c>
      <c r="G189" s="16" t="s">
        <v>883</v>
      </c>
      <c r="H189" s="16" t="s">
        <v>884</v>
      </c>
      <c r="I189" s="16" t="s">
        <v>170</v>
      </c>
    </row>
    <row r="190" spans="1:9" x14ac:dyDescent="0.35">
      <c r="A190" s="16" t="s">
        <v>885</v>
      </c>
      <c r="B190" s="17" t="s">
        <v>754</v>
      </c>
      <c r="C190" s="17" t="s">
        <v>754</v>
      </c>
      <c r="D190" s="16"/>
      <c r="E190" s="16"/>
      <c r="F190" s="16"/>
      <c r="G190" s="16"/>
      <c r="H190" s="16"/>
      <c r="I190" s="16" t="s">
        <v>372</v>
      </c>
    </row>
    <row r="191" spans="1:9" x14ac:dyDescent="0.35">
      <c r="A191" s="16" t="s">
        <v>886</v>
      </c>
      <c r="B191" s="17" t="s">
        <v>858</v>
      </c>
      <c r="C191" s="17" t="s">
        <v>859</v>
      </c>
      <c r="D191" s="16" t="s">
        <v>170</v>
      </c>
      <c r="E191" s="16" t="s">
        <v>648</v>
      </c>
      <c r="F191" s="16">
        <v>0.34449999999999997</v>
      </c>
      <c r="G191" s="16"/>
      <c r="H191" s="16"/>
      <c r="I191" s="16" t="s">
        <v>170</v>
      </c>
    </row>
    <row r="192" spans="1:9" x14ac:dyDescent="0.35">
      <c r="A192" s="16" t="s">
        <v>887</v>
      </c>
      <c r="B192" s="17" t="s">
        <v>888</v>
      </c>
      <c r="C192" s="17" t="s">
        <v>889</v>
      </c>
      <c r="D192" s="16" t="s">
        <v>170</v>
      </c>
      <c r="E192" s="16" t="s">
        <v>890</v>
      </c>
      <c r="F192" s="16">
        <v>0.3241</v>
      </c>
      <c r="G192" s="16" t="s">
        <v>891</v>
      </c>
      <c r="H192" s="16"/>
      <c r="I192" s="16" t="s">
        <v>170</v>
      </c>
    </row>
    <row r="193" spans="1:9" x14ac:dyDescent="0.35">
      <c r="A193" s="16" t="s">
        <v>203</v>
      </c>
      <c r="B193" s="17" t="s">
        <v>198</v>
      </c>
      <c r="C193" s="17" t="s">
        <v>197</v>
      </c>
      <c r="D193" s="16" t="s">
        <v>170</v>
      </c>
      <c r="E193" s="16" t="s">
        <v>200</v>
      </c>
      <c r="F193" s="16">
        <v>0.24959999999999999</v>
      </c>
      <c r="G193" s="16" t="s">
        <v>201</v>
      </c>
      <c r="H193" s="16" t="s">
        <v>202</v>
      </c>
      <c r="I193" s="16" t="s">
        <v>170</v>
      </c>
    </row>
    <row r="194" spans="1:9" x14ac:dyDescent="0.35">
      <c r="A194" s="16" t="s">
        <v>892</v>
      </c>
      <c r="B194" s="17" t="s">
        <v>893</v>
      </c>
      <c r="C194" s="17" t="s">
        <v>894</v>
      </c>
      <c r="D194" s="16" t="s">
        <v>170</v>
      </c>
      <c r="E194" s="16" t="s">
        <v>895</v>
      </c>
      <c r="F194" s="16">
        <v>0.2442</v>
      </c>
      <c r="G194" s="16"/>
      <c r="H194" s="16"/>
      <c r="I194" s="16" t="s">
        <v>170</v>
      </c>
    </row>
    <row r="195" spans="1:9" x14ac:dyDescent="0.35">
      <c r="A195" s="16" t="s">
        <v>896</v>
      </c>
      <c r="B195" s="17" t="s">
        <v>897</v>
      </c>
      <c r="C195" s="17" t="s">
        <v>845</v>
      </c>
      <c r="D195" s="16" t="s">
        <v>22</v>
      </c>
      <c r="E195" s="16" t="s">
        <v>845</v>
      </c>
      <c r="F195" s="16">
        <v>0.8</v>
      </c>
      <c r="G195" s="16" t="s">
        <v>846</v>
      </c>
      <c r="H195" s="16"/>
      <c r="I195" s="16" t="s">
        <v>22</v>
      </c>
    </row>
    <row r="196" spans="1:9" ht="28" x14ac:dyDescent="0.35">
      <c r="A196" s="16" t="s">
        <v>898</v>
      </c>
      <c r="B196" s="17" t="s">
        <v>899</v>
      </c>
      <c r="C196" s="17" t="s">
        <v>900</v>
      </c>
      <c r="D196" s="16" t="s">
        <v>170</v>
      </c>
      <c r="E196" s="16" t="s">
        <v>901</v>
      </c>
      <c r="F196" s="16">
        <v>0.22</v>
      </c>
      <c r="G196" s="16"/>
      <c r="H196" s="16"/>
      <c r="I196" s="16" t="s">
        <v>170</v>
      </c>
    </row>
    <row r="197" spans="1:9" ht="42" x14ac:dyDescent="0.35">
      <c r="A197" s="16" t="s">
        <v>902</v>
      </c>
      <c r="B197" s="17" t="s">
        <v>903</v>
      </c>
      <c r="C197" s="17" t="s">
        <v>903</v>
      </c>
      <c r="D197" s="16" t="s">
        <v>170</v>
      </c>
      <c r="E197" s="16" t="s">
        <v>904</v>
      </c>
      <c r="F197" s="16">
        <v>0.26569999999999999</v>
      </c>
      <c r="G197" s="16"/>
      <c r="H197" s="16"/>
      <c r="I197" s="16" t="s">
        <v>170</v>
      </c>
    </row>
    <row r="198" spans="1:9" ht="28" x14ac:dyDescent="0.35">
      <c r="A198" s="16" t="s">
        <v>905</v>
      </c>
      <c r="B198" s="17" t="s">
        <v>906</v>
      </c>
      <c r="C198" s="17" t="s">
        <v>907</v>
      </c>
      <c r="D198" s="16" t="s">
        <v>170</v>
      </c>
      <c r="E198" s="16" t="s">
        <v>908</v>
      </c>
      <c r="F198" s="16">
        <v>0.2364</v>
      </c>
      <c r="G198" s="16"/>
      <c r="H198" s="16"/>
      <c r="I198" s="16" t="s">
        <v>170</v>
      </c>
    </row>
    <row r="199" spans="1:9" ht="42" x14ac:dyDescent="0.35">
      <c r="A199" s="16" t="s">
        <v>909</v>
      </c>
      <c r="B199" s="17" t="s">
        <v>910</v>
      </c>
      <c r="C199" s="17" t="s">
        <v>911</v>
      </c>
      <c r="D199" s="16"/>
      <c r="E199" s="16"/>
      <c r="F199" s="16"/>
      <c r="G199" s="16"/>
      <c r="H199" s="16"/>
      <c r="I199" s="16" t="s">
        <v>372</v>
      </c>
    </row>
    <row r="200" spans="1:9" x14ac:dyDescent="0.35">
      <c r="A200" s="16" t="s">
        <v>912</v>
      </c>
      <c r="B200" s="17" t="s">
        <v>913</v>
      </c>
      <c r="C200" s="17" t="s">
        <v>914</v>
      </c>
      <c r="D200" s="16" t="s">
        <v>170</v>
      </c>
      <c r="E200" s="16" t="s">
        <v>915</v>
      </c>
      <c r="F200" s="16">
        <v>0.23200000000000001</v>
      </c>
      <c r="G200" s="16" t="s">
        <v>916</v>
      </c>
      <c r="H200" s="16" t="s">
        <v>917</v>
      </c>
      <c r="I200" s="16" t="s">
        <v>170</v>
      </c>
    </row>
    <row r="201" spans="1:9" ht="28" x14ac:dyDescent="0.35">
      <c r="A201" s="16" t="s">
        <v>918</v>
      </c>
      <c r="B201" s="17" t="s">
        <v>919</v>
      </c>
      <c r="C201" s="17" t="s">
        <v>920</v>
      </c>
      <c r="D201" s="16" t="s">
        <v>5</v>
      </c>
      <c r="E201" s="16" t="s">
        <v>921</v>
      </c>
      <c r="F201" s="16">
        <v>0.8</v>
      </c>
      <c r="G201" s="16"/>
      <c r="H201" s="16"/>
      <c r="I201" s="16" t="s">
        <v>5</v>
      </c>
    </row>
    <row r="202" spans="1:9" x14ac:dyDescent="0.35">
      <c r="A202" s="16" t="s">
        <v>922</v>
      </c>
      <c r="B202" s="17" t="s">
        <v>923</v>
      </c>
      <c r="C202" s="17" t="s">
        <v>799</v>
      </c>
      <c r="D202" s="16" t="s">
        <v>170</v>
      </c>
      <c r="E202" s="16" t="s">
        <v>800</v>
      </c>
      <c r="F202" s="16">
        <v>0.44990000000000002</v>
      </c>
      <c r="G202" s="16" t="s">
        <v>801</v>
      </c>
      <c r="H202" s="16" t="s">
        <v>802</v>
      </c>
      <c r="I202" s="16" t="s">
        <v>170</v>
      </c>
    </row>
    <row r="203" spans="1:9" ht="28" x14ac:dyDescent="0.35">
      <c r="A203" s="16" t="s">
        <v>924</v>
      </c>
      <c r="B203" s="17" t="s">
        <v>925</v>
      </c>
      <c r="C203" s="17" t="s">
        <v>926</v>
      </c>
      <c r="D203" s="16" t="s">
        <v>170</v>
      </c>
      <c r="E203" s="16" t="s">
        <v>927</v>
      </c>
      <c r="F203" s="16">
        <v>0.29420000000000002</v>
      </c>
      <c r="G203" s="16" t="s">
        <v>928</v>
      </c>
      <c r="H203" s="16" t="s">
        <v>929</v>
      </c>
      <c r="I203" s="16" t="s">
        <v>170</v>
      </c>
    </row>
    <row r="204" spans="1:9" ht="28" x14ac:dyDescent="0.35">
      <c r="A204" s="16" t="s">
        <v>930</v>
      </c>
      <c r="B204" s="17" t="s">
        <v>931</v>
      </c>
      <c r="C204" s="17" t="s">
        <v>932</v>
      </c>
      <c r="D204" s="16" t="s">
        <v>170</v>
      </c>
      <c r="E204" s="16" t="s">
        <v>928</v>
      </c>
      <c r="F204" s="16">
        <v>0.28370000000000001</v>
      </c>
      <c r="G204" s="16" t="s">
        <v>933</v>
      </c>
      <c r="H204" s="16" t="s">
        <v>934</v>
      </c>
      <c r="I204" s="16" t="s">
        <v>170</v>
      </c>
    </row>
    <row r="205" spans="1:9" ht="28" x14ac:dyDescent="0.35">
      <c r="A205" s="16" t="s">
        <v>935</v>
      </c>
      <c r="B205" s="17" t="s">
        <v>936</v>
      </c>
      <c r="C205" s="17" t="s">
        <v>936</v>
      </c>
      <c r="D205" s="16" t="s">
        <v>170</v>
      </c>
      <c r="E205" s="16" t="s">
        <v>937</v>
      </c>
      <c r="F205" s="16">
        <v>0.2329</v>
      </c>
      <c r="G205" s="16" t="s">
        <v>938</v>
      </c>
      <c r="H205" s="16"/>
      <c r="I205" s="16" t="s">
        <v>170</v>
      </c>
    </row>
    <row r="206" spans="1:9" x14ac:dyDescent="0.35">
      <c r="A206" s="16" t="s">
        <v>939</v>
      </c>
      <c r="B206" s="17" t="s">
        <v>852</v>
      </c>
      <c r="C206" s="17" t="s">
        <v>853</v>
      </c>
      <c r="D206" s="16" t="s">
        <v>170</v>
      </c>
      <c r="E206" s="16" t="s">
        <v>854</v>
      </c>
      <c r="F206" s="16">
        <v>0.34589999999999999</v>
      </c>
      <c r="G206" s="16" t="s">
        <v>682</v>
      </c>
      <c r="H206" s="16" t="s">
        <v>855</v>
      </c>
      <c r="I206" s="16" t="s">
        <v>170</v>
      </c>
    </row>
    <row r="207" spans="1:9" x14ac:dyDescent="0.35">
      <c r="A207" s="16" t="s">
        <v>940</v>
      </c>
      <c r="B207" s="17" t="s">
        <v>852</v>
      </c>
      <c r="C207" s="17" t="s">
        <v>853</v>
      </c>
      <c r="D207" s="16" t="s">
        <v>170</v>
      </c>
      <c r="E207" s="16" t="s">
        <v>854</v>
      </c>
      <c r="F207" s="16">
        <v>0.34589999999999999</v>
      </c>
      <c r="G207" s="16" t="s">
        <v>682</v>
      </c>
      <c r="H207" s="16" t="s">
        <v>855</v>
      </c>
      <c r="I207" s="16" t="s">
        <v>170</v>
      </c>
    </row>
    <row r="208" spans="1:9" x14ac:dyDescent="0.35">
      <c r="A208" s="16" t="s">
        <v>941</v>
      </c>
      <c r="B208" s="17" t="s">
        <v>216</v>
      </c>
      <c r="C208" s="17" t="s">
        <v>215</v>
      </c>
      <c r="D208" s="16" t="s">
        <v>170</v>
      </c>
      <c r="E208" s="16" t="s">
        <v>218</v>
      </c>
      <c r="F208" s="16">
        <v>0.23719999999999999</v>
      </c>
      <c r="G208" s="16" t="s">
        <v>219</v>
      </c>
      <c r="H208" s="16"/>
      <c r="I208" s="16" t="s">
        <v>170</v>
      </c>
    </row>
    <row r="209" spans="1:9" x14ac:dyDescent="0.35">
      <c r="A209" s="16" t="s">
        <v>942</v>
      </c>
      <c r="B209" s="17" t="s">
        <v>943</v>
      </c>
      <c r="C209" s="17" t="s">
        <v>944</v>
      </c>
      <c r="D209" s="16"/>
      <c r="E209" s="16"/>
      <c r="F209" s="16"/>
      <c r="G209" s="16"/>
      <c r="H209" s="16"/>
      <c r="I209" s="16" t="s">
        <v>372</v>
      </c>
    </row>
    <row r="210" spans="1:9" ht="84" x14ac:dyDescent="0.35">
      <c r="A210" s="16" t="s">
        <v>945</v>
      </c>
      <c r="B210" s="17" t="s">
        <v>861</v>
      </c>
      <c r="C210" s="17" t="s">
        <v>862</v>
      </c>
      <c r="D210" s="16"/>
      <c r="E210" s="16"/>
      <c r="F210" s="16"/>
      <c r="G210" s="16"/>
      <c r="H210" s="16"/>
      <c r="I210" s="16" t="s">
        <v>372</v>
      </c>
    </row>
    <row r="211" spans="1:9" x14ac:dyDescent="0.35">
      <c r="A211" s="16" t="s">
        <v>946</v>
      </c>
      <c r="B211" s="17" t="s">
        <v>864</v>
      </c>
      <c r="C211" s="17" t="s">
        <v>865</v>
      </c>
      <c r="D211" s="16" t="s">
        <v>170</v>
      </c>
      <c r="E211" s="16" t="s">
        <v>866</v>
      </c>
      <c r="F211" s="16">
        <v>0.46150000000000002</v>
      </c>
      <c r="G211" s="16" t="s">
        <v>867</v>
      </c>
      <c r="H211" s="16" t="s">
        <v>868</v>
      </c>
      <c r="I211" s="16" t="s">
        <v>170</v>
      </c>
    </row>
    <row r="212" spans="1:9" ht="28" x14ac:dyDescent="0.35">
      <c r="A212" s="16" t="s">
        <v>947</v>
      </c>
      <c r="B212" s="17" t="s">
        <v>870</v>
      </c>
      <c r="C212" s="17" t="s">
        <v>871</v>
      </c>
      <c r="D212" s="16" t="s">
        <v>5</v>
      </c>
      <c r="E212" s="16" t="s">
        <v>872</v>
      </c>
      <c r="F212" s="16">
        <v>0.64</v>
      </c>
      <c r="G212" s="16" t="s">
        <v>504</v>
      </c>
      <c r="H212" s="16"/>
      <c r="I212" s="16" t="s">
        <v>5</v>
      </c>
    </row>
    <row r="213" spans="1:9" x14ac:dyDescent="0.35">
      <c r="A213" s="16" t="s">
        <v>948</v>
      </c>
      <c r="B213" s="17" t="s">
        <v>874</v>
      </c>
      <c r="C213" s="17" t="s">
        <v>875</v>
      </c>
      <c r="D213" s="16" t="s">
        <v>170</v>
      </c>
      <c r="E213" s="16" t="s">
        <v>876</v>
      </c>
      <c r="F213" s="16">
        <v>0.46310000000000001</v>
      </c>
      <c r="G213" s="16" t="s">
        <v>877</v>
      </c>
      <c r="H213" s="16" t="s">
        <v>878</v>
      </c>
      <c r="I213" s="16" t="s">
        <v>170</v>
      </c>
    </row>
    <row r="214" spans="1:9" x14ac:dyDescent="0.35">
      <c r="A214" s="16" t="s">
        <v>949</v>
      </c>
      <c r="B214" s="17" t="s">
        <v>880</v>
      </c>
      <c r="C214" s="17" t="s">
        <v>881</v>
      </c>
      <c r="D214" s="16" t="s">
        <v>170</v>
      </c>
      <c r="E214" s="16" t="s">
        <v>882</v>
      </c>
      <c r="F214" s="16">
        <v>0.42609999999999998</v>
      </c>
      <c r="G214" s="16" t="s">
        <v>883</v>
      </c>
      <c r="H214" s="16" t="s">
        <v>884</v>
      </c>
      <c r="I214" s="16" t="s">
        <v>170</v>
      </c>
    </row>
    <row r="215" spans="1:9" x14ac:dyDescent="0.35">
      <c r="A215" s="16" t="s">
        <v>950</v>
      </c>
      <c r="B215" s="17" t="s">
        <v>754</v>
      </c>
      <c r="C215" s="17" t="s">
        <v>754</v>
      </c>
      <c r="D215" s="16"/>
      <c r="E215" s="16"/>
      <c r="F215" s="16"/>
      <c r="G215" s="16"/>
      <c r="H215" s="16"/>
      <c r="I215" s="16" t="s">
        <v>372</v>
      </c>
    </row>
    <row r="216" spans="1:9" x14ac:dyDescent="0.35">
      <c r="A216" s="16" t="s">
        <v>951</v>
      </c>
      <c r="B216" s="17" t="s">
        <v>943</v>
      </c>
      <c r="C216" s="17" t="s">
        <v>944</v>
      </c>
      <c r="D216" s="16"/>
      <c r="E216" s="16"/>
      <c r="F216" s="16"/>
      <c r="G216" s="16"/>
      <c r="H216" s="16"/>
      <c r="I216" s="16" t="s">
        <v>372</v>
      </c>
    </row>
    <row r="217" spans="1:9" x14ac:dyDescent="0.35">
      <c r="A217" s="16" t="s">
        <v>952</v>
      </c>
      <c r="B217" s="17" t="s">
        <v>888</v>
      </c>
      <c r="C217" s="17" t="s">
        <v>889</v>
      </c>
      <c r="D217" s="16" t="s">
        <v>170</v>
      </c>
      <c r="E217" s="16" t="s">
        <v>890</v>
      </c>
      <c r="F217" s="16">
        <v>0.3241</v>
      </c>
      <c r="G217" s="16" t="s">
        <v>891</v>
      </c>
      <c r="H217" s="16"/>
      <c r="I217" s="16" t="s">
        <v>170</v>
      </c>
    </row>
    <row r="218" spans="1:9" x14ac:dyDescent="0.35">
      <c r="A218" s="16" t="s">
        <v>953</v>
      </c>
      <c r="B218" s="17" t="s">
        <v>198</v>
      </c>
      <c r="C218" s="17" t="s">
        <v>197</v>
      </c>
      <c r="D218" s="16" t="s">
        <v>170</v>
      </c>
      <c r="E218" s="16" t="s">
        <v>200</v>
      </c>
      <c r="F218" s="16">
        <v>0.24959999999999999</v>
      </c>
      <c r="G218" s="16" t="s">
        <v>201</v>
      </c>
      <c r="H218" s="16" t="s">
        <v>202</v>
      </c>
      <c r="I218" s="16" t="s">
        <v>170</v>
      </c>
    </row>
    <row r="219" spans="1:9" x14ac:dyDescent="0.35">
      <c r="A219" s="16" t="s">
        <v>954</v>
      </c>
      <c r="B219" s="17" t="s">
        <v>923</v>
      </c>
      <c r="C219" s="17" t="s">
        <v>799</v>
      </c>
      <c r="D219" s="16" t="s">
        <v>170</v>
      </c>
      <c r="E219" s="16" t="s">
        <v>800</v>
      </c>
      <c r="F219" s="16">
        <v>0.44990000000000002</v>
      </c>
      <c r="G219" s="16" t="s">
        <v>801</v>
      </c>
      <c r="H219" s="16" t="s">
        <v>802</v>
      </c>
      <c r="I219" s="16" t="s">
        <v>170</v>
      </c>
    </row>
    <row r="220" spans="1:9" x14ac:dyDescent="0.35">
      <c r="A220" s="16" t="s">
        <v>955</v>
      </c>
      <c r="B220" s="17" t="s">
        <v>923</v>
      </c>
      <c r="C220" s="17" t="s">
        <v>799</v>
      </c>
      <c r="D220" s="16" t="s">
        <v>170</v>
      </c>
      <c r="E220" s="16" t="s">
        <v>800</v>
      </c>
      <c r="F220" s="16">
        <v>0.44990000000000002</v>
      </c>
      <c r="G220" s="16" t="s">
        <v>801</v>
      </c>
      <c r="H220" s="16" t="s">
        <v>802</v>
      </c>
      <c r="I220" s="16" t="s">
        <v>170</v>
      </c>
    </row>
    <row r="221" spans="1:9" ht="28" x14ac:dyDescent="0.35">
      <c r="A221" s="16" t="s">
        <v>956</v>
      </c>
      <c r="B221" s="17" t="s">
        <v>925</v>
      </c>
      <c r="C221" s="17" t="s">
        <v>926</v>
      </c>
      <c r="D221" s="16" t="s">
        <v>170</v>
      </c>
      <c r="E221" s="16" t="s">
        <v>927</v>
      </c>
      <c r="F221" s="16">
        <v>0.29420000000000002</v>
      </c>
      <c r="G221" s="16" t="s">
        <v>928</v>
      </c>
      <c r="H221" s="16" t="s">
        <v>929</v>
      </c>
      <c r="I221" s="16" t="s">
        <v>170</v>
      </c>
    </row>
    <row r="222" spans="1:9" x14ac:dyDescent="0.35">
      <c r="A222" s="16" t="s">
        <v>957</v>
      </c>
      <c r="B222" s="17" t="s">
        <v>958</v>
      </c>
      <c r="C222" s="17" t="s">
        <v>959</v>
      </c>
      <c r="D222" s="16" t="s">
        <v>170</v>
      </c>
      <c r="E222" s="16" t="s">
        <v>928</v>
      </c>
      <c r="F222" s="16">
        <v>0.4325</v>
      </c>
      <c r="G222" s="16" t="s">
        <v>933</v>
      </c>
      <c r="H222" s="16" t="s">
        <v>960</v>
      </c>
      <c r="I222" s="16" t="s">
        <v>170</v>
      </c>
    </row>
    <row r="223" spans="1:9" x14ac:dyDescent="0.35">
      <c r="A223" s="16" t="s">
        <v>961</v>
      </c>
      <c r="B223" s="17" t="s">
        <v>888</v>
      </c>
      <c r="C223" s="17" t="s">
        <v>889</v>
      </c>
      <c r="D223" s="16" t="s">
        <v>170</v>
      </c>
      <c r="E223" s="16" t="s">
        <v>890</v>
      </c>
      <c r="F223" s="16">
        <v>0.3241</v>
      </c>
      <c r="G223" s="16" t="s">
        <v>891</v>
      </c>
      <c r="H223" s="16"/>
      <c r="I223" s="16" t="s">
        <v>170</v>
      </c>
    </row>
    <row r="224" spans="1:9" x14ac:dyDescent="0.35">
      <c r="A224" s="16" t="s">
        <v>213</v>
      </c>
      <c r="B224" s="17" t="s">
        <v>210</v>
      </c>
      <c r="C224" s="17" t="s">
        <v>209</v>
      </c>
      <c r="D224" s="16" t="s">
        <v>170</v>
      </c>
      <c r="E224" s="16" t="s">
        <v>211</v>
      </c>
      <c r="F224" s="16">
        <v>0.2382</v>
      </c>
      <c r="G224" s="16" t="s">
        <v>202</v>
      </c>
      <c r="H224" s="16" t="s">
        <v>212</v>
      </c>
      <c r="I224" s="16" t="s">
        <v>170</v>
      </c>
    </row>
    <row r="225" spans="1:9" x14ac:dyDescent="0.35">
      <c r="A225" s="16" t="s">
        <v>962</v>
      </c>
      <c r="B225" s="17" t="s">
        <v>923</v>
      </c>
      <c r="C225" s="17" t="s">
        <v>799</v>
      </c>
      <c r="D225" s="16" t="s">
        <v>170</v>
      </c>
      <c r="E225" s="16" t="s">
        <v>800</v>
      </c>
      <c r="F225" s="16">
        <v>0.44990000000000002</v>
      </c>
      <c r="G225" s="16" t="s">
        <v>801</v>
      </c>
      <c r="H225" s="16" t="s">
        <v>802</v>
      </c>
      <c r="I225" s="16" t="s">
        <v>170</v>
      </c>
    </row>
    <row r="226" spans="1:9" x14ac:dyDescent="0.35">
      <c r="A226" s="16" t="s">
        <v>963</v>
      </c>
      <c r="B226" s="17" t="s">
        <v>964</v>
      </c>
      <c r="C226" s="17" t="s">
        <v>965</v>
      </c>
      <c r="D226" s="16" t="s">
        <v>170</v>
      </c>
      <c r="E226" s="16" t="s">
        <v>966</v>
      </c>
      <c r="F226" s="16">
        <v>0.29680000000000001</v>
      </c>
      <c r="G226" s="16" t="s">
        <v>800</v>
      </c>
      <c r="H226" s="16"/>
      <c r="I226" s="16" t="s">
        <v>170</v>
      </c>
    </row>
    <row r="227" spans="1:9" ht="28" x14ac:dyDescent="0.35">
      <c r="A227" s="16" t="s">
        <v>967</v>
      </c>
      <c r="B227" s="17" t="s">
        <v>925</v>
      </c>
      <c r="C227" s="17" t="s">
        <v>926</v>
      </c>
      <c r="D227" s="16" t="s">
        <v>170</v>
      </c>
      <c r="E227" s="16" t="s">
        <v>927</v>
      </c>
      <c r="F227" s="16">
        <v>0.29420000000000002</v>
      </c>
      <c r="G227" s="16" t="s">
        <v>928</v>
      </c>
      <c r="H227" s="16" t="s">
        <v>929</v>
      </c>
      <c r="I227" s="16" t="s">
        <v>170</v>
      </c>
    </row>
    <row r="228" spans="1:9" ht="28" x14ac:dyDescent="0.35">
      <c r="A228" s="16" t="s">
        <v>968</v>
      </c>
      <c r="B228" s="17" t="s">
        <v>931</v>
      </c>
      <c r="C228" s="17" t="s">
        <v>932</v>
      </c>
      <c r="D228" s="16" t="s">
        <v>170</v>
      </c>
      <c r="E228" s="16" t="s">
        <v>928</v>
      </c>
      <c r="F228" s="16">
        <v>0.28370000000000001</v>
      </c>
      <c r="G228" s="16" t="s">
        <v>933</v>
      </c>
      <c r="H228" s="16" t="s">
        <v>934</v>
      </c>
      <c r="I228" s="16" t="s">
        <v>170</v>
      </c>
    </row>
    <row r="229" spans="1:9" x14ac:dyDescent="0.35">
      <c r="A229" s="16" t="s">
        <v>969</v>
      </c>
      <c r="B229" s="17" t="s">
        <v>210</v>
      </c>
      <c r="C229" s="17" t="s">
        <v>209</v>
      </c>
      <c r="D229" s="16" t="s">
        <v>170</v>
      </c>
      <c r="E229" s="16" t="s">
        <v>211</v>
      </c>
      <c r="F229" s="16">
        <v>0.2382</v>
      </c>
      <c r="G229" s="16" t="s">
        <v>202</v>
      </c>
      <c r="H229" s="16" t="s">
        <v>212</v>
      </c>
      <c r="I229" s="16" t="s">
        <v>170</v>
      </c>
    </row>
    <row r="230" spans="1:9" x14ac:dyDescent="0.35">
      <c r="A230" s="16" t="s">
        <v>970</v>
      </c>
      <c r="B230" s="17" t="s">
        <v>923</v>
      </c>
      <c r="C230" s="17" t="s">
        <v>799</v>
      </c>
      <c r="D230" s="16" t="s">
        <v>170</v>
      </c>
      <c r="E230" s="16" t="s">
        <v>800</v>
      </c>
      <c r="F230" s="16">
        <v>0.44990000000000002</v>
      </c>
      <c r="G230" s="16" t="s">
        <v>801</v>
      </c>
      <c r="H230" s="16" t="s">
        <v>802</v>
      </c>
      <c r="I230" s="16" t="s">
        <v>170</v>
      </c>
    </row>
    <row r="231" spans="1:9" x14ac:dyDescent="0.35">
      <c r="A231" s="16" t="s">
        <v>971</v>
      </c>
      <c r="B231" s="17" t="s">
        <v>972</v>
      </c>
      <c r="C231" s="17" t="s">
        <v>965</v>
      </c>
      <c r="D231" s="16" t="s">
        <v>170</v>
      </c>
      <c r="E231" s="16" t="s">
        <v>966</v>
      </c>
      <c r="F231" s="16">
        <v>0.29680000000000001</v>
      </c>
      <c r="G231" s="16" t="s">
        <v>800</v>
      </c>
      <c r="H231" s="16"/>
      <c r="I231" s="16" t="s">
        <v>170</v>
      </c>
    </row>
    <row r="232" spans="1:9" ht="28" x14ac:dyDescent="0.35">
      <c r="A232" s="16" t="s">
        <v>973</v>
      </c>
      <c r="B232" s="17" t="s">
        <v>925</v>
      </c>
      <c r="C232" s="17" t="s">
        <v>926</v>
      </c>
      <c r="D232" s="16" t="s">
        <v>170</v>
      </c>
      <c r="E232" s="16" t="s">
        <v>927</v>
      </c>
      <c r="F232" s="16">
        <v>0.29420000000000002</v>
      </c>
      <c r="G232" s="16" t="s">
        <v>928</v>
      </c>
      <c r="H232" s="16" t="s">
        <v>929</v>
      </c>
      <c r="I232" s="16" t="s">
        <v>170</v>
      </c>
    </row>
    <row r="233" spans="1:9" ht="28" x14ac:dyDescent="0.35">
      <c r="A233" s="16" t="s">
        <v>974</v>
      </c>
      <c r="B233" s="17" t="s">
        <v>931</v>
      </c>
      <c r="C233" s="17" t="s">
        <v>932</v>
      </c>
      <c r="D233" s="16" t="s">
        <v>170</v>
      </c>
      <c r="E233" s="16" t="s">
        <v>928</v>
      </c>
      <c r="F233" s="16">
        <v>0.28370000000000001</v>
      </c>
      <c r="G233" s="16" t="s">
        <v>933</v>
      </c>
      <c r="H233" s="16" t="s">
        <v>934</v>
      </c>
      <c r="I233" s="16" t="s">
        <v>170</v>
      </c>
    </row>
    <row r="234" spans="1:9" ht="28" x14ac:dyDescent="0.35">
      <c r="A234" s="16" t="s">
        <v>975</v>
      </c>
      <c r="B234" s="17" t="s">
        <v>936</v>
      </c>
      <c r="C234" s="17" t="s">
        <v>936</v>
      </c>
      <c r="D234" s="16" t="s">
        <v>170</v>
      </c>
      <c r="E234" s="16" t="s">
        <v>937</v>
      </c>
      <c r="F234" s="16">
        <v>0.2329</v>
      </c>
      <c r="G234" s="16" t="s">
        <v>938</v>
      </c>
      <c r="H234" s="16"/>
      <c r="I234" s="16" t="s">
        <v>170</v>
      </c>
    </row>
    <row r="235" spans="1:9" ht="84" x14ac:dyDescent="0.35">
      <c r="A235" s="16" t="s">
        <v>976</v>
      </c>
      <c r="B235" s="17" t="s">
        <v>977</v>
      </c>
      <c r="C235" s="17" t="s">
        <v>978</v>
      </c>
      <c r="D235" s="16" t="s">
        <v>5</v>
      </c>
      <c r="E235" s="16" t="s">
        <v>100</v>
      </c>
      <c r="F235" s="16">
        <v>0.8</v>
      </c>
      <c r="G235" s="16"/>
      <c r="H235" s="16"/>
      <c r="I235" s="16" t="s">
        <v>5</v>
      </c>
    </row>
    <row r="236" spans="1:9" ht="28" x14ac:dyDescent="0.35">
      <c r="A236" s="16" t="s">
        <v>979</v>
      </c>
      <c r="B236" s="17" t="s">
        <v>980</v>
      </c>
      <c r="C236" s="17" t="s">
        <v>981</v>
      </c>
      <c r="D236" s="16" t="s">
        <v>5</v>
      </c>
      <c r="E236" s="16" t="s">
        <v>100</v>
      </c>
      <c r="F236" s="16">
        <v>0.8</v>
      </c>
      <c r="G236" s="16" t="s">
        <v>982</v>
      </c>
      <c r="H236" s="16"/>
      <c r="I236" s="16" t="s">
        <v>5</v>
      </c>
    </row>
    <row r="237" spans="1:9" x14ac:dyDescent="0.35">
      <c r="A237" s="16" t="s">
        <v>983</v>
      </c>
      <c r="B237" s="17" t="s">
        <v>984</v>
      </c>
      <c r="C237" s="17" t="s">
        <v>985</v>
      </c>
      <c r="D237" s="16" t="s">
        <v>5</v>
      </c>
      <c r="E237" s="16" t="s">
        <v>986</v>
      </c>
      <c r="F237" s="16">
        <v>0.8</v>
      </c>
      <c r="G237" s="16"/>
      <c r="H237" s="16"/>
      <c r="I237" s="16" t="s">
        <v>5</v>
      </c>
    </row>
    <row r="238" spans="1:9" x14ac:dyDescent="0.35">
      <c r="A238" s="16" t="s">
        <v>987</v>
      </c>
      <c r="B238" s="17" t="s">
        <v>988</v>
      </c>
      <c r="C238" s="17" t="s">
        <v>466</v>
      </c>
      <c r="D238" s="16" t="s">
        <v>170</v>
      </c>
      <c r="E238" s="16" t="s">
        <v>634</v>
      </c>
      <c r="F238" s="16">
        <v>0.2261</v>
      </c>
      <c r="G238" s="16"/>
      <c r="H238" s="16"/>
      <c r="I238" s="16" t="s">
        <v>170</v>
      </c>
    </row>
    <row r="239" spans="1:9" ht="42" x14ac:dyDescent="0.35">
      <c r="A239" s="16" t="s">
        <v>989</v>
      </c>
      <c r="B239" s="17" t="s">
        <v>990</v>
      </c>
      <c r="C239" s="17" t="s">
        <v>991</v>
      </c>
      <c r="D239" s="16" t="s">
        <v>170</v>
      </c>
      <c r="E239" s="16" t="s">
        <v>560</v>
      </c>
      <c r="F239" s="16">
        <v>0.34889999999999999</v>
      </c>
      <c r="G239" s="16" t="s">
        <v>937</v>
      </c>
      <c r="H239" s="16" t="s">
        <v>992</v>
      </c>
      <c r="I239" s="16" t="s">
        <v>170</v>
      </c>
    </row>
    <row r="240" spans="1:9" x14ac:dyDescent="0.35">
      <c r="A240" s="16" t="s">
        <v>993</v>
      </c>
      <c r="B240" s="17" t="s">
        <v>588</v>
      </c>
      <c r="C240" s="17" t="s">
        <v>588</v>
      </c>
      <c r="D240" s="16" t="s">
        <v>170</v>
      </c>
      <c r="E240" s="16" t="s">
        <v>589</v>
      </c>
      <c r="F240" s="16">
        <v>0.29260000000000003</v>
      </c>
      <c r="G240" s="16" t="s">
        <v>590</v>
      </c>
      <c r="H240" s="16" t="s">
        <v>591</v>
      </c>
      <c r="I240" s="16" t="s">
        <v>170</v>
      </c>
    </row>
    <row r="241" spans="1:9" ht="56" x14ac:dyDescent="0.35">
      <c r="A241" s="16" t="s">
        <v>26</v>
      </c>
      <c r="B241" s="17" t="s">
        <v>24</v>
      </c>
      <c r="C241" s="17" t="s">
        <v>994</v>
      </c>
      <c r="D241" s="16" t="s">
        <v>22</v>
      </c>
      <c r="E241" s="16" t="s">
        <v>84</v>
      </c>
      <c r="F241" s="16">
        <v>0.8</v>
      </c>
      <c r="G241" s="16" t="s">
        <v>23</v>
      </c>
      <c r="H241" s="16" t="s">
        <v>25</v>
      </c>
      <c r="I241" s="16" t="s">
        <v>22</v>
      </c>
    </row>
    <row r="242" spans="1:9" x14ac:dyDescent="0.35">
      <c r="A242" s="16" t="s">
        <v>174</v>
      </c>
      <c r="B242" s="17" t="s">
        <v>168</v>
      </c>
      <c r="C242" s="17" t="s">
        <v>995</v>
      </c>
      <c r="D242" s="16" t="s">
        <v>22</v>
      </c>
      <c r="E242" s="16" t="s">
        <v>996</v>
      </c>
      <c r="F242" s="16">
        <v>1</v>
      </c>
      <c r="G242" s="16" t="s">
        <v>171</v>
      </c>
      <c r="H242" s="16" t="s">
        <v>172</v>
      </c>
      <c r="I242" s="16" t="s">
        <v>22</v>
      </c>
    </row>
    <row r="243" spans="1:9" x14ac:dyDescent="0.35">
      <c r="A243" s="16" t="s">
        <v>997</v>
      </c>
      <c r="B243" s="17"/>
      <c r="C243" s="17"/>
      <c r="D243" s="16"/>
      <c r="E243" s="16"/>
      <c r="F243" s="16"/>
      <c r="G243" s="16"/>
      <c r="H243" s="16"/>
      <c r="I243" s="16" t="s">
        <v>414</v>
      </c>
    </row>
    <row r="244" spans="1:9" x14ac:dyDescent="0.35">
      <c r="A244" s="16" t="s">
        <v>998</v>
      </c>
      <c r="B244" s="17" t="s">
        <v>491</v>
      </c>
      <c r="C244" s="17" t="s">
        <v>492</v>
      </c>
      <c r="D244" s="16" t="s">
        <v>22</v>
      </c>
      <c r="E244" s="16" t="s">
        <v>492</v>
      </c>
      <c r="F244" s="16">
        <v>1</v>
      </c>
      <c r="G244" s="16"/>
      <c r="H244" s="16"/>
      <c r="I244" s="16" t="s">
        <v>22</v>
      </c>
    </row>
    <row r="245" spans="1:9" ht="98" x14ac:dyDescent="0.35">
      <c r="A245" s="16" t="s">
        <v>999</v>
      </c>
      <c r="B245" s="17" t="s">
        <v>1000</v>
      </c>
      <c r="C245" s="17" t="s">
        <v>1001</v>
      </c>
      <c r="D245" s="16"/>
      <c r="E245" s="16"/>
      <c r="F245" s="16"/>
      <c r="G245" s="16"/>
      <c r="H245" s="16"/>
      <c r="I245" s="16" t="s">
        <v>372</v>
      </c>
    </row>
    <row r="246" spans="1:9" x14ac:dyDescent="0.35">
      <c r="A246" s="16" t="s">
        <v>1002</v>
      </c>
      <c r="B246" s="17" t="s">
        <v>1003</v>
      </c>
      <c r="C246" s="17"/>
      <c r="D246" s="16"/>
      <c r="E246" s="16"/>
      <c r="F246" s="16"/>
      <c r="G246" s="16"/>
      <c r="H246" s="16"/>
      <c r="I246" s="16" t="s">
        <v>372</v>
      </c>
    </row>
    <row r="247" spans="1:9" x14ac:dyDescent="0.35">
      <c r="A247" s="16" t="s">
        <v>246</v>
      </c>
      <c r="B247" s="17" t="s">
        <v>241</v>
      </c>
      <c r="C247" s="17" t="s">
        <v>1004</v>
      </c>
      <c r="D247" s="16" t="s">
        <v>22</v>
      </c>
      <c r="E247" s="16" t="s">
        <v>1005</v>
      </c>
      <c r="F247" s="16">
        <v>1</v>
      </c>
      <c r="G247" s="16" t="s">
        <v>243</v>
      </c>
      <c r="H247" s="16" t="s">
        <v>244</v>
      </c>
      <c r="I247" s="16" t="s">
        <v>22</v>
      </c>
    </row>
    <row r="248" spans="1:9" x14ac:dyDescent="0.35">
      <c r="A248" s="16" t="s">
        <v>1006</v>
      </c>
      <c r="B248" s="17" t="s">
        <v>1007</v>
      </c>
      <c r="C248" s="17" t="s">
        <v>1007</v>
      </c>
      <c r="D248" s="16" t="s">
        <v>170</v>
      </c>
      <c r="E248" s="16" t="s">
        <v>1008</v>
      </c>
      <c r="F248" s="16">
        <v>0.42520000000000002</v>
      </c>
      <c r="G248" s="16" t="s">
        <v>1009</v>
      </c>
      <c r="H248" s="16" t="s">
        <v>1010</v>
      </c>
      <c r="I248" s="16" t="s">
        <v>170</v>
      </c>
    </row>
    <row r="249" spans="1:9" x14ac:dyDescent="0.35">
      <c r="A249" s="16" t="s">
        <v>156</v>
      </c>
      <c r="B249" s="17" t="s">
        <v>155</v>
      </c>
      <c r="C249" s="17" t="s">
        <v>151</v>
      </c>
      <c r="D249" s="16" t="s">
        <v>116</v>
      </c>
      <c r="E249" s="16" t="s">
        <v>152</v>
      </c>
      <c r="F249" s="16">
        <v>0.6</v>
      </c>
      <c r="G249" s="16"/>
      <c r="H249" s="16"/>
      <c r="I249" s="16" t="s">
        <v>116</v>
      </c>
    </row>
    <row r="250" spans="1:9" x14ac:dyDescent="0.35">
      <c r="A250" s="16" t="s">
        <v>1011</v>
      </c>
      <c r="B250" s="17" t="s">
        <v>1012</v>
      </c>
      <c r="C250" s="17"/>
      <c r="D250" s="16"/>
      <c r="E250" s="16"/>
      <c r="F250" s="16"/>
      <c r="G250" s="16"/>
      <c r="H250" s="16"/>
      <c r="I250" s="16" t="s">
        <v>372</v>
      </c>
    </row>
    <row r="251" spans="1:9" x14ac:dyDescent="0.35">
      <c r="A251" s="16" t="s">
        <v>153</v>
      </c>
      <c r="B251" s="17" t="s">
        <v>150</v>
      </c>
      <c r="C251" s="17" t="s">
        <v>150</v>
      </c>
      <c r="D251" s="16" t="s">
        <v>116</v>
      </c>
      <c r="E251" s="16" t="s">
        <v>152</v>
      </c>
      <c r="F251" s="16">
        <v>0.6</v>
      </c>
      <c r="G251" s="16"/>
      <c r="H251" s="16"/>
      <c r="I251" s="16" t="s">
        <v>116</v>
      </c>
    </row>
    <row r="252" spans="1:9" x14ac:dyDescent="0.35">
      <c r="A252" s="16" t="s">
        <v>1013</v>
      </c>
      <c r="B252" s="17" t="s">
        <v>1014</v>
      </c>
      <c r="C252" s="17" t="s">
        <v>1015</v>
      </c>
      <c r="D252" s="16" t="s">
        <v>22</v>
      </c>
      <c r="E252" s="16" t="s">
        <v>986</v>
      </c>
      <c r="F252" s="16">
        <v>1</v>
      </c>
      <c r="G252" s="16"/>
      <c r="H252" s="16"/>
      <c r="I252" s="16" t="s">
        <v>22</v>
      </c>
    </row>
    <row r="253" spans="1:9" x14ac:dyDescent="0.35">
      <c r="A253" s="16" t="s">
        <v>1016</v>
      </c>
      <c r="B253" s="17" t="s">
        <v>1014</v>
      </c>
      <c r="C253" s="17" t="s">
        <v>1015</v>
      </c>
      <c r="D253" s="16" t="s">
        <v>22</v>
      </c>
      <c r="E253" s="16" t="s">
        <v>986</v>
      </c>
      <c r="F253" s="16">
        <v>1</v>
      </c>
      <c r="G253" s="16"/>
      <c r="H253" s="16"/>
      <c r="I253" s="16" t="s">
        <v>22</v>
      </c>
    </row>
    <row r="254" spans="1:9" x14ac:dyDescent="0.35">
      <c r="A254" s="16" t="s">
        <v>1017</v>
      </c>
      <c r="B254" s="17"/>
      <c r="C254" s="17"/>
      <c r="D254" s="16"/>
      <c r="E254" s="16"/>
      <c r="F254" s="16"/>
      <c r="G254" s="16"/>
      <c r="H254" s="16"/>
      <c r="I254" s="16" t="s">
        <v>414</v>
      </c>
    </row>
    <row r="255" spans="1:9" x14ac:dyDescent="0.35">
      <c r="A255" s="16" t="s">
        <v>1018</v>
      </c>
      <c r="B255" s="17" t="s">
        <v>1019</v>
      </c>
      <c r="C255" s="17"/>
      <c r="D255" s="16"/>
      <c r="E255" s="16"/>
      <c r="F255" s="16"/>
      <c r="G255" s="16"/>
      <c r="H255" s="16"/>
      <c r="I255" s="16" t="s">
        <v>372</v>
      </c>
    </row>
    <row r="256" spans="1:9" x14ac:dyDescent="0.35">
      <c r="A256" s="16" t="s">
        <v>1020</v>
      </c>
      <c r="B256" s="17" t="s">
        <v>1021</v>
      </c>
      <c r="C256" s="17" t="s">
        <v>1022</v>
      </c>
      <c r="D256" s="16" t="s">
        <v>170</v>
      </c>
      <c r="E256" s="16" t="s">
        <v>179</v>
      </c>
      <c r="F256" s="16">
        <v>0.46179999999999999</v>
      </c>
      <c r="G256" s="16" t="s">
        <v>225</v>
      </c>
      <c r="H256" s="16" t="s">
        <v>334</v>
      </c>
      <c r="I256" s="16" t="s">
        <v>170</v>
      </c>
    </row>
    <row r="257" spans="1:9" x14ac:dyDescent="0.35">
      <c r="A257" s="16" t="s">
        <v>1023</v>
      </c>
      <c r="B257" s="17" t="s">
        <v>516</v>
      </c>
      <c r="C257" s="17" t="s">
        <v>516</v>
      </c>
      <c r="D257" s="16"/>
      <c r="E257" s="16"/>
      <c r="F257" s="16"/>
      <c r="G257" s="16"/>
      <c r="H257" s="16"/>
      <c r="I257" s="16" t="s">
        <v>372</v>
      </c>
    </row>
    <row r="258" spans="1:9" ht="28" x14ac:dyDescent="0.35">
      <c r="A258" s="16" t="s">
        <v>1024</v>
      </c>
      <c r="B258" s="17" t="s">
        <v>1025</v>
      </c>
      <c r="C258" s="17" t="s">
        <v>1026</v>
      </c>
      <c r="D258" s="16" t="s">
        <v>170</v>
      </c>
      <c r="E258" s="16" t="s">
        <v>1027</v>
      </c>
      <c r="F258" s="16">
        <v>0.32600000000000001</v>
      </c>
      <c r="G258" s="16" t="s">
        <v>1028</v>
      </c>
      <c r="H258" s="16" t="s">
        <v>1029</v>
      </c>
      <c r="I258" s="16" t="s">
        <v>170</v>
      </c>
    </row>
    <row r="259" spans="1:9" ht="56" x14ac:dyDescent="0.35">
      <c r="A259" s="16" t="s">
        <v>1030</v>
      </c>
      <c r="B259" s="17" t="s">
        <v>1031</v>
      </c>
      <c r="C259" s="17" t="s">
        <v>1032</v>
      </c>
      <c r="D259" s="16" t="s">
        <v>170</v>
      </c>
      <c r="E259" s="16" t="s">
        <v>1033</v>
      </c>
      <c r="F259" s="16">
        <v>0.20119999999999999</v>
      </c>
      <c r="G259" s="16"/>
      <c r="H259" s="16"/>
      <c r="I259" s="16" t="s">
        <v>170</v>
      </c>
    </row>
    <row r="260" spans="1:9" x14ac:dyDescent="0.35">
      <c r="A260" s="16" t="s">
        <v>1034</v>
      </c>
      <c r="B260" s="17" t="s">
        <v>1035</v>
      </c>
      <c r="C260" s="17" t="s">
        <v>1036</v>
      </c>
      <c r="D260" s="16" t="s">
        <v>170</v>
      </c>
      <c r="E260" s="16" t="s">
        <v>1037</v>
      </c>
      <c r="F260" s="16">
        <v>0.29289999999999999</v>
      </c>
      <c r="G260" s="16" t="s">
        <v>1038</v>
      </c>
      <c r="H260" s="16" t="s">
        <v>1039</v>
      </c>
      <c r="I260" s="16" t="s">
        <v>170</v>
      </c>
    </row>
    <row r="261" spans="1:9" x14ac:dyDescent="0.35">
      <c r="A261" s="16" t="s">
        <v>1040</v>
      </c>
      <c r="B261" s="17"/>
      <c r="C261" s="17"/>
      <c r="D261" s="16"/>
      <c r="E261" s="16"/>
      <c r="F261" s="16"/>
      <c r="G261" s="16"/>
      <c r="H261" s="16"/>
      <c r="I261" s="16" t="s">
        <v>414</v>
      </c>
    </row>
    <row r="262" spans="1:9" ht="28" x14ac:dyDescent="0.35">
      <c r="A262" s="16" t="s">
        <v>1041</v>
      </c>
      <c r="B262" s="17" t="s">
        <v>1042</v>
      </c>
      <c r="C262" s="17" t="s">
        <v>1026</v>
      </c>
      <c r="D262" s="16" t="s">
        <v>170</v>
      </c>
      <c r="E262" s="16" t="s">
        <v>1027</v>
      </c>
      <c r="F262" s="16">
        <v>0.32600000000000001</v>
      </c>
      <c r="G262" s="16" t="s">
        <v>1028</v>
      </c>
      <c r="H262" s="16" t="s">
        <v>1029</v>
      </c>
      <c r="I262" s="16" t="s">
        <v>170</v>
      </c>
    </row>
    <row r="263" spans="1:9" ht="28" x14ac:dyDescent="0.35">
      <c r="A263" s="16" t="s">
        <v>1043</v>
      </c>
      <c r="B263" s="17" t="s">
        <v>1044</v>
      </c>
      <c r="C263" s="17" t="s">
        <v>1044</v>
      </c>
      <c r="D263" s="16" t="s">
        <v>170</v>
      </c>
      <c r="E263" s="16" t="s">
        <v>225</v>
      </c>
      <c r="F263" s="16">
        <v>0.41260000000000002</v>
      </c>
      <c r="G263" s="16" t="s">
        <v>334</v>
      </c>
      <c r="H263" s="16" t="s">
        <v>1045</v>
      </c>
      <c r="I263" s="16" t="s">
        <v>170</v>
      </c>
    </row>
    <row r="264" spans="1:9" x14ac:dyDescent="0.35">
      <c r="A264" s="16" t="s">
        <v>1046</v>
      </c>
      <c r="B264" s="17" t="s">
        <v>1047</v>
      </c>
      <c r="C264" s="17"/>
      <c r="D264" s="16"/>
      <c r="E264" s="16"/>
      <c r="F264" s="16"/>
      <c r="G264" s="16"/>
      <c r="H264" s="16"/>
      <c r="I264" s="16" t="s">
        <v>372</v>
      </c>
    </row>
    <row r="265" spans="1:9" x14ac:dyDescent="0.35">
      <c r="A265" s="16" t="s">
        <v>1048</v>
      </c>
      <c r="B265" s="17" t="s">
        <v>1049</v>
      </c>
      <c r="C265" s="17" t="s">
        <v>1049</v>
      </c>
      <c r="D265" s="16" t="s">
        <v>170</v>
      </c>
      <c r="E265" s="16" t="s">
        <v>1050</v>
      </c>
      <c r="F265" s="16">
        <v>0.36149999999999999</v>
      </c>
      <c r="G265" s="16" t="s">
        <v>1051</v>
      </c>
      <c r="H265" s="16"/>
      <c r="I265" s="16" t="s">
        <v>170</v>
      </c>
    </row>
    <row r="266" spans="1:9" x14ac:dyDescent="0.35">
      <c r="A266" s="16" t="s">
        <v>1052</v>
      </c>
      <c r="B266" s="17" t="s">
        <v>1053</v>
      </c>
      <c r="C266" s="17" t="s">
        <v>1054</v>
      </c>
      <c r="D266" s="16" t="s">
        <v>5</v>
      </c>
      <c r="E266" s="16" t="s">
        <v>1055</v>
      </c>
      <c r="F266" s="16">
        <v>0.8</v>
      </c>
      <c r="G266" s="16"/>
      <c r="H266" s="16"/>
      <c r="I266" s="16" t="s">
        <v>5</v>
      </c>
    </row>
    <row r="267" spans="1:9" ht="42" x14ac:dyDescent="0.35">
      <c r="A267" s="16" t="s">
        <v>1056</v>
      </c>
      <c r="B267" s="17" t="s">
        <v>1057</v>
      </c>
      <c r="C267" s="17" t="s">
        <v>1058</v>
      </c>
      <c r="D267" s="16"/>
      <c r="E267" s="16"/>
      <c r="F267" s="16"/>
      <c r="G267" s="16"/>
      <c r="H267" s="16"/>
      <c r="I267" s="16" t="s">
        <v>372</v>
      </c>
    </row>
    <row r="268" spans="1:9" x14ac:dyDescent="0.35">
      <c r="A268" s="16" t="s">
        <v>1059</v>
      </c>
      <c r="B268" s="17" t="s">
        <v>1060</v>
      </c>
      <c r="C268" s="17" t="s">
        <v>1061</v>
      </c>
      <c r="D268" s="16" t="s">
        <v>22</v>
      </c>
      <c r="E268" s="16" t="s">
        <v>1062</v>
      </c>
      <c r="F268" s="16">
        <v>1</v>
      </c>
      <c r="G268" s="16"/>
      <c r="H268" s="16"/>
      <c r="I268" s="16" t="s">
        <v>22</v>
      </c>
    </row>
    <row r="269" spans="1:9" x14ac:dyDescent="0.35">
      <c r="A269" s="16" t="s">
        <v>1063</v>
      </c>
      <c r="B269" s="17" t="s">
        <v>1064</v>
      </c>
      <c r="C269" s="17" t="s">
        <v>1065</v>
      </c>
      <c r="D269" s="16" t="s">
        <v>170</v>
      </c>
      <c r="E269" s="16" t="s">
        <v>1066</v>
      </c>
      <c r="F269" s="16">
        <v>0.25919999999999999</v>
      </c>
      <c r="G269" s="16" t="s">
        <v>1067</v>
      </c>
      <c r="H269" s="16" t="s">
        <v>1068</v>
      </c>
      <c r="I269" s="16" t="s">
        <v>170</v>
      </c>
    </row>
    <row r="270" spans="1:9" x14ac:dyDescent="0.35">
      <c r="A270" s="16" t="s">
        <v>30</v>
      </c>
      <c r="B270" s="17" t="s">
        <v>29</v>
      </c>
      <c r="C270" s="17" t="s">
        <v>28</v>
      </c>
      <c r="D270" s="16" t="s">
        <v>22</v>
      </c>
      <c r="E270" s="16" t="s">
        <v>28</v>
      </c>
      <c r="F270" s="16">
        <v>1</v>
      </c>
      <c r="G270" s="16"/>
      <c r="H270" s="16"/>
      <c r="I270" s="16" t="s">
        <v>22</v>
      </c>
    </row>
    <row r="271" spans="1:9" x14ac:dyDescent="0.35">
      <c r="A271" s="16" t="s">
        <v>1069</v>
      </c>
      <c r="B271" s="17" t="s">
        <v>1070</v>
      </c>
      <c r="C271" s="17" t="s">
        <v>1071</v>
      </c>
      <c r="D271" s="16" t="s">
        <v>170</v>
      </c>
      <c r="E271" s="16" t="s">
        <v>1072</v>
      </c>
      <c r="F271" s="16">
        <v>0.37469999999999998</v>
      </c>
      <c r="G271" s="16" t="s">
        <v>225</v>
      </c>
      <c r="H271" s="16" t="s">
        <v>765</v>
      </c>
      <c r="I271" s="16" t="s">
        <v>170</v>
      </c>
    </row>
    <row r="272" spans="1:9" x14ac:dyDescent="0.35">
      <c r="A272" s="16" t="s">
        <v>430</v>
      </c>
      <c r="B272" s="17" t="s">
        <v>429</v>
      </c>
      <c r="C272" s="17"/>
      <c r="D272" s="16"/>
      <c r="E272" s="16"/>
      <c r="F272" s="16"/>
      <c r="G272" s="16"/>
      <c r="H272" s="16"/>
      <c r="I272" s="16" t="s">
        <v>372</v>
      </c>
    </row>
    <row r="273" spans="1:9" x14ac:dyDescent="0.35">
      <c r="A273" s="16" t="s">
        <v>1073</v>
      </c>
      <c r="B273" s="17" t="s">
        <v>1074</v>
      </c>
      <c r="C273" s="17" t="s">
        <v>1075</v>
      </c>
      <c r="D273" s="16" t="s">
        <v>170</v>
      </c>
      <c r="E273" s="16" t="s">
        <v>1076</v>
      </c>
      <c r="F273" s="16">
        <v>0.40810000000000002</v>
      </c>
      <c r="G273" s="16" t="s">
        <v>1077</v>
      </c>
      <c r="H273" s="16" t="s">
        <v>1078</v>
      </c>
      <c r="I273" s="16" t="s">
        <v>170</v>
      </c>
    </row>
    <row r="274" spans="1:9" ht="28" x14ac:dyDescent="0.35">
      <c r="A274" s="16" t="s">
        <v>1079</v>
      </c>
      <c r="B274" s="17" t="s">
        <v>1080</v>
      </c>
      <c r="C274" s="17" t="s">
        <v>1080</v>
      </c>
      <c r="D274" s="16"/>
      <c r="E274" s="16"/>
      <c r="F274" s="16"/>
      <c r="G274" s="16"/>
      <c r="H274" s="16"/>
      <c r="I274" s="16" t="s">
        <v>372</v>
      </c>
    </row>
    <row r="275" spans="1:9" ht="28" x14ac:dyDescent="0.35">
      <c r="A275" s="16" t="s">
        <v>1081</v>
      </c>
      <c r="B275" s="17" t="s">
        <v>1082</v>
      </c>
      <c r="C275" s="17" t="s">
        <v>1083</v>
      </c>
      <c r="D275" s="16"/>
      <c r="E275" s="16"/>
      <c r="F275" s="16"/>
      <c r="G275" s="16"/>
      <c r="H275" s="16"/>
      <c r="I275" s="16" t="s">
        <v>372</v>
      </c>
    </row>
    <row r="276" spans="1:9" x14ac:dyDescent="0.35">
      <c r="A276" s="16" t="s">
        <v>1084</v>
      </c>
      <c r="B276" s="17" t="s">
        <v>1085</v>
      </c>
      <c r="C276" s="17" t="s">
        <v>516</v>
      </c>
      <c r="D276" s="16"/>
      <c r="E276" s="16"/>
      <c r="F276" s="16"/>
      <c r="G276" s="16"/>
      <c r="H276" s="16"/>
      <c r="I276" s="16" t="s">
        <v>372</v>
      </c>
    </row>
    <row r="277" spans="1:9" x14ac:dyDescent="0.35">
      <c r="A277" s="16" t="s">
        <v>36</v>
      </c>
      <c r="B277" s="17" t="s">
        <v>33</v>
      </c>
      <c r="C277" s="17" t="s">
        <v>32</v>
      </c>
      <c r="D277" s="16" t="s">
        <v>22</v>
      </c>
      <c r="E277" s="16" t="s">
        <v>35</v>
      </c>
      <c r="F277" s="16">
        <v>1</v>
      </c>
      <c r="G277" s="16"/>
      <c r="H277" s="16"/>
      <c r="I277" s="16" t="s">
        <v>22</v>
      </c>
    </row>
    <row r="278" spans="1:9" x14ac:dyDescent="0.35">
      <c r="A278" s="16" t="s">
        <v>1086</v>
      </c>
      <c r="B278" s="17" t="s">
        <v>923</v>
      </c>
      <c r="C278" s="17" t="s">
        <v>799</v>
      </c>
      <c r="D278" s="16" t="s">
        <v>170</v>
      </c>
      <c r="E278" s="16" t="s">
        <v>800</v>
      </c>
      <c r="F278" s="16">
        <v>0.44990000000000002</v>
      </c>
      <c r="G278" s="16" t="s">
        <v>801</v>
      </c>
      <c r="H278" s="16" t="s">
        <v>802</v>
      </c>
      <c r="I278" s="16" t="s">
        <v>170</v>
      </c>
    </row>
    <row r="279" spans="1:9" ht="28" x14ac:dyDescent="0.35">
      <c r="A279" s="16" t="s">
        <v>1087</v>
      </c>
      <c r="B279" s="17" t="s">
        <v>1088</v>
      </c>
      <c r="C279" s="17" t="s">
        <v>1089</v>
      </c>
      <c r="D279" s="16" t="s">
        <v>170</v>
      </c>
      <c r="E279" s="16" t="s">
        <v>1090</v>
      </c>
      <c r="F279" s="16">
        <v>0.35880000000000001</v>
      </c>
      <c r="G279" s="16" t="s">
        <v>1091</v>
      </c>
      <c r="H279" s="16" t="s">
        <v>1092</v>
      </c>
      <c r="I279" s="16" t="s">
        <v>170</v>
      </c>
    </row>
    <row r="280" spans="1:9" x14ac:dyDescent="0.35">
      <c r="A280" s="16" t="s">
        <v>421</v>
      </c>
      <c r="B280" s="17"/>
      <c r="C280" s="17"/>
      <c r="D280" s="16"/>
      <c r="E280" s="16"/>
      <c r="F280" s="16"/>
      <c r="G280" s="16"/>
      <c r="H280" s="16"/>
      <c r="I280" s="16" t="s">
        <v>414</v>
      </c>
    </row>
    <row r="281" spans="1:9" ht="28" x14ac:dyDescent="0.35">
      <c r="A281" s="16" t="s">
        <v>1093</v>
      </c>
      <c r="B281" s="17" t="s">
        <v>1094</v>
      </c>
      <c r="C281" s="17" t="s">
        <v>1094</v>
      </c>
      <c r="D281" s="16"/>
      <c r="E281" s="16"/>
      <c r="F281" s="16"/>
      <c r="G281" s="16"/>
      <c r="H281" s="16"/>
      <c r="I281" s="16" t="s">
        <v>372</v>
      </c>
    </row>
    <row r="282" spans="1:9" x14ac:dyDescent="0.35">
      <c r="A282" s="16" t="s">
        <v>1095</v>
      </c>
      <c r="B282" s="17" t="s">
        <v>754</v>
      </c>
      <c r="C282" s="17" t="s">
        <v>754</v>
      </c>
      <c r="D282" s="16"/>
      <c r="E282" s="16"/>
      <c r="F282" s="16"/>
      <c r="G282" s="16"/>
      <c r="H282" s="16"/>
      <c r="I282" s="16" t="s">
        <v>372</v>
      </c>
    </row>
    <row r="283" spans="1:9" ht="56" x14ac:dyDescent="0.35">
      <c r="A283" s="16" t="s">
        <v>1096</v>
      </c>
      <c r="B283" s="17" t="s">
        <v>1097</v>
      </c>
      <c r="C283" s="17" t="s">
        <v>1098</v>
      </c>
      <c r="D283" s="16" t="s">
        <v>170</v>
      </c>
      <c r="E283" s="16" t="s">
        <v>225</v>
      </c>
      <c r="F283" s="16">
        <v>0.25340000000000001</v>
      </c>
      <c r="G283" s="16" t="s">
        <v>55</v>
      </c>
      <c r="H283" s="16"/>
      <c r="I283" s="16" t="s">
        <v>170</v>
      </c>
    </row>
    <row r="284" spans="1:9" x14ac:dyDescent="0.35">
      <c r="A284" s="16" t="s">
        <v>70</v>
      </c>
      <c r="B284" s="17" t="s">
        <v>68</v>
      </c>
      <c r="C284" s="17" t="s">
        <v>67</v>
      </c>
      <c r="D284" s="16" t="s">
        <v>22</v>
      </c>
      <c r="E284" s="16" t="s">
        <v>69</v>
      </c>
      <c r="F284" s="16">
        <v>1</v>
      </c>
      <c r="G284" s="16"/>
      <c r="H284" s="16"/>
      <c r="I284" s="16" t="s">
        <v>22</v>
      </c>
    </row>
    <row r="285" spans="1:9" ht="28" x14ac:dyDescent="0.35">
      <c r="A285" s="16" t="s">
        <v>1099</v>
      </c>
      <c r="B285" s="17" t="s">
        <v>1100</v>
      </c>
      <c r="C285" s="17" t="s">
        <v>1101</v>
      </c>
      <c r="D285" s="16"/>
      <c r="E285" s="16"/>
      <c r="F285" s="16"/>
      <c r="G285" s="16"/>
      <c r="H285" s="16"/>
      <c r="I285" s="16" t="s">
        <v>372</v>
      </c>
    </row>
    <row r="286" spans="1:9" x14ac:dyDescent="0.35">
      <c r="A286" s="16" t="s">
        <v>1102</v>
      </c>
      <c r="B286" s="17" t="s">
        <v>1103</v>
      </c>
      <c r="C286" s="17" t="s">
        <v>1104</v>
      </c>
      <c r="D286" s="16" t="s">
        <v>170</v>
      </c>
      <c r="E286" s="16" t="s">
        <v>1105</v>
      </c>
      <c r="F286" s="16">
        <v>0.32519999999999999</v>
      </c>
      <c r="G286" s="16" t="s">
        <v>1045</v>
      </c>
      <c r="H286" s="16" t="s">
        <v>1106</v>
      </c>
      <c r="I286" s="16" t="s">
        <v>170</v>
      </c>
    </row>
    <row r="287" spans="1:9" x14ac:dyDescent="0.35">
      <c r="A287" s="16" t="s">
        <v>1107</v>
      </c>
      <c r="B287" s="17" t="s">
        <v>198</v>
      </c>
      <c r="C287" s="17" t="s">
        <v>197</v>
      </c>
      <c r="D287" s="16" t="s">
        <v>170</v>
      </c>
      <c r="E287" s="16" t="s">
        <v>200</v>
      </c>
      <c r="F287" s="16">
        <v>0.24959999999999999</v>
      </c>
      <c r="G287" s="16" t="s">
        <v>201</v>
      </c>
      <c r="H287" s="16" t="s">
        <v>202</v>
      </c>
      <c r="I287" s="16" t="s">
        <v>170</v>
      </c>
    </row>
    <row r="288" spans="1:9" ht="28" x14ac:dyDescent="0.35">
      <c r="A288" s="16" t="s">
        <v>1108</v>
      </c>
      <c r="B288" s="17" t="s">
        <v>1109</v>
      </c>
      <c r="C288" s="17" t="s">
        <v>1110</v>
      </c>
      <c r="D288" s="16" t="s">
        <v>170</v>
      </c>
      <c r="E288" s="16" t="s">
        <v>211</v>
      </c>
      <c r="F288" s="16">
        <v>0.26440000000000002</v>
      </c>
      <c r="G288" s="16"/>
      <c r="H288" s="16"/>
      <c r="I288" s="16" t="s">
        <v>170</v>
      </c>
    </row>
    <row r="289" spans="1:9" x14ac:dyDescent="0.35">
      <c r="A289" s="16" t="s">
        <v>1111</v>
      </c>
      <c r="B289" s="17" t="s">
        <v>923</v>
      </c>
      <c r="C289" s="17" t="s">
        <v>799</v>
      </c>
      <c r="D289" s="16" t="s">
        <v>170</v>
      </c>
      <c r="E289" s="16" t="s">
        <v>800</v>
      </c>
      <c r="F289" s="16">
        <v>0.44990000000000002</v>
      </c>
      <c r="G289" s="16" t="s">
        <v>801</v>
      </c>
      <c r="H289" s="16" t="s">
        <v>802</v>
      </c>
      <c r="I289" s="16" t="s">
        <v>170</v>
      </c>
    </row>
    <row r="290" spans="1:9" x14ac:dyDescent="0.35">
      <c r="A290" s="16" t="s">
        <v>1112</v>
      </c>
      <c r="B290" s="17" t="s">
        <v>923</v>
      </c>
      <c r="C290" s="17" t="s">
        <v>799</v>
      </c>
      <c r="D290" s="16" t="s">
        <v>170</v>
      </c>
      <c r="E290" s="16" t="s">
        <v>800</v>
      </c>
      <c r="F290" s="16">
        <v>0.44990000000000002</v>
      </c>
      <c r="G290" s="16" t="s">
        <v>801</v>
      </c>
      <c r="H290" s="16" t="s">
        <v>802</v>
      </c>
      <c r="I290" s="16" t="s">
        <v>170</v>
      </c>
    </row>
    <row r="291" spans="1:9" x14ac:dyDescent="0.35">
      <c r="A291" s="16" t="s">
        <v>1113</v>
      </c>
      <c r="B291" s="17" t="s">
        <v>1114</v>
      </c>
      <c r="C291" s="17" t="s">
        <v>799</v>
      </c>
      <c r="D291" s="16" t="s">
        <v>170</v>
      </c>
      <c r="E291" s="16" t="s">
        <v>800</v>
      </c>
      <c r="F291" s="16">
        <v>0.44990000000000002</v>
      </c>
      <c r="G291" s="16" t="s">
        <v>801</v>
      </c>
      <c r="H291" s="16" t="s">
        <v>802</v>
      </c>
      <c r="I291" s="16" t="s">
        <v>170</v>
      </c>
    </row>
    <row r="292" spans="1:9" x14ac:dyDescent="0.35">
      <c r="A292" s="16" t="s">
        <v>188</v>
      </c>
      <c r="B292" s="17" t="s">
        <v>183</v>
      </c>
      <c r="C292" s="17" t="s">
        <v>183</v>
      </c>
      <c r="D292" s="16" t="s">
        <v>170</v>
      </c>
      <c r="E292" s="16" t="s">
        <v>185</v>
      </c>
      <c r="F292" s="16">
        <v>0.28660000000000002</v>
      </c>
      <c r="G292" s="16" t="s">
        <v>186</v>
      </c>
      <c r="H292" s="16" t="s">
        <v>187</v>
      </c>
      <c r="I292" s="16" t="s">
        <v>170</v>
      </c>
    </row>
    <row r="293" spans="1:9" x14ac:dyDescent="0.35">
      <c r="A293" s="16" t="s">
        <v>1115</v>
      </c>
      <c r="B293" s="17" t="s">
        <v>1116</v>
      </c>
      <c r="C293" s="17" t="s">
        <v>1116</v>
      </c>
      <c r="D293" s="16" t="s">
        <v>170</v>
      </c>
      <c r="E293" s="16" t="s">
        <v>1117</v>
      </c>
      <c r="F293" s="16">
        <v>0.27579999999999999</v>
      </c>
      <c r="G293" s="16" t="s">
        <v>547</v>
      </c>
      <c r="H293" s="16" t="s">
        <v>776</v>
      </c>
      <c r="I293" s="16" t="s">
        <v>170</v>
      </c>
    </row>
    <row r="294" spans="1:9" x14ac:dyDescent="0.35">
      <c r="A294" s="16" t="s">
        <v>1118</v>
      </c>
      <c r="B294" s="17" t="s">
        <v>1119</v>
      </c>
      <c r="C294" s="17" t="s">
        <v>1120</v>
      </c>
      <c r="D294" s="16" t="s">
        <v>116</v>
      </c>
      <c r="E294" s="16" t="s">
        <v>1121</v>
      </c>
      <c r="F294" s="16">
        <v>0.48</v>
      </c>
      <c r="G294" s="16" t="s">
        <v>1122</v>
      </c>
      <c r="H294" s="16"/>
      <c r="I294" s="16" t="s">
        <v>116</v>
      </c>
    </row>
    <row r="295" spans="1:9" ht="28" x14ac:dyDescent="0.35">
      <c r="A295" s="16" t="s">
        <v>335</v>
      </c>
      <c r="B295" s="17" t="s">
        <v>332</v>
      </c>
      <c r="C295" s="17" t="s">
        <v>331</v>
      </c>
      <c r="D295" s="16" t="s">
        <v>170</v>
      </c>
      <c r="E295" s="16" t="s">
        <v>334</v>
      </c>
      <c r="F295" s="16">
        <v>0.44319999999999998</v>
      </c>
      <c r="G295" s="16" t="s">
        <v>225</v>
      </c>
      <c r="H295" s="16" t="s">
        <v>179</v>
      </c>
      <c r="I295" s="16" t="s">
        <v>170</v>
      </c>
    </row>
    <row r="296" spans="1:9" ht="28" x14ac:dyDescent="0.35">
      <c r="A296" s="16" t="s">
        <v>1123</v>
      </c>
      <c r="B296" s="17" t="s">
        <v>332</v>
      </c>
      <c r="C296" s="17" t="s">
        <v>331</v>
      </c>
      <c r="D296" s="16" t="s">
        <v>170</v>
      </c>
      <c r="E296" s="16" t="s">
        <v>334</v>
      </c>
      <c r="F296" s="16">
        <v>0.44319999999999998</v>
      </c>
      <c r="G296" s="16" t="s">
        <v>225</v>
      </c>
      <c r="H296" s="16" t="s">
        <v>179</v>
      </c>
      <c r="I296" s="16" t="s">
        <v>170</v>
      </c>
    </row>
    <row r="297" spans="1:9" x14ac:dyDescent="0.35">
      <c r="A297" s="16" t="s">
        <v>1124</v>
      </c>
      <c r="B297" s="17" t="s">
        <v>1125</v>
      </c>
      <c r="C297" s="17" t="s">
        <v>307</v>
      </c>
      <c r="D297" s="16" t="s">
        <v>170</v>
      </c>
      <c r="E297" s="16" t="s">
        <v>320</v>
      </c>
      <c r="F297" s="16">
        <v>0.45400000000000001</v>
      </c>
      <c r="G297" s="16" t="s">
        <v>309</v>
      </c>
      <c r="H297" s="16" t="s">
        <v>60</v>
      </c>
      <c r="I297" s="16" t="s">
        <v>170</v>
      </c>
    </row>
    <row r="298" spans="1:9" x14ac:dyDescent="0.35">
      <c r="A298" s="16" t="s">
        <v>1126</v>
      </c>
      <c r="B298" s="17" t="s">
        <v>1127</v>
      </c>
      <c r="C298" s="17" t="s">
        <v>1128</v>
      </c>
      <c r="D298" s="16" t="s">
        <v>170</v>
      </c>
      <c r="E298" s="16" t="s">
        <v>1129</v>
      </c>
      <c r="F298" s="16">
        <v>0.4269</v>
      </c>
      <c r="G298" s="16" t="s">
        <v>1130</v>
      </c>
      <c r="H298" s="16" t="s">
        <v>320</v>
      </c>
      <c r="I298" s="16" t="s">
        <v>170</v>
      </c>
    </row>
    <row r="299" spans="1:9" ht="28" x14ac:dyDescent="0.35">
      <c r="A299" s="16" t="s">
        <v>1131</v>
      </c>
      <c r="B299" s="17" t="s">
        <v>1132</v>
      </c>
      <c r="C299" s="17" t="s">
        <v>1133</v>
      </c>
      <c r="D299" s="16" t="s">
        <v>170</v>
      </c>
      <c r="E299" s="16" t="s">
        <v>1134</v>
      </c>
      <c r="F299" s="16">
        <v>0.34350000000000003</v>
      </c>
      <c r="G299" s="16" t="s">
        <v>296</v>
      </c>
      <c r="H299" s="16" t="s">
        <v>1135</v>
      </c>
      <c r="I299" s="16" t="s">
        <v>170</v>
      </c>
    </row>
    <row r="300" spans="1:9" ht="42" x14ac:dyDescent="0.35">
      <c r="A300" s="16" t="s">
        <v>1136</v>
      </c>
      <c r="B300" s="17" t="s">
        <v>1137</v>
      </c>
      <c r="C300" s="17" t="s">
        <v>1138</v>
      </c>
      <c r="D300" s="16" t="s">
        <v>170</v>
      </c>
      <c r="E300" s="16" t="s">
        <v>1091</v>
      </c>
      <c r="F300" s="16">
        <v>0.2868</v>
      </c>
      <c r="G300" s="16" t="s">
        <v>1092</v>
      </c>
      <c r="H300" s="16"/>
      <c r="I300" s="16" t="s">
        <v>170</v>
      </c>
    </row>
    <row r="301" spans="1:9" x14ac:dyDescent="0.35">
      <c r="A301" s="16" t="s">
        <v>1139</v>
      </c>
      <c r="B301" s="17" t="s">
        <v>1140</v>
      </c>
      <c r="C301" s="17" t="s">
        <v>1141</v>
      </c>
      <c r="D301" s="16" t="s">
        <v>5</v>
      </c>
      <c r="E301" s="16" t="s">
        <v>986</v>
      </c>
      <c r="F301" s="16">
        <v>0.8</v>
      </c>
      <c r="G301" s="16"/>
      <c r="H301" s="16"/>
      <c r="I301" s="16" t="s">
        <v>5</v>
      </c>
    </row>
    <row r="302" spans="1:9" x14ac:dyDescent="0.35">
      <c r="A302" s="16" t="s">
        <v>1142</v>
      </c>
      <c r="B302" s="17" t="s">
        <v>319</v>
      </c>
      <c r="C302" s="17" t="s">
        <v>307</v>
      </c>
      <c r="D302" s="16" t="s">
        <v>170</v>
      </c>
      <c r="E302" s="16" t="s">
        <v>320</v>
      </c>
      <c r="F302" s="16">
        <v>0.45400000000000001</v>
      </c>
      <c r="G302" s="16" t="s">
        <v>309</v>
      </c>
      <c r="H302" s="16" t="s">
        <v>60</v>
      </c>
      <c r="I302" s="16" t="s">
        <v>170</v>
      </c>
    </row>
    <row r="303" spans="1:9" x14ac:dyDescent="0.35">
      <c r="A303" s="16" t="s">
        <v>1143</v>
      </c>
      <c r="B303" s="17" t="s">
        <v>319</v>
      </c>
      <c r="C303" s="17" t="s">
        <v>307</v>
      </c>
      <c r="D303" s="16" t="s">
        <v>170</v>
      </c>
      <c r="E303" s="16" t="s">
        <v>320</v>
      </c>
      <c r="F303" s="16">
        <v>0.45400000000000001</v>
      </c>
      <c r="G303" s="16" t="s">
        <v>309</v>
      </c>
      <c r="H303" s="16" t="s">
        <v>60</v>
      </c>
      <c r="I303" s="16" t="s">
        <v>170</v>
      </c>
    </row>
    <row r="304" spans="1:9" x14ac:dyDescent="0.35">
      <c r="A304" s="16" t="s">
        <v>65</v>
      </c>
      <c r="B304" s="17" t="s">
        <v>64</v>
      </c>
      <c r="C304" s="17" t="s">
        <v>64</v>
      </c>
      <c r="D304" s="16" t="s">
        <v>22</v>
      </c>
      <c r="E304" s="16" t="s">
        <v>64</v>
      </c>
      <c r="F304" s="16">
        <v>1</v>
      </c>
      <c r="G304" s="16"/>
      <c r="H304" s="16"/>
      <c r="I304" s="16" t="s">
        <v>22</v>
      </c>
    </row>
    <row r="305" spans="1:9" x14ac:dyDescent="0.35">
      <c r="A305" s="16" t="s">
        <v>1144</v>
      </c>
      <c r="B305" s="17" t="s">
        <v>1145</v>
      </c>
      <c r="C305" s="17" t="s">
        <v>199</v>
      </c>
      <c r="D305" s="16" t="s">
        <v>170</v>
      </c>
      <c r="E305" s="16" t="s">
        <v>1146</v>
      </c>
      <c r="F305" s="16">
        <v>0.37069999999999997</v>
      </c>
      <c r="G305" s="16"/>
      <c r="H305" s="16"/>
      <c r="I305" s="16" t="s">
        <v>170</v>
      </c>
    </row>
    <row r="306" spans="1:9" x14ac:dyDescent="0.35">
      <c r="A306" s="16" t="s">
        <v>1147</v>
      </c>
      <c r="B306" s="17" t="s">
        <v>923</v>
      </c>
      <c r="C306" s="17" t="s">
        <v>799</v>
      </c>
      <c r="D306" s="16" t="s">
        <v>170</v>
      </c>
      <c r="E306" s="16" t="s">
        <v>800</v>
      </c>
      <c r="F306" s="16">
        <v>0.44990000000000002</v>
      </c>
      <c r="G306" s="16" t="s">
        <v>801</v>
      </c>
      <c r="H306" s="16" t="s">
        <v>802</v>
      </c>
      <c r="I306" s="16" t="s">
        <v>170</v>
      </c>
    </row>
    <row r="307" spans="1:9" x14ac:dyDescent="0.35">
      <c r="A307" s="16" t="s">
        <v>1148</v>
      </c>
      <c r="B307" s="17"/>
      <c r="C307" s="17"/>
      <c r="D307" s="16"/>
      <c r="E307" s="16"/>
      <c r="F307" s="16"/>
      <c r="G307" s="16"/>
      <c r="H307" s="16"/>
      <c r="I307" s="16" t="s">
        <v>414</v>
      </c>
    </row>
    <row r="308" spans="1:9" ht="28" x14ac:dyDescent="0.35">
      <c r="A308" s="16" t="s">
        <v>1149</v>
      </c>
      <c r="B308" s="17" t="s">
        <v>1150</v>
      </c>
      <c r="C308" s="17" t="s">
        <v>1151</v>
      </c>
      <c r="D308" s="16" t="s">
        <v>5</v>
      </c>
      <c r="E308" s="16" t="s">
        <v>1090</v>
      </c>
      <c r="F308" s="16">
        <v>0.64</v>
      </c>
      <c r="G308" s="16" t="s">
        <v>1152</v>
      </c>
      <c r="H308" s="16"/>
      <c r="I308" s="16" t="s">
        <v>5</v>
      </c>
    </row>
    <row r="309" spans="1:9" x14ac:dyDescent="0.35">
      <c r="A309" s="16" t="s">
        <v>1153</v>
      </c>
      <c r="B309" s="17"/>
      <c r="C309" s="17"/>
      <c r="D309" s="16"/>
      <c r="E309" s="16"/>
      <c r="F309" s="16"/>
      <c r="G309" s="16"/>
      <c r="H309" s="16"/>
      <c r="I309" s="16" t="s">
        <v>414</v>
      </c>
    </row>
    <row r="310" spans="1:9" x14ac:dyDescent="0.35">
      <c r="A310" s="16" t="s">
        <v>1154</v>
      </c>
      <c r="B310" s="17" t="s">
        <v>1155</v>
      </c>
      <c r="C310" s="17" t="s">
        <v>1156</v>
      </c>
      <c r="D310" s="16" t="s">
        <v>170</v>
      </c>
      <c r="E310" s="16" t="s">
        <v>1090</v>
      </c>
      <c r="F310" s="16">
        <v>0.36459999999999998</v>
      </c>
      <c r="G310" s="16" t="s">
        <v>1157</v>
      </c>
      <c r="H310" s="16" t="s">
        <v>1158</v>
      </c>
      <c r="I310" s="16" t="s">
        <v>170</v>
      </c>
    </row>
    <row r="311" spans="1:9" ht="182" x14ac:dyDescent="0.35">
      <c r="A311" s="16" t="s">
        <v>181</v>
      </c>
      <c r="B311" s="17" t="s">
        <v>177</v>
      </c>
      <c r="C311" s="17" t="s">
        <v>1159</v>
      </c>
      <c r="D311" s="16" t="s">
        <v>170</v>
      </c>
      <c r="E311" s="16" t="s">
        <v>339</v>
      </c>
      <c r="F311" s="16">
        <v>0.4284</v>
      </c>
      <c r="G311" s="16" t="s">
        <v>334</v>
      </c>
      <c r="H311" s="16" t="s">
        <v>832</v>
      </c>
      <c r="I311" s="16" t="s">
        <v>170</v>
      </c>
    </row>
    <row r="312" spans="1:9" ht="28" x14ac:dyDescent="0.35">
      <c r="A312" s="16" t="s">
        <v>1160</v>
      </c>
      <c r="B312" s="17" t="s">
        <v>1161</v>
      </c>
      <c r="C312" s="17" t="s">
        <v>1162</v>
      </c>
      <c r="D312" s="16" t="s">
        <v>170</v>
      </c>
      <c r="E312" s="16" t="s">
        <v>225</v>
      </c>
      <c r="F312" s="16">
        <v>0.23180000000000001</v>
      </c>
      <c r="G312" s="16" t="s">
        <v>1045</v>
      </c>
      <c r="H312" s="16"/>
      <c r="I312" s="16" t="s">
        <v>170</v>
      </c>
    </row>
    <row r="313" spans="1:9" ht="28" x14ac:dyDescent="0.35">
      <c r="A313" s="16" t="s">
        <v>1163</v>
      </c>
      <c r="B313" s="17" t="s">
        <v>1161</v>
      </c>
      <c r="C313" s="17" t="s">
        <v>1162</v>
      </c>
      <c r="D313" s="16" t="s">
        <v>170</v>
      </c>
      <c r="E313" s="16" t="s">
        <v>225</v>
      </c>
      <c r="F313" s="16">
        <v>0.23180000000000001</v>
      </c>
      <c r="G313" s="16" t="s">
        <v>1045</v>
      </c>
      <c r="H313" s="16"/>
      <c r="I313" s="16" t="s">
        <v>170</v>
      </c>
    </row>
    <row r="314" spans="1:9" ht="28" x14ac:dyDescent="0.35">
      <c r="A314" s="16" t="s">
        <v>1164</v>
      </c>
      <c r="B314" s="17" t="s">
        <v>1165</v>
      </c>
      <c r="C314" s="17" t="s">
        <v>1166</v>
      </c>
      <c r="D314" s="16" t="s">
        <v>5</v>
      </c>
      <c r="E314" s="16" t="s">
        <v>1167</v>
      </c>
      <c r="F314" s="16">
        <v>0.8</v>
      </c>
      <c r="G314" s="16"/>
      <c r="H314" s="16"/>
      <c r="I314" s="16" t="s">
        <v>5</v>
      </c>
    </row>
    <row r="315" spans="1:9" ht="28" x14ac:dyDescent="0.35">
      <c r="A315" s="16" t="s">
        <v>1168</v>
      </c>
      <c r="B315" s="17" t="s">
        <v>1165</v>
      </c>
      <c r="C315" s="17" t="s">
        <v>1166</v>
      </c>
      <c r="D315" s="16" t="s">
        <v>5</v>
      </c>
      <c r="E315" s="16" t="s">
        <v>1167</v>
      </c>
      <c r="F315" s="16">
        <v>0.8</v>
      </c>
      <c r="G315" s="16"/>
      <c r="H315" s="16"/>
      <c r="I315" s="16" t="s">
        <v>5</v>
      </c>
    </row>
    <row r="316" spans="1:9" ht="28" x14ac:dyDescent="0.35">
      <c r="A316" s="16" t="s">
        <v>1169</v>
      </c>
      <c r="B316" s="17" t="s">
        <v>1161</v>
      </c>
      <c r="C316" s="17" t="s">
        <v>1162</v>
      </c>
      <c r="D316" s="16" t="s">
        <v>170</v>
      </c>
      <c r="E316" s="16" t="s">
        <v>225</v>
      </c>
      <c r="F316" s="16">
        <v>0.23180000000000001</v>
      </c>
      <c r="G316" s="16" t="s">
        <v>1045</v>
      </c>
      <c r="H316" s="16"/>
      <c r="I316" s="16" t="s">
        <v>170</v>
      </c>
    </row>
    <row r="317" spans="1:9" ht="42" x14ac:dyDescent="0.35">
      <c r="A317" s="16" t="s">
        <v>1170</v>
      </c>
      <c r="B317" s="17" t="s">
        <v>1171</v>
      </c>
      <c r="C317" s="17" t="s">
        <v>1172</v>
      </c>
      <c r="D317" s="16" t="s">
        <v>170</v>
      </c>
      <c r="E317" s="16" t="s">
        <v>1173</v>
      </c>
      <c r="F317" s="16">
        <v>0.2702</v>
      </c>
      <c r="G317" s="16" t="s">
        <v>1174</v>
      </c>
      <c r="H317" s="16"/>
      <c r="I317" s="16" t="s">
        <v>170</v>
      </c>
    </row>
    <row r="318" spans="1:9" ht="42" x14ac:dyDescent="0.35">
      <c r="A318" s="16" t="s">
        <v>1175</v>
      </c>
      <c r="B318" s="17" t="s">
        <v>1176</v>
      </c>
      <c r="C318" s="17" t="s">
        <v>1177</v>
      </c>
      <c r="D318" s="16" t="s">
        <v>170</v>
      </c>
      <c r="E318" s="16" t="s">
        <v>1178</v>
      </c>
      <c r="F318" s="16">
        <v>0.31979999999999997</v>
      </c>
      <c r="G318" s="16" t="s">
        <v>1045</v>
      </c>
      <c r="H318" s="16"/>
      <c r="I318" s="16" t="s">
        <v>170</v>
      </c>
    </row>
    <row r="319" spans="1:9" ht="56" x14ac:dyDescent="0.35">
      <c r="A319" s="16" t="s">
        <v>407</v>
      </c>
      <c r="B319" s="17" t="s">
        <v>406</v>
      </c>
      <c r="C319" s="17" t="s">
        <v>405</v>
      </c>
      <c r="D319" s="16"/>
      <c r="E319" s="16"/>
      <c r="F319" s="16"/>
      <c r="G319" s="16"/>
      <c r="H319" s="16"/>
      <c r="I319" s="16" t="s">
        <v>372</v>
      </c>
    </row>
    <row r="320" spans="1:9" x14ac:dyDescent="0.35">
      <c r="A320" s="16" t="s">
        <v>1179</v>
      </c>
      <c r="B320" s="17" t="s">
        <v>1180</v>
      </c>
      <c r="C320" s="17" t="s">
        <v>1180</v>
      </c>
      <c r="D320" s="16" t="s">
        <v>170</v>
      </c>
      <c r="E320" s="16" t="s">
        <v>225</v>
      </c>
      <c r="F320" s="16">
        <v>0.46379999999999999</v>
      </c>
      <c r="G320" s="16" t="s">
        <v>334</v>
      </c>
      <c r="H320" s="16" t="s">
        <v>1045</v>
      </c>
      <c r="I320" s="16" t="s">
        <v>170</v>
      </c>
    </row>
    <row r="321" spans="1:9" ht="28" x14ac:dyDescent="0.35">
      <c r="A321" s="16" t="s">
        <v>1181</v>
      </c>
      <c r="B321" s="17" t="s">
        <v>1182</v>
      </c>
      <c r="C321" s="17" t="s">
        <v>1183</v>
      </c>
      <c r="D321" s="16" t="s">
        <v>170</v>
      </c>
      <c r="E321" s="16" t="s">
        <v>180</v>
      </c>
      <c r="F321" s="16">
        <v>0.23719999999999999</v>
      </c>
      <c r="G321" s="16" t="s">
        <v>225</v>
      </c>
      <c r="H321" s="16" t="s">
        <v>1174</v>
      </c>
      <c r="I321" s="16" t="s">
        <v>170</v>
      </c>
    </row>
    <row r="322" spans="1:9" ht="28" x14ac:dyDescent="0.35">
      <c r="A322" s="16" t="s">
        <v>1184</v>
      </c>
      <c r="B322" s="17" t="s">
        <v>1182</v>
      </c>
      <c r="C322" s="17" t="s">
        <v>1183</v>
      </c>
      <c r="D322" s="16" t="s">
        <v>170</v>
      </c>
      <c r="E322" s="16" t="s">
        <v>180</v>
      </c>
      <c r="F322" s="16">
        <v>0.23719999999999999</v>
      </c>
      <c r="G322" s="16" t="s">
        <v>225</v>
      </c>
      <c r="H322" s="16" t="s">
        <v>1174</v>
      </c>
      <c r="I322" s="16" t="s">
        <v>170</v>
      </c>
    </row>
    <row r="323" spans="1:9" ht="28" x14ac:dyDescent="0.35">
      <c r="A323" s="16" t="s">
        <v>160</v>
      </c>
      <c r="B323" s="17" t="s">
        <v>159</v>
      </c>
      <c r="C323" s="17" t="s">
        <v>158</v>
      </c>
      <c r="D323" s="16" t="s">
        <v>116</v>
      </c>
      <c r="E323" s="16" t="s">
        <v>152</v>
      </c>
      <c r="F323" s="16">
        <v>0.6</v>
      </c>
      <c r="G323" s="16"/>
      <c r="H323" s="16"/>
      <c r="I323" s="16" t="s">
        <v>116</v>
      </c>
    </row>
    <row r="324" spans="1:9" ht="42" x14ac:dyDescent="0.35">
      <c r="A324" s="16" t="s">
        <v>1185</v>
      </c>
      <c r="B324" s="17" t="s">
        <v>1186</v>
      </c>
      <c r="C324" s="17" t="s">
        <v>1187</v>
      </c>
      <c r="D324" s="16"/>
      <c r="E324" s="16"/>
      <c r="F324" s="16"/>
      <c r="G324" s="16"/>
      <c r="H324" s="16"/>
      <c r="I324" s="16" t="s">
        <v>372</v>
      </c>
    </row>
    <row r="325" spans="1:9" ht="28" x14ac:dyDescent="0.35">
      <c r="A325" s="16" t="s">
        <v>1188</v>
      </c>
      <c r="B325" s="17" t="s">
        <v>1189</v>
      </c>
      <c r="C325" s="17" t="s">
        <v>1190</v>
      </c>
      <c r="D325" s="16" t="s">
        <v>170</v>
      </c>
      <c r="E325" s="16" t="s">
        <v>225</v>
      </c>
      <c r="F325" s="16">
        <v>0.26250000000000001</v>
      </c>
      <c r="G325" s="16" t="s">
        <v>179</v>
      </c>
      <c r="H325" s="16" t="s">
        <v>1191</v>
      </c>
      <c r="I325" s="16" t="s">
        <v>170</v>
      </c>
    </row>
    <row r="326" spans="1:9" ht="28" x14ac:dyDescent="0.35">
      <c r="A326" s="16" t="s">
        <v>1192</v>
      </c>
      <c r="B326" s="17" t="s">
        <v>1189</v>
      </c>
      <c r="C326" s="17" t="s">
        <v>1190</v>
      </c>
      <c r="D326" s="16" t="s">
        <v>170</v>
      </c>
      <c r="E326" s="16" t="s">
        <v>225</v>
      </c>
      <c r="F326" s="16">
        <v>0.26250000000000001</v>
      </c>
      <c r="G326" s="16" t="s">
        <v>179</v>
      </c>
      <c r="H326" s="16" t="s">
        <v>1191</v>
      </c>
      <c r="I326" s="16" t="s">
        <v>170</v>
      </c>
    </row>
    <row r="327" spans="1:9" x14ac:dyDescent="0.35">
      <c r="A327" s="16" t="s">
        <v>1193</v>
      </c>
      <c r="B327" s="17" t="s">
        <v>1194</v>
      </c>
      <c r="C327" s="17" t="s">
        <v>337</v>
      </c>
      <c r="D327" s="16" t="s">
        <v>170</v>
      </c>
      <c r="E327" s="16" t="s">
        <v>334</v>
      </c>
      <c r="F327" s="16">
        <v>0.4244</v>
      </c>
      <c r="G327" s="16" t="s">
        <v>84</v>
      </c>
      <c r="H327" s="16" t="s">
        <v>339</v>
      </c>
      <c r="I327" s="16" t="s">
        <v>170</v>
      </c>
    </row>
    <row r="328" spans="1:9" x14ac:dyDescent="0.35">
      <c r="A328" s="16" t="s">
        <v>1195</v>
      </c>
      <c r="B328" s="17" t="s">
        <v>1194</v>
      </c>
      <c r="C328" s="17" t="s">
        <v>337</v>
      </c>
      <c r="D328" s="16" t="s">
        <v>170</v>
      </c>
      <c r="E328" s="16" t="s">
        <v>334</v>
      </c>
      <c r="F328" s="16">
        <v>0.4244</v>
      </c>
      <c r="G328" s="16" t="s">
        <v>84</v>
      </c>
      <c r="H328" s="16" t="s">
        <v>339</v>
      </c>
      <c r="I328" s="16" t="s">
        <v>170</v>
      </c>
    </row>
    <row r="329" spans="1:9" ht="42" x14ac:dyDescent="0.35">
      <c r="A329" s="16" t="s">
        <v>226</v>
      </c>
      <c r="B329" s="17" t="s">
        <v>223</v>
      </c>
      <c r="C329" s="17" t="s">
        <v>222</v>
      </c>
      <c r="D329" s="16" t="s">
        <v>170</v>
      </c>
      <c r="E329" s="16" t="s">
        <v>225</v>
      </c>
      <c r="F329" s="16">
        <v>0.23680000000000001</v>
      </c>
      <c r="G329" s="16"/>
      <c r="H329" s="16"/>
      <c r="I329" s="16" t="s">
        <v>170</v>
      </c>
    </row>
    <row r="330" spans="1:9" x14ac:dyDescent="0.35">
      <c r="A330" s="16" t="s">
        <v>1196</v>
      </c>
      <c r="B330" s="17" t="s">
        <v>754</v>
      </c>
      <c r="C330" s="17" t="s">
        <v>754</v>
      </c>
      <c r="D330" s="16"/>
      <c r="E330" s="16"/>
      <c r="F330" s="16"/>
      <c r="G330" s="16"/>
      <c r="H330" s="16"/>
      <c r="I330" s="16" t="s">
        <v>372</v>
      </c>
    </row>
    <row r="331" spans="1:9" x14ac:dyDescent="0.35">
      <c r="A331" s="16" t="s">
        <v>1197</v>
      </c>
      <c r="B331" s="17" t="s">
        <v>1198</v>
      </c>
      <c r="C331" s="17" t="s">
        <v>1199</v>
      </c>
      <c r="D331" s="16" t="s">
        <v>170</v>
      </c>
      <c r="E331" s="16" t="s">
        <v>1200</v>
      </c>
      <c r="F331" s="16">
        <v>0.32829999999999998</v>
      </c>
      <c r="G331" s="16" t="s">
        <v>1201</v>
      </c>
      <c r="H331" s="16" t="s">
        <v>1202</v>
      </c>
      <c r="I331" s="16" t="s">
        <v>170</v>
      </c>
    </row>
    <row r="332" spans="1:9" x14ac:dyDescent="0.35">
      <c r="A332" s="16" t="s">
        <v>268</v>
      </c>
      <c r="B332" s="17" t="s">
        <v>263</v>
      </c>
      <c r="C332" s="17" t="s">
        <v>1203</v>
      </c>
      <c r="D332" s="16" t="s">
        <v>5</v>
      </c>
      <c r="E332" s="16" t="s">
        <v>986</v>
      </c>
      <c r="F332" s="16">
        <v>0.8</v>
      </c>
      <c r="G332" s="16" t="s">
        <v>265</v>
      </c>
      <c r="H332" s="16" t="s">
        <v>266</v>
      </c>
      <c r="I332" s="16" t="s">
        <v>5</v>
      </c>
    </row>
    <row r="333" spans="1:9" x14ac:dyDescent="0.35">
      <c r="A333" s="16" t="s">
        <v>1204</v>
      </c>
      <c r="B333" s="17" t="s">
        <v>1205</v>
      </c>
      <c r="C333" s="17" t="s">
        <v>1205</v>
      </c>
      <c r="D333" s="16" t="s">
        <v>170</v>
      </c>
      <c r="E333" s="16" t="s">
        <v>1206</v>
      </c>
      <c r="F333" s="16">
        <v>0.23480000000000001</v>
      </c>
      <c r="G333" s="16" t="s">
        <v>1207</v>
      </c>
      <c r="H333" s="16"/>
      <c r="I333" s="16" t="s">
        <v>170</v>
      </c>
    </row>
    <row r="334" spans="1:9" x14ac:dyDescent="0.35">
      <c r="A334" s="16" t="s">
        <v>1208</v>
      </c>
      <c r="B334" s="17" t="s">
        <v>1205</v>
      </c>
      <c r="C334" s="17" t="s">
        <v>1205</v>
      </c>
      <c r="D334" s="16" t="s">
        <v>170</v>
      </c>
      <c r="E334" s="16" t="s">
        <v>1206</v>
      </c>
      <c r="F334" s="16">
        <v>0.23480000000000001</v>
      </c>
      <c r="G334" s="16" t="s">
        <v>1207</v>
      </c>
      <c r="H334" s="16"/>
      <c r="I334" s="16" t="s">
        <v>170</v>
      </c>
    </row>
    <row r="335" spans="1:9" x14ac:dyDescent="0.35">
      <c r="A335" s="16" t="s">
        <v>1209</v>
      </c>
      <c r="B335" s="17" t="s">
        <v>1210</v>
      </c>
      <c r="C335" s="17" t="s">
        <v>1211</v>
      </c>
      <c r="D335" s="16" t="s">
        <v>170</v>
      </c>
      <c r="E335" s="16" t="s">
        <v>1212</v>
      </c>
      <c r="F335" s="16">
        <v>0.28949999999999998</v>
      </c>
      <c r="G335" s="16" t="s">
        <v>1213</v>
      </c>
      <c r="H335" s="16"/>
      <c r="I335" s="16" t="s">
        <v>170</v>
      </c>
    </row>
    <row r="336" spans="1:9" x14ac:dyDescent="0.35">
      <c r="A336" s="16" t="s">
        <v>1214</v>
      </c>
      <c r="B336" s="17" t="s">
        <v>754</v>
      </c>
      <c r="C336" s="17" t="s">
        <v>754</v>
      </c>
      <c r="D336" s="16"/>
      <c r="E336" s="16"/>
      <c r="F336" s="16"/>
      <c r="G336" s="16"/>
      <c r="H336" s="16"/>
      <c r="I336" s="16" t="s">
        <v>372</v>
      </c>
    </row>
    <row r="337" spans="1:9" x14ac:dyDescent="0.35">
      <c r="A337" s="16" t="s">
        <v>1215</v>
      </c>
      <c r="B337" s="17"/>
      <c r="C337" s="17"/>
      <c r="D337" s="16"/>
      <c r="E337" s="16"/>
      <c r="F337" s="16"/>
      <c r="G337" s="16"/>
      <c r="H337" s="16"/>
      <c r="I337" s="16" t="s">
        <v>414</v>
      </c>
    </row>
    <row r="338" spans="1:9" ht="28" x14ac:dyDescent="0.35">
      <c r="A338" s="16" t="s">
        <v>1216</v>
      </c>
      <c r="B338" s="17" t="s">
        <v>1189</v>
      </c>
      <c r="C338" s="17" t="s">
        <v>1190</v>
      </c>
      <c r="D338" s="16" t="s">
        <v>170</v>
      </c>
      <c r="E338" s="16" t="s">
        <v>225</v>
      </c>
      <c r="F338" s="16">
        <v>0.26250000000000001</v>
      </c>
      <c r="G338" s="16" t="s">
        <v>179</v>
      </c>
      <c r="H338" s="16" t="s">
        <v>1191</v>
      </c>
      <c r="I338" s="16" t="s">
        <v>170</v>
      </c>
    </row>
    <row r="339" spans="1:9" ht="28" x14ac:dyDescent="0.35">
      <c r="A339" s="16" t="s">
        <v>1217</v>
      </c>
      <c r="B339" s="17" t="s">
        <v>1218</v>
      </c>
      <c r="C339" s="17" t="s">
        <v>1218</v>
      </c>
      <c r="D339" s="16" t="s">
        <v>170</v>
      </c>
      <c r="E339" s="16" t="s">
        <v>225</v>
      </c>
      <c r="F339" s="16">
        <v>0.33239999999999997</v>
      </c>
      <c r="G339" s="16" t="s">
        <v>334</v>
      </c>
      <c r="H339" s="16" t="s">
        <v>1219</v>
      </c>
      <c r="I339" s="16" t="s">
        <v>170</v>
      </c>
    </row>
    <row r="340" spans="1:9" ht="28" x14ac:dyDescent="0.35">
      <c r="A340" s="16" t="s">
        <v>1220</v>
      </c>
      <c r="B340" s="17" t="s">
        <v>1218</v>
      </c>
      <c r="C340" s="17" t="s">
        <v>1218</v>
      </c>
      <c r="D340" s="16" t="s">
        <v>170</v>
      </c>
      <c r="E340" s="16" t="s">
        <v>225</v>
      </c>
      <c r="F340" s="16">
        <v>0.33239999999999997</v>
      </c>
      <c r="G340" s="16" t="s">
        <v>334</v>
      </c>
      <c r="H340" s="16" t="s">
        <v>1219</v>
      </c>
      <c r="I340" s="16" t="s">
        <v>170</v>
      </c>
    </row>
    <row r="341" spans="1:9" ht="28" x14ac:dyDescent="0.35">
      <c r="A341" s="16" t="s">
        <v>1221</v>
      </c>
      <c r="B341" s="17" t="s">
        <v>1218</v>
      </c>
      <c r="C341" s="17" t="s">
        <v>1218</v>
      </c>
      <c r="D341" s="16" t="s">
        <v>170</v>
      </c>
      <c r="E341" s="16" t="s">
        <v>225</v>
      </c>
      <c r="F341" s="16">
        <v>0.33239999999999997</v>
      </c>
      <c r="G341" s="16" t="s">
        <v>334</v>
      </c>
      <c r="H341" s="16" t="s">
        <v>1219</v>
      </c>
      <c r="I341" s="16" t="s">
        <v>170</v>
      </c>
    </row>
    <row r="342" spans="1:9" x14ac:dyDescent="0.35">
      <c r="A342" s="16" t="s">
        <v>1222</v>
      </c>
      <c r="B342" s="17" t="s">
        <v>1223</v>
      </c>
      <c r="C342" s="17" t="s">
        <v>178</v>
      </c>
      <c r="D342" s="16" t="s">
        <v>170</v>
      </c>
      <c r="E342" s="16" t="s">
        <v>1224</v>
      </c>
      <c r="F342" s="16">
        <v>0.4264</v>
      </c>
      <c r="G342" s="16" t="s">
        <v>1225</v>
      </c>
      <c r="H342" s="16" t="s">
        <v>1226</v>
      </c>
      <c r="I342" s="16" t="s">
        <v>170</v>
      </c>
    </row>
    <row r="343" spans="1:9" ht="28" x14ac:dyDescent="0.35">
      <c r="A343" s="16" t="s">
        <v>1227</v>
      </c>
      <c r="B343" s="17" t="s">
        <v>1228</v>
      </c>
      <c r="C343" s="17" t="s">
        <v>1228</v>
      </c>
      <c r="D343" s="16" t="s">
        <v>170</v>
      </c>
      <c r="E343" s="16" t="s">
        <v>334</v>
      </c>
      <c r="F343" s="16">
        <v>0.35299999999999998</v>
      </c>
      <c r="G343" s="16" t="s">
        <v>1072</v>
      </c>
      <c r="H343" s="16" t="s">
        <v>765</v>
      </c>
      <c r="I343" s="16" t="s">
        <v>170</v>
      </c>
    </row>
    <row r="344" spans="1:9" ht="42" x14ac:dyDescent="0.35">
      <c r="A344" s="16" t="s">
        <v>1229</v>
      </c>
      <c r="B344" s="17" t="s">
        <v>1230</v>
      </c>
      <c r="C344" s="17" t="s">
        <v>1230</v>
      </c>
      <c r="D344" s="16"/>
      <c r="E344" s="16"/>
      <c r="F344" s="16"/>
      <c r="G344" s="16"/>
      <c r="H344" s="16"/>
      <c r="I344" s="16" t="s">
        <v>372</v>
      </c>
    </row>
    <row r="345" spans="1:9" ht="28" x14ac:dyDescent="0.35">
      <c r="A345" s="16" t="s">
        <v>1231</v>
      </c>
      <c r="B345" s="17" t="s">
        <v>1228</v>
      </c>
      <c r="C345" s="17" t="s">
        <v>1228</v>
      </c>
      <c r="D345" s="16" t="s">
        <v>170</v>
      </c>
      <c r="E345" s="16" t="s">
        <v>334</v>
      </c>
      <c r="F345" s="16">
        <v>0.35299999999999998</v>
      </c>
      <c r="G345" s="16" t="s">
        <v>1072</v>
      </c>
      <c r="H345" s="16" t="s">
        <v>765</v>
      </c>
      <c r="I345" s="16" t="s">
        <v>170</v>
      </c>
    </row>
    <row r="346" spans="1:9" ht="28" x14ac:dyDescent="0.35">
      <c r="A346" s="16" t="s">
        <v>1232</v>
      </c>
      <c r="B346" s="17" t="s">
        <v>1228</v>
      </c>
      <c r="C346" s="17" t="s">
        <v>1228</v>
      </c>
      <c r="D346" s="16" t="s">
        <v>170</v>
      </c>
      <c r="E346" s="16" t="s">
        <v>334</v>
      </c>
      <c r="F346" s="16">
        <v>0.35299999999999998</v>
      </c>
      <c r="G346" s="16" t="s">
        <v>1072</v>
      </c>
      <c r="H346" s="16" t="s">
        <v>765</v>
      </c>
      <c r="I346" s="16" t="s">
        <v>170</v>
      </c>
    </row>
    <row r="347" spans="1:9" ht="28" x14ac:dyDescent="0.35">
      <c r="A347" s="16" t="s">
        <v>291</v>
      </c>
      <c r="B347" s="17" t="s">
        <v>286</v>
      </c>
      <c r="C347" s="17" t="s">
        <v>285</v>
      </c>
      <c r="D347" s="16" t="s">
        <v>170</v>
      </c>
      <c r="E347" s="16" t="s">
        <v>288</v>
      </c>
      <c r="F347" s="16">
        <v>0.32919999999999999</v>
      </c>
      <c r="G347" s="16" t="s">
        <v>289</v>
      </c>
      <c r="H347" s="16" t="s">
        <v>290</v>
      </c>
      <c r="I347" s="16" t="s">
        <v>170</v>
      </c>
    </row>
    <row r="348" spans="1:9" x14ac:dyDescent="0.35">
      <c r="A348" s="16" t="s">
        <v>1233</v>
      </c>
      <c r="B348" s="17" t="s">
        <v>1234</v>
      </c>
      <c r="C348" s="17" t="s">
        <v>1234</v>
      </c>
      <c r="D348" s="16" t="s">
        <v>22</v>
      </c>
      <c r="E348" s="16" t="s">
        <v>1005</v>
      </c>
      <c r="F348" s="16">
        <v>1</v>
      </c>
      <c r="G348" s="16"/>
      <c r="H348" s="16"/>
      <c r="I348" s="16" t="s">
        <v>22</v>
      </c>
    </row>
    <row r="349" spans="1:9" ht="28" x14ac:dyDescent="0.35">
      <c r="A349" s="16" t="s">
        <v>1235</v>
      </c>
      <c r="B349" s="17" t="s">
        <v>1236</v>
      </c>
      <c r="C349" s="17" t="s">
        <v>1237</v>
      </c>
      <c r="D349" s="16" t="s">
        <v>5</v>
      </c>
      <c r="E349" s="16" t="s">
        <v>1238</v>
      </c>
      <c r="F349" s="16">
        <v>0.8</v>
      </c>
      <c r="G349" s="16"/>
      <c r="H349" s="16"/>
      <c r="I349" s="16" t="s">
        <v>5</v>
      </c>
    </row>
    <row r="350" spans="1:9" ht="56" x14ac:dyDescent="0.35">
      <c r="A350" s="16" t="s">
        <v>1239</v>
      </c>
      <c r="B350" s="17" t="s">
        <v>1240</v>
      </c>
      <c r="C350" s="17" t="s">
        <v>1241</v>
      </c>
      <c r="D350" s="16"/>
      <c r="E350" s="16"/>
      <c r="F350" s="16"/>
      <c r="G350" s="16"/>
      <c r="H350" s="16"/>
      <c r="I350" s="16" t="s">
        <v>372</v>
      </c>
    </row>
    <row r="351" spans="1:9" x14ac:dyDescent="0.35">
      <c r="A351" s="16" t="s">
        <v>1242</v>
      </c>
      <c r="B351" s="17" t="s">
        <v>1243</v>
      </c>
      <c r="C351" s="17" t="s">
        <v>320</v>
      </c>
      <c r="D351" s="16" t="s">
        <v>22</v>
      </c>
      <c r="E351" s="16" t="s">
        <v>320</v>
      </c>
      <c r="F351" s="16">
        <v>1</v>
      </c>
      <c r="G351" s="16"/>
      <c r="H351" s="16"/>
      <c r="I351" s="16" t="s">
        <v>22</v>
      </c>
    </row>
    <row r="352" spans="1:9" x14ac:dyDescent="0.35">
      <c r="A352" s="16" t="s">
        <v>1244</v>
      </c>
      <c r="B352" s="17" t="s">
        <v>1245</v>
      </c>
      <c r="C352" s="17" t="s">
        <v>320</v>
      </c>
      <c r="D352" s="16" t="s">
        <v>22</v>
      </c>
      <c r="E352" s="16" t="s">
        <v>320</v>
      </c>
      <c r="F352" s="16">
        <v>1</v>
      </c>
      <c r="G352" s="16"/>
      <c r="H352" s="16"/>
      <c r="I352" s="16" t="s">
        <v>22</v>
      </c>
    </row>
    <row r="353" spans="1:9" x14ac:dyDescent="0.35">
      <c r="A353" s="16" t="s">
        <v>1246</v>
      </c>
      <c r="B353" s="17" t="s">
        <v>1247</v>
      </c>
      <c r="C353" s="17" t="s">
        <v>1248</v>
      </c>
      <c r="D353" s="16" t="s">
        <v>170</v>
      </c>
      <c r="E353" s="16" t="s">
        <v>1249</v>
      </c>
      <c r="F353" s="16">
        <v>0.37069999999999997</v>
      </c>
      <c r="G353" s="16" t="s">
        <v>1250</v>
      </c>
      <c r="H353" s="16"/>
      <c r="I353" s="16" t="s">
        <v>170</v>
      </c>
    </row>
    <row r="354" spans="1:9" x14ac:dyDescent="0.35">
      <c r="A354" s="16" t="s">
        <v>1251</v>
      </c>
      <c r="B354" s="17" t="s">
        <v>319</v>
      </c>
      <c r="C354" s="17" t="s">
        <v>307</v>
      </c>
      <c r="D354" s="16" t="s">
        <v>170</v>
      </c>
      <c r="E354" s="16" t="s">
        <v>320</v>
      </c>
      <c r="F354" s="16">
        <v>0.45400000000000001</v>
      </c>
      <c r="G354" s="16" t="s">
        <v>309</v>
      </c>
      <c r="H354" s="16" t="s">
        <v>60</v>
      </c>
      <c r="I354" s="16" t="s">
        <v>170</v>
      </c>
    </row>
    <row r="355" spans="1:9" x14ac:dyDescent="0.35">
      <c r="A355" s="16" t="s">
        <v>1252</v>
      </c>
      <c r="B355" s="17" t="s">
        <v>1245</v>
      </c>
      <c r="C355" s="17" t="s">
        <v>320</v>
      </c>
      <c r="D355" s="16" t="s">
        <v>22</v>
      </c>
      <c r="E355" s="16" t="s">
        <v>320</v>
      </c>
      <c r="F355" s="16">
        <v>1</v>
      </c>
      <c r="G355" s="16"/>
      <c r="H355" s="16"/>
      <c r="I355" s="16" t="s">
        <v>22</v>
      </c>
    </row>
    <row r="356" spans="1:9" x14ac:dyDescent="0.35">
      <c r="A356" s="16" t="s">
        <v>1253</v>
      </c>
      <c r="B356" s="17" t="s">
        <v>1254</v>
      </c>
      <c r="C356" s="17" t="s">
        <v>1255</v>
      </c>
      <c r="D356" s="16" t="s">
        <v>170</v>
      </c>
      <c r="E356" s="16" t="s">
        <v>1256</v>
      </c>
      <c r="F356" s="16">
        <v>0.45760000000000001</v>
      </c>
      <c r="G356" s="16" t="s">
        <v>1257</v>
      </c>
      <c r="H356" s="16" t="s">
        <v>1258</v>
      </c>
      <c r="I356" s="16" t="s">
        <v>170</v>
      </c>
    </row>
    <row r="357" spans="1:9" x14ac:dyDescent="0.35">
      <c r="A357" s="16" t="s">
        <v>1259</v>
      </c>
      <c r="B357" s="17" t="s">
        <v>1260</v>
      </c>
      <c r="C357" s="17" t="s">
        <v>1261</v>
      </c>
      <c r="D357" s="16" t="s">
        <v>170</v>
      </c>
      <c r="E357" s="16" t="s">
        <v>1262</v>
      </c>
      <c r="F357" s="16">
        <v>0.32419999999999999</v>
      </c>
      <c r="G357" s="16" t="s">
        <v>1263</v>
      </c>
      <c r="H357" s="16" t="s">
        <v>1264</v>
      </c>
      <c r="I357" s="16" t="s">
        <v>170</v>
      </c>
    </row>
    <row r="358" spans="1:9" ht="28" x14ac:dyDescent="0.35">
      <c r="A358" s="16" t="s">
        <v>1265</v>
      </c>
      <c r="B358" s="17" t="s">
        <v>1266</v>
      </c>
      <c r="C358" s="17" t="s">
        <v>1267</v>
      </c>
      <c r="D358" s="16" t="s">
        <v>170</v>
      </c>
      <c r="E358" s="16" t="s">
        <v>1268</v>
      </c>
      <c r="F358" s="16">
        <v>0.30819999999999997</v>
      </c>
      <c r="G358" s="16" t="s">
        <v>1269</v>
      </c>
      <c r="H358" s="16" t="s">
        <v>1270</v>
      </c>
      <c r="I358" s="16" t="s">
        <v>170</v>
      </c>
    </row>
    <row r="359" spans="1:9" x14ac:dyDescent="0.35">
      <c r="A359" s="16" t="s">
        <v>1271</v>
      </c>
      <c r="B359" s="17"/>
      <c r="C359" s="17"/>
      <c r="D359" s="16"/>
      <c r="E359" s="16"/>
      <c r="F359" s="16"/>
      <c r="G359" s="16"/>
      <c r="H359" s="16"/>
      <c r="I359" s="16" t="s">
        <v>414</v>
      </c>
    </row>
    <row r="360" spans="1:9" x14ac:dyDescent="0.35">
      <c r="A360" s="16" t="s">
        <v>1272</v>
      </c>
      <c r="B360" s="17" t="s">
        <v>23</v>
      </c>
      <c r="C360" s="17" t="s">
        <v>23</v>
      </c>
      <c r="D360" s="16" t="s">
        <v>22</v>
      </c>
      <c r="E360" s="16" t="s">
        <v>23</v>
      </c>
      <c r="F360" s="16">
        <v>0.8</v>
      </c>
      <c r="G360" s="16" t="s">
        <v>25</v>
      </c>
      <c r="H360" s="16"/>
      <c r="I360" s="16" t="s">
        <v>22</v>
      </c>
    </row>
    <row r="361" spans="1:9" x14ac:dyDescent="0.35">
      <c r="A361" s="16" t="s">
        <v>1273</v>
      </c>
      <c r="B361" s="17" t="s">
        <v>1274</v>
      </c>
      <c r="C361" s="17" t="s">
        <v>178</v>
      </c>
      <c r="D361" s="16" t="s">
        <v>170</v>
      </c>
      <c r="E361" s="16" t="s">
        <v>1224</v>
      </c>
      <c r="F361" s="16">
        <v>0.4264</v>
      </c>
      <c r="G361" s="16" t="s">
        <v>1225</v>
      </c>
      <c r="H361" s="16" t="s">
        <v>1226</v>
      </c>
      <c r="I361" s="16" t="s">
        <v>170</v>
      </c>
    </row>
    <row r="362" spans="1:9" ht="28" x14ac:dyDescent="0.35">
      <c r="A362" s="16" t="s">
        <v>1275</v>
      </c>
      <c r="B362" s="17" t="s">
        <v>1276</v>
      </c>
      <c r="C362" s="17" t="s">
        <v>1277</v>
      </c>
      <c r="D362" s="16" t="s">
        <v>170</v>
      </c>
      <c r="E362" s="16" t="s">
        <v>1278</v>
      </c>
      <c r="F362" s="16">
        <v>0.21199999999999999</v>
      </c>
      <c r="G362" s="16" t="s">
        <v>800</v>
      </c>
      <c r="H362" s="16"/>
      <c r="I362" s="16" t="s">
        <v>170</v>
      </c>
    </row>
    <row r="363" spans="1:9" ht="42" x14ac:dyDescent="0.35">
      <c r="A363" s="16" t="s">
        <v>1279</v>
      </c>
      <c r="B363" s="17" t="s">
        <v>1280</v>
      </c>
      <c r="C363" s="17" t="s">
        <v>1280</v>
      </c>
      <c r="D363" s="16"/>
      <c r="E363" s="16"/>
      <c r="F363" s="16"/>
      <c r="G363" s="16"/>
      <c r="H363" s="16"/>
      <c r="I363" s="16" t="s">
        <v>372</v>
      </c>
    </row>
    <row r="364" spans="1:9" ht="28" x14ac:dyDescent="0.35">
      <c r="A364" s="16" t="s">
        <v>1281</v>
      </c>
      <c r="B364" s="17" t="s">
        <v>1282</v>
      </c>
      <c r="C364" s="17" t="s">
        <v>1282</v>
      </c>
      <c r="D364" s="16" t="s">
        <v>170</v>
      </c>
      <c r="E364" s="16" t="s">
        <v>1283</v>
      </c>
      <c r="F364" s="16">
        <v>0.2097</v>
      </c>
      <c r="G364" s="16"/>
      <c r="H364" s="16"/>
      <c r="I364" s="16" t="s">
        <v>170</v>
      </c>
    </row>
    <row r="365" spans="1:9" x14ac:dyDescent="0.35">
      <c r="A365" s="16" t="s">
        <v>1284</v>
      </c>
      <c r="B365" s="17" t="s">
        <v>1285</v>
      </c>
      <c r="C365" s="17" t="s">
        <v>1285</v>
      </c>
      <c r="D365" s="16" t="s">
        <v>170</v>
      </c>
      <c r="E365" s="16" t="s">
        <v>1286</v>
      </c>
      <c r="F365" s="16">
        <v>0.26290000000000002</v>
      </c>
      <c r="G365" s="16" t="s">
        <v>1287</v>
      </c>
      <c r="H365" s="16" t="s">
        <v>1288</v>
      </c>
      <c r="I365" s="16" t="s">
        <v>170</v>
      </c>
    </row>
    <row r="366" spans="1:9" x14ac:dyDescent="0.35">
      <c r="A366" s="16" t="s">
        <v>1289</v>
      </c>
      <c r="B366" s="17" t="s">
        <v>1290</v>
      </c>
      <c r="C366" s="17" t="s">
        <v>1285</v>
      </c>
      <c r="D366" s="16" t="s">
        <v>170</v>
      </c>
      <c r="E366" s="16" t="s">
        <v>1286</v>
      </c>
      <c r="F366" s="16">
        <v>0.26290000000000002</v>
      </c>
      <c r="G366" s="16" t="s">
        <v>1287</v>
      </c>
      <c r="H366" s="16" t="s">
        <v>1288</v>
      </c>
      <c r="I366" s="16" t="s">
        <v>170</v>
      </c>
    </row>
    <row r="367" spans="1:9" ht="28" x14ac:dyDescent="0.35">
      <c r="A367" s="16" t="s">
        <v>114</v>
      </c>
      <c r="B367" s="17" t="s">
        <v>113</v>
      </c>
      <c r="C367" s="17" t="s">
        <v>1291</v>
      </c>
      <c r="D367" s="16" t="s">
        <v>22</v>
      </c>
      <c r="E367" s="16" t="s">
        <v>986</v>
      </c>
      <c r="F367" s="16">
        <v>1</v>
      </c>
      <c r="G367" s="16" t="s">
        <v>61</v>
      </c>
      <c r="H367" s="16"/>
      <c r="I367" s="16" t="s">
        <v>22</v>
      </c>
    </row>
    <row r="368" spans="1:9" ht="28" x14ac:dyDescent="0.35">
      <c r="A368" s="16" t="s">
        <v>1292</v>
      </c>
      <c r="B368" s="17" t="s">
        <v>1293</v>
      </c>
      <c r="C368" s="17" t="s">
        <v>1294</v>
      </c>
      <c r="D368" s="16" t="s">
        <v>170</v>
      </c>
      <c r="E368" s="16" t="s">
        <v>1295</v>
      </c>
      <c r="F368" s="16">
        <v>0.24560000000000001</v>
      </c>
      <c r="G368" s="16" t="s">
        <v>1296</v>
      </c>
      <c r="H368" s="16" t="s">
        <v>1297</v>
      </c>
      <c r="I368" s="16" t="s">
        <v>170</v>
      </c>
    </row>
    <row r="369" spans="1:9" x14ac:dyDescent="0.35">
      <c r="A369" s="16" t="s">
        <v>1298</v>
      </c>
      <c r="B369" s="17" t="s">
        <v>1299</v>
      </c>
      <c r="C369" s="17" t="s">
        <v>1300</v>
      </c>
      <c r="D369" s="16" t="s">
        <v>170</v>
      </c>
      <c r="E369" s="16" t="s">
        <v>1295</v>
      </c>
      <c r="F369" s="16">
        <v>0.2286</v>
      </c>
      <c r="G369" s="16"/>
      <c r="H369" s="16"/>
      <c r="I369" s="16" t="s">
        <v>170</v>
      </c>
    </row>
    <row r="370" spans="1:9" ht="28" x14ac:dyDescent="0.35">
      <c r="A370" s="16" t="s">
        <v>1301</v>
      </c>
      <c r="B370" s="17" t="s">
        <v>1302</v>
      </c>
      <c r="C370" s="17" t="s">
        <v>1303</v>
      </c>
      <c r="D370" s="16" t="s">
        <v>170</v>
      </c>
      <c r="E370" s="16" t="s">
        <v>1304</v>
      </c>
      <c r="F370" s="16">
        <v>0.20269999999999999</v>
      </c>
      <c r="G370" s="16" t="s">
        <v>1295</v>
      </c>
      <c r="H370" s="16"/>
      <c r="I370" s="16" t="s">
        <v>170</v>
      </c>
    </row>
    <row r="371" spans="1:9" x14ac:dyDescent="0.35">
      <c r="A371" s="16" t="s">
        <v>1305</v>
      </c>
      <c r="B371" s="17" t="s">
        <v>1306</v>
      </c>
      <c r="C371" s="17" t="s">
        <v>1306</v>
      </c>
      <c r="D371" s="16"/>
      <c r="E371" s="16"/>
      <c r="F371" s="16"/>
      <c r="G371" s="16"/>
      <c r="H371" s="16"/>
      <c r="I371" s="16" t="s">
        <v>372</v>
      </c>
    </row>
    <row r="372" spans="1:9" x14ac:dyDescent="0.35">
      <c r="A372" s="16" t="s">
        <v>1307</v>
      </c>
      <c r="B372" s="17" t="s">
        <v>1308</v>
      </c>
      <c r="C372" s="17" t="s">
        <v>1309</v>
      </c>
      <c r="D372" s="16" t="s">
        <v>170</v>
      </c>
      <c r="E372" s="16" t="s">
        <v>1310</v>
      </c>
      <c r="F372" s="16">
        <v>0.2465</v>
      </c>
      <c r="G372" s="16" t="s">
        <v>1311</v>
      </c>
      <c r="H372" s="16"/>
      <c r="I372" s="16" t="s">
        <v>170</v>
      </c>
    </row>
    <row r="373" spans="1:9" ht="28" x14ac:dyDescent="0.35">
      <c r="A373" s="16" t="s">
        <v>207</v>
      </c>
      <c r="B373" s="17" t="s">
        <v>206</v>
      </c>
      <c r="C373" s="17" t="s">
        <v>205</v>
      </c>
      <c r="D373" s="16" t="s">
        <v>170</v>
      </c>
      <c r="E373" s="16" t="s">
        <v>193</v>
      </c>
      <c r="F373" s="16">
        <v>0.2452</v>
      </c>
      <c r="G373" s="16"/>
      <c r="H373" s="16"/>
      <c r="I373" s="16" t="s">
        <v>170</v>
      </c>
    </row>
    <row r="374" spans="1:9" ht="28" x14ac:dyDescent="0.35">
      <c r="A374" s="16" t="s">
        <v>1312</v>
      </c>
      <c r="B374" s="17" t="s">
        <v>1313</v>
      </c>
      <c r="C374" s="17" t="s">
        <v>1314</v>
      </c>
      <c r="D374" s="16"/>
      <c r="E374" s="16"/>
      <c r="F374" s="16"/>
      <c r="G374" s="16"/>
      <c r="H374" s="16"/>
      <c r="I374" s="16" t="s">
        <v>372</v>
      </c>
    </row>
    <row r="375" spans="1:9" x14ac:dyDescent="0.35">
      <c r="A375" s="16" t="s">
        <v>1315</v>
      </c>
      <c r="B375" s="17" t="s">
        <v>1316</v>
      </c>
      <c r="C375" s="17" t="s">
        <v>1316</v>
      </c>
      <c r="D375" s="16" t="s">
        <v>170</v>
      </c>
      <c r="E375" s="16" t="s">
        <v>1270</v>
      </c>
      <c r="F375" s="16">
        <v>0.34010000000000001</v>
      </c>
      <c r="G375" s="16" t="s">
        <v>1317</v>
      </c>
      <c r="H375" s="16" t="s">
        <v>1318</v>
      </c>
      <c r="I375" s="16" t="s">
        <v>170</v>
      </c>
    </row>
    <row r="376" spans="1:9" x14ac:dyDescent="0.35">
      <c r="A376" s="16" t="s">
        <v>1319</v>
      </c>
      <c r="B376" s="17" t="s">
        <v>1180</v>
      </c>
      <c r="C376" s="17" t="s">
        <v>1180</v>
      </c>
      <c r="D376" s="16" t="s">
        <v>170</v>
      </c>
      <c r="E376" s="16" t="s">
        <v>225</v>
      </c>
      <c r="F376" s="16">
        <v>0.46379999999999999</v>
      </c>
      <c r="G376" s="16" t="s">
        <v>334</v>
      </c>
      <c r="H376" s="16" t="s">
        <v>1045</v>
      </c>
      <c r="I376" s="16" t="s">
        <v>170</v>
      </c>
    </row>
    <row r="377" spans="1:9" ht="28" x14ac:dyDescent="0.35">
      <c r="A377" s="16" t="s">
        <v>195</v>
      </c>
      <c r="B377" s="17" t="s">
        <v>191</v>
      </c>
      <c r="C377" s="17" t="s">
        <v>190</v>
      </c>
      <c r="D377" s="16" t="s">
        <v>170</v>
      </c>
      <c r="E377" s="16" t="s">
        <v>193</v>
      </c>
      <c r="F377" s="16">
        <v>0.26750000000000002</v>
      </c>
      <c r="G377" s="16" t="s">
        <v>194</v>
      </c>
      <c r="H377" s="16"/>
      <c r="I377" s="16" t="s">
        <v>170</v>
      </c>
    </row>
    <row r="378" spans="1:9" ht="28" x14ac:dyDescent="0.35">
      <c r="A378" s="16" t="s">
        <v>1320</v>
      </c>
      <c r="B378" s="17" t="s">
        <v>1321</v>
      </c>
      <c r="C378" s="17" t="s">
        <v>1321</v>
      </c>
      <c r="D378" s="16" t="s">
        <v>5</v>
      </c>
      <c r="E378" s="16" t="s">
        <v>1322</v>
      </c>
      <c r="F378" s="16">
        <v>0.8</v>
      </c>
      <c r="G378" s="16"/>
      <c r="H378" s="16"/>
      <c r="I378" s="16" t="s">
        <v>5</v>
      </c>
    </row>
    <row r="379" spans="1:9" ht="56" x14ac:dyDescent="0.35">
      <c r="A379" s="16" t="s">
        <v>1323</v>
      </c>
      <c r="B379" s="17" t="s">
        <v>1324</v>
      </c>
      <c r="C379" s="17" t="s">
        <v>1325</v>
      </c>
      <c r="D379" s="16" t="s">
        <v>170</v>
      </c>
      <c r="E379" s="16" t="s">
        <v>225</v>
      </c>
      <c r="F379" s="16">
        <v>0.2301</v>
      </c>
      <c r="G379" s="16" t="s">
        <v>1045</v>
      </c>
      <c r="H379" s="16"/>
      <c r="I379" s="16" t="s">
        <v>170</v>
      </c>
    </row>
    <row r="380" spans="1:9" x14ac:dyDescent="0.35">
      <c r="A380" s="16" t="s">
        <v>1326</v>
      </c>
      <c r="B380" s="17" t="s">
        <v>1327</v>
      </c>
      <c r="C380" s="17" t="s">
        <v>100</v>
      </c>
      <c r="D380" s="16" t="s">
        <v>22</v>
      </c>
      <c r="E380" s="16" t="s">
        <v>100</v>
      </c>
      <c r="F380" s="16">
        <v>1</v>
      </c>
      <c r="G380" s="16"/>
      <c r="H380" s="16"/>
      <c r="I380" s="16" t="s">
        <v>22</v>
      </c>
    </row>
    <row r="381" spans="1:9" ht="112" x14ac:dyDescent="0.35">
      <c r="A381" s="16" t="s">
        <v>1328</v>
      </c>
      <c r="B381" s="17" t="s">
        <v>1329</v>
      </c>
      <c r="C381" s="17" t="s">
        <v>1330</v>
      </c>
      <c r="D381" s="16"/>
      <c r="E381" s="16"/>
      <c r="F381" s="16"/>
      <c r="G381" s="16"/>
      <c r="H381" s="16"/>
      <c r="I381" s="16" t="s">
        <v>372</v>
      </c>
    </row>
    <row r="382" spans="1:9" x14ac:dyDescent="0.35">
      <c r="A382" s="16" t="s">
        <v>1331</v>
      </c>
      <c r="B382" s="17"/>
      <c r="C382" s="17"/>
      <c r="D382" s="16"/>
      <c r="E382" s="16"/>
      <c r="F382" s="16"/>
      <c r="G382" s="16"/>
      <c r="H382" s="16"/>
      <c r="I382" s="16" t="s">
        <v>414</v>
      </c>
    </row>
    <row r="383" spans="1:9" x14ac:dyDescent="0.35">
      <c r="A383" s="16" t="s">
        <v>1332</v>
      </c>
      <c r="B383" s="17"/>
      <c r="C383" s="17"/>
      <c r="D383" s="16"/>
      <c r="E383" s="16"/>
      <c r="F383" s="16"/>
      <c r="G383" s="16"/>
      <c r="H383" s="16"/>
      <c r="I383" s="16" t="s">
        <v>414</v>
      </c>
    </row>
    <row r="384" spans="1:9" ht="42" x14ac:dyDescent="0.35">
      <c r="A384" s="16" t="s">
        <v>374</v>
      </c>
      <c r="B384" s="17" t="s">
        <v>371</v>
      </c>
      <c r="C384" s="17" t="s">
        <v>1333</v>
      </c>
      <c r="D384" s="16"/>
      <c r="E384" s="16"/>
      <c r="F384" s="16"/>
      <c r="G384" s="16"/>
      <c r="H384" s="16"/>
      <c r="I384" s="16" t="s">
        <v>372</v>
      </c>
    </row>
    <row r="385" spans="1:9" x14ac:dyDescent="0.35">
      <c r="A385" s="16" t="s">
        <v>1334</v>
      </c>
      <c r="B385" s="17"/>
      <c r="C385" s="17"/>
      <c r="D385" s="16"/>
      <c r="E385" s="16"/>
      <c r="F385" s="16"/>
      <c r="G385" s="16"/>
      <c r="H385" s="16"/>
      <c r="I385" s="16" t="s">
        <v>414</v>
      </c>
    </row>
    <row r="386" spans="1:9" x14ac:dyDescent="0.35">
      <c r="A386" s="16" t="s">
        <v>1335</v>
      </c>
      <c r="B386" s="17"/>
      <c r="C386" s="17"/>
      <c r="D386" s="16"/>
      <c r="E386" s="16"/>
      <c r="F386" s="16"/>
      <c r="G386" s="16"/>
      <c r="H386" s="16"/>
      <c r="I386" s="16" t="s">
        <v>414</v>
      </c>
    </row>
    <row r="387" spans="1:9" ht="28" x14ac:dyDescent="0.35">
      <c r="A387" s="16" t="s">
        <v>1336</v>
      </c>
      <c r="B387" s="17" t="s">
        <v>1337</v>
      </c>
      <c r="C387" s="17" t="s">
        <v>1338</v>
      </c>
      <c r="D387" s="16" t="s">
        <v>170</v>
      </c>
      <c r="E387" s="16" t="s">
        <v>225</v>
      </c>
      <c r="F387" s="16">
        <v>0.36070000000000002</v>
      </c>
      <c r="G387" s="16" t="s">
        <v>1339</v>
      </c>
      <c r="H387" s="16" t="s">
        <v>1045</v>
      </c>
      <c r="I387" s="16" t="s">
        <v>170</v>
      </c>
    </row>
    <row r="388" spans="1:9" x14ac:dyDescent="0.35">
      <c r="A388" s="16" t="s">
        <v>1340</v>
      </c>
      <c r="B388" s="17" t="s">
        <v>1341</v>
      </c>
      <c r="C388" s="17" t="s">
        <v>1342</v>
      </c>
      <c r="D388" s="16" t="s">
        <v>22</v>
      </c>
      <c r="E388" s="16" t="s">
        <v>986</v>
      </c>
      <c r="F388" s="16">
        <v>1</v>
      </c>
      <c r="G388" s="16"/>
      <c r="H388" s="16"/>
      <c r="I388" s="16" t="s">
        <v>22</v>
      </c>
    </row>
    <row r="389" spans="1:9" x14ac:dyDescent="0.35">
      <c r="A389" s="16" t="s">
        <v>1343</v>
      </c>
      <c r="B389" s="17" t="s">
        <v>1344</v>
      </c>
      <c r="C389" s="17" t="s">
        <v>1345</v>
      </c>
      <c r="D389" s="16" t="s">
        <v>170</v>
      </c>
      <c r="E389" s="16" t="s">
        <v>488</v>
      </c>
      <c r="F389" s="16">
        <v>0.3594</v>
      </c>
      <c r="G389" s="16" t="s">
        <v>489</v>
      </c>
      <c r="H389" s="16"/>
      <c r="I389" s="16" t="s">
        <v>170</v>
      </c>
    </row>
    <row r="390" spans="1:9" ht="42" x14ac:dyDescent="0.35">
      <c r="A390" s="16" t="s">
        <v>1346</v>
      </c>
      <c r="B390" s="17" t="s">
        <v>1347</v>
      </c>
      <c r="C390" s="17" t="s">
        <v>1347</v>
      </c>
      <c r="D390" s="16"/>
      <c r="E390" s="16"/>
      <c r="F390" s="16"/>
      <c r="G390" s="16"/>
      <c r="H390" s="16"/>
      <c r="I390" s="16" t="s">
        <v>372</v>
      </c>
    </row>
    <row r="391" spans="1:9" x14ac:dyDescent="0.35">
      <c r="A391" s="16" t="s">
        <v>260</v>
      </c>
      <c r="B391" s="17" t="s">
        <v>257</v>
      </c>
      <c r="C391" s="17" t="s">
        <v>256</v>
      </c>
      <c r="D391" s="16" t="s">
        <v>170</v>
      </c>
      <c r="E391" s="16" t="s">
        <v>258</v>
      </c>
      <c r="F391" s="16">
        <v>0.38440000000000002</v>
      </c>
      <c r="G391" s="16" t="s">
        <v>259</v>
      </c>
      <c r="H391" s="16"/>
      <c r="I391" s="16" t="s">
        <v>170</v>
      </c>
    </row>
    <row r="392" spans="1:9" x14ac:dyDescent="0.35">
      <c r="A392" s="16" t="s">
        <v>92</v>
      </c>
      <c r="B392" s="17" t="s">
        <v>89</v>
      </c>
      <c r="C392" s="17" t="s">
        <v>88</v>
      </c>
      <c r="D392" s="16" t="s">
        <v>5</v>
      </c>
      <c r="E392" s="16" t="s">
        <v>91</v>
      </c>
      <c r="F392" s="16">
        <v>0.8</v>
      </c>
      <c r="G392" s="16"/>
      <c r="H392" s="16"/>
      <c r="I392" s="16" t="s">
        <v>5</v>
      </c>
    </row>
    <row r="393" spans="1:9" ht="28" x14ac:dyDescent="0.35">
      <c r="A393" s="16" t="s">
        <v>1348</v>
      </c>
      <c r="B393" s="17" t="s">
        <v>1349</v>
      </c>
      <c r="C393" s="17" t="s">
        <v>1349</v>
      </c>
      <c r="D393" s="16"/>
      <c r="E393" s="16"/>
      <c r="F393" s="16"/>
      <c r="G393" s="16"/>
      <c r="H393" s="16"/>
      <c r="I393" s="16" t="s">
        <v>372</v>
      </c>
    </row>
    <row r="394" spans="1:9" x14ac:dyDescent="0.35">
      <c r="A394" s="16" t="s">
        <v>110</v>
      </c>
      <c r="B394" s="17" t="s">
        <v>108</v>
      </c>
      <c r="C394" s="17" t="s">
        <v>107</v>
      </c>
      <c r="D394" s="16" t="s">
        <v>5</v>
      </c>
      <c r="E394" s="16" t="s">
        <v>109</v>
      </c>
      <c r="F394" s="16">
        <v>0.8</v>
      </c>
      <c r="G394" s="16"/>
      <c r="H394" s="16"/>
      <c r="I394" s="16" t="s">
        <v>5</v>
      </c>
    </row>
    <row r="395" spans="1:9" x14ac:dyDescent="0.35">
      <c r="A395" s="16" t="s">
        <v>423</v>
      </c>
      <c r="B395" s="17"/>
      <c r="C395" s="17"/>
      <c r="D395" s="16"/>
      <c r="E395" s="16"/>
      <c r="F395" s="16"/>
      <c r="G395" s="16"/>
      <c r="H395" s="16"/>
      <c r="I395" s="16" t="s">
        <v>414</v>
      </c>
    </row>
    <row r="396" spans="1:9" x14ac:dyDescent="0.35">
      <c r="A396" s="16" t="s">
        <v>1350</v>
      </c>
      <c r="B396" s="17" t="s">
        <v>1351</v>
      </c>
      <c r="C396" s="17"/>
      <c r="D396" s="16"/>
      <c r="E396" s="16"/>
      <c r="F396" s="16"/>
      <c r="G396" s="16"/>
      <c r="H396" s="16"/>
      <c r="I396" s="16" t="s">
        <v>372</v>
      </c>
    </row>
    <row r="397" spans="1:9" ht="42" x14ac:dyDescent="0.35">
      <c r="A397" s="16" t="s">
        <v>254</v>
      </c>
      <c r="B397" s="17" t="s">
        <v>249</v>
      </c>
      <c r="C397" s="17" t="s">
        <v>1352</v>
      </c>
      <c r="D397" s="16" t="s">
        <v>5</v>
      </c>
      <c r="E397" s="16" t="s">
        <v>100</v>
      </c>
      <c r="F397" s="16">
        <v>0.8</v>
      </c>
      <c r="G397" s="16" t="s">
        <v>251</v>
      </c>
      <c r="H397" s="16" t="s">
        <v>252</v>
      </c>
      <c r="I397" s="16" t="s">
        <v>5</v>
      </c>
    </row>
  </sheetData>
  <autoFilter ref="A1:I397" xr:uid="{00000000-0009-0000-0000-000003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Validate</vt:lpstr>
      <vt:lpstr>Summary</vt:lpstr>
      <vt:lpstr>Norms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Tiago Silva</cp:lastModifiedBy>
  <dcterms:created xsi:type="dcterms:W3CDTF">2026-10-20T14:57:21Z</dcterms:created>
  <dcterms:modified xsi:type="dcterms:W3CDTF">2026-10-20T15:00:37Z</dcterms:modified>
</cp:coreProperties>
</file>