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Review" sheetId="2" state="visible" r:id="rId2"/>
    <sheet xmlns:r="http://schemas.openxmlformats.org/officeDocument/2006/relationships" name="Inventory" sheetId="3" state="visible" r:id="rId3"/>
    <sheet xmlns:r="http://schemas.openxmlformats.org/officeDocument/2006/relationships" name="key" sheetId="4" state="hidden" r:id="rId4"/>
    <sheet xmlns:r="http://schemas.openxmlformats.org/officeDocument/2006/relationships" name="weights" sheetId="5" state="hidden" r:id="rId5"/>
    <sheet xmlns:r="http://schemas.openxmlformats.org/officeDocument/2006/relationships" name="Design" sheetId="6" state="visible" r:id="rId6"/>
    <sheet xmlns:r="http://schemas.openxmlformats.org/officeDocument/2006/relationships" name="Summary" sheetId="7" state="visible" r:id="rId7"/>
  </sheets>
  <definedNames>
    <definedName name="_xlnm._FilterDatabase" localSheetId="2" hidden="1">'Inventory'!$A$1:$H$145</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font>
    <font>
      <name val="Arial"/>
    </font>
    <font>
      <name val="Arial"/>
      <b val="1"/>
      <color rgb="00FFFFFF"/>
    </font>
    <font>
      <name val="Arial"/>
      <i val="1"/>
    </font>
    <font>
      <name val="Arial"/>
      <color rgb="000000FF"/>
    </font>
  </fonts>
  <fills count="4">
    <fill>
      <patternFill/>
    </fill>
    <fill>
      <patternFill patternType="gray125"/>
    </fill>
    <fill>
      <patternFill patternType="solid">
        <fgColor rgb="001F3864"/>
      </patternFill>
    </fill>
    <fill>
      <patternFill patternType="solid">
        <fgColor rgb="00FFFF00"/>
      </patternFill>
    </fill>
  </fills>
  <borders count="2">
    <border>
      <left/>
      <right/>
      <top/>
      <bottom/>
      <diagonal/>
    </border>
    <border>
      <bottom style="thin">
        <color rgb="00BFBFBF"/>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wrapText="1"/>
    </xf>
    <xf numFmtId="0" fontId="2"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3" fontId="2" fillId="0" borderId="0" applyAlignment="1" pivotButton="0" quotePrefix="0" xfId="0">
      <alignment vertical="top"/>
    </xf>
    <xf numFmtId="164" fontId="2" fillId="0" borderId="0" applyAlignment="1" pivotButton="0" quotePrefix="0" xfId="0">
      <alignment vertical="top"/>
    </xf>
    <xf numFmtId="3" fontId="1" fillId="0" borderId="0" applyAlignment="1" pivotButton="0" quotePrefix="0" xfId="0">
      <alignment vertical="top"/>
    </xf>
    <xf numFmtId="0" fontId="4" fillId="0" borderId="0" applyAlignment="1" pivotButton="0" quotePrefix="0" xfId="0">
      <alignment vertical="top"/>
    </xf>
    <xf numFmtId="0" fontId="1" fillId="0" borderId="0" pivotButton="0" quotePrefix="0" xfId="0"/>
    <xf numFmtId="9" fontId="2" fillId="0" borderId="0" applyAlignment="1" pivotButton="0" quotePrefix="0" xfId="0">
      <alignment vertical="top"/>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Actor mapping review</t>
        </is>
      </c>
    </row>
    <row r="2">
      <c r="A2" s="2" t="inlineStr">
        <is>
          <t>Each row of the Review sheet is an actor unit in a norm (census rows show up to 3 norms that use the same unit). 'Assigned' is what the system mapped the unit to. Judge whether that is right, from the norm text and the actor phrase. The Inventory sheet lists every known actor with its definition.</t>
        </is>
      </c>
    </row>
    <row r="3">
      <c r="A3" s="1" t="inlineStr">
        <is>
          <t>Assessment (yellow)</t>
        </is>
      </c>
    </row>
    <row r="4">
      <c r="A4" s="1" t="inlineStr">
        <is>
          <t>Assigned an actor [ID]:</t>
        </is>
      </c>
    </row>
    <row r="5">
      <c r="A5" s="2" t="inlineStr">
        <is>
          <t xml:space="preserve">  correct    the unit is this actor.</t>
        </is>
      </c>
    </row>
    <row r="6">
      <c r="A6" s="2" t="inlineStr">
        <is>
          <t xml:space="preserve">  partial    right actor family but too broad or too narrow (another entry fits better), or right for some census contexts only.</t>
        </is>
      </c>
    </row>
    <row r="7">
      <c r="A7" s="2" t="inlineStr">
        <is>
          <t xml:space="preserve">  wrong      another actor, or not an actor at all.</t>
        </is>
      </c>
    </row>
    <row r="8">
      <c r="A8" s="1" t="inlineStr">
        <is>
          <t>Assigned 'an actor of class X (no inventory entry)':</t>
        </is>
      </c>
    </row>
    <row r="9">
      <c r="A9" s="2" t="inlineStr">
        <is>
          <t xml:space="preserve">  correct    an actor, no inventory entry fits, and class X fits.</t>
        </is>
      </c>
    </row>
    <row r="10">
      <c r="A10" s="2" t="inlineStr">
        <is>
          <t xml:space="preserve">  partial    an actor and class X fits, but an inventory entry fits (missed entry).</t>
        </is>
      </c>
    </row>
    <row r="11">
      <c r="A11" s="2" t="inlineStr">
        <is>
          <t xml:space="preserve">  wrong      the class does not fit, or it is not an actor.</t>
        </is>
      </c>
    </row>
    <row r="12">
      <c r="A12" s="1" t="inlineStr">
        <is>
          <t>Assigned 'not an actor (dropped)':</t>
        </is>
      </c>
    </row>
    <row r="13">
      <c r="A13" s="2" t="inlineStr">
        <is>
          <t xml:space="preserve">  correct    indeed not an actor (a document, decision, system, abstraction ...).</t>
        </is>
      </c>
    </row>
    <row r="14">
      <c r="A14" s="2" t="inlineStr">
        <is>
          <t xml:space="preserve">  wrong      it is an actor (use 'partial' only for census groups that are actors in some contexts).</t>
        </is>
      </c>
    </row>
    <row r="15">
      <c r="A15" s="2" t="inlineStr">
        <is>
          <t xml:space="preserve">  unclear    cannot tell from the text (not counted).</t>
        </is>
      </c>
    </row>
    <row r="16">
      <c r="A16" s="1" t="inlineStr">
        <is>
          <t>What is wrong? (for partial or wrong)</t>
        </is>
      </c>
    </row>
    <row r="17">
      <c r="A17" s="2" t="inlineStr">
        <is>
          <t xml:space="preserve">  other actor / too broad / too narrow / missed entry (an inventory entry fits) / wrong class / not an actor / actor, not in inventory (a real actor that has no entry) / badly cut unit (the unit is a fragment or several actors in one).</t>
        </is>
      </c>
    </row>
    <row r="18">
      <c r="A18" s="2" t="inlineStr">
        <is>
          <t>Correct actor: the inventory label or ID that fits, or the name of the actor if it has no entry. This feeds the list of inventory additions.</t>
        </is>
      </c>
    </row>
    <row r="19">
      <c r="A19" s="2" t="inlineStr">
        <is>
          <t>The hidden 'key' sheet holds the system's details: leave it alone until you are done.</t>
        </is>
      </c>
    </row>
    <row r="20">
      <c r="A20" s="2" t="inlineStr">
        <is>
          <t>When finished, save and run: python actor_map_review.py review --xlsx &lt;this file&gt;</t>
        </is>
      </c>
    </row>
    <row r="21">
      <c r="A21" s="2" t="inlineStr"/>
    </row>
    <row r="22">
      <c r="A22" s="1" t="inlineStr">
        <is>
          <t>Example (format only; not part of the sample)</t>
        </is>
      </c>
    </row>
    <row r="23">
      <c r="A23" s="2" t="inlineStr">
        <is>
          <t>Unit: de Autoriteit Consument en Markt | Assigned: not an actor (dropped) | Assessment: wrong | What is wrong?: actor, not in inventory | Correct actor: Autoriteit Consument en Markt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4" customWidth="1" min="3" max="3"/>
    <col width="28" customWidth="1" min="4" max="4"/>
    <col width="60" customWidth="1" min="5" max="5"/>
    <col width="34" customWidth="1" min="6" max="6"/>
    <col width="50" customWidth="1" min="7" max="7"/>
    <col width="13" customWidth="1" min="8" max="8"/>
    <col width="20" customWidth="1" min="9" max="9"/>
    <col width="26" customWidth="1" min="10" max="10"/>
    <col width="26" customWidth="1" min="11" max="11"/>
  </cols>
  <sheetData>
    <row r="1">
      <c r="A1" s="3" t="inlineStr">
        <is>
          <t>#</t>
        </is>
      </c>
      <c r="B1" s="3" t="inlineStr">
        <is>
          <t>Norm(s)</t>
        </is>
      </c>
      <c r="C1" s="3" t="inlineStr">
        <is>
          <t>Actor phrase</t>
        </is>
      </c>
      <c r="D1" s="3" t="inlineStr">
        <is>
          <t>Unit</t>
        </is>
      </c>
      <c r="E1" s="3" t="inlineStr">
        <is>
          <t>Text</t>
        </is>
      </c>
      <c r="F1" s="3" t="inlineStr">
        <is>
          <t>Assigned</t>
        </is>
      </c>
      <c r="G1" s="3" t="inlineStr">
        <is>
          <t>Assigned: definition or source</t>
        </is>
      </c>
      <c r="H1" s="3" t="inlineStr">
        <is>
          <t>Assessment</t>
        </is>
      </c>
      <c r="I1" s="3" t="inlineStr">
        <is>
          <t>What is wrong?</t>
        </is>
      </c>
      <c r="J1" s="3" t="inlineStr">
        <is>
          <t>Correct actor</t>
        </is>
      </c>
      <c r="K1" s="3" t="inlineStr">
        <is>
          <t>Note</t>
        </is>
      </c>
    </row>
    <row r="2">
      <c r="A2" s="4" t="n">
        <v>1</v>
      </c>
      <c r="B2" s="5" t="inlineStr">
        <is>
          <t>BWBR0009950:4.10:6:10</t>
        </is>
      </c>
      <c r="C2" s="5" t="inlineStr">
        <is>
          <t>Een aanbieder van een openbaar elektronisch communicatienetwerk waarover een openbare elektronische communicatiedienst wordt verzorgd</t>
        </is>
      </c>
      <c r="D2" s="5" t="inlineStr">
        <is>
          <t>aanbieder van een openbaar elektronisch communicatienetwerk waarover een openbare elektronische communicatiedienst wordt verzorgd</t>
        </is>
      </c>
      <c r="E2" s="5" t="inlineStr">
        <is>
          <t>Een aanbieder van een openbaar elektronisch communicatienetwerk waarover een openbare elektronische communicatiedienst wordt verzorgd zorgt ervoor dat zijn netwerk zodanig is ingericht dat de aanbieders, bedoeld in het vijfde lid, de daar bedoelde verplichtingen kunnen nakomen.</t>
        </is>
      </c>
      <c r="F2" s="5" t="inlineStr">
        <is>
          <t>aanbieder van een openbaar elektronisch communicatienetwerk   [BWBR0009950:aanbieder_van_een_openbaar_elektronisch_communicatienetwerk]</t>
        </is>
      </c>
      <c r="G2" s="5" t="inlineStr">
        <is>
          <t>Defined in BWBR0009950 art. 5.1: degene die in eigen naam en voor eigen rekening kabels ten dienste van een dergelijk netwerk aanlegt, instandhoudt en opruimt.</t>
        </is>
      </c>
      <c r="H2" s="6" t="n"/>
      <c r="I2" s="6" t="n"/>
      <c r="J2" s="6" t="n"/>
      <c r="K2" s="6" t="n"/>
    </row>
    <row r="3">
      <c r="A3" s="4" t="n">
        <v>2</v>
      </c>
      <c r="B3" s="5" t="inlineStr">
        <is>
          <t>32024R1689:26:8:15</t>
        </is>
      </c>
      <c r="C3" s="5" t="inlineStr">
        <is>
          <t>deze gebruiksverantwoordelijke</t>
        </is>
      </c>
      <c r="D3" s="5" t="inlineStr">
        <is>
          <t>gebruiksverantwoordelijke</t>
        </is>
      </c>
      <c r="E3" s="5" t="inlineStr">
        <is>
          <t>Gebruiksverantwoordelijken van AI-systemen met een hoog risico die de hoedanigheid van overheidsinstanties of instellingen, organen of instanties van de Unie hebben, leven de in artikel 49 bedoelde registratieverplichtingen na. Wanneer deze gebruiksverantwoordelijke vaststellen dat het AI-systeem met een hoog risico dat zij voornemens zijn te gebruiken niet in de in artikel 71 bedoelde EU-databank is geregistreerd, gebruiken zij dat systeem niet en stellen zij de aanbieder of de distributeur daarvan in kennis.</t>
        </is>
      </c>
      <c r="F3" s="5" t="inlineStr">
        <is>
          <t>gebruiksverantwoordelijke   [32024R1689:gebruiksverantwoordelijke]</t>
        </is>
      </c>
      <c r="G3" s="5" t="inlineStr">
        <is>
          <t>Defined in 32024R1689 art. 3: een natuurlijke of rechtspersoon, overheidsinstantie, agentschap of ander orgaan die/dat een AI-systeem onder eigen verantwoordelijkheid gebruikt, tenzij het AI-systeem wordt gebruikt in het kader van een persoonlijke niet-beroepsactiviteit</t>
        </is>
      </c>
      <c r="H3" s="6" t="n"/>
      <c r="I3" s="6" t="n"/>
      <c r="J3" s="6" t="n"/>
      <c r="K3" s="6" t="n"/>
    </row>
    <row r="4">
      <c r="A4" s="4" t="n">
        <v>3</v>
      </c>
      <c r="B4" s="5" t="inlineStr">
        <is>
          <t>32024R1689:60:4:9</t>
        </is>
      </c>
      <c r="C4" s="5" t="inlineStr">
        <is>
          <t>de aanbieder of potentiële aanbieder</t>
        </is>
      </c>
      <c r="D4" s="5" t="inlineStr">
        <is>
          <t>potentiële aanbieder</t>
        </is>
      </c>
      <c r="E4" s="5" t="inlineStr">
        <is>
          <t>Aanbieders of potentiële aanbieders mogen alleen testen onder reële omstandigheden als is voldaan aan alle volgende voorwaarden:
a) de aanbieder of potentiële aanbieder heeft een plan voor tests onder reële omstandigheden opgesteld en ingediend bij de markttoezichtautoriteit in de lidstaat waar onder reële omstandigheden moet worden getest;
b) de markttoezichtautoriteit in de lidstaat waar onder reële omstandigheden moet worden getest, heeft het testen onder reële omstandigheden en het plan voor tests onder reële omstandigheden goedgekeurd; indien de markttoezichtautoriteit binnen dertig dagen geen antwoord heeft gegeven, worden het testen onder reële omstandigheden en het plan voor tests onder reële omstandigheden geacht te zijn goedgekeurd; indien het nationale recht niet voorziet in een stilzwijgende goedkeuring, blijft het testen onder reële omstandigheden onderworpen aan een toestemming;
c) de aanbieder of potentiële aanbieder, met uitzondering van aanbieders of potentiële aanbieders van in de punten 1, 6 en 7 van bijlage III bedoelde AI-systemen met een hoog risico op de gebieden rechtshandhaving, migratie, asiel en grenstoezichtsbeheer en AI-systemen met een hoog risico als bedoeld in punt 2 van bijlage III, heeft het testen onder reële omstandigheden geregistreerd overeenkomstig artikel 71, lid 4, met een Uniebreed uniek identificatienummer en de in bijlage IX gespecificeerde informatie; de aanbieder of potentiële aanbieder van in de punten 1, 6 en 7 van bijlage II</t>
        </is>
      </c>
      <c r="F4" s="5" t="inlineStr">
        <is>
          <t>aanbieder   [32024R1689:aanbieder]</t>
        </is>
      </c>
      <c r="G4"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H4" s="6" t="n"/>
      <c r="I4" s="6" t="n"/>
      <c r="J4" s="6" t="n"/>
      <c r="K4" s="6" t="n"/>
    </row>
    <row r="5">
      <c r="A5" s="4" t="n">
        <v>4</v>
      </c>
      <c r="B5" s="5" t="inlineStr">
        <is>
          <t>32024R1689:25:4:15</t>
        </is>
      </c>
      <c r="C5" s="5" t="inlineStr">
        <is>
          <t>derden die andere instrumenten, diensten, processen of onderdelen dan AI-modellen voor algemene doeleinden onder een vrije en opensource licentie toegankelijk maken voor het publiek</t>
        </is>
      </c>
      <c r="D5" s="5" t="inlineStr">
        <is>
          <t>derden</t>
        </is>
      </c>
      <c r="E5" s="5" t="inlineStr">
        <is>
          <t>De aanbieder van een AI-systeem met een hoog risico en de derde partij die instrumenten, diensten, onderdelen of processen voor AI-systemen levert die worden gebruikt of geïntegreerd in een AI-systeem met een hoog risico, preciseren in een schriftelijke overeenkomst de nodige informatie, capaciteiten, technische toegang en andere bijstand, op basis van de algemeen erkende stand van de techniek, om de aanbieder van het AI-systeem met een hoog risico in staat te stellen volledig te voldoen aan de verplichtingen van deze verordening. Dit lid is niet van toepassing op derden die andere instrumenten, diensten, processen of onderdelen dan AI-modellen voor algemene doeleinden onder een vrije en opensource licentie toegankelijk maken voor het publiek.
Het AI-bureau kan vrijwillige modelvoorwaarden ontwikkelen en aanbevelen voor contracten tussen aanbieders van AI-systemen met een hoog risico en derden die instrumenten, diensten, componenten of processen leveren die worden gebruikt of geïntegreerd in AI-systemen met een hoog risico. Bij de ontwikkeling van die vrijwillige modelvoorwaarden moet het AI-bureau rekening houden met de contractuele eisen die kunnen gelden in specifieke sectoren of businesscases. De vrijwillige modelvoorwaarden worden gepubliceerd en kosteloos beschikbaar gesteld in een gemakkelijk bruikbaar elektronisch formaat.</t>
        </is>
      </c>
      <c r="F5" s="5" t="inlineStr">
        <is>
          <t>an actor of class 'party' (no inventory entry)</t>
        </is>
      </c>
      <c r="G5" s="5" t="inlineStr"/>
      <c r="H5" s="6" t="n"/>
      <c r="I5" s="6" t="n"/>
      <c r="J5" s="6" t="n"/>
      <c r="K5" s="6" t="n"/>
    </row>
    <row r="6">
      <c r="A6" s="4" t="n">
        <v>5</v>
      </c>
      <c r="B6" s="5" t="inlineStr">
        <is>
          <t>[1] 32016R0679:27:1:1
[2] 32016R0679:38:3:5
[3] 32016R0679:28:3:13</t>
        </is>
      </c>
      <c r="C6" s="5" t="inlineStr">
        <is>
          <t>[1] de verwerkingsverantwoordelijke of de verwerker
[2] De verwerkingsverantwoordelijke en de verwerker
[3] de verwerker</t>
        </is>
      </c>
      <c r="D6" s="5" t="inlineStr">
        <is>
          <t>verwerker</t>
        </is>
      </c>
      <c r="E6" s="5" t="inlineStr">
        <is>
          <t>[1] Wanneer artikel 3, lid 2, van toepassing is, wijst de verwerkingsverantwoordelijke of de verwerker schriftelijk een vertegenwoordiger in de Unie aan.
[2] De verwerkingsverantwoordelijke en de verwerker zorgen ervoor dat de functionaris voor gegevensbescherming geen instructies ontvangt met betrekking tot de uitvoering van die taken. Hij wordt door de verwerkingsverantwoordelijke of de verwerker niet ontslagen of gestraft voor de uitvoering van zijn taken. De functionaris voor gegevensbescherming brengt rechtstreeks verslag uit aan de hoogste leidinggevende van de verwerkingsverantwoordelijke of de verwerker.
[3] De verwerking door een verwerker wordt geregeld in een overeenkomst of andere rechtshandeling krachtens het Unierecht of het lidstatelijke recht die de verwerker ten aanzien van de verwerkingsverantwoordelijke bindt, en waarin het onderwerp en de duur van de verwerking, de aard en het doel van de verwerking, het soort persoonsgegevens en de categorieën van betrokkenen, en de rechten en verplichtingen van de verwerkingsverantwoordelijke worden omschreven. Die overeenkomst of andere rechtshandelin</t>
        </is>
      </c>
      <c r="F6" s="5" t="inlineStr">
        <is>
          <t>verwerker   [32016R0679:verwerker]</t>
        </is>
      </c>
      <c r="G6" s="5" t="inlineStr">
        <is>
          <t>Defined in 32016R0679 art. 4: een natuurlijke persoon of rechtspersoon, een overheidsinstantie, een dienst of een ander orgaan die/dat ten behoeve van de verwerkingsverantwoordelijke persoonsgegevens verwerkt</t>
        </is>
      </c>
      <c r="H6" s="6" t="n"/>
      <c r="I6" s="6" t="n"/>
      <c r="J6" s="6" t="n"/>
      <c r="K6" s="6" t="n"/>
    </row>
    <row r="7">
      <c r="A7" s="4" t="n">
        <v>6</v>
      </c>
      <c r="B7" s="5" t="inlineStr">
        <is>
          <t>BWBR0009950:6a.6:7:13</t>
        </is>
      </c>
      <c r="C7" s="5" t="inlineStr">
        <is>
          <t>de voorschriften</t>
        </is>
      </c>
      <c r="D7" s="5" t="inlineStr">
        <is>
          <t>voorschriften</t>
        </is>
      </c>
      <c r="E7" s="5" t="inlineStr">
        <is>
          <t>Voor zover de voorschriften technische normen of specificaties bevatten, stroken deze met de normen, bedoeld in artikel 39, eerste en tweede lid, van richtlijn (EU) 2018/1972.</t>
        </is>
      </c>
      <c r="F7" s="5" t="inlineStr">
        <is>
          <t>not an actor (dropped)</t>
        </is>
      </c>
      <c r="G7" s="5" t="inlineStr"/>
      <c r="H7" s="6" t="n"/>
      <c r="I7" s="6" t="n"/>
      <c r="J7" s="6" t="n"/>
      <c r="K7" s="6" t="n"/>
    </row>
    <row r="8">
      <c r="A8" s="4" t="n">
        <v>7</v>
      </c>
      <c r="B8" s="5" t="inlineStr">
        <is>
          <t>BWBR0009950:7.4:2:2</t>
        </is>
      </c>
      <c r="C8" s="5" t="inlineStr">
        <is>
          <t>Maatregelen van aanbieders van internettoegangsdiensten en voor het publiek beschikbare interpersoonlijke communicatiediensten</t>
        </is>
      </c>
      <c r="D8" s="5" t="inlineStr">
        <is>
          <t>Maatregelen van aanbieders van internettoegangsdiensten en voor het publiek beschikbare interpersoonlijke communicatiediensten</t>
        </is>
      </c>
      <c r="E8" s="5" t="inlineStr">
        <is>
          <t>Maatregelen van aanbieders van internettoegangsdiensten en voor het publiek beschikbare interpersoonlijke communicatiediensten om de kwaliteit van hun dienstverlening te waarborgen zijn in overeenstemming met de netneutraliteitsverordening.</t>
        </is>
      </c>
      <c r="F8" s="5" t="inlineStr">
        <is>
          <t>not an actor (dropped)</t>
        </is>
      </c>
      <c r="G8" s="5" t="inlineStr"/>
      <c r="H8" s="6" t="n"/>
      <c r="I8" s="6" t="n"/>
      <c r="J8" s="6" t="n"/>
      <c r="K8" s="6" t="n"/>
    </row>
    <row r="9">
      <c r="A9" s="4" t="n">
        <v>8</v>
      </c>
      <c r="B9" s="5" t="inlineStr">
        <is>
          <t>[1] 32022L2555:34:8:11
[2] 32016R0679:46:5:6
[3] 32022L2555:9:1:1</t>
        </is>
      </c>
      <c r="C9" s="5" t="inlineStr">
        <is>
          <t>[1] die lidstaat
[2] een lidstaat of een toezichthoudende autoriteit
[3] Elke lidstaat</t>
        </is>
      </c>
      <c r="D9" s="5" t="inlineStr">
        <is>
          <t>lidstaat</t>
        </is>
      </c>
      <c r="E9" s="5" t="inlineStr">
        <is>
          <t>[1] Indien het rechtsstelsel van een lidstaat niet in administratieve geldboeten voorziet, zorgt die lidstaat ervoor dat dit artikel aldus wordt toegepast dat de geldboete wordt geïnitieerd door de bevoegde autoriteit en wordt opgelegd door de bevoegde nationale rechterlijke instanties, waarbij wordt gewaarborgd dat die wettelijke voorzieningen doeltreffend zijn en van gelijke werking zijn als de door bevoegde autoriteiten opgelegde administratieve geldboeten. De opgelegde geldboeten zijn in elk gev
[2] Toestemmingen die een lidstaat of een toezichthoudende autoriteit op grond van artikel 26, lid 2, van Richtlijn 95/46/EG heeft verleend, blijven geldig totdat zij door die toezichthoudende autoriteit, indien nodig, worden gewijzigd, vervangen of ingetrokken. De besluiten die de Commissie op grond van artikel 26, lid 4, van Richtlijn 95/46/EG heeft vastgesteld, blijven van kracht totdat zij bij een overeenkomstig lid 2 van dit artikel vastgesteld besluit van de Commissie, indien nodig, worden gew
[3] Elke lidstaat gaat over tot het aanwijzen of instellen van een of meer bevoegde autoriteiten die verantwoordelijk zijn voor het beheer van grootschalige cyberbeveiligingsincidenten en crises (cybercrisisbeheerautoriteiten). De lidstaten zien erop toe dat die autoriteiten beschikken over voldoende middelen om de hun toegewezen taken doeltreffend en efficiënt uit te voeren. De lidstaten zorgen voor samenhang met de bestaande kaders voor algemene nationale crisisbeheersing.</t>
        </is>
      </c>
      <c r="F9" s="5" t="inlineStr">
        <is>
          <t>lidstaat   [KEY:EU:lidstaat]</t>
        </is>
      </c>
      <c r="G9" s="5" t="inlineStr">
        <is>
          <t>Known actor (not defined), class state, valid in eu.</t>
        </is>
      </c>
      <c r="H9" s="6" t="n"/>
      <c r="I9" s="6" t="n"/>
      <c r="J9" s="6" t="n"/>
      <c r="K9" s="6" t="n"/>
    </row>
    <row r="10">
      <c r="A10" s="4" t="n">
        <v>9</v>
      </c>
      <c r="B10" s="5" t="inlineStr">
        <is>
          <t>BWBR0052872:39:3:6</t>
        </is>
      </c>
      <c r="C10" s="5" t="inlineStr">
        <is>
          <t>het centrale contactpunt</t>
        </is>
      </c>
      <c r="D10" s="5" t="inlineStr">
        <is>
          <t>centrale contactpunt</t>
        </is>
      </c>
      <c r="E10" s="5" t="inlineStr">
        <is>
          <t>Op verzoek van het CSIRT of de bevoegde autoriteit stuurt het centrale contactpunt de op grond van de artikelen 25 en 33 ontvangen meldingen door naar de centrale contactpunten van de andere betrokken lidstaten van de Europese Unie.</t>
        </is>
      </c>
      <c r="F10" s="5" t="inlineStr">
        <is>
          <t>not an actor (dropped)</t>
        </is>
      </c>
      <c r="G10" s="5" t="inlineStr"/>
      <c r="H10" s="6" t="n"/>
      <c r="I10" s="6" t="n"/>
      <c r="J10" s="6" t="n"/>
      <c r="K10" s="6" t="n"/>
    </row>
    <row r="11">
      <c r="A11" s="4" t="n">
        <v>10</v>
      </c>
      <c r="B11" s="5" t="inlineStr">
        <is>
          <t>[1] BWBR0009950:4.11:3:5
[2] BWBR0009950:7.1:2:7
[3] BWBR0009950:11.11:5:9</t>
        </is>
      </c>
      <c r="C11" s="5" t="inlineStr">
        <is>
          <t>[1] Een aanbieder
[2] Een aanbieder als bedoeld in het eerste lid
[3] de desbetreffende aanbieder</t>
        </is>
      </c>
      <c r="D11" s="5" t="inlineStr">
        <is>
          <t>aanbieder</t>
        </is>
      </c>
      <c r="E11" s="5" t="inlineStr">
        <is>
          <t>[1] Een aanbieder die een nummer behorende tot een door de Autoriteit Consument en Markt op grond van het tweede lid aangewezen categorie niet heeft toegekend gekregen op grond van een aanvraag doet, indien hij het nummer niet langer in gebruik heeft, hiervan mededeling aan de Autoriteit Consument en Markt. Na ontvangst van de in de vorige zin bedoelde mededeling stelt de Autoriteit Consument en Markt de aanbieder naar wie de toekenning van het nummer op grond van het tweede lid is teruggegaan hierv
[2] Een aanbieder als bedoeld in het eerste lid verstrekt een consument kosteloos en voorafgaand aan het sluiten van de overeenkomst een beknopte en gemakkelijk leesbare samenvatting van de overeenkomst met gebruikmaking van het daartoe overeenkomstig artikel 102, derde lid, tweede alinea, van richtlijn (EU) 2018/1972 vastgestelde model. In die samenvatting zijn de belangrijkste elementen van de informatie, bedoeld in het eerste lid, opgenomen, waaronder ten minste:
a.
de naam, het adres en de cont
[3] Indien bij het onderzoek blijkt dat het oproepende nummer toebehoort aan een abonnee van een andere aanbieder, verleent de desbetreffende aanbieder op een daartoe strekkend verzoek van de met het onderzoek belaste aanbieder medewerking aan het onderzoek en verstrekt, indien het onderzoek daartoe aanleiding geeft, de beschikbare op het oproepende nummer betrekking hebbende naam-, adres-, postcode- en woonplaatsgegevens aan de aanbieder die met het onderzoek belast is.</t>
        </is>
      </c>
      <c r="F11" s="5" t="inlineStr">
        <is>
          <t>an actor of class 'party' (no inventory entry)</t>
        </is>
      </c>
      <c r="G11" s="5" t="inlineStr"/>
      <c r="H11" s="6" t="n"/>
      <c r="I11" s="6" t="n"/>
      <c r="J11" s="6" t="n"/>
      <c r="K11" s="6" t="n"/>
    </row>
    <row r="12">
      <c r="A12" s="4" t="n">
        <v>11</v>
      </c>
      <c r="B12" s="5" t="inlineStr">
        <is>
          <t>[1] 32024R1689:95:2:3
[2] 32024R1689:50:7:19
[3] 32024R1689:65:8:21</t>
        </is>
      </c>
      <c r="C12" s="5" t="inlineStr">
        <is>
          <t>[1] Het AI-bureau en de lidstaten
[2] Het AI-bureau
[3] Het AI-bureau</t>
        </is>
      </c>
      <c r="D12" s="5" t="inlineStr">
        <is>
          <t>AI-bureau</t>
        </is>
      </c>
      <c r="E12" s="5" t="inlineStr">
        <is>
          <t>[1] Het AI-bureau en de lidstaten faciliteren de opstelling van gedragscodes met betrekking tot de vrijwillige toepassing, onder meer door gebruiksverantwoordelijken, van specifieke voorschriften voor alle AI-systemen, op basis van duidelijke doelstellingen en kernprestatie-indicatoren om de verwezenlijking van die doelstellingen te meten, met inbegrip van elementen zoals, maar niet beperkt tot:
a) toepasselijke elementen waarin de ethische richtsnoeren van de Unie voor betrouwbare AI voorzien;
b)
[2] Het AI-bureau stimuleert en faciliteert de opstelling van praktijkcodes op het niveau van de Unie om de doeltreffende uitvoering van de verplichtingen met betrekking tot de opsporing en het labelen van kunstmatig gegenereerde of bewerkte content te vergemakkelijken. De Commissie kan uitvoeringshandelingen vaststellen om die praktijkcodes overeenkomstig de procedure van artikel 56, lid 6, goed te keuren. Indien zij de code ontoereikend acht, kan de Commissie volgens de onderzoeksprocedure van art
[3] De AI-board wordt voorgezeten door een van de vertegenwoordigers van de lidstaten. Het AI-bureau verzorgt het secretariaat van de AI-board, roept op verzoek van de voorzitter de vergaderingen bijeen en stelt de agenda op overeenkomstig de taken van de AI-board krachtens deze verordening en overeenkomstig zijn reglement.</t>
        </is>
      </c>
      <c r="F12" s="5" t="inlineStr">
        <is>
          <t>AI-bureau   [32024R1689:aibureau]</t>
        </is>
      </c>
      <c r="G12" s="5" t="inlineStr">
        <is>
          <t>Defined in 32024R1689 art. 3: de taak van de Commissie waarbij zij bijdraagt aan de uitvoering van, de monitoring van en het toezicht op AI-systemen en AI-modellen voor algemene doeleinden, en AI-governance, als bepaald in het besluit van de Commissie van 24 januari 2024; verwijzingen in deze verordening naar het AI-bureau worden begrepen als verwijzingen naar de Commissie</t>
        </is>
      </c>
      <c r="H12" s="6" t="n"/>
      <c r="I12" s="6" t="n"/>
      <c r="J12" s="6" t="n"/>
      <c r="K12" s="6" t="n"/>
    </row>
    <row r="13">
      <c r="A13" s="4" t="n">
        <v>12</v>
      </c>
      <c r="B13" s="5" t="inlineStr">
        <is>
          <t>BWBR0009950:14a.11:3:6</t>
        </is>
      </c>
      <c r="C13" s="5" t="inlineStr">
        <is>
          <t>Een beursgenoteerde betrokken partij, een aangesloten instelling, centraal instituut, intermediair, instelling in het buitenland of buitenlandse instelling met een functie vergelijkbaar met die van het centraal instituut</t>
        </is>
      </c>
      <c r="D13" s="5" t="inlineStr">
        <is>
          <t>instelling in het buitenland</t>
        </is>
      </c>
      <c r="E13" s="5" t="inlineStr">
        <is>
          <t>Een beursgenoteerde betrokken partij, een aangesloten instelling, centraal instituut, intermediair, instelling in het buitenland of buitenlandse instelling met een functie vergelijkbaar met die van het centraal instituut verleent medewerking aan de Minister bij de tenuitvoerlegging van het eerste lid.</t>
        </is>
      </c>
      <c r="F13" s="5" t="inlineStr">
        <is>
          <t>instelling in het buitenland   [BWBR0009950:instelling_in_het_buitenland]</t>
        </is>
      </c>
      <c r="G13" s="5" t="inlineStr">
        <is>
          <t>Defined in BWBR0009950 art. 14a.1: instelling als bedoeld in artikel 49a, onderdeel b, van de Wet giraal effectenverkeer</t>
        </is>
      </c>
      <c r="H13" s="6" t="n"/>
      <c r="I13" s="6" t="n"/>
      <c r="J13" s="6" t="n"/>
      <c r="K13" s="6" t="n"/>
    </row>
    <row r="14">
      <c r="A14" s="4" t="n">
        <v>13</v>
      </c>
      <c r="B14" s="5" t="inlineStr">
        <is>
          <t>BWBR0009950:3.20a:6:7</t>
        </is>
      </c>
      <c r="C14" s="5" t="inlineStr">
        <is>
          <t>De vergunninghouder, bedoeld in het eerste lid</t>
        </is>
      </c>
      <c r="D14" s="5" t="inlineStr">
        <is>
          <t>vergunninghouder</t>
        </is>
      </c>
      <c r="E14" s="5" t="inlineStr">
        <is>
          <t>De vergunninghouder, bedoeld in het eerste lid, is aansprakelijk voor de naleving door de huurder van de bij of krachtens deze wet gestelde regels met betrekking tot het frequentiegebruik door de vergunninghouder en van de aan de vergunning verbonden voorschriften en beperkingen en wordt in voorkomend geval aangemerkt als overtreder in de zin van artikel 5.1 van de Algemene wet bestuursrecht.</t>
        </is>
      </c>
      <c r="F14" s="5" t="inlineStr">
        <is>
          <t>an actor of class 'party' (no inventory entry)</t>
        </is>
      </c>
      <c r="G14" s="5" t="inlineStr"/>
      <c r="H14" s="6" t="n"/>
      <c r="I14" s="6" t="n"/>
      <c r="J14" s="6" t="n"/>
      <c r="K14" s="6" t="n"/>
    </row>
    <row r="15">
      <c r="A15" s="4" t="n">
        <v>14</v>
      </c>
      <c r="B15" s="5" t="inlineStr">
        <is>
          <t>32016R0679:43:3:7</t>
        </is>
      </c>
      <c r="C15" s="5" t="inlineStr">
        <is>
          <t>die eisen</t>
        </is>
      </c>
      <c r="D15" s="5" t="inlineStr">
        <is>
          <t>eisen</t>
        </is>
      </c>
      <c r="E15" s="5" t="inlineStr">
        <is>
          <t>De accreditatie van de in de leden 1 en 2 van dit artikel bedoelde certificeringsorganen vindt plaats op basis van criteria die zijn goedgekeurd door de op grond van artikel 55 of 56 bevoegde toezichthoudende autoriteit of, overeenkomstig artikel 63, door het Comité. In het geval van een accreditatie in de zin van lid 1, punt b), van dit artikel zijn die eisen een aanvulling op de eisen van Verordening (EG) nr. 765/2008 en de technische regels die een beschrijving van de methoden en procedures van de certificeringsorganen geven.</t>
        </is>
      </c>
      <c r="F15" s="5" t="inlineStr">
        <is>
          <t>not an actor (dropped)</t>
        </is>
      </c>
      <c r="G15" s="5" t="inlineStr"/>
      <c r="H15" s="6" t="n"/>
      <c r="I15" s="6" t="n"/>
      <c r="J15" s="6" t="n"/>
      <c r="K15" s="6" t="n"/>
    </row>
    <row r="16">
      <c r="A16" s="4" t="n">
        <v>15</v>
      </c>
      <c r="B16" s="5" t="inlineStr">
        <is>
          <t>[1] 32022R2554:15:whole:3
[2] 32022R2554:28:9:36
[3] 32022R2554:20:whole:4</t>
        </is>
      </c>
      <c r="C16" s="5" t="inlineStr">
        <is>
          <t>[1] De ETA’s
[2] De ETA’s
[3] De ETA’s</t>
        </is>
      </c>
      <c r="D16" s="5" t="inlineStr">
        <is>
          <t>ETA’s</t>
        </is>
      </c>
      <c r="E16" s="5" t="inlineStr">
        <is>
          <t>[1] De ETA’s stellen via het Gemengd Comité en in overleg met het Agentschap van de Europese Unie voor cyberbeveiliging (Enisa), gemeenschappelijke ontwerpen van technische reguleringsnormen op met het doel:
a) nadere elementen te specificeren die moeten worden opgenomen in de beleidslijnen, procedures, protocollen en instrumenten met betrekking tot ICT-beveiliging als bedoeld in artikel 9, lid 2, teneinde de veiligheid van netwerken te garanderen, passende waarborgen tegen inbreuken en misbruik va
[2] De ETA’s ontwikkelen via het Gemengd Comité ontwerpen van technische uitvoeringsnormen voor de vaststelling van standaardmodellen ten behoeve van het in lid 3 bedoelde informatieregister, waarin informatie wordt opgenomen inzake het gebruik van ICT-diensten die voor alle contractuele overeenkomsten van toepassing is. De ETA’s leggen deze ontwerpen van technische uitvoeringsnormen uiterlijk op 17 januari 2024 voor aan de Commissie.
Aan de Commissie wordt de bevoegdheid verleend om de in de eerst
[3] De ETA’s ontwikkelen via het Gemengd Comité en in overleg met Enisa en de ECB:
a) gemeenschappelijke ontwerpen van technische reguleringsnormen om: i) de inhoud van de rapporten voor ernstige ICT-gerelateerde incidenten vast te stellen, waarbij de in artikel 18, lid 1, vastgelegde criteria worden gehanteerd en verdere elementen worden opgenomen, zoals bijzonderheden voor de vaststelling van de relevantie van rapportage voor andere lidstaten en voor het bepalen of het incident al dan niet een er</t>
        </is>
      </c>
      <c r="F16" s="5" t="inlineStr">
        <is>
          <t>not an actor (dropped)</t>
        </is>
      </c>
      <c r="G16" s="5" t="inlineStr"/>
      <c r="H16" s="6" t="n"/>
      <c r="I16" s="6" t="n"/>
      <c r="J16" s="6" t="n"/>
      <c r="K16" s="6" t="n"/>
    </row>
    <row r="17">
      <c r="A17" s="4" t="n">
        <v>16</v>
      </c>
      <c r="B17" s="5" t="inlineStr">
        <is>
          <t>BWBR0009950:11.3a:3:3</t>
        </is>
      </c>
      <c r="C17" s="5" t="inlineStr">
        <is>
          <t>De kennisgeving aan de Autoriteit persoonsgegevens en de persoon wiens persoonsgegevens het betreft</t>
        </is>
      </c>
      <c r="D17" s="5" t="inlineStr">
        <is>
          <t>kennisgeving aan de Autoriteit persoonsgegevens en de persoon</t>
        </is>
      </c>
      <c r="E17" s="5" t="inlineStr">
        <is>
          <t>De kennisgeving aan de Autoriteit persoonsgegevens en de persoon wiens persoonsgegevens het betreft, omvat in ieder geval de aard van de inbreuk in verband met persoonsgegevens, de instanties waar meer informatie over de inbreuk kan worden verkregen en de aanbevolen maatregelen om de negatieve gevolgen van de inbreuk te beperken.
De kennisgeving aan de Autoriteit persoonsgegevens omvat tevens de gevolgen van de inbreuk op de persoonsgegevens en de maatregelen die de aanbieder voorstelt of heeft getroffen om de inbreuk aan te pakken.</t>
        </is>
      </c>
      <c r="F17" s="5" t="inlineStr">
        <is>
          <t>not an actor (dropped)</t>
        </is>
      </c>
      <c r="G17" s="5" t="inlineStr"/>
      <c r="H17" s="6" t="n"/>
      <c r="I17" s="6" t="n"/>
      <c r="J17" s="6" t="n"/>
      <c r="K17" s="6" t="n"/>
    </row>
    <row r="18">
      <c r="A18" s="4" t="n">
        <v>17</v>
      </c>
      <c r="B18" s="5" t="inlineStr">
        <is>
          <t>BWBR0040940:35:6:9</t>
        </is>
      </c>
      <c r="C18" s="5" t="inlineStr">
        <is>
          <t>De verwerkingsverantwoordelijke en belanghebbende</t>
        </is>
      </c>
      <c r="D18" s="5" t="inlineStr">
        <is>
          <t>verwerkingsverantwoordelijke</t>
        </is>
      </c>
      <c r="E18" s="5" t="inlineStr">
        <is>
          <t>De rechtbank kan partijen en anderen verzoeken binnen een door haar te bepalen termijn schriftelijke inlichtingen te geven en onder hen berustende stukken in te zenden. De verwerkingsverantwoordelijke en belanghebbende zijn verplicht aan dit verzoek te voldoen. De artikelen 8:45, tweede en derde lid, en 8:29 van de Algemene wet bestuursrecht zijn van overeenkomstige toepassing.</t>
        </is>
      </c>
      <c r="F18" s="5" t="inlineStr">
        <is>
          <t>an actor of class 'party' (no inventory entry)</t>
        </is>
      </c>
      <c r="G18" s="5" t="inlineStr"/>
      <c r="H18" s="6" t="n"/>
      <c r="I18" s="6" t="n"/>
      <c r="J18" s="6" t="n"/>
      <c r="K18" s="6" t="n"/>
    </row>
    <row r="19">
      <c r="A19" s="4" t="n">
        <v>18</v>
      </c>
      <c r="B19" s="5" t="inlineStr">
        <is>
          <t>BWBR0009950:14a.10:2:2</t>
        </is>
      </c>
      <c r="C19" s="5" t="inlineStr">
        <is>
          <t>degene aan wie een verbod op grond van artikel 14a.4 is opgelegd</t>
        </is>
      </c>
      <c r="D19" s="5" t="inlineStr">
        <is>
          <t>degene</t>
        </is>
      </c>
      <c r="E19" s="5" t="inlineStr">
        <is>
          <t>Het is degene aan wie een verbod op grond van artikel 14a.4 is opgelegd verboden de zeggenschap bedoeld in dat verbod, of een deel daarvan, over te dragen aan:
a.
een ongewenst persoon,
b.
een persoon aan wie een verbod op grond van artikel 14a.4 is opgelegd,
c.
een persoon die nauwe banden heeft met of onder invloed staat van een persoon als bedoeld onder a of b.</t>
        </is>
      </c>
      <c r="F19" s="5" t="inlineStr">
        <is>
          <t>not an actor (dropped)</t>
        </is>
      </c>
      <c r="G19" s="5" t="inlineStr"/>
      <c r="H19" s="6" t="n"/>
      <c r="I19" s="6" t="n"/>
      <c r="J19" s="6" t="n"/>
      <c r="K19" s="6" t="n"/>
    </row>
    <row r="20">
      <c r="A20" s="4" t="n">
        <v>19</v>
      </c>
      <c r="B20" s="5" t="inlineStr">
        <is>
          <t>32024R1689:56:6:16</t>
        </is>
      </c>
      <c r="C20" s="5" t="inlineStr">
        <is>
          <t>Het AI-bureau en de AI-board</t>
        </is>
      </c>
      <c r="D20" s="5" t="inlineStr">
        <is>
          <t>AI-board</t>
        </is>
      </c>
      <c r="E20" s="5" t="inlineStr">
        <is>
          <t>Het AI-bureau en de AI-board monitoren en evalueren regelmatig of de deelnemers de doelstellingen van de praktijkcodes verwezenlijken en bijdragen aan de correcte toepassing van deze verordening. Het AI-bureau en de AI-board beoordelen of de praktijkcodes betrekking hebben op de verplichtingen van de artikelen 53 en 55, en monitoren en evalueren regelmatig of de doelstellingen daarvan worden verwezenlijkt. Zij maken hun beoordeling of de praktijkcodes toereikend zijn bekend.
De Commissie kan door middel van een uitvoeringshandeling een praktijkcode goedkeuren en deze binnen de Unie een algemene geldigheid verlenen. Die uitvoeringshandeling wordt vastgesteld volgens de in artikel 98, lid 2, bedoelde onderzoeksprocedure.</t>
        </is>
      </c>
      <c r="F20" s="5" t="inlineStr">
        <is>
          <t>AI-board   [KEY:32024R1689:aiboard]</t>
        </is>
      </c>
      <c r="G20" s="5" t="inlineStr">
        <is>
          <t>Known actor (not defined), class body, valid in 32024R1689. Aliases: Europese raad voor artificiële intelligentie.</t>
        </is>
      </c>
      <c r="H20" s="6" t="n"/>
      <c r="I20" s="6" t="n"/>
      <c r="J20" s="6" t="n"/>
      <c r="K20" s="6" t="n"/>
    </row>
    <row r="21">
      <c r="A21" s="4" t="n">
        <v>20</v>
      </c>
      <c r="B21" s="5" t="inlineStr">
        <is>
          <t>BWBR0040940:14:1:1</t>
        </is>
      </c>
      <c r="C21" s="5" t="inlineStr">
        <is>
          <t>De Autoriteit persoonsgegevens</t>
        </is>
      </c>
      <c r="D21" s="5" t="inlineStr">
        <is>
          <t>Autoriteit persoonsgegevens</t>
        </is>
      </c>
      <c r="E21" s="5" t="inlineStr">
        <is>
          <t>De Autoriteit persoonsgegevens is bevoegd om de taken uit te voeren en de bevoegdheden uit te oefenen die bij of krachtens de verordening zijn toegekend aan de toezichthoudende autoriteit.</t>
        </is>
      </c>
      <c r="F21" s="5" t="inlineStr">
        <is>
          <t>not an actor (dropped)</t>
        </is>
      </c>
      <c r="G21" s="5" t="inlineStr"/>
      <c r="H21" s="6" t="n"/>
      <c r="I21" s="6" t="n"/>
      <c r="J21" s="6" t="n"/>
      <c r="K21" s="6" t="n"/>
    </row>
    <row r="22">
      <c r="A22" s="4" t="n">
        <v>21</v>
      </c>
      <c r="B22" s="5" t="inlineStr">
        <is>
          <t>BWBR0009950:14a.7:2:3</t>
        </is>
      </c>
      <c r="C22" s="5" t="inlineStr">
        <is>
          <t>Een aangesloten instelling, centraal instituut, intermediair, instelling in het buitenland, bewaarder van een beleggingsinstelling en buitenlandse instelling met een functie vergelijkbaar met die van het centraal instituut</t>
        </is>
      </c>
      <c r="D22" s="5" t="inlineStr">
        <is>
          <t>bewaarder van een beleggingsinstelling en buitenlandse instelling met een functie</t>
        </is>
      </c>
      <c r="E22" s="5" t="inlineStr">
        <is>
          <t>Een aangesloten instelling, centraal instituut, intermediair, instelling in het buitenland, bewaarder van een beleggingsinstelling en buitenlandse instelling met een functie vergelijkbaar met die van het centraal instituut onthouden zich van gedragingen waardoor degene die in strijd met artikel 14a.4, eerste lid, overwegende zeggenschap heeft in een beursgenoteerde betrokken partij, in strijd met het bepaalde in het eerste lid kan handelen.</t>
        </is>
      </c>
      <c r="F22" s="5" t="inlineStr">
        <is>
          <t>not an actor (dropped)</t>
        </is>
      </c>
      <c r="G22" s="5" t="inlineStr"/>
      <c r="H22" s="6" t="n"/>
      <c r="I22" s="6" t="n"/>
      <c r="J22" s="6" t="n"/>
      <c r="K22" s="6" t="n"/>
    </row>
    <row r="23">
      <c r="A23" s="4" t="n">
        <v>22</v>
      </c>
      <c r="B23" s="5" t="inlineStr">
        <is>
          <t>32024R1689:4:whole:1</t>
        </is>
      </c>
      <c r="C23" s="5" t="inlineStr">
        <is>
          <t>Aanbieders en gebruiksverantwoordelijken van AI-systemen</t>
        </is>
      </c>
      <c r="D23" s="5" t="inlineStr">
        <is>
          <t>gebruiksverantwoordelijken</t>
        </is>
      </c>
      <c r="E23" s="5" t="inlineStr">
        <is>
          <t>Aanbieders en gebruiksverantwoordelijken van AI-systemen nemen maatregelen om, zoveel als mogelijk, te zorgen voor een toereikend niveau van AI-geletterdheid bij hun personeel en andere personen die namens hen AI-systemen exploiteren en gebruiken, en houden daarbij rekening met hun technische kennis, ervaring, onderwijs en opleiding en de context waarin de AI-systemen zullen worden gebruikt, evenals met de personen of groepen personen ten aanzien van wie de AI-systemen zullen worden gebruikt.</t>
        </is>
      </c>
      <c r="F23" s="5" t="inlineStr">
        <is>
          <t>gebruiksverantwoordelijke   [32024R1689:gebruiksverantwoordelijke]</t>
        </is>
      </c>
      <c r="G23" s="5" t="inlineStr">
        <is>
          <t>Defined in 32024R1689 art. 3: een natuurlijke of rechtspersoon, overheidsinstantie, agentschap of ander orgaan die/dat een AI-systeem onder eigen verantwoordelijkheid gebruikt, tenzij het AI-systeem wordt gebruikt in het kader van een persoonlijke niet-beroepsactiviteit</t>
        </is>
      </c>
      <c r="H23" s="6" t="n"/>
      <c r="I23" s="6" t="n"/>
      <c r="J23" s="6" t="n"/>
      <c r="K23" s="6" t="n"/>
    </row>
    <row r="24">
      <c r="A24" s="4" t="n">
        <v>23</v>
      </c>
      <c r="B24" s="5" t="inlineStr">
        <is>
          <t>BWBR0052872:49:6:7</t>
        </is>
      </c>
      <c r="C24" s="5" t="inlineStr">
        <is>
          <t>Onze Minister van Economische Zaken</t>
        </is>
      </c>
      <c r="D24" s="5" t="inlineStr">
        <is>
          <t>Onze Minister van Economische Zaken</t>
        </is>
      </c>
      <c r="E24" s="5" t="inlineStr">
        <is>
          <t>Bij regeling van Onze Minister van Economische Zaken kunnen nadere regels worden gesteld ten aanzien van het bepaalde in dit artikel.</t>
        </is>
      </c>
      <c r="F24" s="5" t="inlineStr">
        <is>
          <t>Onze Minister   [BWBR0052872:onze_minister]</t>
        </is>
      </c>
      <c r="G24" s="5" t="inlineStr">
        <is>
          <t>Defined in BWBR0052872 art. 1: Onze Minister van Justitie en Veiligheid</t>
        </is>
      </c>
      <c r="H24" s="6" t="n"/>
      <c r="I24" s="6" t="n"/>
      <c r="J24" s="6" t="n"/>
      <c r="K24" s="6" t="n"/>
    </row>
    <row r="25">
      <c r="A25" s="4" t="n">
        <v>24</v>
      </c>
      <c r="B25" s="5" t="inlineStr">
        <is>
          <t>BWBR0052872:51:2:4</t>
        </is>
      </c>
      <c r="C25" s="5" t="inlineStr">
        <is>
          <t>De bevoegde autoriteiten, de CSIRT’s en het centrale contactpunt</t>
        </is>
      </c>
      <c r="D25" s="5" t="inlineStr">
        <is>
          <t>CSIRT’s</t>
        </is>
      </c>
      <c r="E25" s="5" t="inlineStr">
        <is>
          <t>De bevoegde autoriteiten, de CSIRT’s en het centrale contactpunt werken voor de doeltreffende en doelmatige uitvoering van hun taken uit hoofde van deze wet samen met de volgende instanties in Nederland en wisselen in het kader van die samenwerking alle daarvoor noodzakelijke gegevens uit, waaronder persoonsgegevens:
a.
de politie, het openbaar ministerie en de bijzondere opsporingsdiensten, genoemd in artikel 2 van de Wet op de bijzondere opsporingsdiensten;
b.
de Autoriteit persoonsgegevens;
c.
de nationale bevoegde autoriteiten, bedoeld in de Verordening (EG) nr. 300/2008 en Verordening (EU) 2018/1139;
d.
Onze Minister van Economische Zaken uit hoofde van de Verordening (EU) nr. 910/2014;
e.
de bevoegde autoriteiten uit hoofde van de Verordening (EU) 2022/2554;
f.
Onze Minister van Economische Zaken uit hoofde van de Richtlijn (EU) 2018/1972;
g.
de bevoegde autoriteiten, bedoeld in artikel 8 van de Wet weerbaarheid kritieke entiteiten;
h.
de inlichtingen- en veiligheidsdiensten, bedoeld in de Wet op de inlichtingen- en veiligheidsdiensten 2017; en
i.
de bij of krachtens algemene maatregel van bestuur aangewezen autoriteiten.</t>
        </is>
      </c>
      <c r="F25" s="5" t="inlineStr">
        <is>
          <t>CSIRT   [BWBR0052872:csirt]</t>
        </is>
      </c>
      <c r="G25" s="5" t="inlineStr">
        <is>
          <t>Defined in BWBR0052872 art. 1: een Computer security incident response team, bedoeld in artikel 10 van de NIS2-richtlijn en bedoeld in artikel 16</t>
        </is>
      </c>
      <c r="H25" s="6" t="n"/>
      <c r="I25" s="6" t="n"/>
      <c r="J25" s="6" t="n"/>
      <c r="K25" s="6" t="n"/>
    </row>
    <row r="26">
      <c r="A26" s="4" t="n">
        <v>25</v>
      </c>
      <c r="B26" s="5" t="inlineStr">
        <is>
          <t>32022R2554:49:2:7</t>
        </is>
      </c>
      <c r="C26" s="5" t="inlineStr">
        <is>
          <t>De bevoegde autoriteiten, de ETA’s en de ECB</t>
        </is>
      </c>
      <c r="D26" s="5" t="inlineStr">
        <is>
          <t>ECB</t>
        </is>
      </c>
      <c r="E26" s="5" t="inlineStr">
        <is>
          <t>De bevoegde autoriteiten, de ETA’s en de ECB werken onderling nauw samen en wisselen informatie uit om hun taken overeenkomstig de artikelen 47 tot en met 54 te verrichten. Zij coördineren ten nauwste hun toezicht teneinde inbreuken op deze verordening op te sporen en te corrigeren, goede praktijken te ontwikkelen en te stimuleren, samenwerking te vergemakkelijken, een consistente interpretatie van ter zake geldende bepalingen te bevorderen, en in geval van meningsverschil rechtsgebiedoverschrijdende beoordelingen te geven.</t>
        </is>
      </c>
      <c r="F26" s="5" t="inlineStr">
        <is>
          <t>not an actor (dropped)</t>
        </is>
      </c>
      <c r="G26" s="5" t="inlineStr"/>
      <c r="H26" s="6" t="n"/>
      <c r="I26" s="6" t="n"/>
      <c r="J26" s="6" t="n"/>
      <c r="K26" s="6" t="n"/>
    </row>
    <row r="27">
      <c r="A27" s="4" t="n">
        <v>26</v>
      </c>
      <c r="B27" s="5" t="inlineStr">
        <is>
          <t>32022L2555:19:6:16</t>
        </is>
      </c>
      <c r="C27" s="5" t="inlineStr">
        <is>
          <t>De samenwerkingsgroep</t>
        </is>
      </c>
      <c r="D27" s="5" t="inlineStr">
        <is>
          <t>samenwerkingsgroep</t>
        </is>
      </c>
      <c r="E27" s="5" t="inlineStr">
        <is>
          <t>De collegiale toetsingen omvatten fysieke of virtuele bezoeken ter plaatse en informatie-uitwisselingen elders. In overeenstemming met het beginsel van goede samenwerking verstrekt de aan een collegiale toetsing onderworpen lidstaat de aangewezen cyberbeveiligingsdeskundigen de informatie die nodig is voor de beoordeling, onverminderd het Unie- of nationale recht inzake de bescherming van vertrouwelijke of gerubriceerde informatie en de bescherming van essentiële staatsfuncties, zoals de nationale veiligheid. De samenwerkingsgroep ontwikkelt in samenwerking met de Commissie en Enisa passende gedragscodes ter ondersteuning van de werkmethoden van de aangewezen cyberbeveiligingsdeskundigen. Alle informatie die via de collegiale toetsing wordt verkregen, wordt uitsluitend voor dat doel gebruikt. De cyberbeveiligingsdeskundigen die aan de collegiale toetsing deelnemen, maken geen gevoelige of vertrouwelijke informatie die zij uit hoofde van die collegiale toetsing hebben verkregen, bekend aan derden.</t>
        </is>
      </c>
      <c r="F27" s="5" t="inlineStr">
        <is>
          <t>not an actor (dropped)</t>
        </is>
      </c>
      <c r="G27" s="5" t="inlineStr"/>
      <c r="H27" s="6" t="n"/>
      <c r="I27" s="6" t="n"/>
      <c r="J27" s="6" t="n"/>
      <c r="K27" s="6" t="n"/>
    </row>
    <row r="28">
      <c r="A28" s="4" t="n">
        <v>27</v>
      </c>
      <c r="B28" s="5" t="inlineStr">
        <is>
          <t>32022L2555:30:1:1</t>
        </is>
      </c>
      <c r="C28" s="5" t="inlineStr">
        <is>
          <t>essentiële en belangrijke entiteiten</t>
        </is>
      </c>
      <c r="D28" s="5" t="inlineStr">
        <is>
          <t>essentiële en belangrijke entiteiten</t>
        </is>
      </c>
      <c r="E28" s="5" t="inlineStr">
        <is>
          <t>De lidstaten zorgen ervoor dat, naast de in artikel 23 geregelde meldingsplicht, op vrijwillige basis meldingen bij de CSIRT’s of, indien van toepassing, de bevoegde autoriteiten kunnen worden ingediend door:
a) essentiële en belangrijke entiteiten betreffende cyberdreigingen en bijna-incidenten;
b) andere dan in punt a) bedoelde entiteiten, ongeacht of zij binnen het toepassingsgebied van deze richtlijn vallen, wat significante incidenten, cyberdreigingen en bijna-incidenten betreft.</t>
        </is>
      </c>
      <c r="F28" s="5" t="inlineStr">
        <is>
          <t>entiteit   [32022L2555:entiteit]</t>
        </is>
      </c>
      <c r="G28" s="5" t="inlineStr">
        <is>
          <t>Defined in 32022L2555 art. 6: een natuurlijke of rechtspersoon die als zodanig is opgericht en erkend volgens het nationale recht van zijn vestigingsplaats, en die in eigen naam rechten kan uitoefenen en aan verplichtingen kan worden onderworpen</t>
        </is>
      </c>
      <c r="H28" s="6" t="n"/>
      <c r="I28" s="6" t="n"/>
      <c r="J28" s="6" t="n"/>
      <c r="K28" s="6" t="n"/>
    </row>
    <row r="29">
      <c r="A29" s="4" t="n">
        <v>28</v>
      </c>
      <c r="B29" s="5" t="inlineStr">
        <is>
          <t>BWBR0009950:11.9:1:2</t>
        </is>
      </c>
      <c r="C29" s="5" t="inlineStr">
        <is>
          <t>De aanbieder van een openbaar elektronisch communicatienetwerk en de aanbieder van een openbare elektronische communicatiedienst die door middel van dat netwerk of als onderdeel van die dienst nummeridentificatie aanbiedt</t>
        </is>
      </c>
      <c r="D29" s="5" t="inlineStr">
        <is>
          <t>aanbieder van een openbaar elektronisch communicatienetwerk</t>
        </is>
      </c>
      <c r="E29" s="5" t="inlineStr">
        <is>
          <t>De aanbieder van een openbaar elektronisch communicatienetwerk en de aanbieder van een openbare elektronische communicatiedienst die door middel van dat netwerk of als onderdeel van die dienst nummeridentificatie aanbiedt, biedt:
a.
aan iedere oproepende gebruiker onderscheidenlijk abonnee mogelijkheden aan om kosteloos de verstrekking van het nummer van het oproepende netwerkaansluitpunt dan wel een nummer waarmee een individuele gebruiker kan worden geïdentificeerd te blokkeren onderscheidenlijk de verstrekking van nummers van oproepende netwerkaansluitpunten dan wel nummers waarmee individuele gebruikers kunnen worden geïdentificeerd voor elke afzonderlijke abonneelijn te blokkeren;
b.
aan iedere opgeroepen abonnee mogelijkheden aan om:
1°.
de verstrekking van het nummer van het oproepende netwerkaansluitpunt dan wel een nummer waarmee een individuele gebruiker kan worden geïdentificeerd te verhinderen;
2°.
oproepen waarbij de verstrekking van het nummer van het oproepende netwerkaansluitpunt dan wel een nummer waarmee een individuele gebruiker kan worden geïdentificeerd is geblokkeerd, te weigeren;
3°.
indien nummeridentificatie als bedoeld in artikel 1.1, wordt aangeboden, kosteloos de verstrekking van het nummer van het opgeroepen netwerkaansluitpunt dan wel een nummer waarmee een individuele gebruiker kan worden geïdentificeerd aan het oproepende netwerkaansluitpunt te blokkeren.</t>
        </is>
      </c>
      <c r="F29" s="5" t="inlineStr">
        <is>
          <t>aanbieder van een openbaar elektronisch communicatienetwerk   [BWBR0009950:aanbieder_van_een_openbaar_elektronisch_communicatienetwerk]</t>
        </is>
      </c>
      <c r="G29" s="5" t="inlineStr">
        <is>
          <t>Defined in BWBR0009950 art. 5.1: degene die in eigen naam en voor eigen rekening kabels ten dienste van een dergelijk netwerk aanlegt, instandhoudt en opruimt.</t>
        </is>
      </c>
      <c r="H29" s="6" t="n"/>
      <c r="I29" s="6" t="n"/>
      <c r="J29" s="6" t="n"/>
      <c r="K29" s="6" t="n"/>
    </row>
    <row r="30">
      <c r="A30" s="4" t="n">
        <v>29</v>
      </c>
      <c r="B30" s="5" t="inlineStr">
        <is>
          <t>BWBR0009950:15.7b:2:4</t>
        </is>
      </c>
      <c r="C30" s="5" t="inlineStr">
        <is>
          <t>De ambtenaar die gebruik heeft gemaakt van de bevoegdheid, bedoeld in het eerste lid</t>
        </is>
      </c>
      <c r="D30" s="5" t="inlineStr">
        <is>
          <t>ambtenaar</t>
        </is>
      </c>
      <c r="E30" s="5" t="inlineStr">
        <is>
          <t>De ambtenaar die gebruik heeft gemaakt van de bevoegdheid, bedoeld in het eerste lid, maakt daarvan een schriftelijk verslag op waarin hij vermeldt:
a.
zijn naam of nummer en hoedanigheid;
b.
de motivering van de noodzaak tot uitoefening van de bevoegdheid;
c.
de voorschriften op de naleving waarvan wordt toegezien;
d.
het adres, waaronder indien van toepassing, het elektronische adres, waar de uitrusting of het radioapparaat is verkregen en, voor zover bekend, de omschrijving van de betrokken marktdeelnemer;
e.
de onjuiste of onvolledige gegevens die bij de handelingen ten behoeve van het verkrijgen van de uitrusting of het radioapparaat zijn verstrekt;
f.
de wijze waarop en het tijdvak waarin de handelingen hebben plaatsgevonden;
g.
hetgeen tijdens het onderzoek van de uitrusting of het radioapparaat is verricht, gebleken en overigens is voorgevallen.</t>
        </is>
      </c>
      <c r="F30" s="5" t="inlineStr">
        <is>
          <t>not an actor (dropped)</t>
        </is>
      </c>
      <c r="G30" s="5" t="inlineStr"/>
      <c r="H30" s="6" t="n"/>
      <c r="I30" s="6" t="n"/>
      <c r="J30" s="6" t="n"/>
      <c r="K30" s="6" t="n"/>
    </row>
    <row r="31">
      <c r="A31" s="4" t="n">
        <v>30</v>
      </c>
      <c r="B31" s="5" t="inlineStr">
        <is>
          <t>BWBR0052872:36:2:4</t>
        </is>
      </c>
      <c r="C31" s="5" t="inlineStr">
        <is>
          <t>Het CSIRT</t>
        </is>
      </c>
      <c r="D31" s="5" t="inlineStr">
        <is>
          <t>CSIRT</t>
        </is>
      </c>
      <c r="E31" s="5" t="inlineStr">
        <is>
          <t>Het CSIRT verleent aanvullende technische ondersteuning indien de betrokken entiteit daar om verzoekt.</t>
        </is>
      </c>
      <c r="F31" s="5" t="inlineStr">
        <is>
          <t>CSIRT   [BWBR0052872:csirt]</t>
        </is>
      </c>
      <c r="G31" s="5" t="inlineStr">
        <is>
          <t>Defined in BWBR0052872 art. 1: een Computer security incident response team, bedoeld in artikel 10 van de NIS2-richtlijn en bedoeld in artikel 16</t>
        </is>
      </c>
      <c r="H31" s="6" t="n"/>
      <c r="I31" s="6" t="n"/>
      <c r="J31" s="6" t="n"/>
      <c r="K31" s="6" t="n"/>
    </row>
    <row r="32">
      <c r="A32" s="4" t="n">
        <v>31</v>
      </c>
      <c r="B32" s="5" t="inlineStr">
        <is>
          <t>32022L2555:23:4:9</t>
        </is>
      </c>
      <c r="C32" s="5" t="inlineStr">
        <is>
          <t>de betrokken entiteiten</t>
        </is>
      </c>
      <c r="D32" s="5" t="inlineStr">
        <is>
          <t>betrokken entiteiten</t>
        </is>
      </c>
      <c r="E32" s="5" t="inlineStr">
        <is>
          <t xml:space="preserve">De lidstaten zorgen ervoor dat de betrokken entiteiten, voor de in lid 1 bedoelde melding, bij het CSIRT of, indien van toepassing, de bevoegde autoriteit:
a) onverwijld en in elk geval binnen 24 uur nadat zij kennis hebben gekregen van het significante incident, een vroegtijdige waarschuwing geven, waarin, indien van toepassing, wordt aangegeven of het significante incident vermoedelijk door een onrechtmatige of kwaadwillige handeling is veroorzaakt, dan wel grensoverschrijdende gevolgen zou kunnen hebben;
b) onverwijld en in elk geval binnen 72 uur nadat zij kennis hebben gekregen van het significante incident, een incidentmelding indienen met, indien van toepassing, een update van de in punt a) bedoelde informatie, een initiële beoordeling van het significante incident, met inbegrip van de ernst en de gevolgen ervan en, indien beschikbaar, de indicatoren voor aantasting;
c) op verzoek van het CSIRT of, indien van toepassing, de bevoegde autoriteit, een tussentijds verslag indienen over relevante updates van de situatie;
d) uiterlijk één maand na de indiening van het in punt b) bedoelde incidentmelding, een eindverslag indienen waarin het volgende is opgenomen:
i) een gedetailleerde beschrijving van het incident, met inbegrip van de ernst en de gevolgen ervan;
ii) het soort bedreiging of de grondoorzaak die waarschijnlijk tot het incident heeft geleid;
iii) toegepaste en lopende risicobeperkende maatregelen;
iv) in voorkomend geval, de grensoverschrijdende gevolgen </t>
        </is>
      </c>
      <c r="F32" s="5" t="inlineStr">
        <is>
          <t>entiteit   [32022L2555:entiteit]</t>
        </is>
      </c>
      <c r="G32" s="5" t="inlineStr">
        <is>
          <t>Defined in 32022L2555 art. 6: een natuurlijke of rechtspersoon die als zodanig is opgericht en erkend volgens het nationale recht van zijn vestigingsplaats, en die in eigen naam rechten kan uitoefenen en aan verplichtingen kan worden onderworpen</t>
        </is>
      </c>
      <c r="H32" s="6" t="n"/>
      <c r="I32" s="6" t="n"/>
      <c r="J32" s="6" t="n"/>
      <c r="K32" s="6" t="n"/>
    </row>
    <row r="33">
      <c r="A33" s="4" t="n">
        <v>32</v>
      </c>
      <c r="B33" s="5" t="inlineStr">
        <is>
          <t>[1] BWBR0048156:9:8:16
[2] BWBR0048156:11:8:9
[3] BWBR0048156:14:8:15</t>
        </is>
      </c>
      <c r="C33" s="5" t="inlineStr">
        <is>
          <t>[1] Onze Minister
[2] Onze Minister
[3] Onze Minister</t>
        </is>
      </c>
      <c r="D33" s="5" t="inlineStr">
        <is>
          <t>Onze Minister</t>
        </is>
      </c>
      <c r="E33" s="5" t="inlineStr">
        <is>
          <t>[1] Een erkenning kan op verzoek van de houder worden ingetrokken. Onze Minister kan bij dit besluit de houder verplichten zijn activiteiten voort te zetten gedurende een door Onze Minister te bepalen periode, voor zover dat nodig is om continuïteit van betrouwbare toegang tot elektronische dienstverlening te borgen.
[2] Onze Minister weigert een aanvraag tot erkenning, indien zwaarwegende redenen zich tegen erkenning verzetten. Van dergelijke redenen is sprake in geval ernstig gevaar bestaat dat de erkenning mede zal worden gebruikt om strafbare feiten te plegen of uit strafbare feiten verkregen of te verkrijgen voordelen te benutten of anderszins de betrouwbaarheid en veiligheid van het Nederlandse stelsel voor elektronische dienstverlening in gevaar komt.
[3] Van een besluit als bedoeld in dit artikel doet Onze Minister mededeling in de Staatscourant.</t>
        </is>
      </c>
      <c r="F33" s="5" t="inlineStr">
        <is>
          <t>Onze Minister   [BWBR0048156:onze_minister]</t>
        </is>
      </c>
      <c r="G33" s="5" t="inlineStr">
        <is>
          <t>Defined in BWBR0048156 art. 1: Onze Minister van Binnenlandse Zaken en Koninkrijksrelaties</t>
        </is>
      </c>
      <c r="H33" s="6" t="n"/>
      <c r="I33" s="6" t="n"/>
      <c r="J33" s="6" t="n"/>
      <c r="K33" s="6" t="n"/>
    </row>
    <row r="34">
      <c r="A34" s="4" t="n">
        <v>33</v>
      </c>
      <c r="B34" s="5" t="inlineStr">
        <is>
          <t>32024R1689:17:1:2</t>
        </is>
      </c>
      <c r="C34" s="5" t="inlineStr">
        <is>
          <t>Dit systeem</t>
        </is>
      </c>
      <c r="D34" s="5" t="inlineStr">
        <is>
          <t>systeem</t>
        </is>
      </c>
      <c r="E34" s="5" t="inlineStr">
        <is>
          <t>Aanbieders van AI-systemen met een hoog risico voorzien in een systeem voor kwaliteitsbeheer dat de naleving van deze verordening waarborgt. Dit systeem wordt op systematische en ordelijke wijze gedocumenteerd in de vorm van schriftelijke beleidslijnen, procedures en instructies en omvat ten minste de volgende aspecten:
a) een strategie voor de naleving van de regelgeving, inclusief de naleving van de conformiteitsbeoordelingsprocedures en de procedures voor het beheer van de wijzigingen van het AI-systeem met een hoog risico;
b) technieken, procedures en systematische maatregelen die moeten worden toegepast voor het ontwerp, de controle van het ontwerp en de verificatie van het ontwerp van het AI-systeem met een hoog risico;
c) technieken, procedures en systematische maatregelen die moeten worden toegepast voor de ontwikkeling, de kwaliteitscontrole en de kwaliteitsborging van het AI-systeem met een hoog risico;
d) procedures voor het inspecteren, testen en valideren die vóór, tijdens en na de ontwikkeling van het AI-systeem met een hoog risico moeten worden uitgevoerd en de regelmaat waarmee zij moeten worden uitgevoerd;
e) technische specificaties, met inbegrip van normen, die moeten worden toegepast en, wanneer de relevante geharmoniseerde normen niet volledig worden toegepast of geen betrekking hebben op alle relevante eisen van afdeling 2, de middelen die worden gebruikt om ervoor te zorgen dat het AI-systeem met een hoog risico in overeenstemming is met deze eisen</t>
        </is>
      </c>
      <c r="F34" s="5" t="inlineStr">
        <is>
          <t>not an actor (dropped)</t>
        </is>
      </c>
      <c r="G34" s="5" t="inlineStr"/>
      <c r="H34" s="6" t="n"/>
      <c r="I34" s="6" t="n"/>
      <c r="J34" s="6" t="n"/>
      <c r="K34" s="6" t="n"/>
    </row>
    <row r="35">
      <c r="A35" s="4" t="n">
        <v>34</v>
      </c>
      <c r="B35" s="5" t="inlineStr">
        <is>
          <t>32022R2554:30:2:5</t>
        </is>
      </c>
      <c r="C35" s="5" t="inlineStr">
        <is>
          <t>De contractuele overeenkomsten inzake het gebruik van ICT-diensten</t>
        </is>
      </c>
      <c r="D35" s="5" t="inlineStr">
        <is>
          <t>contractuele overeenkomsten inzake het gebruik van ICT-diensten</t>
        </is>
      </c>
      <c r="E35" s="5" t="inlineStr">
        <is>
          <t>De contractuele overeenkomsten inzake het gebruik van ICT-diensten bevatten ten minste de volgende elementen:
a) een duidelijke en volledige beschrijving van alle door de derde aanbieder van ICT-diensten te leveren functies en ICT-diensten, met vermelding of het uitbesteden van een ICT-dienst die een kritieke of belangrijke functie ondersteunt, of van materiële onderdelen daarvan, is toegestaan en indien dit het geval is, welke voorwaarden op die uitbesteding van toepassing zijn;
b) de locaties, met name de regio’s of landen, waar de contractueel overeengekomen of uitbestede functies en ICT-diensten moeten worden geleverd en waar gegevens moeten worden verwerkt, met inbegrip van de opslaglocatie, en de verplichting voor de derde aanbieder van ICT-diensten om de financiële entiteit vooraf in kennis te stellen indien hij voornemens is van locatie te veranderen;
c) bepalingen inzake beschikbaarheid, authenticiteit, integriteit en vertrouwelijkheid met betrekking tot de bescherming van gegevens, met inbegrip van persoonsgegevens;
d) bepalingen inzake het waarborgen van de toegang, het herstel en de teruggave in een gemakkelijk toegankelijk formaat van door de financiële entiteit verwerkte persoonsgegevens en niet-persoonsgebonden gegevens in geval van insolventie, afwikkeling of stopzetting van de bedrijfsactiviteiten van de derde aanbieder van ICT-diensten, of in geval van beëindiging van de contractuele overeenkomsten;
e) beschrijvingen van het dienstenniveau, met inbegrip</t>
        </is>
      </c>
      <c r="F35" s="5" t="inlineStr">
        <is>
          <t>not an actor (dropped)</t>
        </is>
      </c>
      <c r="G35" s="5" t="inlineStr"/>
      <c r="H35" s="6" t="n"/>
      <c r="I35" s="6" t="n"/>
      <c r="J35" s="6" t="n"/>
      <c r="K35" s="6" t="n"/>
    </row>
    <row r="36">
      <c r="A36" s="4" t="n">
        <v>35</v>
      </c>
      <c r="B36" s="5" t="inlineStr">
        <is>
          <t>[1] 32016R0679:64:1:1
[2] 32016R0679:70:1:8
[3] 32016R0679:70:1:18</t>
        </is>
      </c>
      <c r="C36" s="5" t="inlineStr">
        <is>
          <t>[1] Het Comité
[2] Het Comité
[3] Het Comité</t>
        </is>
      </c>
      <c r="D36" s="5" t="inlineStr">
        <is>
          <t>Comité</t>
        </is>
      </c>
      <c r="E36" s="5" t="inlineStr">
        <is>
          <t>[1] Het Comité brengt een advies uit wanneer een bevoegde toezichthoudende autoriteit voornemens is een van onderstaande maatregelen vast te stellen. Hiertoe deelt de bevoegde toezichthoudende autoriteit het Comité het ontwerpbesluit mee indien het:
a) de vaststelling beoogt van een lijst van verwerkingen waarvoor de eis inzake een gegevensbeschermingseffectbeoordeling overeenkomstig artikel 35, lid 4, geldt;
b) betrekking heeft op de vraag, overeenkomstig artikel 40, lid 7, of een gedragscode of 
[2] Het Comité zorgt ervoor dat deze verordening consequent wordt toegepast. Daartoe doet het Comité op eigen initiatief of, waar passend, op verzoek van de Commissie met name het volgende:
a) toezien op en zorgen voor de juiste toepassing van deze verordening in de in de artikelen 64 en 65 bedoelde gevallen, onverminderd de taken van de nationale toezichthoudende autoriteiten;
b) adviseren van de Commissie over aangelegenheden in verband met de bescherming van persoonsgegevens in de Unie, waarond
[3] Het Comité zorgt ervoor dat deze verordening consequent wordt toegepast. Daartoe doet het Comité op eigen initiatief of, waar passend, op verzoek van de Commissie met name het volgende:
a) toezien op en zorgen voor de juiste toepassing van deze verordening in de in de artikelen 64 en 65 bedoelde gevallen, onverminderd de taken van de nationale toezichthoudende autoriteiten;
b) adviseren van de Commissie over aangelegenheden in verband met de bescherming van persoonsgegevens in de Unie, waarond</t>
        </is>
      </c>
      <c r="F36" s="5" t="inlineStr">
        <is>
          <t>Comité   [KEY:32016R0679:comite]</t>
        </is>
      </c>
      <c r="G36" s="5" t="inlineStr">
        <is>
          <t>Known actor (not defined), class body, valid in 32016R0679. Aliases: Europees Comité voor gegevensbescherming.</t>
        </is>
      </c>
      <c r="H36" s="6" t="n"/>
      <c r="I36" s="6" t="n"/>
      <c r="J36" s="6" t="n"/>
      <c r="K36" s="6" t="n"/>
    </row>
    <row r="37">
      <c r="A37" s="4" t="n">
        <v>36</v>
      </c>
      <c r="B37" s="5" t="inlineStr">
        <is>
          <t>32016R0679:26:1:3</t>
        </is>
      </c>
      <c r="C37" s="5" t="inlineStr">
        <is>
          <t>twee of meer verwerkingsverantwoordelijken</t>
        </is>
      </c>
      <c r="D37" s="5" t="inlineStr">
        <is>
          <t>twee of meer verwerkingsverantwoordelijken</t>
        </is>
      </c>
      <c r="E37" s="5" t="inlineStr">
        <is>
          <t>Wanneer twee of meer verwerkingsverantwoordelijken gezamenlijk de doeleinden en middelen van de verwerking bepalen, zijn zij gezamenlijke verwerkingsverantwoordelijken. Zij stellen op transparante wijze hun respectieve verantwoordelijkheden voor de nakoming van de verplichtingen uit hoofde van deze verordening vast, met name met betrekking tot de uitoefening van de rechten van de betrokkene en hun respectieve verplichtingen om de in de artikelen 13 en 14 bedoelde informatie te verstrekken, door middel van een onderlinge regeling, tenzij en voor zover de respectieve verantwoordelijkheden van de verwerkingsverantwoordelijken zijn vastgesteld bij een Unierechtelijke of lidstaatrechtelijke bepaling die op de verwerkingsverantwoordelijken van toepassing is. In de regeling kan een contactpunt voor betrokkenen worden aangewezen.</t>
        </is>
      </c>
      <c r="F37" s="5" t="inlineStr">
        <is>
          <t>verwerkingsverantwoordelijke   [32016R0679:verwerkingsverantwoordelijke]</t>
        </is>
      </c>
      <c r="G37" s="5" t="inlineStr">
        <is>
          <t>Defined in 32016R0679 art. 4: een natuurlijke persoon of rechtspersoon, een overheidsinstantie, een dienst of een ander orgaan die/dat, alleen of samen met anderen, het doel van en de middelen voor de verwerking van persoonsgegevens vaststelt; wanneer de doelstellingen van en de middelen voor deze verwerking in het Unierecht of het lidstatelijke recht worden vastgesteld, kan daarin worden bepaald wie de verwerkingsverantwoordelijke is of volgens welke criteria deze wordt aangewezen</t>
        </is>
      </c>
      <c r="H37" s="6" t="n"/>
      <c r="I37" s="6" t="n"/>
      <c r="J37" s="6" t="n"/>
      <c r="K37" s="6" t="n"/>
    </row>
    <row r="38">
      <c r="A38" s="4" t="n">
        <v>37</v>
      </c>
      <c r="B38" s="5" t="inlineStr">
        <is>
          <t>BWBR0009950:11.5a:3:3</t>
        </is>
      </c>
      <c r="C38" s="5" t="inlineStr">
        <is>
          <t>de aanbieder van de dienst met toegevoegde waarde</t>
        </is>
      </c>
      <c r="D38" s="5" t="inlineStr">
        <is>
          <t>aanbieder van de dienst met toegevoegde waarde</t>
        </is>
      </c>
      <c r="E38" s="5" t="inlineStr">
        <is>
          <t>De verwerking van de gegevens ten behoeve van de levering van een dienst met toegevoegde waarde als bedoeld in het eerste lid, onderdeel b, is slechts toegestaan voor zover en voor zolang dat noodzakelijk is voor de levering van de desbetreffende dienst. In afwijking van de eerste volzin mag de aanbieder van de dienst met toegevoegde waarde die gegevens verwerken die noodzakelijk zijn voor het opstellen van een factuur. Artikel 11.5, tweede lid, laatste volzin, is van overeenkomstige toepassing.</t>
        </is>
      </c>
      <c r="F38" s="5" t="inlineStr">
        <is>
          <t>an actor of class 'party' (no inventory entry)</t>
        </is>
      </c>
      <c r="G38" s="5" t="inlineStr"/>
      <c r="H38" s="6" t="n"/>
      <c r="I38" s="6" t="n"/>
      <c r="J38" s="6" t="n"/>
      <c r="K38" s="6" t="n"/>
    </row>
    <row r="39">
      <c r="A39" s="4" t="n">
        <v>38</v>
      </c>
      <c r="B39" s="5" t="inlineStr">
        <is>
          <t>32022L2555:32:2:3</t>
        </is>
      </c>
      <c r="C39" s="5" t="inlineStr">
        <is>
          <t>de gecontroleerde entiteit</t>
        </is>
      </c>
      <c r="D39" s="5" t="inlineStr">
        <is>
          <t>gecontroleerde entiteit</t>
        </is>
      </c>
      <c r="E39" s="5" t="inlineStr">
        <is>
          <t>De lidstaten zorgen ervoor dat de bevoegde autoriteiten bij de uitoefening van hun toezichthoudende taken met betrekking tot essentiële entiteiten de bevoegdheid hebben om deze entiteiten te onderwerpen aan ten minste:
a) inspecties ter plaatse en toezicht elders, met inbegrip van steekproefsgewijze controles die worden uitgevoerd door daartoe opgeleide professionals;
b) regelmatige en gerichte beveiligingsaudits die worden uitgevoerd door een onafhankelijke instantie of een bevoegde autoriteit;
c) ad-hocaudits, ook in gevallen waarin dat gerechtvaardigd is op grond van een significant incident of inbreuk op deze richtlijn door de essentiële entiteit;
d) beveiligingsscans op basis van objectieve, niet-discriminerende, eerlijke en transparante risicobeoordelingscriteria, indien nodig in samenwerking met de betrokken entiteit;
e) verzoeken om informatie die nodig is om de door de betrokken entiteit genomen maatregelen voor het beheer van cyberbeveiligingsrisico’s te beoordelen, met inbegrip van gedocumenteerd cyberbeveiligingsbeleid, alsmede de naleving van de verplichting op grond van artikel 27 om bij de bevoegde autoriteiten informatie in te dienen;
f) verzoeken om toegang tot gegevens, documenten en informatie die nodig zijn voor de uitoefening van hun toezichthoudende taken;
g) verzoeken om bewijs van de uitvoering van het cyberbeveiligingsbeleid, zoals de resultaten van beveiligingsaudits die door een gekwalificeerde auditor zijn uitgevoerd en de respectieve onderl</t>
        </is>
      </c>
      <c r="F39" s="5" t="inlineStr">
        <is>
          <t>entiteit   [32022L2555:entiteit]</t>
        </is>
      </c>
      <c r="G39" s="5" t="inlineStr">
        <is>
          <t>Defined in 32022L2555 art. 6: een natuurlijke of rechtspersoon die als zodanig is opgericht en erkend volgens het nationale recht van zijn vestigingsplaats, en die in eigen naam rechten kan uitoefenen en aan verplichtingen kan worden onderworpen</t>
        </is>
      </c>
      <c r="H39" s="6" t="n"/>
      <c r="I39" s="6" t="n"/>
      <c r="J39" s="6" t="n"/>
      <c r="K39" s="6" t="n"/>
    </row>
    <row r="40">
      <c r="A40" s="4" t="n">
        <v>39</v>
      </c>
      <c r="B40" s="5" t="inlineStr">
        <is>
          <t>32022R2554:12:3:13</t>
        </is>
      </c>
      <c r="C40" s="5" t="inlineStr">
        <is>
          <t>centrale tegenpartij</t>
        </is>
      </c>
      <c r="D40" s="5" t="inlineStr">
        <is>
          <t>centrale tegenpartij</t>
        </is>
      </c>
      <c r="E40" s="5" t="inlineStr">
        <is>
          <t>Wanneer financiële entiteiten back-upgegevens terugzetten met behulp van eigen systemen, maken zij gebruik van ICT-systemen die fysiek of logisch gescheiden zijn van het bron-ICT-systeem. De ICT-systemen zijn tegen ongeoorloofde toegang of beschadiging van ICT beveiligd en maken het mogelijk diensten indien nodig tijdig terug te zetten met gebruikmaking van gegevens en systeemback-ups.
Voor centrale tegenpartijen maken de herstelplannen het herstel mogelijk van alle transacties ten tijde van de verstoring, om de centrale tegenpartij in staat te stellen haar activiteiten met zekerheid voort te zetten en de transactie af te wikkelen op de geplande datum.
Aanbieders van datarapporteringsdiensten houden daarnaast voldoende middelen aan en beschikken over back-up- en terugzetfaciliteiten om hun diensten te allen tijde aan te bieden en te onderhouden.</t>
        </is>
      </c>
      <c r="F40" s="5" t="inlineStr">
        <is>
          <t>centrale tegenpartij   [32022R2554:centrale_tegenpartij]</t>
        </is>
      </c>
      <c r="G40" s="5" t="inlineStr">
        <is>
          <t>Defined in 32022R2554 art. 3: een centrale tegenpartij in de zin van artikel 2, punt 1), van Verordening (EU) nr. 648/2012</t>
        </is>
      </c>
      <c r="H40" s="6" t="n"/>
      <c r="I40" s="6" t="n"/>
      <c r="J40" s="6" t="n"/>
      <c r="K40" s="6" t="n"/>
    </row>
    <row r="41">
      <c r="A41" s="4" t="n">
        <v>40</v>
      </c>
      <c r="B41" s="5" t="inlineStr">
        <is>
          <t>BWBR0040940:5:1:1</t>
        </is>
      </c>
      <c r="C41" s="5" t="inlineStr">
        <is>
          <t>zijn wettelijk vertegenwoordiger</t>
        </is>
      </c>
      <c r="D41" s="5" t="inlineStr">
        <is>
          <t>wettelijk vertegenwoordiger</t>
        </is>
      </c>
      <c r="E41" s="5" t="inlineStr">
        <is>
          <t>Indien artikel 8 van de verordening niet van toepassing is en sprake is van toestemming als bedoeld in artikel 4, onderdeel elf, van de verordening en de betrokkene heeft de leeftijd van zestien jaren nog niet bereikt, is in plaats van toestemming van de betrokkene, de toestemming van zijn wettelijk vertegenwoordiger vereist.</t>
        </is>
      </c>
      <c r="F41" s="5" t="inlineStr">
        <is>
          <t>an actor of class 'party' (no inventory entry)</t>
        </is>
      </c>
      <c r="G41" s="5" t="inlineStr"/>
      <c r="H41" s="6" t="n"/>
      <c r="I41" s="6" t="n"/>
      <c r="J41" s="6" t="n"/>
      <c r="K41" s="6" t="n"/>
    </row>
    <row r="42">
      <c r="A42" s="4" t="n">
        <v>41</v>
      </c>
      <c r="B42" s="5" t="inlineStr">
        <is>
          <t>BWBR0040940:7:8:12</t>
        </is>
      </c>
      <c r="C42" s="5" t="inlineStr">
        <is>
          <t>Onze Minister</t>
        </is>
      </c>
      <c r="D42" s="5" t="inlineStr">
        <is>
          <t>Onze Minister</t>
        </is>
      </c>
      <c r="E42" s="5" t="inlineStr">
        <is>
          <t>Op eigen verzoek worden de voorzitter, de andere leden en de buitengewone leden van de Autoriteit persoonsgegevens door Onze Minister ontslagen.</t>
        </is>
      </c>
      <c r="F42" s="5" t="inlineStr">
        <is>
          <t>Onze Minister   [BWBR0040940:onze_minister]</t>
        </is>
      </c>
      <c r="G42" s="5" t="inlineStr">
        <is>
          <t>Defined in BWBR0040940 art. 1: Onze Minister voor Rechtsbescherming</t>
        </is>
      </c>
      <c r="H42" s="6" t="n"/>
      <c r="I42" s="6" t="n"/>
      <c r="J42" s="6" t="n"/>
      <c r="K42" s="6" t="n"/>
    </row>
    <row r="43">
      <c r="A43" s="4" t="n">
        <v>42</v>
      </c>
      <c r="B43" s="5" t="inlineStr">
        <is>
          <t>BWBR0009950:12.6:whole:1</t>
        </is>
      </c>
      <c r="C43" s="5" t="inlineStr">
        <is>
          <t>Een bij een geschil betrokken partij</t>
        </is>
      </c>
      <c r="D43" s="5" t="inlineStr">
        <is>
          <t>bij een geschil betrokken partij</t>
        </is>
      </c>
      <c r="E43" s="5" t="inlineStr">
        <is>
          <t>Een bij een geschil betrokken partij volgt de door de Autoriteit Consument en Markt op grond van artikel 12.2 genomen besluit op. De Autoriteit Consument en Markt kan daarbij termijnen stellen.</t>
        </is>
      </c>
      <c r="F43" s="5" t="inlineStr">
        <is>
          <t>betrokken partij   [BWBR0009950:betrokken_partij]</t>
        </is>
      </c>
      <c r="G43" s="5" t="inlineStr">
        <is>
          <t>Defined in BWBR0009950 art. 14a.1: telecommunicatiepartij waarop een verbod als bedoeld in artikel 14a.4, eerste lid, betrekking heeft</t>
        </is>
      </c>
      <c r="H43" s="6" t="n"/>
      <c r="I43" s="6" t="n"/>
      <c r="J43" s="6" t="n"/>
      <c r="K43" s="6" t="n"/>
    </row>
    <row r="44">
      <c r="A44" s="4" t="n">
        <v>43</v>
      </c>
      <c r="B44" s="5" t="inlineStr">
        <is>
          <t>[1] 32022R2554:27:2:6
[2] 32022R2554:12:4:15
[3] 32022R2554:8:1:4</t>
        </is>
      </c>
      <c r="C44" s="5" t="inlineStr">
        <is>
          <t>[1] de financiële entiteiten
[2] Andere financiële entiteiten dan micro-ondernemingen
[3] financiële entiteiten</t>
        </is>
      </c>
      <c r="D44" s="5" t="inlineStr">
        <is>
          <t>financiële entiteiten</t>
        </is>
      </c>
      <c r="E44" s="5" t="inlineStr">
        <is>
          <t>[1] Bij het inzetten van interne testers zorgen de financiële entiteiten ervoor dat, naast de vereisten van lid 1, de volgende voorwaarden worden vervuld:
a) dergelijk inzetten van interne testers is goedgekeurd door de relevante bevoegde autoriteit of de overeenkomstig artikel 26, leden 9 en 10, aangewezen enige overheidsinstantie;
b) de relevante bevoegde autoriteit heeft geverifieerd dat de financiële entiteit voldoende middelen heeft ingezet en heeft ervoor gezorgd dat belangenconflicten gedur
[2] Andere financiële entiteiten dan micro-ondernemingen houden ICT-capaciteiten in reserve met middelen, capaciteiten en functies die geschikt zijn om te voorzien in de zakelijke behoeften. Micro-ondernemingen gaan op basis van hun risicoprofiel na of dergelijke reservecapaciteiten behouden moeten worden.
[3] In het kader van het in artikel 6, lid 1, bedoelde kader voor ICT-risicobeheer identificeren, classificeren en documenteren financiële entiteiten naar behoren alle door ICT ondersteunde bedrijfsfuncties, taken en verantwoordelijkheden, de informatie- en ICT-activa die deze functies ondersteunen, en hun taken en afhankelijkheden met betrekking tot ICT-risico’s. Financiële entiteiten evalueren indien nodig en ten minste eenmaal per jaar of deze classificatie en de relevante documentatie adequaat i</t>
        </is>
      </c>
      <c r="F44" s="5" t="inlineStr">
        <is>
          <t>an actor of class 'party' (no inventory entry)</t>
        </is>
      </c>
      <c r="G44" s="5" t="inlineStr"/>
      <c r="H44" s="6" t="n"/>
      <c r="I44" s="6" t="n"/>
      <c r="J44" s="6" t="n"/>
      <c r="K44" s="6" t="n"/>
    </row>
    <row r="45">
      <c r="A45" s="4" t="n">
        <v>44</v>
      </c>
      <c r="B45" s="5" t="inlineStr">
        <is>
          <t>32016R0679:62:3:8</t>
        </is>
      </c>
      <c r="C45" s="5" t="inlineStr">
        <is>
          <t>de leden of de personeelsleden van de ondersteunende toezichthoudende autoriteit</t>
        </is>
      </c>
      <c r="D45" s="5" t="inlineStr">
        <is>
          <t>leden</t>
        </is>
      </c>
      <c r="E45" s="5" t="inlineStr">
        <is>
          <t>Een toezichthoudende autoriteit kan overeenkomstig het lidstatelijke recht en met toestemming van de ondersteunende toezichthoudende autoriteit, aan de aan gezamenlijke werkzaamheden deelnemende leden of personeelsleden van de ondersteunende toezichthoudende autoriteit bevoegdheden toekennen, onder meer in verband met het voeren van onderzoek, of, voor zover het nationale recht de ontvangende toezichthoudende autoriteit dat toestaat, de leden of de personeelsleden van de ondersteunende toezichthoudende autoriteit toestaan om hun onderzoeksbevoegdheden overeenkomstig het nationale recht van de ondersteunende toezichthoudende autoriteit uit te oefenen. Deze onderzoeksbevoegdheden mogen hierbij uitsluitend worden uitgeoefend onder leiding en in aanwezigheid van leden of personeelsleden van de ontvangende toezichthoudende autoriteit. De leden of de personeelsleden van de ondersteunende toezichthoudende autoriteit zijn onderworpen aan het recht van de lidstaat van de ontvangende toezichthoudende autoriteit.</t>
        </is>
      </c>
      <c r="F45" s="5" t="inlineStr">
        <is>
          <t>an actor of class 'office' (no inventory entry)</t>
        </is>
      </c>
      <c r="G45" s="5" t="inlineStr"/>
      <c r="H45" s="6" t="n"/>
      <c r="I45" s="6" t="n"/>
      <c r="J45" s="6" t="n"/>
      <c r="K45" s="6" t="n"/>
    </row>
    <row r="46">
      <c r="A46" s="4" t="n">
        <v>45</v>
      </c>
      <c r="B46" s="5" t="inlineStr">
        <is>
          <t>32024R1689:59:1:1</t>
        </is>
      </c>
      <c r="C46" s="5" t="inlineStr">
        <is>
          <t>aanbieders</t>
        </is>
      </c>
      <c r="D46" s="5" t="inlineStr">
        <is>
          <t>aanbieders</t>
        </is>
      </c>
      <c r="E46" s="5" t="inlineStr">
        <is>
          <t>In de aI-testomgeving voor regelgeving mogen rechtmatig voor andere doeleinden verzamelde persoonsgegevens uitsluitend worden verwerkt ten behoeve van het ontwikkelen, trainen en testen van bepaalde AI-systemen in de testomgeving indien aan alle volgende voorwaarden is voldaan:
a) Er worden AI-systemen ontwikkeld zodat een overheidsinstantie of een andere natuurlijke of rechtspersoon een aanzienlijk openbaar belang kan waarborgen op een of meer van de volgende gebieden:
i) openbare veiligheid en volksgezondheid, met inbegrip van opsporing, diagnosticering, preventie, bestrijding en behandeling van ziekten en verbetering van gezondheidszorgstelsels;
ii) een hoog niveau van bescherming en verbetering van de kwaliteit van het milieu, bescherming van de biodiversiteit, bescherming tegen vervuiling, maatregelen voor de groene transitie en maatregelen ter beperking van en aanpassing aan klimaatverandering;
iii) energieduurzaamheid;
iv) de veiligheid en veerkracht van vervoerssystemen en mobiliteit, kritieke vervoersinfrastructuur en vervoersnetwerken;
v) doeltreffendheid en kwaliteit van het openbaar bestuur en de openbare diensten;
b) de verwerkte data zijn nodig om te voldoen aan een of meer van de in hoofdstuk III, afdeling 2, bedoelde eisen wanneer die eisen niet doeltreffend kunnen worden vervuld door het verwerken van geanonimiseerde, synthetische of andere niet persoonsgebonden data;
c) er zijn doeltreffende monitoringmechanismen om vast te stellen of zich tijdens de</t>
        </is>
      </c>
      <c r="F46" s="5" t="inlineStr">
        <is>
          <t>aanbieder   [32024R1689:aanbieder]</t>
        </is>
      </c>
      <c r="G46"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H46" s="6" t="n"/>
      <c r="I46" s="6" t="n"/>
      <c r="J46" s="6" t="n"/>
      <c r="K46" s="6" t="n"/>
    </row>
    <row r="47">
      <c r="A47" s="4" t="n">
        <v>46</v>
      </c>
      <c r="B47" s="5" t="inlineStr">
        <is>
          <t>BWBR0040940:11:5:5</t>
        </is>
      </c>
      <c r="C47" s="5" t="inlineStr">
        <is>
          <t>De leden</t>
        </is>
      </c>
      <c r="D47" s="5" t="inlineStr">
        <is>
          <t>leden</t>
        </is>
      </c>
      <c r="E47" s="5" t="inlineStr">
        <is>
          <t>De leden stellen een verdeling van taken vast en betrekken hierbij zoveel mogelijk de buitengewone leden.</t>
        </is>
      </c>
      <c r="F47" s="5" t="inlineStr">
        <is>
          <t>an actor of class 'office' (no inventory entry)</t>
        </is>
      </c>
      <c r="G47" s="5" t="inlineStr"/>
      <c r="H47" s="6" t="n"/>
      <c r="I47" s="6" t="n"/>
      <c r="J47" s="6" t="n"/>
      <c r="K47" s="6" t="n"/>
    </row>
    <row r="48">
      <c r="A48" s="4" t="n">
        <v>47</v>
      </c>
      <c r="B48" s="5" t="inlineStr">
        <is>
          <t>[1] 32022R2554:47:3:5
[2] 32022R2554:33:5:9
[3] 32022L2555:32:5:22</t>
        </is>
      </c>
      <c r="C48" s="5" t="inlineStr">
        <is>
          <t>[1] de bevoegde autoriteiten
[2] de bevoegde autoriteiten
[3] de bevoegde autoriteiten</t>
        </is>
      </c>
      <c r="D48" s="5" t="inlineStr">
        <is>
          <t>bevoegde autoriteiten</t>
        </is>
      </c>
      <c r="E48" s="5" t="inlineStr">
        <is>
          <t>[1] In voorkomend geval kunnen de bevoegde autoriteiten alle relevante technische adviezen en bijstand inwinnen bij de overeenkomstig Richtlijn (EU) 2022/2555 aangewezen of ingestelde bevoegde autoriteiten, en kunnen zij samenwerkingsregelingen treffen voor een effectieve coördinatie van een snelle respons.
[2] Zodra de in lid 4 bedoelde jaarlijkse oversightplannen zijn vastgesteld en aan de kritieke derde aanbieder van ICT-diensten zijn meegedeeld, kunnen de bevoegde autoriteiten maatregelen met betrekking tot deze kritieke derde aanbieders van ICT-diensten alleen nemen in overeenstemming met de lead overseer.
[3] Indien de op grond van lid 4, punten a) tot en met d) en punt f), genomen handhavingsmaatregelen ondoeltreffend zijn, zorgen de lidstaten ervoor dat hun bevoegde autoriteiten de bevoegdheid hebben om een termijn vast te stellen waarbinnen de essentiële entiteit wordt verzocht de noodzakelijke maatregelen te nemen om de tekortkomingen te verhelpen of aan de eisen van die autoriteiten te voldoen. Indien de gevraagde actie niet binnen de gestelde termijn wordt ondernomen, zorgen de lidstaten ervoor</t>
        </is>
      </c>
      <c r="F48" s="5" t="inlineStr">
        <is>
          <t>an actor of class 'authority' (no inventory entry)</t>
        </is>
      </c>
      <c r="G48" s="5" t="inlineStr"/>
      <c r="H48" s="6" t="n"/>
      <c r="I48" s="6" t="n"/>
      <c r="J48" s="6" t="n"/>
      <c r="K48" s="6" t="n"/>
    </row>
    <row r="49">
      <c r="A49" s="4" t="n">
        <v>48</v>
      </c>
      <c r="B49" s="5" t="inlineStr">
        <is>
          <t>32024R1689:50:1:4</t>
        </is>
      </c>
      <c r="C49" s="5" t="inlineStr">
        <is>
          <t>de betrokken natuurlijke personen</t>
        </is>
      </c>
      <c r="D49" s="5" t="inlineStr">
        <is>
          <t>betrokken natuurlijke personen</t>
        </is>
      </c>
      <c r="E49" s="5" t="inlineStr">
        <is>
          <t>Aanbieders zorgen ervoor dat AI-systemen die voor directe interactie met natuurlijke personen zijn bedoeld, zodanig worden ontworpen en ontwikkeld dat de betrokken natuurlijke personen worden geïnformeerd dat zij interageren met een AI-systeem, tenzij dit duidelijk is vanuit het oogpunt van een normaal geïnformeerde en redelijk omzichtige en oplettende natuurlijke persoon, rekening houdend met de omstandigheden en de gebruikscontext. Deze verplichting is niet van toepassing op bij wet toegestane AI-systemen voor het opsporen, voorkomen, onderzoeken of vervolgen van strafbare feiten, met inachtneming van passende waarborgen voor de rechten en vrijheden van derden, tenzij die systemen voor het publiek beschikbaar zijn om een strafbaar feit te melden.</t>
        </is>
      </c>
      <c r="F49" s="5" t="inlineStr">
        <is>
          <t>an actor of class 'person' (no inventory entry)</t>
        </is>
      </c>
      <c r="G49" s="5" t="inlineStr"/>
      <c r="H49" s="6" t="n"/>
      <c r="I49" s="6" t="n"/>
      <c r="J49" s="6" t="n"/>
      <c r="K49" s="6" t="n"/>
    </row>
    <row r="50">
      <c r="A50" s="4" t="n">
        <v>49</v>
      </c>
      <c r="B50" s="5" t="inlineStr">
        <is>
          <t>BWBR0009950:15.7b:1:1</t>
        </is>
      </c>
      <c r="C50" s="5" t="inlineStr">
        <is>
          <t>De ambtenaren, bedoeld in artikel 15.1, eerste lid</t>
        </is>
      </c>
      <c r="D50" s="5" t="inlineStr">
        <is>
          <t>ambtenaren.1, eerste lid</t>
        </is>
      </c>
      <c r="E50" s="5" t="inlineStr">
        <is>
          <t>De ambtenaren, bedoeld in artikel 15.1, eerste lid, zijn bevoegd om, ter uitvoering van verordening (EU) 2019/1020, onder verstrekking van onjuiste of onvolledige gegevens met betrekking tot hun identiteit en hoedanigheid, uitrusting of radioapparaten te verkrijgen en de hieraan gerelateerde handelingen te verrichten voor zover dat voor de vervulling van hun taak noodzakelijk is. Artikel 5:12, tweede lid, van de Algemene wet bestuursrecht is niet van toepassing.</t>
        </is>
      </c>
      <c r="F50" s="5" t="inlineStr">
        <is>
          <t>an actor of class 'office' (no inventory entry)</t>
        </is>
      </c>
      <c r="G50" s="5" t="inlineStr"/>
      <c r="H50" s="6" t="n"/>
      <c r="I50" s="6" t="n"/>
      <c r="J50" s="6" t="n"/>
      <c r="K50" s="6" t="n"/>
    </row>
    <row r="51">
      <c r="A51" s="4" t="n">
        <v>50</v>
      </c>
      <c r="B51" s="5" t="inlineStr">
        <is>
          <t>32024R1689:58:1:3</t>
        </is>
      </c>
      <c r="C51" s="5" t="inlineStr">
        <is>
          <t>de uitvoeringshandelingen</t>
        </is>
      </c>
      <c r="D51" s="5" t="inlineStr">
        <is>
          <t>uitvoeringshandelingen</t>
        </is>
      </c>
      <c r="E51" s="5" t="inlineStr">
        <is>
          <t>Om versnippering in de Unie te voorkomen, stelt de Commissie uitvoeringshandelingen vast waarin de gedetailleerde regelingen worden gespecificeerd voor de instelling, de ontwikkeling, de uitvoering en de werking van AI-testomgevingen voor regelgeving en voor het toezicht erop. De uitvoeringshandelingen bevatten gemeenschappelijke beginselen met betrekking tot de volgende punten:
a) toelatings- en selectiecriteria voor deelname aan de AI-testomgeving voor regelgeving;
b) procedures voor de toepassing, deelname, monitoring, uittreding uit en beëindiging van de AI-testomgeving voor regelgeving, met inbegrip van het testomgevingsplan en het eindverslag;
c) de voor de deelnemers geldende voorwaarden.
Die uitvoeringshandelingen worden vastgesteld volgens de in artikel 98, lid 2, bedoelde onderzoeksprocedure.</t>
        </is>
      </c>
      <c r="F51" s="5" t="inlineStr">
        <is>
          <t>not an actor (dropped)</t>
        </is>
      </c>
      <c r="G51" s="5" t="inlineStr"/>
      <c r="H51" s="6" t="n"/>
      <c r="I51" s="6" t="n"/>
      <c r="J51" s="6" t="n"/>
      <c r="K51" s="6" t="n"/>
    </row>
    <row r="52">
      <c r="A52" s="4" t="n">
        <v>51</v>
      </c>
      <c r="B52" s="5" t="inlineStr">
        <is>
          <t>[1] 32024R1689:65:4:7
[2] 32024R1689:74:8:10
[3] 32022L2555:19:4:10</t>
        </is>
      </c>
      <c r="C52" s="5" t="inlineStr">
        <is>
          <t>[1] De lidstaten
[2] de lidstaten
[3] de lidstaten</t>
        </is>
      </c>
      <c r="D52" s="5" t="inlineStr">
        <is>
          <t>lidstaten</t>
        </is>
      </c>
      <c r="E52" s="5" t="inlineStr">
        <is>
          <t>[1] De lidstaten zorgen ervoor dat hun vertegenwoordigers in de AI-board:
a) in hun lidstaat over de toepasselijke bevoegdheden beschikken om actief bij te dragen tot de vervulling van de in artikel 66 genoemde taken van de AI-board;
b) worden aangewezen als één contactpunt voor de AI-board en, in voorkomend geval, rekening houdend met de behoeften van de lidstaten, als één contactpunt voor belanghebbenden;
c) bevoegd zijn om de samenhang en coördinatie tussen de nationale bevoegde autoriteiten i
[2] Voor AI-systemen met een hoog risico die zijn vermeld in punt 1 van bijlage III, bij deze verordening, voor zover die systemen worden gebruikt voor rechtshandhavingsdoeleinden, grenstoezicht en rechtsbedeling en democratie, en voor AI-systemen met een hoog risico die zijn vermeld in de punten 6, 7 en 8 van bijlage III, bij deze verordening wijzen de lidstaten als markttoezichtautoriteiten voor de toepassing van deze verordening hetzij de bevoegde toezichthoudende autoriteiten voor gegevensbesche
[3] Vóór de aanvang van een collegiale toetsing als bedoeld in lid 1, stellen de lidstaten de deelnemende lidstaten in kennis van de reikwijdte ervan, met inbegrip van de krachtens lid 3 voorgelegde specifieke kwesties.</t>
        </is>
      </c>
      <c r="F52" s="5" t="inlineStr">
        <is>
          <t>lidstaat   [KEY:EU:lidstaat]</t>
        </is>
      </c>
      <c r="G52" s="5" t="inlineStr">
        <is>
          <t>Known actor (not defined), class state, valid in eu.</t>
        </is>
      </c>
      <c r="H52" s="6" t="n"/>
      <c r="I52" s="6" t="n"/>
      <c r="J52" s="6" t="n"/>
      <c r="K52" s="6" t="n"/>
    </row>
    <row r="53">
      <c r="A53" s="4" t="n">
        <v>52</v>
      </c>
      <c r="B53" s="5" t="inlineStr">
        <is>
          <t>BWBR0009950:9.4:5:5</t>
        </is>
      </c>
      <c r="C53" s="5" t="inlineStr">
        <is>
          <t>degene die op grond van artikel 9.3, achtste of negende lid, is aangewezen als universeledienstverlener</t>
        </is>
      </c>
      <c r="D53" s="5" t="inlineStr">
        <is>
          <t>degene</t>
        </is>
      </c>
      <c r="E53" s="5" t="inlineStr">
        <is>
          <t>Indien het bod op de in artikel 9.3, zesde lid, onderdeel b, bedoelde wijze werd uitgebracht verstrekt degene die op grond van artikel 9.3, achtste of negende lid, is aangewezen als universeledienstverlener het aantal daadwerkelijk in het betreffende kalenderjaar gebruikte eenheden binnen vier weken na het eind van het kalenderjaar aan Onze Minister. Bij ministeriële regeling kunnen regels worden gesteld over de wijze waarop de gegevens worden verstrekt. Onze Minister publiceert de vergoeding voor het betreffende kalenderjaar in de Staatscourant.</t>
        </is>
      </c>
      <c r="F53" s="5" t="inlineStr">
        <is>
          <t>not an actor (dropped)</t>
        </is>
      </c>
      <c r="G53" s="5" t="inlineStr"/>
      <c r="H53" s="6" t="n"/>
      <c r="I53" s="6" t="n"/>
      <c r="J53" s="6" t="n"/>
      <c r="K53" s="6" t="n"/>
    </row>
    <row r="54">
      <c r="A54" s="4" t="n">
        <v>53</v>
      </c>
      <c r="B54" s="5" t="inlineStr">
        <is>
          <t>32016R0679:35:6:9</t>
        </is>
      </c>
      <c r="C54" s="5" t="inlineStr">
        <is>
          <t>de bevoegde toezichthoudende autoriteit</t>
        </is>
      </c>
      <c r="D54" s="5" t="inlineStr">
        <is>
          <t>bevoegde toezichthoudende autoriteit</t>
        </is>
      </c>
      <c r="E54" s="5" t="inlineStr">
        <is>
          <t>Wanneer de in de leden 4 en 5 bedoelde lijsten betrekking hebben op verwerkingen met betrekking tot het aanbieden van goederen of diensten aan betrokkenen of op het observeren van hun gedrag in verschillende lidstaten, of op verwerkingen die het vrije verkeer van persoonsgegevens in de Unie wezenlijk kunnen beïnvloeden, past de bevoegde toezichthoudende autoriteit voorafgaand aan de vaststelling van die lijsten het in artikel 63 bedoelde coherentiemechanisme toe.</t>
        </is>
      </c>
      <c r="F54" s="5" t="inlineStr">
        <is>
          <t>toezichthoudende autoriteit   [32016R0679:toezichthoudende_autoriteit]</t>
        </is>
      </c>
      <c r="G54" s="5" t="inlineStr">
        <is>
          <t>Defined in 32016R0679 art. 4: een door een lidstaat ingevolge artikel 51 ingestelde onafhankelijke overheidsinstantie</t>
        </is>
      </c>
      <c r="H54" s="6" t="n"/>
      <c r="I54" s="6" t="n"/>
      <c r="J54" s="6" t="n"/>
      <c r="K54" s="6" t="n"/>
    </row>
    <row r="55">
      <c r="A55" s="4" t="n">
        <v>54</v>
      </c>
      <c r="B55" s="5" t="inlineStr">
        <is>
          <t>32022L2555:27:1:2</t>
        </is>
      </c>
      <c r="C55" s="5" t="inlineStr">
        <is>
          <t>Enisa</t>
        </is>
      </c>
      <c r="D55" s="5" t="inlineStr">
        <is>
          <t>Enisa</t>
        </is>
      </c>
      <c r="E55" s="5" t="inlineStr">
        <is>
          <t>Enisa creëert en onderhoudt een register van DNS-dienstverleners, registers voor topleveldomeinnamen, entiteiten die domeinnaamregistratiediensten verlenen, aanbieders van cloudcomputingdiensten, aanbieders van datacentra, aanbieders van netwerken voor de levering van inhoud, aanbieders van beheerde diensten, aanbieders van beheerde beveiligingsdiensten, alsmede aanbieders van onlinemarktplaatsen, van onlinezoekmachines en van platforms voor socialenetwerkdiensten, op basis van de informatie die is ontvangen van de centrale contactpunten in overeenstemming met lid 4. Op verzoek geeft Enisa bevoegde autoriteiten toegang tot dat register, waarbij zij er zo nodig voor zorgt dat de vertrouwelijkheid van de informatie wordt beschermd.</t>
        </is>
      </c>
      <c r="F55" s="5" t="inlineStr">
        <is>
          <t>not an actor (dropped)</t>
        </is>
      </c>
      <c r="G55" s="5" t="inlineStr"/>
      <c r="H55" s="6" t="n"/>
      <c r="I55" s="6" t="n"/>
      <c r="J55" s="6" t="n"/>
      <c r="K55" s="6" t="n"/>
    </row>
    <row r="56">
      <c r="A56" s="4" t="n">
        <v>55</v>
      </c>
      <c r="B56" s="5" t="inlineStr">
        <is>
          <t>32016R0679:36:5:9</t>
        </is>
      </c>
      <c r="C56" s="5" t="inlineStr">
        <is>
          <t>de verwerkingsverantwoordelijken</t>
        </is>
      </c>
      <c r="D56" s="5" t="inlineStr">
        <is>
          <t>verwerkingsverantwoordelijken</t>
        </is>
      </c>
      <c r="E56" s="5" t="inlineStr">
        <is>
          <t>Niettegenstaande lid 1 kunnen de verwerkingsverantwoordelijken lidstaatrechtelijk ertoe worden verplicht overleg met de toezichthoudende autoriteit te plegen en om haar voorafgaande toestemming te verzoeken wanneer zij met het oog op de vervulling van een taak van algemeen belang verwerken, onder meer wanneer verwerking verband houdt met sociale bescherming en volksgezondheid.</t>
        </is>
      </c>
      <c r="F56" s="5" t="inlineStr">
        <is>
          <t>verwerkingsverantwoordelijke   [32016R0679:verwerkingsverantwoordelijke]</t>
        </is>
      </c>
      <c r="G56" s="5" t="inlineStr">
        <is>
          <t>Defined in 32016R0679 art. 4: een natuurlijke persoon of rechtspersoon, een overheidsinstantie, een dienst of een ander orgaan die/dat, alleen of samen met anderen, het doel van en de middelen voor de verwerking van persoonsgegevens vaststelt; wanneer de doelstellingen van en de middelen voor deze verwerking in het Unierecht of het lidstatelijke recht worden vastgesteld, kan daarin worden bepaald wie de verwerkingsverantwoordelijke is of volgens welke criteria deze wordt aangewezen</t>
        </is>
      </c>
      <c r="H56" s="6" t="n"/>
      <c r="I56" s="6" t="n"/>
      <c r="J56" s="6" t="n"/>
      <c r="K56" s="6" t="n"/>
    </row>
    <row r="57">
      <c r="A57" s="4" t="n">
        <v>56</v>
      </c>
      <c r="B57" s="5" t="inlineStr">
        <is>
          <t>32022R2554:54:5:7</t>
        </is>
      </c>
      <c r="C57" s="5" t="inlineStr">
        <is>
          <t>de bevoegde autoriteit</t>
        </is>
      </c>
      <c r="D57" s="5" t="inlineStr">
        <is>
          <t>bevoegde autoriteit</t>
        </is>
      </c>
      <c r="E57" s="5" t="inlineStr">
        <is>
          <t>Indien een bevoegde autoriteit een besluit tot het nemen van een administratieve strafmaatregel bekendmaakt dat vatbaar is voor beroep bij gerechtelijke autoriteiten, maakt de bevoegde autoriteit deze informatie en, in een later stadium, verdere informatie over het resultaat van een eventueel beroep onverwijld bekend op haar officiële website. Rechterlijke beslissingen tot nietigverklaring van een besluit waarbij een administratieve strafmaatregel is genomen, worden eveneens bekendgemaakt.</t>
        </is>
      </c>
      <c r="F57" s="5" t="inlineStr">
        <is>
          <t>an actor of class 'authority' (no inventory entry)</t>
        </is>
      </c>
      <c r="G57" s="5" t="inlineStr"/>
      <c r="H57" s="6" t="n"/>
      <c r="I57" s="6" t="n"/>
      <c r="J57" s="6" t="n"/>
      <c r="K57" s="6" t="n"/>
    </row>
    <row r="58">
      <c r="A58" s="4" t="n">
        <v>57</v>
      </c>
      <c r="B58" s="5" t="inlineStr">
        <is>
          <t>BWBR0040940:7:10:13</t>
        </is>
      </c>
      <c r="C58" s="5" t="inlineStr">
        <is>
          <t>De leden</t>
        </is>
      </c>
      <c r="D58" s="5" t="inlineStr">
        <is>
          <t>leden</t>
        </is>
      </c>
      <c r="E58" s="5" t="inlineStr">
        <is>
          <t>Er is een Raad van advies die de Autoriteit persoonsgegevens adviseert over algemene aspecten van de bescherming van persoonsgegevens. De leden zijn afkomstig uit de onderscheidene sectoren van de maatschappij en worden benoemd door Onze Minister, op voordracht van de voorzitter van de Autoriteit persoonsgegevens. De leden worden benoemd voor ten hoogste vier jaar. Herbenoeming kan tweemaal en telkens voor ten hoogste vier jaar plaatsvinden. Bij ministeriële regeling wordt de vergoeding van de kosten aan de leden van de Raad van advies vastgesteld.</t>
        </is>
      </c>
      <c r="F58" s="5" t="inlineStr">
        <is>
          <t>an actor of class 'office' (no inventory entry)</t>
        </is>
      </c>
      <c r="G58" s="5" t="inlineStr"/>
      <c r="H58" s="6" t="n"/>
      <c r="I58" s="6" t="n"/>
      <c r="J58" s="6" t="n"/>
      <c r="K58" s="6" t="n"/>
    </row>
    <row r="59">
      <c r="A59" s="4" t="n">
        <v>58</v>
      </c>
      <c r="B59" s="5" t="inlineStr">
        <is>
          <t>BWBR0048156:16:1:1</t>
        </is>
      </c>
      <c r="C59" s="5" t="inlineStr">
        <is>
          <t>Onze Minister, alsmede bestuursorganen en aangewezen organisaties</t>
        </is>
      </c>
      <c r="D59" s="5" t="inlineStr">
        <is>
          <t>aangewezen organisaties</t>
        </is>
      </c>
      <c r="E59" s="5" t="inlineStr">
        <is>
          <t>Onze Minister, alsmede bestuursorganen en aangewezen organisaties verwerken persoonsgegevens, waaronder het burgerservicenummer, voor zover dit noodzakelijk is voor de goede uitvoering van hun taken en verplichtingen ingevolge deze wet, in het bijzonder het bieden van goede en veilige toegang tot elektronische dienstverlening en het voorkomen van misbruik of oneigenlijk gebruik van de toegang tot elektronische dienstverlening.</t>
        </is>
      </c>
      <c r="F59" s="5" t="inlineStr">
        <is>
          <t>aangewezen organisatie   [BWBR0048156:aangewezen_organisatie]</t>
        </is>
      </c>
      <c r="G59" s="5" t="inlineStr">
        <is>
          <t>Defined in BWBR0048156 art. 1: organisatie als bedoeld in artikel 2, tweede lid</t>
        </is>
      </c>
      <c r="H59" s="6" t="n"/>
      <c r="I59" s="6" t="n"/>
      <c r="J59" s="6" t="n"/>
      <c r="K59" s="6" t="n"/>
    </row>
    <row r="60">
      <c r="A60" s="4" t="n">
        <v>59</v>
      </c>
      <c r="B60" s="5" t="inlineStr">
        <is>
          <t>BWBR0009950:7.3:5:6</t>
        </is>
      </c>
      <c r="C60" s="5" t="inlineStr">
        <is>
          <t>de tool</t>
        </is>
      </c>
      <c r="D60" s="5" t="inlineStr">
        <is>
          <t>tool</t>
        </is>
      </c>
      <c r="E60" s="5" t="inlineStr">
        <is>
          <t>De vergelijkingstool, bedoeld in het vierde lid, voldoet aan de volgende vereisten:
a.
de tool is operationeel onafhankelijk van de aanbieders van diensten als bedoeld in het vierde lid en waarborgt dat die aanbieders in de zoekresultaten gelijk worden behandeld;
b.
de tool vermeldt wie de eigenaar daarvan is en wie de tool beheert;
c.
de tool vermeldt de duidelijke en objectieve criteria waarop de vergelijking moet worden gebaseerd;
d.
de tool maakt gebruik van duidelijke en ondubbelzinnige taal;
e.
de tool geeft nauwkeurige en actuele informatie, met vermelding van het tijdstip van de meest recente actualisering;
f.
de tool staat open voor iedere aanbieder van internettoegangsdiensten of voor het publiek beschikbare interpersoonlijke communicatiediensten, die de relevante informatie beschikbaar maakt en omvat een breed scala aan aanbiedingen die een significant deel van de markt beslaan en vermeld in voorkomend geval duidelijk dat de gepresenteerde informatie geen volledig overzicht van de markt biedt, voordat de zoekresultaten worden getoond;
g.
de tool voorziet in een effectieve procedure om onjuiste informatie te melden;
h.
de tool voorziet in de mogelijkheid tot vergelijking van de prijzen, tarieven en kwaliteit van de dienstverlening van de aanbiedingen waartussen de consument kan kiezen.</t>
        </is>
      </c>
      <c r="F60" s="5" t="inlineStr">
        <is>
          <t>not an actor (dropped)</t>
        </is>
      </c>
      <c r="G60" s="5" t="inlineStr"/>
      <c r="H60" s="6" t="n"/>
      <c r="I60" s="6" t="n"/>
      <c r="J60" s="6" t="n"/>
      <c r="K60" s="6" t="n"/>
    </row>
    <row r="61">
      <c r="A61" s="4" t="n">
        <v>60</v>
      </c>
      <c r="B61" s="5" t="inlineStr">
        <is>
          <t>BWBR0009950:11.5a:6:7</t>
        </is>
      </c>
      <c r="C61" s="5" t="inlineStr">
        <is>
          <t>personen die werkzaam zijn onder het gezag van de aanbieder of de derde, bedoeld in het tweede lid, onder d</t>
        </is>
      </c>
      <c r="D61" s="5" t="inlineStr">
        <is>
          <t>personen</t>
        </is>
      </c>
      <c r="E61" s="5" t="inlineStr">
        <is>
          <t>De verwerking van de gegevens mag slechts plaatsvinden door personen die werkzaam zijn onder het gezag van de aanbieder of de derde, bedoeld in het tweede lid, onder d, en is beperkt tot die gegevens die noodzakelijk zijn om de dienst met toegevoegde waarde te kunnen aanbieden.</t>
        </is>
      </c>
      <c r="F61" s="5" t="inlineStr">
        <is>
          <t>an actor of class 'person' (no inventory entry)</t>
        </is>
      </c>
      <c r="G61" s="5" t="inlineStr"/>
      <c r="H61" s="6" t="n"/>
      <c r="I61" s="6" t="n"/>
      <c r="J61" s="6" t="n"/>
      <c r="K61" s="6" t="n"/>
    </row>
    <row r="62">
      <c r="A62" s="4" t="n">
        <v>61</v>
      </c>
      <c r="B62" s="5" t="inlineStr">
        <is>
          <t>32024R1689:66:whole:18</t>
        </is>
      </c>
      <c r="C62" s="5" t="inlineStr">
        <is>
          <t>de AI-board</t>
        </is>
      </c>
      <c r="D62" s="5" t="inlineStr">
        <is>
          <t>AI-board</t>
        </is>
      </c>
      <c r="E62" s="5" t="inlineStr">
        <is>
          <t>De AI-board adviseert en assisteert de Commissie en de lidstaten teneinde de consistente en doeltreffende toepassing van deze verordening te vergemakkelijken. Daartoe kan de AI-board met name:
a) bijdragen aan de coördinatie tussen de nationale bevoegde autoriteiten die verantwoordelijk zijn voor de toepassing van deze verordening en, in samenwerking met en met instemming van de betrokken markttoezichtautoriteiten, de in artikel 74, lid 11, bedoelde gezamenlijke activiteiten van de markttoezichtautoriteiten ondersteunen;
b) technische en regelgevingsexpertise en beste praktijken onder de lidstaten verzamelen en delen;
c) advies verstrekken over de uitvoering van deze verordening, met name wat betreft de handhaving van de regels inzake AI-modellen voor algemene doeleinden;
d) bijdragen tot de harmonisatie van de administratieve praktijken in de lidstaten, onder meer met betrekking tot de in artikel 46 bedoelde afwijking van de conformiteits-beoordelingsprocedures, de werking van AI-testomgevingen voor regelgeving en het testen onder reële omstandigheden als bedoeld in de artikelen 57, 59 en 60;
e) op verzoek van de Commissie of op eigen initiatief aanbevelingen en schriftelijke adviezen uitbrengen over alle relevante aangelegenheden in verband met de uitvoering van deze verordening en de consistente en doeltreffende toepassing ervan, waaronder: i) over de ontwikkeling en toepassing van praktijkcodes en praktijkcodes op grond van deze verordening, alsmede van de richtsnoer</t>
        </is>
      </c>
      <c r="F62" s="5" t="inlineStr">
        <is>
          <t>AI-board   [KEY:32024R1689:aiboard]</t>
        </is>
      </c>
      <c r="G62" s="5" t="inlineStr">
        <is>
          <t>Known actor (not defined), class body, valid in 32024R1689. Aliases: Europese raad voor artificiële intelligentie.</t>
        </is>
      </c>
      <c r="H62" s="6" t="n"/>
      <c r="I62" s="6" t="n"/>
      <c r="J62" s="6" t="n"/>
      <c r="K62" s="6" t="n"/>
    </row>
    <row r="63">
      <c r="A63" s="4" t="n">
        <v>62</v>
      </c>
      <c r="B63" s="5" t="inlineStr">
        <is>
          <t>32022R2554:12:5:20</t>
        </is>
      </c>
      <c r="C63" s="5" t="inlineStr">
        <is>
          <t>De secundaire verwerkingslocatie</t>
        </is>
      </c>
      <c r="D63" s="5" t="inlineStr">
        <is>
          <t>secundaire verwerkingslocatie</t>
        </is>
      </c>
      <c r="E63" s="5" t="inlineStr">
        <is>
          <t>Centrale effectenbewaarinstellingen handhaven ten minste één secundaire verwerkingslocatie, met adequate middelen, capaciteiten, functies en personeelsvoorziening om te voorzien in de zakelijke behoeften.
De secundaire verwerkingslocatie is:
a) fysiek gevestigd op een bepaalde afstand van de primaire verwerkingslocatie om te verzekeren dat de locatie een ander risicoprofiel heeft en om te voorkomen dat deze wordt getroffen door de gebeurtenis die de primaire locatie heeft getroffen;
b) in staat de continuïteit van kritieke of belangrijke functies op dezelfde manier te waarborgen als de primaire locatie of het niveau van diensten te leveren dat noodzakelijk is om ervoor te zorgen dat de financiële entiteit haar kritieke activiteiten verricht binnen het kader van de hersteldoelstellingen;
c) onmiddellijk toegankelijk voor het personeel van de financiële entiteit om de continuïteit van kritieke of belangrijke functies te waarborgen ingeval de primaire verwerkingslocatie niet langer beschikbaar is.</t>
        </is>
      </c>
      <c r="F63" s="5" t="inlineStr">
        <is>
          <t>not an actor (dropped)</t>
        </is>
      </c>
      <c r="G63" s="5" t="inlineStr"/>
      <c r="H63" s="6" t="n"/>
      <c r="I63" s="6" t="n"/>
      <c r="J63" s="6" t="n"/>
      <c r="K63" s="6" t="n"/>
    </row>
    <row r="64">
      <c r="A64" s="4" t="n">
        <v>63</v>
      </c>
      <c r="B64" s="5" t="inlineStr">
        <is>
          <t>BWBR0052872:15:4:2</t>
        </is>
      </c>
      <c r="C64" s="5" t="inlineStr">
        <is>
          <t>De bevoegde autoriteit voor een entiteit in de sector onderzoek, genoemd in bijlage 2 van deze wet</t>
        </is>
      </c>
      <c r="D64" s="5" t="inlineStr">
        <is>
          <t>bevoegde autoriteit voor een entiteit in de sector onderzoek</t>
        </is>
      </c>
      <c r="E64" s="5" t="inlineStr">
        <is>
          <t>De bevoegde autoriteit voor een entiteit in de sector onderzoek, genoemd in bijlage 2 van deze wet, is Onze Minister die is aangewezen als bevoegde autoriteit voor de entiteiten in de sector of subsector waarin de betrokken entiteit haar onderzoeksactiviteiten verricht. De bevoegde autoriteit voor een entiteit in de sector onderzoek, genoemd in bijlage 2 van deze wet, die niet valt in een sector of subsector waarvoor reeds een bevoegde autoriteit is aangewezen, is Onze Minister die het aangaat.</t>
        </is>
      </c>
      <c r="F64" s="5" t="inlineStr">
        <is>
          <t>bevoegde autoriteit   [BWBR0052872:bevoegde_autoriteit]</t>
        </is>
      </c>
      <c r="G64" s="5" t="inlineStr">
        <is>
          <t>Defined in BWBR0052872 art. 1: de bevoegde autoriteit, bedoeld in artikel 8, eerste lid, van de NIS2-richtlijn en bedoeld in artikel 15</t>
        </is>
      </c>
      <c r="H64" s="6" t="n"/>
      <c r="I64" s="6" t="n"/>
      <c r="J64" s="6" t="n"/>
      <c r="K64" s="6" t="n"/>
    </row>
    <row r="65">
      <c r="A65" s="4" t="n">
        <v>64</v>
      </c>
      <c r="B65" s="5" t="inlineStr">
        <is>
          <t>[1] 32022R2554:38:1:1
[2] 32022R2554:39:3:7
[3] 32022R2554:35:6:19</t>
        </is>
      </c>
      <c r="C65" s="5" t="inlineStr">
        <is>
          <t>[1] de lead overseer
[2] De lead overseer
[3] de lead overseer</t>
        </is>
      </c>
      <c r="D65" s="5" t="inlineStr">
        <is>
          <t>lead overseer</t>
        </is>
      </c>
      <c r="E65" s="5" t="inlineStr">
        <is>
          <t>[1] Voor de uitvoering van zijn taken uit hoofde van deze verordening kan de lead overseer, ondersteund door het in artikel 40, lid 1, bedoelde gezamenlijke onderzoeksteam, zo nodig, bij kritieke derde aanbieders van ICT-diensten onderzoeken verrichten.
[2] De lead overseer stelt de bevoegde autoriteiten van de financiële entiteit die gebruikmaakt van de derde aanbieder van ICT-diensten, geruime tijd vóór de start ervan in kennis van de inspectie.
[3] In geval van gehele of gedeeltelijke niet-naleving van de krachtens de uitoefening van de bevoegdheden uit hoofde van lid 1, punten a), b) en c), te nemen maatregelen, en na het verstrijken van een termijn van ten minste 30 kalenderdagen vanaf de datum waarop de kritieke derde aanbieder van ICT-diensten een kennisgeving van de respectieve maatregelen heeft ontvangen, neemt de lead overseer een besluit aan waarmee een dwangsom wordt opgelegd om de kritieke derde aanbieder van ICT-diensten tot nak</t>
        </is>
      </c>
      <c r="F65" s="5" t="inlineStr">
        <is>
          <t>not an actor (dropped)</t>
        </is>
      </c>
      <c r="G65" s="5" t="inlineStr"/>
      <c r="H65" s="6" t="n"/>
      <c r="I65" s="6" t="n"/>
      <c r="J65" s="6" t="n"/>
      <c r="K65" s="6" t="n"/>
    </row>
    <row r="66">
      <c r="A66" s="4" t="n">
        <v>65</v>
      </c>
      <c r="B66" s="5" t="inlineStr">
        <is>
          <t>BWBR0048156:15:2:1</t>
        </is>
      </c>
      <c r="C66" s="5" t="inlineStr">
        <is>
          <t>bestuursorganen en aangewezen organisaties</t>
        </is>
      </c>
      <c r="D66" s="5" t="inlineStr">
        <is>
          <t>aangewezen organisaties</t>
        </is>
      </c>
      <c r="E66" s="5" t="inlineStr">
        <is>
          <t>Onverminderd het bepaalde in artikel 7, accepteren bestuursorganen en aangewezen organisaties bij de toegang tot hun elektronische dienstverlening alle en uitsluitend erkende bedrijfs- en organisatiemiddelen en door erkende machtigingsdiensten afgegeven elektronische verklaringen waaruit blijkt dat een natuurlijke persoon, onderneming of rechtspersoon gemachtigd is namens de onderneming of rechtspersoon op te treden bij de toegang tot elektronische dienstverlening aan die onderneming of rechtspersoon. Bestuursorganen en aangewezen organisaties accepteren in elk geval een van de op grond van artikel 11, derde lid, erkende ontsluitende diensten.</t>
        </is>
      </c>
      <c r="F66" s="5" t="inlineStr">
        <is>
          <t>aangewezen organisatie   [BWBR0048156:aangewezen_organisatie]</t>
        </is>
      </c>
      <c r="G66" s="5" t="inlineStr">
        <is>
          <t>Defined in BWBR0048156 art. 1: organisatie als bedoeld in artikel 2, tweede lid</t>
        </is>
      </c>
      <c r="H66" s="6" t="n"/>
      <c r="I66" s="6" t="n"/>
      <c r="J66" s="6" t="n"/>
      <c r="K66" s="6" t="n"/>
    </row>
    <row r="67">
      <c r="A67" s="4" t="n">
        <v>66</v>
      </c>
      <c r="B67" s="5" t="inlineStr">
        <is>
          <t>32022L2555:11:3:24</t>
        </is>
      </c>
      <c r="C67" s="5" t="inlineStr">
        <is>
          <t>Een dergelijk scannen</t>
        </is>
      </c>
      <c r="D67" s="5" t="inlineStr">
        <is>
          <t>scannen</t>
        </is>
      </c>
      <c r="E67" s="5" t="inlineStr">
        <is>
          <t>De CSIRT’s hebben de volgende taken:
a) het monitoren en analyseren van cyberdreigingen, kwetsbaarheden en incidenten op nationaal niveau, en, op verzoek, het verlenen van bijstand aan betrokken essentiële en belangrijke entiteiten met betrekking tot het realtime of bijna-realtime monitoren van hun netwerk en informatiesystemen;
b) het verstrekken van vroegtijdige waarschuwingen, meldingen en aankondigingen en het verspreiden van informatie onder betrokken essentiële en belangrijke entiteiten en aan de bevoegde autoriteiten en andere relevante belanghebbenden over cyberdreigingen, kwetsbaarheden en incidenten, in bijna-realtime indien mogelijk;
c) het reageren op incidenten en verlenen van bijstand aan de betrokken essentiële en belangrijke entiteiten, indien van toepassing;
d) het verzamelen en analyseren van forensische gegevens en het zorgen voor dynamische risico- en incidentenanalyse en situationeel bewustzijn met betrekking tot cyberbeveiliging;
e) op verzoek van een essentiële of belangrijke entiteit: het proactief scannen van de netwerk- en informatiesystemen van de betrokken entiteit om kwetsbaarheden met mogelijk significante gevolgen op te sporen;
f) het deelnemen aan het CSIRT-netwerk en, in overeenstemming met hun capaciteiten en bevoegdheden, het verlenen van wederzijdse bijstand aan andere leden van het netwerk op hun verzoek;
g) indien van toepassing, het optreden als coördinator ten behoeve van het in artikel 12, lid 1 bedoelde proces van gecoördineerd</t>
        </is>
      </c>
      <c r="F67" s="5" t="inlineStr">
        <is>
          <t>not an actor (dropped)</t>
        </is>
      </c>
      <c r="G67" s="5" t="inlineStr"/>
      <c r="H67" s="6" t="n"/>
      <c r="I67" s="6" t="n"/>
      <c r="J67" s="6" t="n"/>
      <c r="K67" s="6" t="n"/>
    </row>
    <row r="68">
      <c r="A68" s="4" t="n">
        <v>67</v>
      </c>
      <c r="B68" s="5" t="inlineStr">
        <is>
          <t>BWBR0052872:29:2:3</t>
        </is>
      </c>
      <c r="C68" s="5" t="inlineStr">
        <is>
          <t>de essentiële entiteit of belangrijke entiteit</t>
        </is>
      </c>
      <c r="D68" s="5" t="inlineStr">
        <is>
          <t>belangrijke entiteit</t>
        </is>
      </c>
      <c r="E68" s="5" t="inlineStr">
        <is>
          <t>Indien het incident nog voortduurt op het moment dat het eindverslag had moeten worden ingediend, dient de essentiële entiteit of belangrijke entiteit op dat moment in plaats van een eindverslag een voortgangsverslag in waarin wordt ingegaan op de aspecten, genoemd in het eerste lid. Zij dient een eindverslag in binnen één maand nadat het incident is afgehandeld.</t>
        </is>
      </c>
      <c r="F68" s="5" t="inlineStr">
        <is>
          <t>belangrijke entiteit   [BWBR0052872:belangrijke_entiteit]</t>
        </is>
      </c>
      <c r="G68" s="5" t="inlineStr">
        <is>
          <t>Defined in BWBR0052872 art. 1: een entiteit als bedoeld in artikel 12 of 13</t>
        </is>
      </c>
      <c r="H68" s="6" t="n"/>
      <c r="I68" s="6" t="n"/>
      <c r="J68" s="6" t="n"/>
      <c r="K68" s="6" t="n"/>
    </row>
    <row r="69">
      <c r="A69" s="4" t="n">
        <v>68</v>
      </c>
      <c r="B69" s="5" t="inlineStr">
        <is>
          <t>BWBR0052872:59:whole:1</t>
        </is>
      </c>
      <c r="C69" s="5" t="inlineStr">
        <is>
          <t>De bevoegde autoriteiten, Onze Minister van Economische Zaken uit hoofde van de Verordening (EU) 910/2014, de bevoegde autoriteiten, bedoeld in de Verordening (EU) 2022/2554, en Onze Minister van Economische Zaken uit hoofde van de Richtlijn (EU) 2018/1972</t>
        </is>
      </c>
      <c r="D69" s="5" t="inlineStr">
        <is>
          <t>Onze Minister van Economische Zaken</t>
        </is>
      </c>
      <c r="E69" s="5" t="inlineStr">
        <is>
          <t>De bevoegde autoriteiten, Onze Minister van Economische Zaken uit hoofde van de Verordening (EU) 910/2014, de bevoegde autoriteiten, bedoeld in de Verordening (EU) 2022/2554, en Onze Minister van Economische Zaken uit hoofde van de Richtlijn (EU) 2018/1972 wisselen informatie uit over relevante incidenten en cyberdreigingen.</t>
        </is>
      </c>
      <c r="F69" s="5" t="inlineStr">
        <is>
          <t>Onze Minister   [BWBR0052872:onze_minister]</t>
        </is>
      </c>
      <c r="G69" s="5" t="inlineStr">
        <is>
          <t>Defined in BWBR0052872 art. 1: Onze Minister van Justitie en Veiligheid</t>
        </is>
      </c>
      <c r="H69" s="6" t="n"/>
      <c r="I69" s="6" t="n"/>
      <c r="J69" s="6" t="n"/>
      <c r="K69" s="6" t="n"/>
    </row>
    <row r="70">
      <c r="A70" s="4" t="n">
        <v>69</v>
      </c>
      <c r="B70" s="5" t="inlineStr">
        <is>
          <t>32024R1689:26:10:22</t>
        </is>
      </c>
      <c r="C70" s="5" t="inlineStr">
        <is>
          <t>het gebruik van het systeem voor biometrische identificatie op afstand achteraf dat verband houdt met de verzochte toestemming</t>
        </is>
      </c>
      <c r="D70" s="5" t="inlineStr">
        <is>
          <t>gebruik van het systeem voor biometrische identificatie op afstand achteraf</t>
        </is>
      </c>
      <c r="E70" s="5" t="inlineStr">
        <is>
          <t>Onverminderd Richtlijn (EU) 2016/680 verzoekt de gebruiksverantwoordelijke van een AI-systeem met een hoog risico voor biometrische identificatie op afstand achteraf in het kader van een onderzoek waarbij gericht wordt gezocht naar een persoon die wordt verdacht van of veroordeeld is voor het plegen van een strafbaar feit, vooraf of zonder onnodige vertraging en uiterlijk 48 uur na het feit, om toestemming van een gerechtelijke instantie of administratieve instantie, van wie de beslissing bindend is en onderworpen is aan rechterlijke toetsing, voor het gebruik van dat systeem, behalve wanneer het wordt gebruikt voor de initiële identificatie van een potentiële verdachte op basis van objectieve en verifieerbare feiten die rechtstreeks verband houden met het strafbare feit. Elk gebruik wordt beperkt tot hetgeen strikt noodzakelijk is voor het onderzoek naar een specifiek strafbaar feit.
Indien de op grond van de eerste alinea verzochte toestemming wordt geweigerd, wordt het gebruik van het systeem voor biometrische identificatie op afstand achteraf dat verband houdt met de verzochte toestemming met onmiddellijke ingang stopgezet en worden de persoonsgegevens die verband houden met het gebruik van het AI-systeem met een hoog risico waarvoor de toestemming is gevraagd, gewist.
Een dergelijk AI-systeem met een hoog risico voor biometrische identificatie op afstand achteraf mag in geen geval op niet-gerichte wijze worden gebruikt voor rechtshandhavingsdoeleinden, zonder enig verb</t>
        </is>
      </c>
      <c r="F70" s="5" t="inlineStr">
        <is>
          <t>not an actor (dropped)</t>
        </is>
      </c>
      <c r="G70" s="5" t="inlineStr"/>
      <c r="H70" s="6" t="n"/>
      <c r="I70" s="6" t="n"/>
      <c r="J70" s="6" t="n"/>
      <c r="K70" s="6" t="n"/>
    </row>
    <row r="71">
      <c r="A71" s="4" t="n">
        <v>70</v>
      </c>
      <c r="B71" s="5" t="inlineStr">
        <is>
          <t>32024R1689:58:2:14</t>
        </is>
      </c>
      <c r="C71" s="5" t="inlineStr">
        <is>
          <t>de procedures, processen en administratieve eisen voor de aanvraag, de selectie, de deelname en het vertrek uit de AI-testomgeving voor regelgeving</t>
        </is>
      </c>
      <c r="D71" s="5" t="inlineStr">
        <is>
          <t>vertrek uit de AI-testomgeving voor regelgeving</t>
        </is>
      </c>
      <c r="E71" s="5" t="inlineStr">
        <is>
          <t>De in lid 1 bedoelde uitvoeringshandelingen waarborgen dat:
a) AI-testomgevingen voor regelgeving open staan voor elke aanbieder of potentiële aanbieder van een AI-systeem die voldoet aan de toelatings- en selectiecriteria, die transparant en eerlijk moeten zijn, en dat de nationale bevoegde autoriteiten aanvragers binnen drie maanden na de aanvraag in kennis stellen van hun besluit;
b) AI-testomgevingen voor regelgeving brede en gelijke toegang bieden en de vraag om toestemming voor deelname aankunnen; aanbieders en potentiële aanbieders ook aanvragen kunnen indienen in samenwerking met gebruiksverantwoordelijken en andere relevante derden;
c) de gedetailleerde regelingen en voorwaarden voor AI-testomgevingen voor regelgeving zo veel mogelijk flexibiliteit bieden voor nationale bevoegde autoriteiten om hun AI-testomgevingen voor regelgeving op te richten en te exploiteren;
d) de toegang tot de AI-testomgevingen voor regelgeving voor kmo’s, waaronder start-ups, kosteloos is, onverminderd uitzonderlijke kosten die de nationale bevoegde autoriteiten op billijke en evenredige wijze mogen verhalen;
e) zij het voor aanbieders en potentiële aanbieders, door middel van de leerresultaten van de AI-testomgevingen voor regelgeving, vergemakkelijken om de conformiteitsbeoordelingsverplichtingen uit hoofde van deze verordening na te komen en de in artikel 95 bedoelde gedragscodes vrijwillig toe te passen;
f) AI-testomgevingen voor regelgeving de betrokkenheid vergemakkelijken van a</t>
        </is>
      </c>
      <c r="F71" s="5" t="inlineStr">
        <is>
          <t>not an actor (dropped)</t>
        </is>
      </c>
      <c r="G71" s="5" t="inlineStr"/>
      <c r="H71" s="6" t="n"/>
      <c r="I71" s="6" t="n"/>
      <c r="J71" s="6" t="n"/>
      <c r="K71" s="6" t="n"/>
    </row>
    <row r="72">
      <c r="A72" s="4" t="n">
        <v>71</v>
      </c>
      <c r="B72" s="5" t="inlineStr">
        <is>
          <t>32024R1689:80:4:7</t>
        </is>
      </c>
      <c r="C72" s="5" t="inlineStr">
        <is>
          <t>de aanbieder van een betrokken AI-systeem</t>
        </is>
      </c>
      <c r="D72" s="5" t="inlineStr">
        <is>
          <t>aanbieder van een betrokken AI-systeem</t>
        </is>
      </c>
      <c r="E72" s="5" t="inlineStr">
        <is>
          <t>De aanbieder zorgt ervoor dat alle nodige maatregelen worden genomen om het AI-systeem in overeenstemming te brengen met de vereisten en verplichtingen van deze verordening. Indien de aanbieder van een betrokken AI-systeem dat AI-systeem niet binnen de in lid 2 van dit artikel bedoelde termijn in overeenstemming brengt met die vereisten en verplichtingen, worden aan de aanbieder overeenkomstig artikel 99 geldboeten opgelegd.</t>
        </is>
      </c>
      <c r="F72" s="5" t="inlineStr">
        <is>
          <t>aanbieder   [32024R1689:aanbieder]</t>
        </is>
      </c>
      <c r="G72"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H72" s="6" t="n"/>
      <c r="I72" s="6" t="n"/>
      <c r="J72" s="6" t="n"/>
      <c r="K72" s="6" t="n"/>
    </row>
    <row r="73">
      <c r="A73" s="4" t="n">
        <v>72</v>
      </c>
      <c r="B73" s="5" t="inlineStr">
        <is>
          <t>32016R0679:74:1:4</t>
        </is>
      </c>
      <c r="C73" s="5" t="inlineStr">
        <is>
          <t>De voorzitter</t>
        </is>
      </c>
      <c r="D73" s="5" t="inlineStr">
        <is>
          <t>voorzitter</t>
        </is>
      </c>
      <c r="E73" s="5" t="inlineStr">
        <is>
          <t>De voorzitter heeft de volgende taken:
a) bijeenroepen van de bijeenkomsten van het Comité en het opstellen van zijn agenda;
b) ter kennis brengen van de door het Comité overeenkomstig artikel 65 vastgestelde besluiten aan de leidende toezichthoudende autoriteit en de betrokken toezichthoudende autoriteiten;
c) ervoor zorgen dat de taken van het Comité tijdig worden uitgevoerd, met name wat het in artikel 63 bedoelde coherentiemechanisme betreft.</t>
        </is>
      </c>
      <c r="F73" s="5" t="inlineStr">
        <is>
          <t>voorzitter   [KEY:32016R0679:voorzitter]</t>
        </is>
      </c>
      <c r="G73" s="5" t="inlineStr">
        <is>
          <t>Known actor (not defined), class office, valid in 32016R0679. Aliases: voorzitter van het Comité. Part of KEY:32016R0679:comite.</t>
        </is>
      </c>
      <c r="H73" s="6" t="n"/>
      <c r="I73" s="6" t="n"/>
      <c r="J73" s="6" t="n"/>
      <c r="K73" s="6" t="n"/>
    </row>
    <row r="74">
      <c r="A74" s="4" t="n">
        <v>73</v>
      </c>
      <c r="B74" s="5" t="inlineStr">
        <is>
          <t>BWBR0009950:11.7:3:3</t>
        </is>
      </c>
      <c r="C74" s="5" t="inlineStr">
        <is>
          <t>een rechtspersoon of een natuurlijke persoon die handelt in de uitoefening van zijn beroep of bedrijf</t>
        </is>
      </c>
      <c r="D74" s="5" t="inlineStr">
        <is>
          <t>rechtspersoon</t>
        </is>
      </c>
      <c r="E74" s="5" t="inlineStr">
        <is>
          <t>In afwijking van het eerste en tweede lid, is geen voorafgaande toestemming vereist voor het overbrengen van ongevraagde communicatie voor commerciële, ideële of charitatieve doeleinden aan een rechtspersoon of een natuurlijke persoon die handelt in de uitoefening van zijn beroep of bedrijf, indien:
a.
de verzender gebruik maakt van elektronische contactgegevens die door de desbetreffende eindgebruiker voor het ontvangen van ongevraagde communicatie voor commerciële, ideële of charitatieve doeleinden zijn bestemd en bekendgemaakt en deze worden gebruikt in overeenstemming met de door de eindgebruiker aan de contactgegevens verbonden doeleinden, of
b.
de desbetreffende eindgebruiker is gevestigd buiten de Europese Economische Ruimte en voldaan wordt aan de in het desbetreffende land geldende voorschriften met betrekking tot het overbrengen van ongevraagde communicatie voor commerciële, ideële of charitatieve doeleinden.</t>
        </is>
      </c>
      <c r="F74" s="5" t="inlineStr">
        <is>
          <t>an actor of class 'party' (no inventory entry)</t>
        </is>
      </c>
      <c r="G74" s="5" t="inlineStr"/>
      <c r="H74" s="6" t="n"/>
      <c r="I74" s="6" t="n"/>
      <c r="J74" s="6" t="n"/>
      <c r="K74" s="6" t="n"/>
    </row>
    <row r="75">
      <c r="A75" s="4" t="n">
        <v>74</v>
      </c>
      <c r="B75" s="5" t="inlineStr">
        <is>
          <t>BWBR0052872:49:5:6</t>
        </is>
      </c>
      <c r="C75" s="5" t="inlineStr">
        <is>
          <t>De registers voor topleveldomeinnamen en de entiteiten die domeinnaamregistratiediensten verlenen</t>
        </is>
      </c>
      <c r="D75" s="5" t="inlineStr">
        <is>
          <t>registers voor topleveldomeinnamen en de entiteiten</t>
        </is>
      </c>
      <c r="E75" s="5" t="inlineStr">
        <is>
          <t>De registers voor topleveldomeinnamen en de entiteiten die domeinnaamregistratiediensten verlenen werken samen om te voorkomen dat domeinnaamregistratiegegevens tweemaal worden verzameld.</t>
        </is>
      </c>
      <c r="F75" s="5" t="inlineStr">
        <is>
          <t>not an actor (dropped)</t>
        </is>
      </c>
      <c r="G75" s="5" t="inlineStr"/>
      <c r="H75" s="6" t="n"/>
      <c r="I75" s="6" t="n"/>
      <c r="J75" s="6" t="n"/>
      <c r="K75" s="6" t="n"/>
    </row>
    <row r="76">
      <c r="A76" s="4" t="n">
        <v>75</v>
      </c>
      <c r="B76" s="5" t="inlineStr">
        <is>
          <t>32016R0679:40:3:6</t>
        </is>
      </c>
      <c r="C76" s="5" t="inlineStr">
        <is>
          <t>Die verwerkingsverantwoordelijken of verwerkers</t>
        </is>
      </c>
      <c r="D76" s="5" t="inlineStr">
        <is>
          <t>verwerkers</t>
        </is>
      </c>
      <c r="E76" s="5" t="inlineStr">
        <is>
          <t>Behalve door verwerkingsverantwoordelijken of verwerkers die onder deze verordening vallen, kan bij overeenkomstig lid 5 van dit artikel goedgekeurde gedragscodes die overeenkomstig lid 9 van dit artikel algemeen geldig zijn verklaard, eveneens worden aangesloten door verwerkingsverantwoordelijken of verwerkers die overeenkomstig artikel 3 niet onder deze verordening vallen, om te voorzien in passende waarborgen voor doorgifte van persoonsgegevens naar derde landen of internationale organisaties onder de voorwaarden als bedoeld in artikel 46, lid 2, punt e). Die verwerkingsverantwoordelijken of verwerkers doen, via contractuele of andere juridisch bindende instrumenten, bindende en afdwingbare toezeggingen om die passende waarborgen toe te passen, ook wat betreft de rechten van de betrokkenen.</t>
        </is>
      </c>
      <c r="F76" s="5" t="inlineStr">
        <is>
          <t>verwerker   [32016R0679:verwerker]</t>
        </is>
      </c>
      <c r="G76" s="5" t="inlineStr">
        <is>
          <t>Defined in 32016R0679 art. 4: een natuurlijke persoon of rechtspersoon, een overheidsinstantie, een dienst of een ander orgaan die/dat ten behoeve van de verwerkingsverantwoordelijke persoonsgegevens verwerkt</t>
        </is>
      </c>
      <c r="H76" s="6" t="n"/>
      <c r="I76" s="6" t="n"/>
      <c r="J76" s="6" t="n"/>
      <c r="K76" s="6" t="n"/>
    </row>
    <row r="77">
      <c r="A77" s="4" t="n">
        <v>76</v>
      </c>
      <c r="B77" s="5" t="inlineStr">
        <is>
          <t>32024R1689:40:3:7</t>
        </is>
      </c>
      <c r="C77" s="5" t="inlineStr">
        <is>
          <t>De deelnemers aan het normalisatieproces</t>
        </is>
      </c>
      <c r="D77" s="5" t="inlineStr">
        <is>
          <t>deelnemers aan het normalisatieproces</t>
        </is>
      </c>
      <c r="E77" s="5" t="inlineStr">
        <is>
          <t>De deelnemers aan het normalisatieproces streven naar het bevorderen van investeringen en innovatie in AI, onder andere door voor meer rechtszekerheid te zorgen, en het concurrentievermogen en de groei van de markt van de Unie, naar het bijdragen aan de versterking van de wereldwijde samenwerking op het gebied van normalisatie, rekening houdend met bestaande internationale normen op het gebied van AI die in overeenstemming zijn met de waarden, grondrechten en belangen van de Unie, en naar het verbeteren van de multistakeholdergovernance door te zorgen voor een evenwichtige vertegenwoordiging van de belangen en de effectieve deelname van alle relevante belanghebbenden overeenkomstig de artikelen 5, 6 en 7 van Verordening (EU) nr. 1025/2012.</t>
        </is>
      </c>
      <c r="F77" s="5" t="inlineStr">
        <is>
          <t>an actor of class 'party' (no inventory entry)</t>
        </is>
      </c>
      <c r="G77" s="5" t="inlineStr"/>
      <c r="H77" s="6" t="n"/>
      <c r="I77" s="6" t="n"/>
      <c r="J77" s="6" t="n"/>
      <c r="K77" s="6" t="n"/>
    </row>
    <row r="78">
      <c r="A78" s="4" t="n">
        <v>77</v>
      </c>
      <c r="B78" s="5" t="inlineStr">
        <is>
          <t>BWBR0009950:11.6:4:9</t>
        </is>
      </c>
      <c r="C78" s="5" t="inlineStr">
        <is>
          <t>De abonnee</t>
        </is>
      </c>
      <c r="D78" s="5" t="inlineStr">
        <is>
          <t>abonnee</t>
        </is>
      </c>
      <c r="E78" s="5" t="inlineStr">
        <is>
          <t>De abonnee heeft het recht om kosteloos hem betreffende persoonsgegevens in een algemeen beschikbare abonneelijst of in het voor een abonnee-informatiedienst gebruikte abonneebestand te verifiëren, te laten verbeteren of te laten verwijderen.</t>
        </is>
      </c>
      <c r="F78" s="5" t="inlineStr">
        <is>
          <t>abonnee   [BWBR0009950:abonnee]</t>
        </is>
      </c>
      <c r="G78" s="5" t="inlineStr">
        <is>
          <t>Defined in BWBR0009950 art. 1.1: natuurlijke persoon of rechtspersoon die partij is bij een overeenkomst met een aanbieder van openbare elektronische communicatiediensten voor de levering van dergelijke diensten</t>
        </is>
      </c>
      <c r="H78" s="6" t="n"/>
      <c r="I78" s="6" t="n"/>
      <c r="J78" s="6" t="n"/>
      <c r="K78" s="6" t="n"/>
    </row>
    <row r="79">
      <c r="A79" s="4" t="n">
        <v>78</v>
      </c>
      <c r="B79" s="5" t="inlineStr">
        <is>
          <t>32022R2554:33:1:1</t>
        </is>
      </c>
      <c r="C79" s="5" t="inlineStr">
        <is>
          <t>De overeenkomstig artikel 31, lid 1, punt b), aangestelde lead overseer</t>
        </is>
      </c>
      <c r="D79" s="5" t="inlineStr">
        <is>
          <t>aangestelde lead overseer</t>
        </is>
      </c>
      <c r="E79" s="5" t="inlineStr">
        <is>
          <t>De overeenkomstig artikel 31, lid 1, punt b), aangestelde lead overseer oefent het oversight uit over de aangewezen kritieke derde aanbieders van ICT-diensten en is voor alle aan het oversight gerelateerde aangelegenheden het eerste contactpunt voor die kritieke derde aanbieders van ICT-diensten.</t>
        </is>
      </c>
      <c r="F79" s="5" t="inlineStr">
        <is>
          <t>not an actor (dropped)</t>
        </is>
      </c>
      <c r="G79" s="5" t="inlineStr"/>
      <c r="H79" s="6" t="n"/>
      <c r="I79" s="6" t="n"/>
      <c r="J79" s="6" t="n"/>
      <c r="K79" s="6" t="n"/>
    </row>
    <row r="80">
      <c r="A80" s="4" t="n">
        <v>79</v>
      </c>
      <c r="B80" s="5" t="inlineStr">
        <is>
          <t>[1] 32022L2555:11:3:28
[2] 32022L2555:11:1:6
[3] 32022L2555:11:3:22</t>
        </is>
      </c>
      <c r="C80" s="5" t="inlineStr">
        <is>
          <t>[1] De CSIRT’s
[2] de CSIRT’s
[3] De CSIRT’s</t>
        </is>
      </c>
      <c r="D80" s="5" t="inlineStr">
        <is>
          <t>CSIRT’s</t>
        </is>
      </c>
      <c r="E80" s="5" t="inlineStr">
        <is>
          <t xml:space="preserve">[1] De CSIRT’s hebben de volgende taken:
a) het monitoren en analyseren van cyberdreigingen, kwetsbaarheden en incidenten op nationaal niveau, en, op verzoek, het verlenen van bijstand aan betrokken essentiële en belangrijke entiteiten met betrekking tot het realtime of bijna-realtime monitoren van hun netwerk en informatiesystemen;
b) het verstrekken van vroegtijdige waarschuwingen, meldingen en aankondigingen en het verspreiden van informatie onder betrokken essentiële en belangrijke entiteiten 
[2] De CSIRT’s voldoen aan de volgende eisen:
a) de CSIRT’s garanderen een hoge mate van beschikbaarheid van hun communicatiekanalen door zwakke punten (single points of failure) te voorkomen, en beschikken over diverse middelen waarlangs te allen tijde contact met hen kan worden opgenomen en contact met anderen kan worden opgenomen; ze specificeren communicatiekanalen duidelijk en delen ze mee aan de gebruikersgroep en de samenwerkingspartners;
b) de lokalen en werkruimten van de CSIRT’s en de on
[3] De CSIRT’s hebben de volgende taken:
a) het monitoren en analyseren van cyberdreigingen, kwetsbaarheden en incidenten op nationaal niveau, en, op verzoek, het verlenen van bijstand aan betrokken essentiële en belangrijke entiteiten met betrekking tot het realtime of bijna-realtime monitoren van hun netwerk en informatiesystemen;
b) het verstrekken van vroegtijdige waarschuwingen, meldingen en aankondigingen en het verspreiden van informatie onder betrokken essentiële en belangrijke entiteiten </t>
        </is>
      </c>
      <c r="F80" s="5" t="inlineStr">
        <is>
          <t>an actor of class 'authority' (no inventory entry)</t>
        </is>
      </c>
      <c r="G80" s="5" t="inlineStr"/>
      <c r="H80" s="6" t="n"/>
      <c r="I80" s="6" t="n"/>
      <c r="J80" s="6" t="n"/>
      <c r="K80" s="6" t="n"/>
    </row>
    <row r="81">
      <c r="A81" s="4" t="n">
        <v>80</v>
      </c>
      <c r="B81" s="5" t="inlineStr">
        <is>
          <t>BWBR0009950:5.14:3:6</t>
        </is>
      </c>
      <c r="C81" s="5" t="inlineStr">
        <is>
          <t>burgemeester en wethouders</t>
        </is>
      </c>
      <c r="D81" s="5" t="inlineStr">
        <is>
          <t>burgemeester</t>
        </is>
      </c>
      <c r="E81" s="5" t="inlineStr">
        <is>
          <t>Bij de toepassing van artikel 5.4, tweede lid, bevoordelen burgemeester en wethouders geen ondernemingen die openbare elektronische communicatienetwerken aanbieden waarin de gemeente direct of indirect bij betrokken is.</t>
        </is>
      </c>
      <c r="F81" s="5" t="inlineStr">
        <is>
          <t>an actor of class 'state' (no inventory entry)</t>
        </is>
      </c>
      <c r="G81" s="5" t="inlineStr"/>
      <c r="H81" s="6" t="n"/>
      <c r="I81" s="6" t="n"/>
      <c r="J81" s="6" t="n"/>
      <c r="K81" s="6" t="n"/>
    </row>
    <row r="82">
      <c r="A82" s="4" t="n">
        <v>81</v>
      </c>
      <c r="B82" s="5" t="inlineStr">
        <is>
          <t>32024R1689:33:3:4</t>
        </is>
      </c>
      <c r="C82" s="5" t="inlineStr">
        <is>
          <t>een onderaannemer of dochteronderneming</t>
        </is>
      </c>
      <c r="D82" s="5" t="inlineStr">
        <is>
          <t>onderaannemer</t>
        </is>
      </c>
      <c r="E82" s="5" t="inlineStr">
        <is>
          <t>Activiteiten mogen uitsluitend met instemming van de aanbieder door een onderaannemer of dochteronderneming worden uitgevoerd. Aangemelde instanties maken een lijst van hun dochterondernemingen openbaar.</t>
        </is>
      </c>
      <c r="F82" s="5" t="inlineStr">
        <is>
          <t>an actor of class 'party' (no inventory entry)</t>
        </is>
      </c>
      <c r="G82" s="5" t="inlineStr"/>
      <c r="H82" s="6" t="n"/>
      <c r="I82" s="6" t="n"/>
      <c r="J82" s="6" t="n"/>
      <c r="K82" s="6" t="n"/>
    </row>
    <row r="83">
      <c r="A83" s="4" t="n">
        <v>82</v>
      </c>
      <c r="B83" s="5" t="inlineStr">
        <is>
          <t>32024R1689:66:whole:7</t>
        </is>
      </c>
      <c r="C83" s="5" t="inlineStr">
        <is>
          <t>de AI-board</t>
        </is>
      </c>
      <c r="D83" s="5" t="inlineStr">
        <is>
          <t>AI-board</t>
        </is>
      </c>
      <c r="E83" s="5" t="inlineStr">
        <is>
          <t>De AI-board adviseert en assisteert de Commissie en de lidstaten teneinde de consistente en doeltreffende toepassing van deze verordening te vergemakkelijken. Daartoe kan de AI-board met name:
a) bijdragen aan de coördinatie tussen de nationale bevoegde autoriteiten die verantwoordelijk zijn voor de toepassing van deze verordening en, in samenwerking met en met instemming van de betrokken markttoezichtautoriteiten, de in artikel 74, lid 11, bedoelde gezamenlijke activiteiten van de markttoezichtautoriteiten ondersteunen;
b) technische en regelgevingsexpertise en beste praktijken onder de lidstaten verzamelen en delen;
c) advies verstrekken over de uitvoering van deze verordening, met name wat betreft de handhaving van de regels inzake AI-modellen voor algemene doeleinden;
d) bijdragen tot de harmonisatie van de administratieve praktijken in de lidstaten, onder meer met betrekking tot de in artikel 46 bedoelde afwijking van de conformiteits-beoordelingsprocedures, de werking van AI-testomgevingen voor regelgeving en het testen onder reële omstandigheden als bedoeld in de artikelen 57, 59 en 60;
e) op verzoek van de Commissie of op eigen initiatief aanbevelingen en schriftelijke adviezen uitbrengen over alle relevante aangelegenheden in verband met de uitvoering van deze verordening en de consistente en doeltreffende toepassing ervan, waaronder: i) over de ontwikkeling en toepassing van praktijkcodes en praktijkcodes op grond van deze verordening, alsmede van de richtsnoer</t>
        </is>
      </c>
      <c r="F83" s="5" t="inlineStr">
        <is>
          <t>AI-board   [KEY:32024R1689:aiboard]</t>
        </is>
      </c>
      <c r="G83" s="5" t="inlineStr">
        <is>
          <t>Known actor (not defined), class body, valid in 32024R1689. Aliases: Europese raad voor artificiële intelligentie.</t>
        </is>
      </c>
      <c r="H83" s="6" t="n"/>
      <c r="I83" s="6" t="n"/>
      <c r="J83" s="6" t="n"/>
      <c r="K83" s="6" t="n"/>
    </row>
    <row r="84">
      <c r="A84" s="4" t="n">
        <v>83</v>
      </c>
      <c r="B84" s="5" t="inlineStr">
        <is>
          <t>BWBR0009950:11.5:2:4</t>
        </is>
      </c>
      <c r="C84" s="5" t="inlineStr">
        <is>
          <t>De verkeersgegevens</t>
        </is>
      </c>
      <c r="D84" s="5" t="inlineStr">
        <is>
          <t>verkeersgegevens</t>
        </is>
      </c>
      <c r="E84" s="5" t="inlineStr">
        <is>
          <t>De aanbieder mag verkeersgegevens verwerken die noodzakelijk zijn voor facturering, waaronder het opstellen van een factuur voor een abonnee of voor degene die zich tegenover de aanbieder rechtens verbonden heeft die factuur te voldoen, dan wel ten behoeve van een betaling van verleende toegang. De verkeersgegevens mogen worden verwerkt tot het einde van de wettelijke termijn waarbinnen de factuur in rechte kan worden betwist of de betaling in rechte kan worden afgedwongen.</t>
        </is>
      </c>
      <c r="F84" s="5" t="inlineStr">
        <is>
          <t>not an actor (dropped)</t>
        </is>
      </c>
      <c r="G84" s="5" t="inlineStr"/>
      <c r="H84" s="6" t="n"/>
      <c r="I84" s="6" t="n"/>
      <c r="J84" s="6" t="n"/>
      <c r="K84" s="6" t="n"/>
    </row>
    <row r="85">
      <c r="A85" s="4" t="n">
        <v>84</v>
      </c>
      <c r="B85" s="5" t="inlineStr">
        <is>
          <t>BWBR0009950:20.16a:2:1</t>
        </is>
      </c>
      <c r="C85" s="5" t="inlineStr">
        <is>
          <t>Nummerhouders</t>
        </is>
      </c>
      <c r="D85" s="5" t="inlineStr">
        <is>
          <t>Nummerhouders</t>
        </is>
      </c>
      <c r="E85" s="5" t="inlineStr">
        <is>
          <t>Nummerhouders registreren binnen zes maanden na de inwerkingtreding van artikel 4.9, derde lid, onderdeel b, de nummergebruikers. De nummergebruiker krijgt het nummer op de dag van registratie door de nummerhouder van rechtswege in gebruik door de nummerhouder.</t>
        </is>
      </c>
      <c r="F85" s="5" t="inlineStr">
        <is>
          <t>nummerhouder   [BWBR0009950:nummerhouder]</t>
        </is>
      </c>
      <c r="G85" s="5" t="inlineStr">
        <is>
          <t>Defined in BWBR0009950 art. 1.1: degene aan wie de Autoriteit Consument en Markt op aanvraag een nummer heeft toegekend</t>
        </is>
      </c>
      <c r="H85" s="6" t="n"/>
      <c r="I85" s="6" t="n"/>
      <c r="J85" s="6" t="n"/>
      <c r="K85" s="6" t="n"/>
    </row>
    <row r="86">
      <c r="A86" s="4" t="n">
        <v>85</v>
      </c>
      <c r="B86" s="5" t="inlineStr">
        <is>
          <t>BWBR0040940:35:6:10</t>
        </is>
      </c>
      <c r="C86" s="5" t="inlineStr">
        <is>
          <t>De rechtbank</t>
        </is>
      </c>
      <c r="D86" s="5" t="inlineStr">
        <is>
          <t>rechtbank</t>
        </is>
      </c>
      <c r="E86" s="5" t="inlineStr">
        <is>
          <t>De rechtbank kan partijen en anderen verzoeken binnen een door haar te bepalen termijn schriftelijke inlichtingen te geven en onder hen berustende stukken in te zenden. De verwerkingsverantwoordelijke en belanghebbende zijn verplicht aan dit verzoek te voldoen. De artikelen 8:45, tweede en derde lid, en 8:29 van de Algemene wet bestuursrecht zijn van overeenkomstige toepassing.</t>
        </is>
      </c>
      <c r="F86" s="5" t="inlineStr">
        <is>
          <t>an actor of class 'institution' (no inventory entry)</t>
        </is>
      </c>
      <c r="G86" s="5" t="inlineStr"/>
      <c r="H86" s="6" t="n"/>
      <c r="I86" s="6" t="n"/>
      <c r="J86" s="6" t="n"/>
      <c r="K86" s="6" t="n"/>
    </row>
    <row r="87">
      <c r="A87" s="4" t="n">
        <v>86</v>
      </c>
      <c r="B87" s="5" t="inlineStr">
        <is>
          <t>32024R1689:82:2:2</t>
        </is>
      </c>
      <c r="C87" s="5" t="inlineStr">
        <is>
          <t>De aanbieder of andere relevante operator</t>
        </is>
      </c>
      <c r="D87" s="5" t="inlineStr">
        <is>
          <t>relevante operator</t>
        </is>
      </c>
      <c r="E87" s="5" t="inlineStr">
        <is>
          <t>De aanbieder of andere relevante operator zorgt ervoor dat er binnen de in lid 1 bedoelde door de markttoezichtautoriteit van de lidstaat vastgestelde termijn corrigerende maatregelen worden genomen ten aanzien van alle betrokken AI-systemen die deze op de Uniemarkt heeft aangeboden.</t>
        </is>
      </c>
      <c r="F87" s="5" t="inlineStr">
        <is>
          <t>operator   [32024R1689:operator]</t>
        </is>
      </c>
      <c r="G87" s="5" t="inlineStr">
        <is>
          <t>Defined in 32024R1689 art. 3: een aanbieder, productfabrikant, gebruiksverantwoordelijke, gemachtigde, importeur of distributeur</t>
        </is>
      </c>
      <c r="H87" s="6" t="n"/>
      <c r="I87" s="6" t="n"/>
      <c r="J87" s="6" t="n"/>
      <c r="K87" s="6" t="n"/>
    </row>
    <row r="88">
      <c r="A88" s="4" t="n">
        <v>87</v>
      </c>
      <c r="B88" s="5" t="inlineStr">
        <is>
          <t>32024R1689:60:4:15</t>
        </is>
      </c>
      <c r="C88" s="5" t="inlineStr">
        <is>
          <t>proefpersonen die onder reële omstandigheden worden getest en die tot kwetsbare groepen behoren vanwege hun leeftijd of handicap</t>
        </is>
      </c>
      <c r="D88" s="5" t="inlineStr">
        <is>
          <t>proefpersonen</t>
        </is>
      </c>
      <c r="E88" s="5" t="inlineStr">
        <is>
          <t>Aanbieders of potentiële aanbieders mogen alleen testen onder reële omstandigheden als is voldaan aan alle volgende voorwaarden:
a) de aanbieder of potentiële aanbieder heeft een plan voor tests onder reële omstandigheden opgesteld en ingediend bij de markttoezichtautoriteit in de lidstaat waar onder reële omstandigheden moet worden getest;
b) de markttoezichtautoriteit in de lidstaat waar onder reële omstandigheden moet worden getest, heeft het testen onder reële omstandigheden en het plan voor tests onder reële omstandigheden goedgekeurd; indien de markttoezichtautoriteit binnen dertig dagen geen antwoord heeft gegeven, worden het testen onder reële omstandigheden en het plan voor tests onder reële omstandigheden geacht te zijn goedgekeurd; indien het nationale recht niet voorziet in een stilzwijgende goedkeuring, blijft het testen onder reële omstandigheden onderworpen aan een toestemming;
c) de aanbieder of potentiële aanbieder, met uitzondering van aanbieders of potentiële aanbieders van in de punten 1, 6 en 7 van bijlage III bedoelde AI-systemen met een hoog risico op de gebieden rechtshandhaving, migratie, asiel en grenstoezichtsbeheer en AI-systemen met een hoog risico als bedoeld in punt 2 van bijlage III, heeft het testen onder reële omstandigheden geregistreerd overeenkomstig artikel 71, lid 4, met een Uniebreed uniek identificatienummer en de in bijlage IX gespecificeerde informatie; de aanbieder of potentiële aanbieder van in de punten 1, 6 en 7 van bijlage II</t>
        </is>
      </c>
      <c r="F88" s="5" t="inlineStr">
        <is>
          <t>an actor of class 'person' (no inventory entry)</t>
        </is>
      </c>
      <c r="G88" s="5" t="inlineStr"/>
      <c r="H88" s="6" t="n"/>
      <c r="I88" s="6" t="n"/>
      <c r="J88" s="6" t="n"/>
      <c r="K88" s="6" t="n"/>
    </row>
    <row r="89">
      <c r="A89" s="4" t="n">
        <v>88</v>
      </c>
      <c r="B89" s="5" t="inlineStr">
        <is>
          <t>[1] 32016R0679:60:7:15
[2] 32016R0679:58:1:4
[3] 32016R0679:58:2:14</t>
        </is>
      </c>
      <c r="C89" s="5" t="inlineStr">
        <is>
          <t>[1] De toezichthoudende autoriteit waarbij de klacht is ingediend
[2] Elk toezichthoudende autoriteit
[3] Elk toezichthoudende autoriteit</t>
        </is>
      </c>
      <c r="D89" s="5" t="inlineStr">
        <is>
          <t>toezichthoudende autoriteit</t>
        </is>
      </c>
      <c r="E89" s="5" t="inlineStr">
        <is>
          <t>[1] De leidende toezichthoudende autoriteit stelt het besluit vast en deelt het mee aan de hoofdvestiging of de enige vestiging van de verwerkingsverantwoordelijke of de verwerker, naargelang het geval, en stelt de andere betrokken toezichthoudende autoriteiten, alsmede het Comité in kennis van het besluit in kwestie, voorzien van een samenvatting van de relevante feiten en gronden. De toezichthoudende autoriteit waarbij de klacht is ingediend, stelt de klager in kennis van het besluit.
[2] Elk toezichthoudende autoriteit heeft alle volgende onderzoeksbevoegdheden om:
a) de verwerkingsverantwoordelijke, de verwerker en, in voorkomend geval, de vertegenwoordiger van de verwerkingsverantwoordelijke of van verwerker te gelasten alle voor de uitvoering van haar taken vereiste informatie te verstrekken;
b) onderzoeken te verrichten in de vorm van gegevensbeschermingscontroles;
c) een toetsing te verrichten van de overeenkomstig artikel 42, lid 7, afgegeven certificeringen;
d) de ver
[3] Elk toezichthoudende autoriteit heeft alle volgende bevoegdheden tot het nemen van corrigerende maatregelen:
a) de verwerkingsverantwoordelijke of de verwerker waarschuwen dat met de voorgenomen verwerkingen waarschijnlijk inbreuk op bepalingen van deze verordening wordt gemaakt;
b) de verwerkingsverantwoordelijke of de verwerker berispen wanneer met verwerkingen inbreuk op bepalingen van deze verordening is gemaakt;
c) de verwerkingsverantwoordelijke of de verwerker gelasten de verzoeken van</t>
        </is>
      </c>
      <c r="F89" s="5" t="inlineStr">
        <is>
          <t>toezichthoudende autoriteit   [32016R0679:toezichthoudende_autoriteit]</t>
        </is>
      </c>
      <c r="G89" s="5" t="inlineStr">
        <is>
          <t>Defined in 32016R0679 art. 4: een door een lidstaat ingevolge artikel 51 ingestelde onafhankelijke overheidsinstantie</t>
        </is>
      </c>
      <c r="H89" s="6" t="n"/>
      <c r="I89" s="6" t="n"/>
      <c r="J89" s="6" t="n"/>
      <c r="K89" s="6" t="n"/>
    </row>
    <row r="90">
      <c r="A90" s="4" t="n">
        <v>89</v>
      </c>
      <c r="B90" s="5" t="inlineStr">
        <is>
          <t>[1] 32022R2554:10:1:4
[2] 32022R2554:17:1:2
[3] 32022R2554:28:1:1</t>
        </is>
      </c>
      <c r="C90" s="5" t="inlineStr">
        <is>
          <t>[1] Financiële entiteiten
[2] Financiële entiteiten
[3] Financiële entiteiten</t>
        </is>
      </c>
      <c r="D90" s="5" t="inlineStr">
        <is>
          <t>Financiële entiteiten</t>
        </is>
      </c>
      <c r="E90" s="5" t="inlineStr">
        <is>
          <t>[1] Financiële entiteiten beschikken over mechanismen om overeenkomstig artikel 17 afwijkende activiteiten zo spoedig mogelijk te detecteren, met inbegrip van kwesties op het gebied van ICT-netwerkprestaties en ICT-gerelateerde incidenten, en om potentiële zwakke fysieke punten (“single points of failure”) te identificeren.
Alle in de eerste alinea bedoelde detectiemechanismen worden regelmatig getest overeenkomstig artikel 25.
[2] Financiële entiteiten omschrijven een beheerproces voor ICT-gerelateerde incidenten, stellen dit vast en leggen dit ten uitvoer, om ICT-gerelateerde incidenten te detecteren, te beheren en te melden.
[3] Financiële entiteiten beheren het ICT-risico van derde aanbieders als integrerend onderdeel van het ICT-risico binnen hun kader voor ICT-risicobeheer als bedoeld in artikel 6, lid 1, en in overeenstemming met de volgende beginselen:
a) financiële entiteiten die contractuele overeenkomsten voor het gebruik van ICT-diensten voor hun bedrijfsactiviteiten hebben getroffen, blijven te allen tijde volledig verantwoordelijk voor de naleving en de verantwoording van alle verplichtingen uit hoofde van d</t>
        </is>
      </c>
      <c r="F90" s="5" t="inlineStr">
        <is>
          <t>an actor of class 'party' (no inventory entry)</t>
        </is>
      </c>
      <c r="G90" s="5" t="inlineStr"/>
      <c r="H90" s="6" t="n"/>
      <c r="I90" s="6" t="n"/>
      <c r="J90" s="6" t="n"/>
      <c r="K90" s="6" t="n"/>
    </row>
    <row r="91">
      <c r="A91" s="4" t="n">
        <v>90</v>
      </c>
      <c r="B91" s="5" t="inlineStr">
        <is>
          <t>BWBR0009950:11.7a:1:3</t>
        </is>
      </c>
      <c r="C91" s="5" t="inlineStr">
        <is>
          <t>de betrokken gebruiker</t>
        </is>
      </c>
      <c r="D91" s="5" t="inlineStr">
        <is>
          <t>betrokken gebruiker</t>
        </is>
      </c>
      <c r="E91" s="5" t="inlineStr">
        <is>
          <t>Onverminderd de Algemene verordening gegevensbescherming is het via een elektronisch communicatienetwerk opslaan van of toegang verkrijgen tot informatie in de randapparatuur van een gebruiker, alleen toegestaan op voorwaarde dat de betrokken gebruiker:
a.
is voorzien van duidelijke en volledige informatie overeenkomstig de Algemene verordening gegevensbescherming, in ieder geval over de doeleinden waarvoor deze informatie wordt gebruikt, en
b.
daarvoor toestemming heeft verleend.</t>
        </is>
      </c>
      <c r="F91" s="5" t="inlineStr">
        <is>
          <t>gebruiker   [BWBR0009950:gebruiker]</t>
        </is>
      </c>
      <c r="G91" s="5" t="inlineStr">
        <is>
          <t>Defined in BWBR0009950 art. 1.1: natuurlijk persoon of rechtspersoon die gebruik maakt van of verzoekt om een openbare elektronische communicatiedienst</t>
        </is>
      </c>
      <c r="H91" s="6" t="n"/>
      <c r="I91" s="6" t="n"/>
      <c r="J91" s="6" t="n"/>
      <c r="K91" s="6" t="n"/>
    </row>
    <row r="92">
      <c r="A92" s="4" t="n">
        <v>91</v>
      </c>
      <c r="B92" s="5" t="inlineStr">
        <is>
          <t>32024R1689:36:8:28</t>
        </is>
      </c>
      <c r="C92" s="5" t="inlineStr">
        <is>
          <t>de aanmeldende autoriteit</t>
        </is>
      </c>
      <c r="D92" s="5" t="inlineStr">
        <is>
          <t>aanmeldende autoriteit</t>
        </is>
      </c>
      <c r="E92" s="5" t="inlineStr">
        <is>
          <t>Met uitzondering van onterecht afgegeven certificaten en indien een aanwijzing is geschorst of beperkt, blijven de certificaten geldig in een van de volgende omstandigheden:
a) de aanmeldende autoriteit heeft binnen één maand na de schorsing of beperking bevestigd dat er met betrekking tot de certificaten waarop de schorsing of beperking van toepassing is, geen risico’s voor de gezondheid, veiligheid of grondrechten bestaan, en de aanmeldende autoriteit heeft voorzien in een termijn voor maatregelen om de schorsing of beperking te ondervangen, of
b) de aanmeldende autoriteit heeft bevestigd dat er geen certificaten in verband met de schorsing zullen worden afgegeven, gewijzigd, of opnieuw afgegeven gedurende de schorsing of beperking en geeft aan of de aangemelde instantie het vermogen heeft om de bestaande, voor de periode van schorsing of beperking afgegeven certificaten te blijven monitoren en daarvoor verantwoordelijk te blijven; indien de aanmeldende autoriteit vaststelt dat de aangemelde instantie niet in staat is bestaande afgegeven certificaten te ondersteunen, bevestigt de aanbieder van het systeem waarop het certificaat betrekking heeft binnen drie maanden na de schorsing of beperking aan de nationale bevoegde autoriteiten van de lidstaat waar hij zijn geregistreerde vestigingsplaats heeft via schriftelijke weg dat in plaats van de aangemelde instantie een andere gekwalificeerde aangemelde instantie tijdelijk de certificaten tijdens de periode van schorsing of bep</t>
        </is>
      </c>
      <c r="F92" s="5" t="inlineStr">
        <is>
          <t>aanmeldende autoriteit   [32024R1689:aanmeldende_autoriteit]</t>
        </is>
      </c>
      <c r="G92" s="5" t="inlineStr">
        <is>
          <t>Defined in 32024R1689 art. 3: de nationale autoriteit die verantwoordelijk is voor het opzetten en uitvoeren van de noodzakelijke procedures voor de beoordeling, aanwijzing en kennisgeving van de conformiteitsbeoordelingsinstanties en de monitoring hiervan</t>
        </is>
      </c>
      <c r="H92" s="6" t="n"/>
      <c r="I92" s="6" t="n"/>
      <c r="J92" s="6" t="n"/>
      <c r="K92" s="6" t="n"/>
    </row>
    <row r="93">
      <c r="A93" s="4" t="n">
        <v>92</v>
      </c>
      <c r="B93" s="5" t="inlineStr">
        <is>
          <t>BWBR0052872:33:1:1</t>
        </is>
      </c>
      <c r="C93" s="5" t="inlineStr">
        <is>
          <t>een essentiële entiteit of belangrijke entiteit</t>
        </is>
      </c>
      <c r="D93" s="5" t="inlineStr">
        <is>
          <t>belangrijke entiteit</t>
        </is>
      </c>
      <c r="E93" s="5" t="inlineStr">
        <is>
          <t>Onverminderd artikel 25 kan op vrijwillige basis een melding worden ingediend door:
a.
een essentiële entiteit of belangrijke entiteit bij haar CSIRT, over incidenten, bijna-incidenten en cyberdreigingen;
b.
eenieder bij een CSIRT, over significante incidenten als bedoeld in artikel 25, tweede lid, incidenten, bijna-incidenten en cyberdreigingen.</t>
        </is>
      </c>
      <c r="F93" s="5" t="inlineStr">
        <is>
          <t>belangrijke entiteit   [BWBR0052872:belangrijke_entiteit]</t>
        </is>
      </c>
      <c r="G93" s="5" t="inlineStr">
        <is>
          <t>Defined in BWBR0052872 art. 1: een entiteit als bedoeld in artikel 12 of 13</t>
        </is>
      </c>
      <c r="H93" s="6" t="n"/>
      <c r="I93" s="6" t="n"/>
      <c r="J93" s="6" t="n"/>
      <c r="K93" s="6" t="n"/>
    </row>
    <row r="94">
      <c r="A94" s="4" t="n">
        <v>93</v>
      </c>
      <c r="B94" s="5" t="inlineStr">
        <is>
          <t>BWBR0009950:12.9:3:3</t>
        </is>
      </c>
      <c r="C94" s="5" t="inlineStr">
        <is>
          <t>Een bij een geschil betrokken aanbieder of onderneming</t>
        </is>
      </c>
      <c r="D94" s="5" t="inlineStr">
        <is>
          <t>onderneming</t>
        </is>
      </c>
      <c r="E94" s="5" t="inlineStr">
        <is>
          <t>Een bij een geschil betrokken aanbieder of onderneming volgt de door de Autoriteit Consument en Markt op grond van het eerste lid gegeven voorschriften op. De Autoriteit Consument en Markt kan daarbij termijnen stellen.</t>
        </is>
      </c>
      <c r="F94" s="5" t="inlineStr">
        <is>
          <t>onderneming   [BWBR0009950:onderneming]</t>
        </is>
      </c>
      <c r="G94" s="5" t="inlineStr">
        <is>
          <t>Defined in BWBR0009950 art. 1.1: onderneming in de zin van artikel 101, eerste lid, van het Verdrag betreffende de werking van de Europese Unie</t>
        </is>
      </c>
      <c r="H94" s="6" t="n"/>
      <c r="I94" s="6" t="n"/>
      <c r="J94" s="6" t="n"/>
      <c r="K94" s="6" t="n"/>
    </row>
    <row r="95">
      <c r="A95" s="4" t="n">
        <v>94</v>
      </c>
      <c r="B95" s="5" t="inlineStr">
        <is>
          <t>32024R1689:49:3:3</t>
        </is>
      </c>
      <c r="C95" s="5" t="inlineStr">
        <is>
          <t>gebruiksverantwoordelijken die overheidsinstanties, instellingen, organen of instanties van de Unie, of personen die namens hen optreden</t>
        </is>
      </c>
      <c r="D95" s="5" t="inlineStr">
        <is>
          <t>gebruiksverantwoordelijken</t>
        </is>
      </c>
      <c r="E95" s="5" t="inlineStr">
        <is>
          <t>Alvorens een in bijlage III vermeld AI-systeem met een hoog risico in gebruik te stellen of te gebruiken, met uitzondering van de in punt 2 van bijlage III vermelde AI-systemen met een hoog risico, registreren gebruiksverantwoordelijken die overheidsinstanties, instellingen, organen of instanties van de Unie, of personen die namens hen optreden, zichzelf en selecteren zij het systeem en registreren zij het gebruik ervan in de in artikel 71 bedoelde EU-databank.</t>
        </is>
      </c>
      <c r="F95" s="5" t="inlineStr">
        <is>
          <t>gebruiksverantwoordelijke   [32024R1689:gebruiksverantwoordelijke]</t>
        </is>
      </c>
      <c r="G95" s="5" t="inlineStr">
        <is>
          <t>Defined in 32024R1689 art. 3: een natuurlijke of rechtspersoon, overheidsinstantie, agentschap of ander orgaan die/dat een AI-systeem onder eigen verantwoordelijkheid gebruikt, tenzij het AI-systeem wordt gebruikt in het kader van een persoonlijke niet-beroepsactiviteit</t>
        </is>
      </c>
      <c r="H95" s="6" t="n"/>
      <c r="I95" s="6" t="n"/>
      <c r="J95" s="6" t="n"/>
      <c r="K95" s="6" t="n"/>
    </row>
    <row r="96">
      <c r="A96" s="4" t="n">
        <v>95</v>
      </c>
      <c r="B96" s="5" t="inlineStr">
        <is>
          <t>[1] BWBR0052872:71:1:1
[2] BWBR0052872:76:2:2
[3] BWBR0052872:71:2:3</t>
        </is>
      </c>
      <c r="C96" s="5" t="inlineStr">
        <is>
          <t>[1] De bevoegde autoriteit
[2] De bevoegde autoriteit
[3] De bevoegde autoriteit</t>
        </is>
      </c>
      <c r="D96" s="5" t="inlineStr">
        <is>
          <t>bevoegde autoriteit</t>
        </is>
      </c>
      <c r="E96" s="5" t="inlineStr">
        <is>
          <t>[1] De bevoegde autoriteit kan een beveiligingsscan op basis van objectieve, niet-discriminerende, eerlijke en transparante risicobeoordelingscriteria uitvoeren of door een onafhankelijke en gekwalificeerde deskundige laten uitvoeren bij een essentiële entiteit.
[2] De bevoegde autoriteit kan het besluit, bedoeld in het eerste lid, alleen nemen:
a.
nadat zij alle in het derde lid genoemde maatregelen heeft opgelegd aan de betrokken entiteit en deze maatregelen niet ertoe hebben geleid dat de overtreding is beëindigd; of
b.
nadat zij één of meer van de in het derde lid genoemde maatregelen heeft opgelegd aan de betrokken entiteit, de opgelegde maatregel of maatregelen niet ertoe hebben geleid dat de overtreding is beëindigd en het opleggen van de andere in
[3] De bevoegde autoriteit draagt de kosten van de beveiligingsscan.</t>
        </is>
      </c>
      <c r="F96" s="5" t="inlineStr">
        <is>
          <t>bevoegde autoriteit   [BWBR0052872:bevoegde_autoriteit]</t>
        </is>
      </c>
      <c r="G96" s="5" t="inlineStr">
        <is>
          <t>Defined in BWBR0052872 art. 1: de bevoegde autoriteit, bedoeld in artikel 8, eerste lid, van de NIS2-richtlijn en bedoeld in artikel 15</t>
        </is>
      </c>
      <c r="H96" s="6" t="n"/>
      <c r="I96" s="6" t="n"/>
      <c r="J96" s="6" t="n"/>
      <c r="K96" s="6" t="n"/>
    </row>
    <row r="97">
      <c r="A97" s="4" t="n">
        <v>96</v>
      </c>
      <c r="B97" s="5" t="inlineStr">
        <is>
          <t>[1] 32024R1689:23:1:6
[2] 32024R1689:43:3:8
[3] 32024R1689:14:3:5</t>
        </is>
      </c>
      <c r="C97" s="5" t="inlineStr">
        <is>
          <t>[1] de aanbieder
[2] de aanbieder
[3] de aanbieder</t>
        </is>
      </c>
      <c r="D97" s="5" t="inlineStr">
        <is>
          <t>aanbieder</t>
        </is>
      </c>
      <c r="E97" s="5" t="inlineStr">
        <is>
          <t>[1] Alvorens een AI-systeem met een hoog risico in de handel wordt gebracht, zorgen de importeurs ervoor dat het systeem in overeenstemming is met deze verordening door na te gaan of:
a) de relevante conformiteitsbeoordelingsprocedure als bedoeld in artikel 43 is uitgevoerd door de aanbieder van het AI-systeem met een hoog risico;
b) de aanbieder de technische documentatie heeft opgesteld in overeenstemming met artikel 11 en bijlage IV;
c) de vereiste CE-markering op het systeem is aangebracht en
[2] Voor AI-systemen met een hoog risico die onder de in afdeling A van bijlage I vermelde harmonisatiewetgeving van de Unie vallen, volgt de aanbieder de relevante conformiteitsbeoordelingsprocedure zoals vereist volgens die rechtshandelingen. De in afdeling 2 van dit hoofdstuk beschreven voorschriften zijn van toepassing op die AI-systemen met een hoog risico en maken deel uit van die beoordeling. De punten 4.3, 4.4, 4.5 en de vijfde alinea van punt 4.6 van bijlage VII zijn eveneens van toepassing
[3] De toezichtmaatregelen staan in verhouding met de risico’s, de mate van autonomie en de gebruikscontext van het AI-systeem met een hoog risico en worden gewaarborgd door middel van een of alle van de volgende soorten maatregelen:
a) door de aanbieder bepaalde maatregelen die waar technisch haalbaar in het AI-systeem met een hoog risico worden ingebouwd voordat dit systeem in de handel wordt gebracht of in gebruik wordt gesteld;
b) door de aanbieder bepaalde maatregelen voordat het AI-systeem m</t>
        </is>
      </c>
      <c r="F97" s="5" t="inlineStr">
        <is>
          <t>aanbieder   [32024R1689:aanbieder]</t>
        </is>
      </c>
      <c r="G97"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H97" s="6" t="n"/>
      <c r="I97" s="6" t="n"/>
      <c r="J97" s="6" t="n"/>
      <c r="K97" s="6" t="n"/>
    </row>
    <row r="98">
      <c r="A98" s="4" t="n">
        <v>97</v>
      </c>
      <c r="B98" s="5" t="inlineStr">
        <is>
          <t>32022R2554:26:7:13</t>
        </is>
      </c>
      <c r="C98" s="5" t="inlineStr">
        <is>
          <t>Die autoriteit</t>
        </is>
      </c>
      <c r="D98" s="5" t="inlineStr">
        <is>
          <t>autoriteit</t>
        </is>
      </c>
      <c r="E98" s="5" t="inlineStr">
        <is>
          <t>Die autoriteit bezorgt een attest aan de financiële entiteit waarin wordt bevestigd dat de test in overeenstemming met de in de documentatie genoemde vereisten is verricht om de wederzijdse erkenning van dreigingsgestuurde penetratietests tussen bevoegde autoriteiten mogelijk te maken. De financiële entiteit stelt de relevante bevoegde autoriteit in kennis van het attest, de samenvatting van de relevante bevindingen en de correctieplannen.
Onverminderd een dergelijk attest, blijven financiële entiteiten te allen tijde volledig verantwoordelijk voor de gevolgen van de in lid 4 genoemde tests.</t>
        </is>
      </c>
      <c r="F98" s="5" t="inlineStr">
        <is>
          <t>an actor of class 'authority' (no inventory entry)</t>
        </is>
      </c>
      <c r="G98" s="5" t="inlineStr"/>
      <c r="H98" s="6" t="n"/>
      <c r="I98" s="6" t="n"/>
      <c r="J98" s="6" t="n"/>
      <c r="K98" s="6" t="n"/>
    </row>
    <row r="99">
      <c r="A99" s="4" t="n">
        <v>98</v>
      </c>
      <c r="B99" s="5" t="inlineStr">
        <is>
          <t>32016R0679:80:1:4</t>
        </is>
      </c>
      <c r="C99" s="5" t="inlineStr">
        <is>
          <t>een orgaan, organisatie of vereniging zonder winstoogmerk dat of die op geldige wijze volgens het recht van een lidstaat is opgericht, waarvan de statutaire doelstellingen het openbare belang dienen en dat of die actief is op het gebied van de bescherming van de rechten en vrijheden van de betrokkene in verband met de bescherming van diens persoonsgegevens</t>
        </is>
      </c>
      <c r="D99" s="5" t="inlineStr">
        <is>
          <t>organisatie</t>
        </is>
      </c>
      <c r="E99" s="5" t="inlineStr">
        <is>
          <t>De betrokkene heeft het recht een orgaan, organisatie of vereniging zonder winstoogmerk dat of die op geldige wijze volgens het recht van een lidstaat is opgericht, waarvan de statutaire doelstellingen het openbare belang dienen en dat of die actief is op het gebied van de bescherming van de rechten en vrijheden van de betrokkene in verband met de bescherming van diens persoonsgegevens, opdracht te geven de klacht namens hem in te dienen, namens hem de in artikelen 77, 78 en 79 bedoelde rechten uit te oefenen en namens hem het in artikel 82 bedoelde recht op schadevergoeding uit te oefenen, indien het lidstatelijke recht daarin voorziet.</t>
        </is>
      </c>
      <c r="F99" s="5" t="inlineStr">
        <is>
          <t>an actor of class 'party' (no inventory entry)</t>
        </is>
      </c>
      <c r="G99" s="5" t="inlineStr"/>
      <c r="H99" s="6" t="n"/>
      <c r="I99" s="6" t="n"/>
      <c r="J99" s="6" t="n"/>
      <c r="K99" s="6" t="n"/>
    </row>
    <row r="100">
      <c r="A100" s="4" t="n">
        <v>99</v>
      </c>
      <c r="B100" s="5" t="inlineStr">
        <is>
          <t>BWBR0009950:7.3:5:12</t>
        </is>
      </c>
      <c r="C100" s="5" t="inlineStr">
        <is>
          <t>de tool</t>
        </is>
      </c>
      <c r="D100" s="5" t="inlineStr">
        <is>
          <t>tool</t>
        </is>
      </c>
      <c r="E100" s="5" t="inlineStr">
        <is>
          <t>De vergelijkingstool, bedoeld in het vierde lid, voldoet aan de volgende vereisten:
a.
de tool is operationeel onafhankelijk van de aanbieders van diensten als bedoeld in het vierde lid en waarborgt dat die aanbieders in de zoekresultaten gelijk worden behandeld;
b.
de tool vermeldt wie de eigenaar daarvan is en wie de tool beheert;
c.
de tool vermeldt de duidelijke en objectieve criteria waarop de vergelijking moet worden gebaseerd;
d.
de tool maakt gebruik van duidelijke en ondubbelzinnige taal;
e.
de tool geeft nauwkeurige en actuele informatie, met vermelding van het tijdstip van de meest recente actualisering;
f.
de tool staat open voor iedere aanbieder van internettoegangsdiensten of voor het publiek beschikbare interpersoonlijke communicatiediensten, die de relevante informatie beschikbaar maakt en omvat een breed scala aan aanbiedingen die een significant deel van de markt beslaan en vermeld in voorkomend geval duidelijk dat de gepresenteerde informatie geen volledig overzicht van de markt biedt, voordat de zoekresultaten worden getoond;
g.
de tool voorziet in een effectieve procedure om onjuiste informatie te melden;
h.
de tool voorziet in de mogelijkheid tot vergelijking van de prijzen, tarieven en kwaliteit van de dienstverlening van de aanbiedingen waartussen de consument kan kiezen.</t>
        </is>
      </c>
      <c r="F100" s="5" t="inlineStr">
        <is>
          <t>not an actor (dropped)</t>
        </is>
      </c>
      <c r="G100" s="5" t="inlineStr"/>
      <c r="H100" s="6" t="n"/>
      <c r="I100" s="6" t="n"/>
      <c r="J100" s="6" t="n"/>
      <c r="K100" s="6" t="n"/>
    </row>
    <row r="101">
      <c r="A101" s="4" t="n">
        <v>100</v>
      </c>
      <c r="B101" s="5" t="inlineStr">
        <is>
          <t>32022L2555:23:4:12</t>
        </is>
      </c>
      <c r="C101" s="5" t="inlineStr">
        <is>
          <t>de betrokken entiteiten</t>
        </is>
      </c>
      <c r="D101" s="5" t="inlineStr">
        <is>
          <t>betrokken entiteiten</t>
        </is>
      </c>
      <c r="E101" s="5" t="inlineStr">
        <is>
          <t xml:space="preserve">De lidstaten zorgen ervoor dat de betrokken entiteiten, voor de in lid 1 bedoelde melding, bij het CSIRT of, indien van toepassing, de bevoegde autoriteit:
a) onverwijld en in elk geval binnen 24 uur nadat zij kennis hebben gekregen van het significante incident, een vroegtijdige waarschuwing geven, waarin, indien van toepassing, wordt aangegeven of het significante incident vermoedelijk door een onrechtmatige of kwaadwillige handeling is veroorzaakt, dan wel grensoverschrijdende gevolgen zou kunnen hebben;
b) onverwijld en in elk geval binnen 72 uur nadat zij kennis hebben gekregen van het significante incident, een incidentmelding indienen met, indien van toepassing, een update van de in punt a) bedoelde informatie, een initiële beoordeling van het significante incident, met inbegrip van de ernst en de gevolgen ervan en, indien beschikbaar, de indicatoren voor aantasting;
c) op verzoek van het CSIRT of, indien van toepassing, de bevoegde autoriteit, een tussentijds verslag indienen over relevante updates van de situatie;
d) uiterlijk één maand na de indiening van het in punt b) bedoelde incidentmelding, een eindverslag indienen waarin het volgende is opgenomen:
i) een gedetailleerde beschrijving van het incident, met inbegrip van de ernst en de gevolgen ervan;
ii) het soort bedreiging of de grondoorzaak die waarschijnlijk tot het incident heeft geleid;
iii) toegepaste en lopende risicobeperkende maatregelen;
iv) in voorkomend geval, de grensoverschrijdende gevolgen </t>
        </is>
      </c>
      <c r="F101" s="5" t="inlineStr">
        <is>
          <t>entiteit   [32022L2555:entiteit]</t>
        </is>
      </c>
      <c r="G101" s="5" t="inlineStr">
        <is>
          <t>Defined in 32022L2555 art. 6: een natuurlijke of rechtspersoon die als zodanig is opgericht en erkend volgens het nationale recht van zijn vestigingsplaats, en die in eigen naam rechten kan uitoefenen en aan verplichtingen kan worden onderworpen</t>
        </is>
      </c>
      <c r="H101" s="6" t="n"/>
      <c r="I101" s="6" t="n"/>
      <c r="J101" s="6" t="n"/>
      <c r="K101" s="6" t="n"/>
    </row>
    <row r="102">
      <c r="A102" s="4" t="n">
        <v>101</v>
      </c>
      <c r="B102" s="5" t="inlineStr">
        <is>
          <t>32024R1689:24:5:12</t>
        </is>
      </c>
      <c r="C102" s="5" t="inlineStr">
        <is>
          <t>distributeurs van een AI-systeem met een hoog risico</t>
        </is>
      </c>
      <c r="D102" s="5" t="inlineStr">
        <is>
          <t>distributeurs van een AI-systeem met een hoog risico</t>
        </is>
      </c>
      <c r="E102" s="5" t="inlineStr">
        <is>
          <t>Op een met redenen omkleed verzoek van een relevante bevoegde autoriteit verstrekken distributeurs van een AI-systeem met een hoog risico die autoriteit alle informatie en documentatie met betrekking tot de op grond van de leden 1 tot en met 4 door hen genomen maatregelen die nodig zijn om aan te tonen dat het systeem voldoet aan de eisen van afdeling 2.</t>
        </is>
      </c>
      <c r="F102" s="5" t="inlineStr">
        <is>
          <t>distributeur   [32024R1689:distributeur]</t>
        </is>
      </c>
      <c r="G102" s="5" t="inlineStr">
        <is>
          <t>Defined in 32024R1689 art. 3: een andere natuurlijke persoon of rechtspersoon in de toeleveringsketen dan de aanbieder of de importeur, die een AI-systeem in de Unie op de markt aanbiedt</t>
        </is>
      </c>
      <c r="H102" s="6" t="n"/>
      <c r="I102" s="6" t="n"/>
      <c r="J102" s="6" t="n"/>
      <c r="K102" s="6" t="n"/>
    </row>
    <row r="103">
      <c r="A103" s="4" t="n">
        <v>102</v>
      </c>
      <c r="B103" s="5" t="inlineStr">
        <is>
          <t>32016R0679:43:1:4</t>
        </is>
      </c>
      <c r="C103" s="5" t="inlineStr">
        <is>
          <t>de nationale accreditatie-instantie</t>
        </is>
      </c>
      <c r="D103" s="5" t="inlineStr">
        <is>
          <t>nationale accreditatie-instantie</t>
        </is>
      </c>
      <c r="E103" s="5" t="inlineStr">
        <is>
          <t>Onverminderd de taken en bevoegdheden van de bevoegde toezichthoudende autoriteit uit hoofde van de artikelen 57 en 58, gaan certificeringsorganen die over de passende deskundigheid met betrekking tot gegevensbescherming beschikt, wordt in voorkomend geval na kennisgeving aan de toezichthoudende autoriteit met het oog op de uitoefening van haar bevoegdheden overeenkomstig artikel 58, lid 2, punt h), over tot afgifte en verlenging van het certificaat. De lidstaten zorgen ervoor dat die certificeringsorganen worden geaccrediteerd door één van de volgende instanties:
a) de toezichthoudende autoriteit die bevoegd is overeenkomstig artikel 55 of 56;
b) de nationale accreditatie-instantie die is aangewezen in overeenstemming met Verordening (EG) nr. 765/2008 van het Europees Parlement en de Raad (20), in overeenstemming met EN-ISO/IEC 17065/2012 en met de aanvullende eisen die door de overeenkomstig artikel 55 of 56 bevoegde toezichthoudende autoriteit zijn vastgesteld.</t>
        </is>
      </c>
      <c r="F103" s="5" t="inlineStr">
        <is>
          <t>nationale accreditatie-instantie   [KEY:EU:nationale_accreditatieinstantie]</t>
        </is>
      </c>
      <c r="G103" s="5" t="inlineStr">
        <is>
          <t>Known actor (not defined), class body, valid in eu. Aliases: accreditatie-instantie.</t>
        </is>
      </c>
      <c r="H103" s="6" t="n"/>
      <c r="I103" s="6" t="n"/>
      <c r="J103" s="6" t="n"/>
      <c r="K103" s="6" t="n"/>
    </row>
    <row r="104">
      <c r="A104" s="4" t="n">
        <v>103</v>
      </c>
      <c r="B104" s="5" t="inlineStr">
        <is>
          <t>BWBR0040940:20:1:1</t>
        </is>
      </c>
      <c r="C104" s="5" t="inlineStr">
        <is>
          <t>de Autoriteit persoonsgegevens</t>
        </is>
      </c>
      <c r="D104" s="5" t="inlineStr">
        <is>
          <t>Autoriteit persoonsgegevens</t>
        </is>
      </c>
      <c r="E104" s="5" t="inlineStr">
        <is>
          <t>Indien de Autoriteit persoonsgegevens in een onderzoek betreffende de doorgifte van persoonsgegevens naar een land buiten de Europese Unie of naar een internationale organisatie, ingesteld op verzoek van een belanghebbende, gegronde redenen heeft om aan te nemen dat een door de Europese Commissie ten aanzien van het desbetreffende land of de desbetreffende internationale organisatie genomen adequaatheidsbesluit als bedoeld in artikel 45, eerste lid, van de verordening of een door de Europese Commissie genomen besluit met betrekking tot het vaststellen of goedkeuren van standaardbepalingen als bedoeld in artikel 46, tweede lid, onderdelen c en d, van de verordening onvoldoende waarborgen biedt voor een passend niveau van gegevensbescherming, kan de Autoriteit persoonsgegevens bij de Afdeling bestuursrechtspraak van de Raad van State een verzoek indienen om voor recht te verklaren dat het desbetreffende besluit geldig is.</t>
        </is>
      </c>
      <c r="F104" s="5" t="inlineStr">
        <is>
          <t>not an actor (dropped)</t>
        </is>
      </c>
      <c r="G104" s="5" t="inlineStr"/>
      <c r="H104" s="6" t="n"/>
      <c r="I104" s="6" t="n"/>
      <c r="J104" s="6" t="n"/>
      <c r="K104" s="6" t="n"/>
    </row>
    <row r="105">
      <c r="A105" s="4" t="n">
        <v>104</v>
      </c>
      <c r="B105" s="5" t="inlineStr">
        <is>
          <t>32024R1689:58:2:17</t>
        </is>
      </c>
      <c r="C105" s="5" t="inlineStr">
        <is>
          <t>de nationale bevoegde autoriteit</t>
        </is>
      </c>
      <c r="D105" s="5" t="inlineStr">
        <is>
          <t>nationale bevoegde autoriteit</t>
        </is>
      </c>
      <c r="E105" s="5" t="inlineStr">
        <is>
          <t>De in lid 1 bedoelde uitvoeringshandelingen waarborgen dat:
a) AI-testomgevingen voor regelgeving open staan voor elke aanbieder of potentiële aanbieder van een AI-systeem die voldoet aan de toelatings- en selectiecriteria, die transparant en eerlijk moeten zijn, en dat de nationale bevoegde autoriteiten aanvragers binnen drie maanden na de aanvraag in kennis stellen van hun besluit;
b) AI-testomgevingen voor regelgeving brede en gelijke toegang bieden en de vraag om toestemming voor deelname aankunnen; aanbieders en potentiële aanbieders ook aanvragen kunnen indienen in samenwerking met gebruiksverantwoordelijken en andere relevante derden;
c) de gedetailleerde regelingen en voorwaarden voor AI-testomgevingen voor regelgeving zo veel mogelijk flexibiliteit bieden voor nationale bevoegde autoriteiten om hun AI-testomgevingen voor regelgeving op te richten en te exploiteren;
d) de toegang tot de AI-testomgevingen voor regelgeving voor kmo’s, waaronder start-ups, kosteloos is, onverminderd uitzonderlijke kosten die de nationale bevoegde autoriteiten op billijke en evenredige wijze mogen verhalen;
e) zij het voor aanbieders en potentiële aanbieders, door middel van de leerresultaten van de AI-testomgevingen voor regelgeving, vergemakkelijken om de conformiteitsbeoordelingsverplichtingen uit hoofde van deze verordening na te komen en de in artikel 95 bedoelde gedragscodes vrijwillig toe te passen;
f) AI-testomgevingen voor regelgeving de betrokkenheid vergemakkelijken van a</t>
        </is>
      </c>
      <c r="F105" s="5" t="inlineStr">
        <is>
          <t>nationale bevoegde autoriteit   [32024R1689:nationale_bevoegde_autoriteit]</t>
        </is>
      </c>
      <c r="G105" s="5" t="inlineStr">
        <is>
          <t>Defined in 32024R1689 art. 3: een aanmeldende autoriteit of een de markttoezichtautoriteit; wat betreft AI-systemen die door instellingen, organen en instanties van de EU in gebruik worden gesteld of worden gebruikt, worden verwijzingen naar nationale bevoegde autoriteiten of markttoezichtautoriteiten in deze verordening begrepen als verwijzingen naar de Europese Toezichthouder voor gegevensbescherming</t>
        </is>
      </c>
      <c r="H105" s="6" t="n"/>
      <c r="I105" s="6" t="n"/>
      <c r="J105" s="6" t="n"/>
      <c r="K105" s="6" t="n"/>
    </row>
    <row r="106">
      <c r="A106" s="4" t="n">
        <v>105</v>
      </c>
      <c r="B106" s="5" t="inlineStr">
        <is>
          <t>BWBR0009950:15.4:4:4</t>
        </is>
      </c>
      <c r="C106" s="5" t="inlineStr">
        <is>
          <t>De Autoriteit persoonsgegevens</t>
        </is>
      </c>
      <c r="D106" s="5" t="inlineStr">
        <is>
          <t>Autoriteit persoonsgegevens</t>
        </is>
      </c>
      <c r="E106" s="5" t="inlineStr">
        <is>
          <t>De Autoriteit persoonsgegevens kan ingeval van overtreding van een wettelijk voorschrift met het toezicht op de naleving waarvan het ingevolge artikel 15.1, tweede lid, is belast of ingeval van overtreding van artikel 5:20, eerste lid, van de Algemene wet bestuursrecht een bestuurlijke boete opleggen van ten hoogste € 900.000.</t>
        </is>
      </c>
      <c r="F106" s="5" t="inlineStr">
        <is>
          <t>not an actor (dropped)</t>
        </is>
      </c>
      <c r="G106" s="5" t="inlineStr"/>
      <c r="H106" s="6" t="n"/>
      <c r="I106" s="6" t="n"/>
      <c r="J106" s="6" t="n"/>
      <c r="K106" s="6" t="n"/>
    </row>
    <row r="107">
      <c r="A107" s="4" t="n">
        <v>106</v>
      </c>
      <c r="B107" s="5" t="inlineStr">
        <is>
          <t>[1] BWBR0009950:9.3:3:7
[2] BWBR0009950:3.8a:3:5
[3] BWBR0009950:7.7:5:4</t>
        </is>
      </c>
      <c r="C107" s="5" t="inlineStr">
        <is>
          <t>[1] Onze Minister
[2] Onze Minister
[3] Onze Minister</t>
        </is>
      </c>
      <c r="D107" s="5" t="inlineStr">
        <is>
          <t>Onze Minister</t>
        </is>
      </c>
      <c r="E107" s="5" t="inlineStr">
        <is>
          <t>[1] Indien de Autoriteit Consument en Markt vaststelt dat de aanwijzing een onredelijke last kan vormen voor degene die wordt aangewezen als universeledienstverlener maakt Onze Minister het voornemen over te gaan tot een aanwijzing bekend in de Staatscourant. In die bekendmaking worden de te verzorgen dienst of voorziening, het verzorgingsgebied en de periode waarvoor de aanwijzing zal gelden vermeld en wordt gewezen op de in het vijfde lid geregelde mogelijkheid een bod uit te brengen op de aanwijz
[2] Indien dat naar zijn oordeel in het belang is van de continuïteit van de via de vergunde frequentieruimte verleende diensten, legt Onze Minister een partij, bedoeld in het eerste lid, de verplichting op om met andere partijen, bedoeld in het eerste lid, een transitieovereenkomst te sluiten. Onze Minister kan deze partijen in het belang van de continuïteit van dienstverlening aanvullende of andere verplichtingen opleggen. Eventuele met de in dit lid bedoelde verplichtingen verbonden kosten komen 
[3] Onze Minister kan ontheffing verlenen van het bepaalde in het derde lid, indien het technisch niet uitvoerbaar dan wel economisch niet haalbaar is de in dat lid bedoelde voorzieningen te treffen. Een ontheffing kan onder beperkingen worden verleend. Onze Minister kan voorschriften verbinden aan een ontheffing.</t>
        </is>
      </c>
      <c r="F107" s="5" t="inlineStr">
        <is>
          <t>Onze Minister   [BWBR0009950:onze_minister]</t>
        </is>
      </c>
      <c r="G107" s="5" t="inlineStr">
        <is>
          <t>Defined in BWBR0009950 art. 1.1: Onze Minister van Economische Zaken en Klimaat</t>
        </is>
      </c>
      <c r="H107" s="6" t="n"/>
      <c r="I107" s="6" t="n"/>
      <c r="J107" s="6" t="n"/>
      <c r="K107" s="6" t="n"/>
    </row>
    <row r="108">
      <c r="A108" s="4" t="n">
        <v>107</v>
      </c>
      <c r="B108" s="5" t="inlineStr">
        <is>
          <t>BWBR0052872:37:whole:1</t>
        </is>
      </c>
      <c r="C108" s="5" t="inlineStr">
        <is>
          <t>Het CSIRT respectievelijk de bevoegde autoriteit</t>
        </is>
      </c>
      <c r="D108" s="5" t="inlineStr">
        <is>
          <t>CSIRT respectievelijk de bevoegde autoriteit</t>
        </is>
      </c>
      <c r="E108" s="5" t="inlineStr">
        <is>
          <t>Het CSIRT respectievelijk de bevoegde autoriteit kan, na raadpleging van de betrokken entiteit, het publiek informeren over een significant incident of de entiteit verplichten om dit te doen, wanneer:
a.
publieke bewustmaking nodig is om een significant incident te voorkomen;
b.
dat nodig is om een lopend incident te beheersen; of
c.
de bekendmaking van het significante incident anderszins in het algemeen belang is.</t>
        </is>
      </c>
      <c r="F108" s="5" t="inlineStr">
        <is>
          <t>bevoegde autoriteit   [BWBR0052872:bevoegde_autoriteit]</t>
        </is>
      </c>
      <c r="G108" s="5" t="inlineStr">
        <is>
          <t>Defined in BWBR0052872 art. 1: de bevoegde autoriteit, bedoeld in artikel 8, eerste lid, van de NIS2-richtlijn en bedoeld in artikel 15</t>
        </is>
      </c>
      <c r="H108" s="6" t="n"/>
      <c r="I108" s="6" t="n"/>
      <c r="J108" s="6" t="n"/>
      <c r="K108" s="6" t="n"/>
    </row>
    <row r="109">
      <c r="A109" s="4" t="n">
        <v>108</v>
      </c>
      <c r="B109" s="5" t="inlineStr">
        <is>
          <t>BWBR0052872:16:2:14</t>
        </is>
      </c>
      <c r="C109" s="5" t="inlineStr">
        <is>
          <t>het CSIRT</t>
        </is>
      </c>
      <c r="D109" s="5" t="inlineStr">
        <is>
          <t>CSIRT</t>
        </is>
      </c>
      <c r="E109" s="5" t="inlineStr">
        <is>
          <t>Het CSIRT heeft de volgende taken:
a.
het monitoren en analyseren van cyberdreigingen, kwetsbaarheden en incidenten op nationaal niveau, en het op verzoek verlenen van bijstand aan de betrokken essentiële entiteit of belangrijke entiteit met betrekking tot het realtime of bijna-realtime monitoren van haar netwerk- en informatiesysteem;
b.
het verstrekken van vroegtijdige waarschuwingen, meldingen en aankondigingen en het verspreiden van informatie aan de betrokken essentiële entiteit of belangrijke entiteit, de bevoegde autoriteiten, Onze Minister van Economische Zaken, ten behoeve van de uitvoering van de taken, bedoeld in artikel 2, eerste lid, van de Wet bevordering digitale weerbaarheid bedrijven, en andere relevante partijen over cyberdreigingen, kwetsbaarheden en incidenten, indien mogelijk in bijna-realtime;
c.
indien van toepassing, het reageren op incidenten en verlenen van bijstand aan de betrokken essentiële entiteit of belangrijke entiteit;
d.
het verzamelen en analyseren van forensische gegevens en het zorgen voor dynamische risico- en incidentenanalyse en situationeel bewustzijn met betrekking tot cyberbeveiliging;
e.
het op verzoek van een essentiële entiteit of belangrijke entiteit proactief scannen van het netwerk- en informatiesysteem van de betrokken entiteit om kwetsbaarheden met mogelijk significante gevolgen op te sporen;
f.
het deelnemen aan het CSIRT-netwerk en, in overeenstemming met zijn capaciteiten en bevoegdheden, het verlenen van wederzijds</t>
        </is>
      </c>
      <c r="F109" s="5" t="inlineStr">
        <is>
          <t>CSIRT   [BWBR0052872:csirt]</t>
        </is>
      </c>
      <c r="G109" s="5" t="inlineStr">
        <is>
          <t>Defined in BWBR0052872 art. 1: een Computer security incident response team, bedoeld in artikel 10 van de NIS2-richtlijn en bedoeld in artikel 16</t>
        </is>
      </c>
      <c r="H109" s="6" t="n"/>
      <c r="I109" s="6" t="n"/>
      <c r="J109" s="6" t="n"/>
      <c r="K109" s="6" t="n"/>
    </row>
    <row r="110">
      <c r="A110" s="4" t="n">
        <v>109</v>
      </c>
      <c r="B110" s="5" t="inlineStr">
        <is>
          <t>32024R1689:50:2:6</t>
        </is>
      </c>
      <c r="C110" s="5" t="inlineStr">
        <is>
          <t>Aanbieders</t>
        </is>
      </c>
      <c r="D110" s="5" t="inlineStr">
        <is>
          <t>Aanbieders</t>
        </is>
      </c>
      <c r="E110" s="5" t="inlineStr">
        <is>
          <t>Aanbieders van AI-systemen, met inbegrip van AI-systemen voor algemene doeleinden, die synthetische audio-, beeld-, video- of tekstinhoud genereren, zorgen ervoor dat de outputs van het AI-systeem worden gemarkeerd in een machineleesbaar formaat en detecteerbaar zijn als kunstmatig gegenereerd of gemanipuleerd. Aanbieders zorgen ervoor dat hun technische oplossingen doeltreffend, interoperabel, robuust en betrouwbaar zijn voor zover dat technisch haalbaar is, rekening houdend met de specifieke kenmerken en beperkingen van de verschillende soorten content, de uitvoeringskosten en de algemeen erkende stand van de techniek, zoals tot uiting kan komen in relevante technische normen. Deze verplichting is niet van toepassing voor zover de AI-systemen een ondersteunende functie voor standaardbewerking vervullen of de door de gebruiksverantwoordelijke of de semantiek daarvan verstrekte inputdata niet substantieel wijzigen, of wanneer het bij wet is toegestaan strafbare feiten op te sporen, te voorkomen, te onderzoeken of te vervolgen.</t>
        </is>
      </c>
      <c r="F110" s="5" t="inlineStr">
        <is>
          <t>aanbieder   [32024R1689:aanbieder]</t>
        </is>
      </c>
      <c r="G110" s="5" t="inlineStr">
        <is>
          <t>Defined in 32024R1689 art. 3: 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c r="H110" s="6" t="n"/>
      <c r="I110" s="6" t="n"/>
      <c r="J110" s="6" t="n"/>
      <c r="K110" s="6" t="n"/>
    </row>
    <row r="111">
      <c r="A111" s="4" t="n">
        <v>110</v>
      </c>
      <c r="B111" s="5" t="inlineStr">
        <is>
          <t>32022R2554:55:4:4</t>
        </is>
      </c>
      <c r="C111" s="5" t="inlineStr">
        <is>
          <t>Alle uitwisseling van informatie tussen de bevoegde autoriteiten krachtens deze verordening die betrekking heeft op exploitatie- of bedrijfsomstandigheden en andere economische of persoonlijke zaken</t>
        </is>
      </c>
      <c r="D111" s="5" t="inlineStr">
        <is>
          <t>uitwisseling van informatie tussen de bevoegde autoriteiten</t>
        </is>
      </c>
      <c r="E111" s="5" t="inlineStr">
        <is>
          <t>Alle uitwisseling van informatie tussen de bevoegde autoriteiten krachtens deze verordening die betrekking heeft op exploitatie- of bedrijfsomstandigheden en andere economische of persoonlijke zaken, wordt als vertrouwelijk beschouwd en valt onder de vereisten van het beroepsgeheim, tenzij de bevoegde autoriteit op het moment van de mededeling verklaart dat deze informatie kan worden bekendgemaakt of de bekendmaking ervan noodzakelijk is voor gerechtelijke procedures.</t>
        </is>
      </c>
      <c r="F111" s="5" t="inlineStr">
        <is>
          <t>not an actor (dropped)</t>
        </is>
      </c>
      <c r="G111" s="5" t="inlineStr"/>
      <c r="H111" s="6" t="n"/>
      <c r="I111" s="6" t="n"/>
      <c r="J111" s="6" t="n"/>
      <c r="K111" s="6" t="n"/>
    </row>
    <row r="112">
      <c r="A112" s="4" t="n">
        <v>111</v>
      </c>
      <c r="B112" s="5" t="inlineStr">
        <is>
          <t>32024R1689:78:3:7</t>
        </is>
      </c>
      <c r="C112" s="5" t="inlineStr">
        <is>
          <t>die autoriteiten</t>
        </is>
      </c>
      <c r="D112" s="5" t="inlineStr">
        <is>
          <t>autoriteiten</t>
        </is>
      </c>
      <c r="E112" s="5" t="inlineStr">
        <is>
          <t>Onverminderd de leden 1 en 2, mag op vertrouwelijke basis tussen de nationale bevoegde autoriteiten of tussen nationale bevoegde autoriteiten en de Commissie uitgewisselde informatie niet openbaar worden gemaakt zonder voorafgaande raadpleging van de nationale bevoegde autoriteit waarvan de informatie afkomstig is en de gebruiksverantwoordelijke wanneer in punt 1, 6 of 7 van bijlage III vermelde AI-systemen met een hoog risico worden gebruikt door rechtshandhavingsinstanties en grenstoezichts-, immigratie- of asielautoriteiten, wanneer die openbaarmaking openbare en nationale veiligheidsbelangen in gevaar zou brengen. Deze informatie-uitwisseling behelst geen gevoelige operationele gegevens in verband met de activiteiten van rechtshandhavings-, grenstoezichts-, immigratie- of asielautoriteiten.
Indien de rechtshandhavingsinstanties of immigratie- of asielautoriteiten aanbieders van in punt 1, 6 of 7 van bijlage III bedoelde AI-systemen met een hoog risico zijn, blijft de in bijlage IV vermelde technische documentatie in de gebouwen van die autoriteiten. Die autoriteiten waarborgen dat de in artikel 74, leden 8 en 9, bedoelde markttoezichtautoriteiten zo nodig op verzoek onmiddellijk toegang tot de documentatie kunnen krijgen of een kopie ervan kunnen ontvangen. Alleen personeel van de markttoezichtautoriteit met een passende veiligheidsmachtiging mag die documentatie of kopieën ervan inzien.</t>
        </is>
      </c>
      <c r="F112" s="5" t="inlineStr">
        <is>
          <t>an actor of class 'authority' (no inventory entry)</t>
        </is>
      </c>
      <c r="G112" s="5" t="inlineStr"/>
      <c r="H112" s="6" t="n"/>
      <c r="I112" s="6" t="n"/>
      <c r="J112" s="6" t="n"/>
      <c r="K112" s="6" t="n"/>
    </row>
    <row r="113">
      <c r="A113" s="4" t="n">
        <v>112</v>
      </c>
      <c r="B113" s="5" t="inlineStr">
        <is>
          <t>[1] 32022R2554:58:1:2
[2] 32024R1689:112:5:12
[3] 32024R1689:92:2:2</t>
        </is>
      </c>
      <c r="C113" s="5" t="inlineStr">
        <is>
          <t>[1] de Commissie
[2] De Commissie
[3] De Commissie</t>
        </is>
      </c>
      <c r="D113" s="5" t="inlineStr">
        <is>
          <t>Commissie</t>
        </is>
      </c>
      <c r="E113" s="5" t="inlineStr">
        <is>
          <t>[1] Vanaf 17 januari 2028 voert de Commissie, na raadpleging van de ETA’s en het ESRB, naargelang van het geval, een evaluatie uit en dient zij bij het Europees Parlement en de Raad een verslag in, in voorkomend geval vergezeld van een wetgevingsvoorstel. De evaluatie bevat ten minste het volgende:
a) de criteria voor de aanwijzing van kritieke derde aanbieders van ICT-diensten overeenkomstig artikel 31, lid 2;
b) het vrijwillige karakter van het melden van significante cyberdreigingen als bedoeld
[2] Uiterlijk op 2 augustus 2028 evalueert de Commissie de werking van het AI-bureau, de vraag of het Bureau voldoende bevoegdheden heeft gekregen om zijn taken uit te voeren en of het voor de correcte uitvoering en handhaving van deze verordening relevant en noodzakelijk zou zijn om het AI-bureau en zijn handhavingsbevoegdheden op te schalen en zijn middelen uit te breiden. De Commissie dient dit evaluatieverslag in bij het Europees Parlement en bij de raad.
[3] De Commissie kan besluiten om, onder meer uit het krachtens artikel 68 opgericht wetenschappelijk panel, onafhankelijke deskundigen aan te wijzen om namens haar evaluaties te verrichten. Voor deze taak aangewezen onafhankelijke deskundigen moeten voldoen aan de criteria van artikel 68, lid 2.</t>
        </is>
      </c>
      <c r="F113" s="5" t="inlineStr">
        <is>
          <t>Commissie   [KEY:EU:commissie]</t>
        </is>
      </c>
      <c r="G113" s="5" t="inlineStr">
        <is>
          <t>Known actor (not defined), class institution, valid in eu. Aliases: Europese Commissie.</t>
        </is>
      </c>
      <c r="H113" s="6" t="n"/>
      <c r="I113" s="6" t="n"/>
      <c r="J113" s="6" t="n"/>
      <c r="K113" s="6" t="n"/>
    </row>
    <row r="114">
      <c r="A114" s="4" t="n">
        <v>113</v>
      </c>
      <c r="B114" s="5" t="inlineStr">
        <is>
          <t>32022L2555:32:6:27</t>
        </is>
      </c>
      <c r="C114" s="5" t="inlineStr">
        <is>
          <t>elke natuurlijke persoon die verantwoordelijk is voor of optreedt als wettelijke vertegenwoordiger van een essentiële entiteit op basis van de bevoegdheid om deze te vertegenwoordigen, de bevoegdheid om namens deze entiteit beslissingen te nemen of de bevoegdheid om controle uit te oefenen op deze entiteit</t>
        </is>
      </c>
      <c r="D114" s="5" t="inlineStr">
        <is>
          <t>natuurlijke persoon</t>
        </is>
      </c>
      <c r="E114" s="5" t="inlineStr">
        <is>
          <t>De lidstaten zorgen ervoor dat elke natuurlijke persoon die verantwoordelijk is voor of optreedt als wettelijke vertegenwoordiger van een essentiële entiteit op basis van de bevoegdheid om deze te vertegenwoordigen, de bevoegdheid om namens deze entiteit beslissingen te nemen of de bevoegdheid om controle uit te oefenen op deze entiteit, de bevoegdheid heeft om ervoor te zorgen dat deze entiteit deze richtlijn nakomt. De lidstaten zorgen ervoor dat dergelijke natuurlijke personen aansprakelijk kunnen worden gesteld voor het niet nakomen van hun verplichtingen om te zorgen voor de naleving van deze richtlijn.
Wat overheidsinstanties betreft, doet dit lid geen afbreuk aan het nationale recht inzake de aansprakelijkheid van ambtenaren en gekozen of benoemde overheidsfunctionarissen.</t>
        </is>
      </c>
      <c r="F114" s="5" t="inlineStr">
        <is>
          <t>an actor of class 'person' (no inventory entry)</t>
        </is>
      </c>
      <c r="G114" s="5" t="inlineStr"/>
      <c r="H114" s="6" t="n"/>
      <c r="I114" s="6" t="n"/>
      <c r="J114" s="6" t="n"/>
      <c r="K114" s="6" t="n"/>
    </row>
    <row r="115">
      <c r="A115" s="4" t="n">
        <v>114</v>
      </c>
      <c r="B115" s="5" t="inlineStr">
        <is>
          <t>32024R1689:10:5:10</t>
        </is>
      </c>
      <c r="C115" s="5" t="inlineStr">
        <is>
          <t>de bijzondere categorieën persoonsgegevens</t>
        </is>
      </c>
      <c r="D115" s="5" t="inlineStr">
        <is>
          <t>bijzondere categorieën persoonsgegevens</t>
        </is>
      </c>
      <c r="E115" s="5" t="inlineStr">
        <is>
          <t>Voor zover dit strikt noodzakelijk is om de opsporing en correctie van vertekeningen te waarborgen in verband met de AI-systemen met een hoog risico overeenkomstig lid 2, punten f) en g), van dit artikel, mogen de aanbieders van dergelijke systemen uitzonderlijk bijzondere categorieën persoonsgegevens verwerken, mits passende waarborgen worden geboden voor de grondrechten en fundamentele vrijheden van natuurlijke personen. Naast de bepalingen van Verordeningen (EU) 2016/679 en (EU) 2018/1725 en Richtlijn (EU) 2016/680 moeten voor een dergelijke verwerking alle volgende voorwaarden van toepassing zijn vervuld:
a) de opsporing en correctie van vooringenomenheid kunnen niet doeltreffend worden vervuld door het verwerken van andere data, waaronder synthetische of geanonimiseerde data;
b) de bijzondere categorieën persoonsgegevens zijn onderworpen aan technische beperkingen voor het hergebruik van persoonsgegevens, en geavanceerde beveiligings- en privacybeschermingsmaatregelen, waaronder pseudonimisering;
c) de bijzondere categorieën persoonsgegevens zijn onderworpen aan maatregelen om ervoor te zorgen dat de verwerkte persoonsgegevens worden beveiligd, beschermd met passende waarborgen, waaronder strikte controles en documentatie van de toegang ertoe, om misbruik te voorkomen en ervoor te zorgen dat alleen personen die gemachtigd zijn toegang tot die persoonsgegevens hebben met passende vertrouwelijkheidsverplichtingen;
d) de bijzondere categorieën persoonsgegevens worden ni</t>
        </is>
      </c>
      <c r="F115" s="5" t="inlineStr">
        <is>
          <t>not an actor (dropped)</t>
        </is>
      </c>
      <c r="G115" s="5" t="inlineStr"/>
      <c r="H115" s="6" t="n"/>
      <c r="I115" s="6" t="n"/>
      <c r="J115" s="6" t="n"/>
      <c r="K115" s="6" t="n"/>
    </row>
    <row r="116">
      <c r="A116" s="4" t="n">
        <v>115</v>
      </c>
      <c r="B116" s="5" t="inlineStr">
        <is>
          <t>BWBR0009950:6a.4e:4:8</t>
        </is>
      </c>
      <c r="C116" s="5" t="inlineStr">
        <is>
          <t>De Autoriteit Consument</t>
        </is>
      </c>
      <c r="D116" s="5" t="inlineStr">
        <is>
          <t>Autoriteit Consument</t>
        </is>
      </c>
      <c r="E116" s="5" t="inlineStr">
        <is>
          <t>De Autoriteit Consument besluit de afspraken, bedoeld in het eerste lid, onderdeel b, bindend te verklaren, indien is voldaan aan de in dat onderdeel bedoelde voorwaarden.</t>
        </is>
      </c>
      <c r="F116" s="5" t="inlineStr">
        <is>
          <t>consument   [BWBR0009950:consument]</t>
        </is>
      </c>
      <c r="G116" s="5" t="inlineStr">
        <is>
          <t>Defined in BWBR0009950 art. 1.1: natuurlijke persoon die gebruik maakt van of verzoekt om een openbare elektronische communicatiedienst voor andere dan bedrijfs- of beroepsdoeleinden</t>
        </is>
      </c>
      <c r="H116" s="6" t="n"/>
      <c r="I116" s="6" t="n"/>
      <c r="J116" s="6" t="n"/>
      <c r="K116" s="6" t="n"/>
    </row>
    <row r="117">
      <c r="A117" s="4" t="n">
        <v>116</v>
      </c>
      <c r="B117" s="5" t="inlineStr">
        <is>
          <t>BWBR0009950:3.19a:5:9</t>
        </is>
      </c>
      <c r="C117" s="5" t="inlineStr">
        <is>
          <t>Onze minister</t>
        </is>
      </c>
      <c r="D117" s="5" t="inlineStr">
        <is>
          <t>Onze minister</t>
        </is>
      </c>
      <c r="E117" s="5" t="inlineStr">
        <is>
          <t>De houder van een vergunning aan wie Onze minister kenbaar heeft gemaakt dat hij voornemens is om de in het eerste lid, bedoelde verplichting op te leggen, kan uiterlijk binnen een bij ministeriële regeling gestelde periode na de datum van kennisgeving van het ontwerpbesluit verzoeken om:
a.
intrekking van de vergunning op grond van artikel 3.19, eerste lid, onderdeel a,
b.
wijziging van de vergunning op grond van artikel 3.19, derde lid, of
c.
toestemming voor overdracht op grond van artikel 3.20, eerste lid.
Onze minister wijst een verzoek dat wordt ingediend na afloop van deze periode af.</t>
        </is>
      </c>
      <c r="F117" s="5" t="inlineStr">
        <is>
          <t>Onze Minister   [BWBR0009950:onze_minister]</t>
        </is>
      </c>
      <c r="G117" s="5" t="inlineStr">
        <is>
          <t>Defined in BWBR0009950 art. 1.1: Onze Minister van Economische Zaken en Klimaat</t>
        </is>
      </c>
      <c r="H117" s="6" t="n"/>
      <c r="I117" s="6" t="n"/>
      <c r="J117" s="6" t="n"/>
      <c r="K117" s="6" t="n"/>
    </row>
    <row r="118">
      <c r="A118" s="4" t="n">
        <v>117</v>
      </c>
      <c r="B118" s="5" t="inlineStr">
        <is>
          <t>[1] 32016R0679:21:1:2
[2] 32016R0679:38:2:4
[3] 32016R0679:24:2:5</t>
        </is>
      </c>
      <c r="C118" s="5" t="inlineStr">
        <is>
          <t>[1] De verwerkingsverantwoordelijke
[2] De verwerkingsverantwoordelijke en de verwerker
[3] de verwerkingsverantwoordelijke</t>
        </is>
      </c>
      <c r="D118" s="5" t="inlineStr">
        <is>
          <t>verwerkingsverantwoordelijke</t>
        </is>
      </c>
      <c r="E118" s="5" t="inlineStr">
        <is>
          <t>[1] De betrokkene heeft te allen tijde het recht om vanwege met zijn specifieke situatie verband houdende redenen bezwaar te maken tegen de verwerking van hem betreffende persoonsgegevens op basis van artikel 6, lid 1, onder e) of f), van artikel 6, lid 1, met inbegrip van profilering op basis van die bepalingen. De verwerkingsverantwoordelijke staakt de verwerking van de persoonsgegevens tenzij hij dwingende gerechtvaardigde gronden voor de verwerking aanvoert die zwaarder wegen dan de belangen, re
[2] De verwerkingsverantwoordelijke en de verwerker ondersteunen de functionaris voor gegevensbescherming bij de vervulling van de in artikel 39 bedoelde taken door hem toegang te verschaffen tot persoonsgegevens en verwerkingsactiviteiten en door hem de benodigde middelen ter beschikking te stellen voor het vervullen van deze taken en het in stand houden van zijn deskundigheid.
[3] Wanneer zulks in verhouding staat tot de verwerkingsactiviteiten, omvatten de in lid 1 bedoelde maatregelen een passend gegevensbeschermingsbeleid dat door de verwerkingsverantwoordelijke wordt uitgevoerd.</t>
        </is>
      </c>
      <c r="F118" s="5" t="inlineStr">
        <is>
          <t>verwerkingsverantwoordelijke   [32016R0679:verwerkingsverantwoordelijke]</t>
        </is>
      </c>
      <c r="G118" s="5" t="inlineStr">
        <is>
          <t>Defined in 32016R0679 art. 4: een natuurlijke persoon of rechtspersoon, een overheidsinstantie, een dienst of een ander orgaan die/dat, alleen of samen met anderen, het doel van en de middelen voor de verwerking van persoonsgegevens vaststelt; wanneer de doelstellingen van en de middelen voor deze verwerking in het Unierecht of het lidstatelijke recht worden vastgesteld, kan daarin worden bepaald wie de verwerkingsverantwoordelijke is of volgens welke criteria deze wordt aangewezen</t>
        </is>
      </c>
      <c r="H118" s="6" t="n"/>
      <c r="I118" s="6" t="n"/>
      <c r="J118" s="6" t="n"/>
      <c r="K118" s="6" t="n"/>
    </row>
    <row r="119">
      <c r="A119" s="4" t="n">
        <v>118</v>
      </c>
      <c r="B119" s="5" t="inlineStr">
        <is>
          <t>[1] BWBR0009950:6a.1:3:4
[2] BWBR0009950:2.1:5:7
[3] BWBR0009950:4.2:9:16</t>
        </is>
      </c>
      <c r="C119" s="5" t="inlineStr">
        <is>
          <t>[1] De Autoriteit Consument en Markt
[2] De Autoriteit Consument en Markt
[3] de Autoriteit Consument en Markt</t>
        </is>
      </c>
      <c r="D119" s="5" t="inlineStr">
        <is>
          <t>Autoriteit Consument en Markt</t>
        </is>
      </c>
      <c r="E119" s="5" t="inlineStr">
        <is>
          <t>[1] De Autoriteit Consument en Markt onderzoekt de overeenkomstig het eerste en tweede lid, bepaalde relevante markten zo spoedig mogelijk, doch voor markten waarvoor nog niet eerder een kennisgeving bij de Europese Commissie is gedaan uiterlijk binnen drie jaar nadat een aanbeveling als bedoeld in artikel 64, eerste lid, van richtlijn (EU) 2018/1972 in werking is getreden. De termijn van drie jaar kan door de Autoriteit Consument en Markt worden verlengd met zes maanden indien de Autoriteit Consume
[2] De Autoriteit Consument en Markt registreert degene, bedoeld in het eerste lid, na ontvangst van de in dat lid bedoelde mededeling en de daarbij behorende gegevens.
[3] In afwijking van het bepaalde in het zevende en achtste lid kan de Autoriteit Consument en Markt:
a.
besluiten een nummer, niet zijnde een nummer van uitzonderlijke economische waarde, op de dag van aanvraag toe te kennen, mits de aanvrager geen specifiek nummer aanvraagt, en
b.
in uitzonderlijke omstandigheden besluiten een nummer van uitzonderlijke economische waarde op de dag van aanvraag toe te kennen voor een door de Autoriteit Consument en Markt vast te stellen termijn die niet langer is</t>
        </is>
      </c>
      <c r="F119" s="5" t="inlineStr">
        <is>
          <t>not an actor (dropped)</t>
        </is>
      </c>
      <c r="G119" s="5" t="inlineStr"/>
      <c r="H119" s="6" t="n"/>
      <c r="I119" s="6" t="n"/>
      <c r="J119" s="6" t="n"/>
      <c r="K119" s="6" t="n"/>
    </row>
    <row r="120">
      <c r="A120" s="4" t="n">
        <v>119</v>
      </c>
      <c r="B120" s="5" t="inlineStr">
        <is>
          <t>BWBR0009950:7.7a:1:2</t>
        </is>
      </c>
      <c r="C120" s="5" t="inlineStr">
        <is>
          <t>aanbieders van internettoegangsdiensten of voor het publiek beschikbare nummergebaseerde interpersoonlijke communicatiediensten</t>
        </is>
      </c>
      <c r="D120" s="5" t="inlineStr">
        <is>
          <t>aanbieders van internettoegangsdiensten of voor het publiek beschikbare nummergebaseerde interpersoonlijke communicatiediensten</t>
        </is>
      </c>
      <c r="E120" s="5" t="inlineStr">
        <is>
          <t>Onverminderd artikel 11.9, kunnen bij ministeriële regeling regels worden gesteld ter uitvoering van bijlage VI van richtlijn (EU) 2018/1972/EU. Deze regels hebben betrekking op het door aanbieders van internettoegangsdiensten of voor het publiek beschikbare nummergebaseerde interpersoonlijke communicatiediensten aan hun eindgebruikers beschikbaar stellen van faciliteiten als bedoeld in de in de eerste volzin bedoelde bijlage VI.</t>
        </is>
      </c>
      <c r="F120" s="5" t="inlineStr">
        <is>
          <t>an actor of class 'party' (no inventory entry)</t>
        </is>
      </c>
      <c r="G120" s="5" t="inlineStr"/>
      <c r="H120" s="6" t="n"/>
      <c r="I120" s="6" t="n"/>
      <c r="J120" s="6" t="n"/>
      <c r="K120" s="6" t="n"/>
    </row>
    <row r="121">
      <c r="A121" s="4" t="n">
        <v>120</v>
      </c>
      <c r="B121" s="5" t="inlineStr">
        <is>
          <t>BWBR0009950:7.6a:2:3</t>
        </is>
      </c>
      <c r="C121" s="5" t="inlineStr">
        <is>
          <t>een aanbieder van een internettoegangsdienst</t>
        </is>
      </c>
      <c r="D121" s="5" t="inlineStr">
        <is>
          <t>aanbieder van een internettoegangsdienst</t>
        </is>
      </c>
      <c r="E121" s="5" t="inlineStr">
        <is>
          <t>In aanvulling op het eerste lid kan een aanbieder van een internettoegangsdienst de levering van deze dienst met ten hoogste een maand opschorten ter voorkoming van een ongebruikelijk hoge rekening, op voorwaarde dat de internettoegangsaanbieder de abonnee vooraf op de hoogte heeft gesteld van zijn voornemen de levering van de internettoegangsdienst op te schorten en de abonnee daar geen bezwaar tegen heeft gemaakt binnen een door de aanbieder gestelde redelijke termijn.</t>
        </is>
      </c>
      <c r="F121" s="5" t="inlineStr">
        <is>
          <t>an actor of class 'party' (no inventory entry)</t>
        </is>
      </c>
      <c r="G121" s="5" t="inlineStr"/>
      <c r="H121" s="6" t="n"/>
      <c r="I121" s="6" t="n"/>
      <c r="J121" s="6" t="n"/>
      <c r="K121" s="6" t="n"/>
    </row>
  </sheetData>
  <dataValidations count="2">
    <dataValidation sqref="H2:H121" showDropDown="0" showInputMessage="0" showErrorMessage="0" allowBlank="1" type="list">
      <formula1>"correct,partial,wrong,unclear"</formula1>
    </dataValidation>
    <dataValidation sqref="I2:I121" showDropDown="0" showInputMessage="0" showErrorMessage="0" allowBlank="1" type="list">
      <formula1>"other actor,too broad,too narrow,missed entry,wrong class,not an actor,actor, not in inventory,badly cut unit"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30" customWidth="1" min="3" max="3"/>
    <col width="9" customWidth="1" min="4" max="4"/>
    <col width="16" customWidth="1" min="5" max="5"/>
    <col width="12" customWidth="1" min="6" max="6"/>
    <col width="24" customWidth="1" min="7" max="7"/>
    <col width="70" customWidth="1" min="8" max="8"/>
  </cols>
  <sheetData>
    <row r="1">
      <c r="A1" s="3" t="inlineStr">
        <is>
          <t>id</t>
        </is>
      </c>
      <c r="B1" s="3" t="inlineStr">
        <is>
          <t>label</t>
        </is>
      </c>
      <c r="C1" s="3" t="inlineStr">
        <is>
          <t>aliases</t>
        </is>
      </c>
      <c r="D1" s="3" t="inlineStr">
        <is>
          <t>kind</t>
        </is>
      </c>
      <c r="E1" s="3" t="inlineStr">
        <is>
          <t>valid in</t>
        </is>
      </c>
      <c r="F1" s="3" t="inlineStr">
        <is>
          <t>class</t>
        </is>
      </c>
      <c r="G1" s="3" t="inlineStr">
        <is>
          <t>part of</t>
        </is>
      </c>
      <c r="H1" s="3" t="inlineStr">
        <is>
          <t>definition or source</t>
        </is>
      </c>
    </row>
    <row r="2">
      <c r="A2" s="2" t="inlineStr">
        <is>
          <t>32024R1689:aanbieder</t>
        </is>
      </c>
      <c r="B2" s="2" t="inlineStr">
        <is>
          <t>aanbieder</t>
        </is>
      </c>
      <c r="C2" s="2" t="inlineStr"/>
      <c r="D2" s="2" t="inlineStr">
        <is>
          <t>defined</t>
        </is>
      </c>
      <c r="E2" s="2" t="inlineStr">
        <is>
          <t>32024R1689</t>
        </is>
      </c>
      <c r="F2" s="2" t="inlineStr">
        <is>
          <t>party</t>
        </is>
      </c>
      <c r="G2" s="2" t="n"/>
      <c r="H2" s="2" t="inlineStr">
        <is>
          <t>een natuurlijke of rechtspersoon, overheidsinstantie, agentschap of ander orgaan die/dat een AI-systeem of een AI-model voor algemene doeleinden ontwikkelt of laat ontwikkelen en dat systeem of model in de handel brengt of het AI-systeem in gebruik stelt onder de eigen naam of merk, al dan niet tegen betaling</t>
        </is>
      </c>
    </row>
    <row r="3">
      <c r="A3" s="2" t="inlineStr">
        <is>
          <t>32024R1689:gebruiksverantwoordelijke</t>
        </is>
      </c>
      <c r="B3" s="2" t="inlineStr">
        <is>
          <t>gebruiksverantwoordelijke</t>
        </is>
      </c>
      <c r="C3" s="2" t="inlineStr"/>
      <c r="D3" s="2" t="inlineStr">
        <is>
          <t>defined</t>
        </is>
      </c>
      <c r="E3" s="2" t="inlineStr">
        <is>
          <t>32024R1689</t>
        </is>
      </c>
      <c r="F3" s="2" t="inlineStr">
        <is>
          <t>party</t>
        </is>
      </c>
      <c r="G3" s="2" t="n"/>
      <c r="H3" s="2" t="inlineStr">
        <is>
          <t>een natuurlijke of rechtspersoon, overheidsinstantie, agentschap of ander orgaan die/dat een AI-systeem onder eigen verantwoordelijkheid gebruikt, tenzij het AI-systeem wordt gebruikt in het kader van een persoonlijke niet-beroepsactiviteit</t>
        </is>
      </c>
    </row>
    <row r="4">
      <c r="A4" s="2" t="inlineStr">
        <is>
          <t>32024R1689:gemachtigde</t>
        </is>
      </c>
      <c r="B4" s="2" t="inlineStr">
        <is>
          <t>gemachtigde</t>
        </is>
      </c>
      <c r="C4" s="2" t="inlineStr"/>
      <c r="D4" s="2" t="inlineStr">
        <is>
          <t>defined</t>
        </is>
      </c>
      <c r="E4" s="2" t="inlineStr">
        <is>
          <t>32024R1689</t>
        </is>
      </c>
      <c r="F4" s="2" t="inlineStr">
        <is>
          <t>party</t>
        </is>
      </c>
      <c r="G4" s="2" t="n"/>
      <c r="H4" s="2" t="inlineStr">
        <is>
          <t>een natuurlijke of rechtspersoon die zich bevindt of gevestigd is in de Unie die een schriftelijke machtiging heeft gekregen en aanvaard van een aanbieder van een AI-systeem of een AI-model voor algemene doeleinden om namens die aanbieder de verplichtingen en procedures van deze verordening respectievelijk na te komen en uit te voeren</t>
        </is>
      </c>
    </row>
    <row r="5">
      <c r="A5" s="2" t="inlineStr">
        <is>
          <t>32024R1689:importeur</t>
        </is>
      </c>
      <c r="B5" s="2" t="inlineStr">
        <is>
          <t>importeur</t>
        </is>
      </c>
      <c r="C5" s="2" t="inlineStr"/>
      <c r="D5" s="2" t="inlineStr">
        <is>
          <t>defined</t>
        </is>
      </c>
      <c r="E5" s="2" t="inlineStr">
        <is>
          <t>32024R1689</t>
        </is>
      </c>
      <c r="F5" s="2" t="inlineStr">
        <is>
          <t>party</t>
        </is>
      </c>
      <c r="G5" s="2" t="n"/>
      <c r="H5" s="2" t="inlineStr">
        <is>
          <t>een natuurlijke of rechtspersoon die zich bevindt of gevestigd is in de Unie die een AI-systeem in de handel brengt dat de naam of het merk van een in een derde land gevestigde natuurlijke of rechtspersoon draagt</t>
        </is>
      </c>
    </row>
    <row r="6">
      <c r="A6" s="2" t="inlineStr">
        <is>
          <t>32024R1689:distributeur</t>
        </is>
      </c>
      <c r="B6" s="2" t="inlineStr">
        <is>
          <t>distributeur</t>
        </is>
      </c>
      <c r="C6" s="2" t="inlineStr"/>
      <c r="D6" s="2" t="inlineStr">
        <is>
          <t>defined</t>
        </is>
      </c>
      <c r="E6" s="2" t="inlineStr">
        <is>
          <t>32024R1689</t>
        </is>
      </c>
      <c r="F6" s="2" t="inlineStr">
        <is>
          <t>party</t>
        </is>
      </c>
      <c r="G6" s="2" t="n"/>
      <c r="H6" s="2" t="inlineStr">
        <is>
          <t>een andere natuurlijke persoon of rechtspersoon in de toeleveringsketen dan de aanbieder of de importeur, die een AI-systeem in de Unie op de markt aanbiedt</t>
        </is>
      </c>
    </row>
    <row r="7">
      <c r="A7" s="2" t="inlineStr">
        <is>
          <t>32024R1689:operator</t>
        </is>
      </c>
      <c r="B7" s="2" t="inlineStr">
        <is>
          <t>operator</t>
        </is>
      </c>
      <c r="C7" s="2" t="inlineStr"/>
      <c r="D7" s="2" t="inlineStr">
        <is>
          <t>defined</t>
        </is>
      </c>
      <c r="E7" s="2" t="inlineStr">
        <is>
          <t>32024R1689</t>
        </is>
      </c>
      <c r="F7" s="2" t="inlineStr">
        <is>
          <t>party</t>
        </is>
      </c>
      <c r="G7" s="2" t="n"/>
      <c r="H7" s="2" t="inlineStr">
        <is>
          <t>een aanbieder, productfabrikant, gebruiksverantwoordelijke, gemachtigde, importeur of distributeur</t>
        </is>
      </c>
    </row>
    <row r="8">
      <c r="A8" s="2" t="inlineStr">
        <is>
          <t>32024R1689:aanmeldende_autoriteit</t>
        </is>
      </c>
      <c r="B8" s="2" t="inlineStr">
        <is>
          <t>aanmeldende autoriteit</t>
        </is>
      </c>
      <c r="C8" s="2" t="inlineStr"/>
      <c r="D8" s="2" t="inlineStr">
        <is>
          <t>defined</t>
        </is>
      </c>
      <c r="E8" s="2" t="inlineStr">
        <is>
          <t>32024R1689</t>
        </is>
      </c>
      <c r="F8" s="2" t="inlineStr">
        <is>
          <t>authority</t>
        </is>
      </c>
      <c r="G8" s="2" t="n"/>
      <c r="H8" s="2" t="inlineStr">
        <is>
          <t>de nationale autoriteit die verantwoordelijk is voor het opzetten en uitvoeren van de noodzakelijke procedures voor de beoordeling, aanwijzing en kennisgeving van de conformiteitsbeoordelingsinstanties en de monitoring hiervan</t>
        </is>
      </c>
    </row>
    <row r="9">
      <c r="A9" s="2" t="inlineStr">
        <is>
          <t>32024R1689:conformiteitsbeoordelingsinstantie</t>
        </is>
      </c>
      <c r="B9" s="2" t="inlineStr">
        <is>
          <t>conformiteitsbeoordelingsinstantie</t>
        </is>
      </c>
      <c r="C9" s="2" t="inlineStr"/>
      <c r="D9" s="2" t="inlineStr">
        <is>
          <t>defined</t>
        </is>
      </c>
      <c r="E9" s="2" t="inlineStr">
        <is>
          <t>32024R1689</t>
        </is>
      </c>
      <c r="F9" s="2" t="inlineStr">
        <is>
          <t>body</t>
        </is>
      </c>
      <c r="G9" s="2" t="n"/>
      <c r="H9" s="2" t="inlineStr">
        <is>
          <t>een instantie die als derde partij conformiteits-beoordelingsactiviteiten verricht, zoals onder meer testen, certificeren en inspecteren</t>
        </is>
      </c>
    </row>
    <row r="10">
      <c r="A10" s="2" t="inlineStr">
        <is>
          <t>32024R1689:aangemelde_instantie</t>
        </is>
      </c>
      <c r="B10" s="2" t="inlineStr">
        <is>
          <t>aangemelde instantie</t>
        </is>
      </c>
      <c r="C10" s="2" t="inlineStr"/>
      <c r="D10" s="2" t="inlineStr">
        <is>
          <t>defined</t>
        </is>
      </c>
      <c r="E10" s="2" t="inlineStr">
        <is>
          <t>32024R1689</t>
        </is>
      </c>
      <c r="F10" s="2" t="inlineStr">
        <is>
          <t>body</t>
        </is>
      </c>
      <c r="G10" s="2" t="n"/>
      <c r="H10" s="2" t="inlineStr">
        <is>
          <t>een conformiteitsbeoordelingsinstantie die overeenkomstig deze verordening en andere relevante harmonisatiewetgeving van de Unie, is aangemeld</t>
        </is>
      </c>
    </row>
    <row r="11">
      <c r="A11" s="2" t="inlineStr">
        <is>
          <t>32024R1689:markttoezichtautoriteit</t>
        </is>
      </c>
      <c r="B11" s="2" t="inlineStr">
        <is>
          <t>markttoezichtautoriteit</t>
        </is>
      </c>
      <c r="C11" s="2" t="inlineStr"/>
      <c r="D11" s="2" t="inlineStr">
        <is>
          <t>defined</t>
        </is>
      </c>
      <c r="E11" s="2" t="inlineStr">
        <is>
          <t>32024R1689</t>
        </is>
      </c>
      <c r="F11" s="2" t="inlineStr">
        <is>
          <t>authority</t>
        </is>
      </c>
      <c r="G11" s="2" t="n"/>
      <c r="H11" s="2" t="inlineStr">
        <is>
          <t>de nationale autoriteit die de activiteiten verricht en maatregelen neemt als bedoeld in Verordening (EU) 2019/1020</t>
        </is>
      </c>
    </row>
    <row r="12">
      <c r="A12" s="2" t="inlineStr">
        <is>
          <t>32024R1689:rechtshandhavingsinstantie</t>
        </is>
      </c>
      <c r="B12" s="2" t="inlineStr">
        <is>
          <t>rechtshandhavingsinstantie</t>
        </is>
      </c>
      <c r="C12" s="2" t="inlineStr"/>
      <c r="D12" s="2" t="inlineStr">
        <is>
          <t>defined</t>
        </is>
      </c>
      <c r="E12" s="2" t="inlineStr">
        <is>
          <t>32024R1689</t>
        </is>
      </c>
      <c r="F12" s="2" t="inlineStr">
        <is>
          <t>body</t>
        </is>
      </c>
      <c r="G12" s="2" t="n"/>
      <c r="H12" s="2" t="inlineStr">
        <is>
          <t>a) iedere overheidsinstantie die bevoegd is voor de voorkoming van, het onderzoek naar, de opsporing en de vervolging van strafbare feiten of de uitvoering van straffen, met inbegrip van de bescherming tegen en de voorkoming van gevaren voor de openbare veiligheid, of b) ieder ander orgaan dat of iedere andere entiteit die krachtens het recht van de lidstaten is gemachtigd openbaar gezag en openbare bevoegdheden uit te oefenen met het oog op de voorkoming van, het onderzoek naar, de opsporing en</t>
        </is>
      </c>
    </row>
    <row r="13">
      <c r="A13" s="2" t="inlineStr">
        <is>
          <t>32024R1689:aibureau</t>
        </is>
      </c>
      <c r="B13" s="2" t="inlineStr">
        <is>
          <t>AI-bureau</t>
        </is>
      </c>
      <c r="C13" s="2" t="inlineStr"/>
      <c r="D13" s="2" t="inlineStr">
        <is>
          <t>defined</t>
        </is>
      </c>
      <c r="E13" s="2" t="inlineStr">
        <is>
          <t>32024R1689</t>
        </is>
      </c>
      <c r="F13" s="2" t="inlineStr">
        <is>
          <t>body</t>
        </is>
      </c>
      <c r="G13" s="2" t="n"/>
      <c r="H13" s="2" t="inlineStr">
        <is>
          <t>de taak van de Commissie waarbij zij bijdraagt aan de uitvoering van, de monitoring van en het toezicht op AI-systemen en AI-modellen voor algemene doeleinden, en AI-governance, als bepaald in het besluit van de Commissie van 24 januari 2024; verwijzingen in deze verordening naar het AI-bureau worden begrepen als verwijzingen naar de Commissie</t>
        </is>
      </c>
    </row>
    <row r="14">
      <c r="A14" s="2" t="inlineStr">
        <is>
          <t>32024R1689:nationale_bevoegde_autoriteit</t>
        </is>
      </c>
      <c r="B14" s="2" t="inlineStr">
        <is>
          <t>nationale bevoegde autoriteit</t>
        </is>
      </c>
      <c r="C14" s="2" t="inlineStr"/>
      <c r="D14" s="2" t="inlineStr">
        <is>
          <t>defined</t>
        </is>
      </c>
      <c r="E14" s="2" t="inlineStr">
        <is>
          <t>32024R1689</t>
        </is>
      </c>
      <c r="F14" s="2" t="inlineStr">
        <is>
          <t>authority</t>
        </is>
      </c>
      <c r="G14" s="2" t="n"/>
      <c r="H14" s="2" t="inlineStr">
        <is>
          <t>een aanmeldende autoriteit of een de markttoezichtautoriteit; wat betreft AI-systemen die door instellingen, organen en instanties van de EU in gebruik worden gesteld of worden gebruikt, worden verwijzingen naar nationale bevoegde autoriteiten of markttoezichtautoriteiten in deze verordening begrepen als verwijzingen naar de Europese Toezichthouder voor gegevensbescherming</t>
        </is>
      </c>
    </row>
    <row r="15">
      <c r="A15" s="2" t="inlineStr">
        <is>
          <t>32024R1689:aanbieder_verder_in_de_aiwaardeketen</t>
        </is>
      </c>
      <c r="B15" s="2" t="inlineStr">
        <is>
          <t>aanbieder verder in de AI-waardeketen</t>
        </is>
      </c>
      <c r="C15" s="2" t="inlineStr"/>
      <c r="D15" s="2" t="inlineStr">
        <is>
          <t>defined</t>
        </is>
      </c>
      <c r="E15" s="2" t="inlineStr">
        <is>
          <t>32024R1689</t>
        </is>
      </c>
      <c r="F15" s="2" t="inlineStr">
        <is>
          <t>party</t>
        </is>
      </c>
      <c r="G15" s="2" t="n"/>
      <c r="H15" s="2" t="inlineStr">
        <is>
          <t>een aanbieder van een AI-systeem, met inbegrip van een AI-systeem voor algemene doeleinden, waarin een AI-model is geïntegreerd, ongeacht of het AI-model door hemzelf wordt verstrekt en verticaal geïntegreerd is of door een andere entiteit wordt aangeboden op basis van contractuele betrekkingen.</t>
        </is>
      </c>
    </row>
    <row r="16">
      <c r="A16" s="2" t="inlineStr">
        <is>
          <t>BWBR0052872:aanbieder_van_beheerde_beveiligingsdiensten</t>
        </is>
      </c>
      <c r="B16" s="2" t="inlineStr">
        <is>
          <t>aanbieder van beheerde beveiligingsdiensten</t>
        </is>
      </c>
      <c r="C16" s="2" t="inlineStr"/>
      <c r="D16" s="2" t="inlineStr">
        <is>
          <t>defined</t>
        </is>
      </c>
      <c r="E16" s="2" t="inlineStr">
        <is>
          <t>BWBR0052872</t>
        </is>
      </c>
      <c r="F16" s="2" t="inlineStr">
        <is>
          <t>party</t>
        </is>
      </c>
      <c r="G16" s="2" t="n"/>
      <c r="H16" s="2" t="inlineStr">
        <is>
          <t>een aanbieder van beheerde diensten die bijstand biedt of verleent voor activiteiten die verband houden met risicobeheer op het gebied van cyberbeveiliging</t>
        </is>
      </c>
    </row>
    <row r="17">
      <c r="A17" s="2" t="inlineStr">
        <is>
          <t>BWBR0052872:aanbieder_van_beheerde_diensten</t>
        </is>
      </c>
      <c r="B17" s="2" t="inlineStr">
        <is>
          <t>aanbieder van beheerde diensten</t>
        </is>
      </c>
      <c r="C17" s="2" t="inlineStr"/>
      <c r="D17" s="2" t="inlineStr">
        <is>
          <t>defined</t>
        </is>
      </c>
      <c r="E17" s="2" t="inlineStr">
        <is>
          <t>BWBR0052872</t>
        </is>
      </c>
      <c r="F17" s="2" t="inlineStr">
        <is>
          <t>party</t>
        </is>
      </c>
      <c r="G17" s="2" t="n"/>
      <c r="H17" s="2" t="inlineStr">
        <is>
          <t>een entiteit die diensten verleent die verband houden met de installatie, het beheer, de exploitatie of het onderhoud van ICT-producten, -netwerken, -infrastructuur, -toepassingen of andere netwerk- en informatiesystemen, via bijstand of actieve administratie bij de klant ter plaatse of op afstand</t>
        </is>
      </c>
    </row>
    <row r="18">
      <c r="A18" s="2" t="inlineStr">
        <is>
          <t>BWBR0052872:belangrijke_entiteit</t>
        </is>
      </c>
      <c r="B18" s="2" t="inlineStr">
        <is>
          <t>belangrijke entiteit</t>
        </is>
      </c>
      <c r="C18" s="2" t="inlineStr"/>
      <c r="D18" s="2" t="inlineStr">
        <is>
          <t>defined</t>
        </is>
      </c>
      <c r="E18" s="2" t="inlineStr">
        <is>
          <t>BWBR0052872</t>
        </is>
      </c>
      <c r="F18" s="2" t="inlineStr">
        <is>
          <t>party</t>
        </is>
      </c>
      <c r="G18" s="2" t="n"/>
      <c r="H18" s="2" t="inlineStr">
        <is>
          <t>een entiteit als bedoeld in artikel 12 of 13</t>
        </is>
      </c>
    </row>
    <row r="19">
      <c r="A19" s="2" t="inlineStr">
        <is>
          <t>BWBR0052872:bevoegde_autoriteit</t>
        </is>
      </c>
      <c r="B19" s="2" t="inlineStr">
        <is>
          <t>bevoegde autoriteit</t>
        </is>
      </c>
      <c r="C19" s="2" t="inlineStr"/>
      <c r="D19" s="2" t="inlineStr">
        <is>
          <t>defined</t>
        </is>
      </c>
      <c r="E19" s="2" t="inlineStr">
        <is>
          <t>BWBR0052872</t>
        </is>
      </c>
      <c r="F19" s="2" t="inlineStr">
        <is>
          <t>authority</t>
        </is>
      </c>
      <c r="G19" s="2" t="n"/>
      <c r="H19" s="2" t="inlineStr">
        <is>
          <t>de bevoegde autoriteit, bedoeld in artikel 8, eerste lid, van de NIS2-richtlijn en bedoeld in artikel 15</t>
        </is>
      </c>
    </row>
    <row r="20">
      <c r="A20" s="2" t="inlineStr">
        <is>
          <t>BWBR0052872:bevoegde_autoriteit_van_een_andere_lidstaat_van_de_europese_unie</t>
        </is>
      </c>
      <c r="B20" s="2" t="inlineStr">
        <is>
          <t>bevoegde autoriteit van een andere lidstaat van de Europese Unie</t>
        </is>
      </c>
      <c r="C20" s="2" t="inlineStr"/>
      <c r="D20" s="2" t="inlineStr">
        <is>
          <t>defined</t>
        </is>
      </c>
      <c r="E20" s="2" t="inlineStr">
        <is>
          <t>BWBR0052872</t>
        </is>
      </c>
      <c r="F20" s="2" t="inlineStr">
        <is>
          <t>authority</t>
        </is>
      </c>
      <c r="G20" s="2" t="n"/>
      <c r="H20" s="2" t="inlineStr">
        <is>
          <t>een bevoegde autoriteit van een andere lidstaat van de Europese Unie als bedoeld in artikel 8, eerste lid, van de NIS2-richtlijn en die als zodanig is aangewezen in het nationale recht van die andere lidstaat</t>
        </is>
      </c>
    </row>
    <row r="21">
      <c r="A21" s="2" t="inlineStr">
        <is>
          <t>BWBR0052872:csirt</t>
        </is>
      </c>
      <c r="B21" s="2" t="inlineStr">
        <is>
          <t>CSIRT</t>
        </is>
      </c>
      <c r="C21" s="2" t="inlineStr"/>
      <c r="D21" s="2" t="inlineStr">
        <is>
          <t>defined</t>
        </is>
      </c>
      <c r="E21" s="2" t="inlineStr">
        <is>
          <t>BWBR0052872</t>
        </is>
      </c>
      <c r="F21" s="2" t="inlineStr">
        <is>
          <t>authority</t>
        </is>
      </c>
      <c r="G21" s="2" t="n"/>
      <c r="H21" s="2" t="inlineStr">
        <is>
          <t>een Computer security incident response team, bedoeld in artikel 10 van de NIS2-richtlijn en bedoeld in artikel 16</t>
        </is>
      </c>
    </row>
    <row r="22">
      <c r="A22" s="2" t="inlineStr">
        <is>
          <t>BWBR0052872:csirt_van_een_andere_lidstaat_van_de_europese_unie</t>
        </is>
      </c>
      <c r="B22" s="2" t="inlineStr">
        <is>
          <t>CSIRT van een andere lidstaat van de Europese Unie</t>
        </is>
      </c>
      <c r="C22" s="2" t="inlineStr"/>
      <c r="D22" s="2" t="inlineStr">
        <is>
          <t>defined</t>
        </is>
      </c>
      <c r="E22" s="2" t="inlineStr">
        <is>
          <t>BWBR0052872</t>
        </is>
      </c>
      <c r="F22" s="2" t="inlineStr">
        <is>
          <t>authority</t>
        </is>
      </c>
      <c r="G22" s="2" t="n"/>
      <c r="H22" s="2" t="inlineStr">
        <is>
          <t>een CSIRT van een andere lidstaat van de Europese Unie als bedoeld in artikel 10 van de NIS2-richtlijn en dat als zodanig is aangewezen in het nationale recht van die andere lidstaat</t>
        </is>
      </c>
    </row>
    <row r="23">
      <c r="A23" s="2" t="inlineStr">
        <is>
          <t>BWBR0052872:entiteit</t>
        </is>
      </c>
      <c r="B23" s="2" t="inlineStr">
        <is>
          <t>entiteit</t>
        </is>
      </c>
      <c r="C23" s="2" t="inlineStr"/>
      <c r="D23" s="2" t="inlineStr">
        <is>
          <t>defined</t>
        </is>
      </c>
      <c r="E23" s="2" t="inlineStr">
        <is>
          <t>BWBR0052872</t>
        </is>
      </c>
      <c r="F23" s="2" t="inlineStr">
        <is>
          <t>party</t>
        </is>
      </c>
      <c r="G23" s="2" t="n"/>
      <c r="H23" s="2" t="inlineStr">
        <is>
          <t>een natuurlijk persoon, een rechtspersoon, een overheidsinstantie, een maatschap als bedoeld in artikel 1655 van boek 7A van het Burgerlijk Wetboek, een vennootschap onder firma als bedoeld in artikel 16 van het Wetboek van Koophandel en een commanditaire vennootschap als bedoeld in artikel 19 van het Wetboek van Koophandel, alsmede een samenwerkingsverband naar buitenlands recht dat met één van deze rechtsvormen vergelijkbaar is</t>
        </is>
      </c>
    </row>
    <row r="24">
      <c r="A24" s="2" t="inlineStr">
        <is>
          <t>BWBR0052872:essentiele_entiteit</t>
        </is>
      </c>
      <c r="B24" s="2" t="inlineStr">
        <is>
          <t>essentiële entiteit</t>
        </is>
      </c>
      <c r="C24" s="2" t="inlineStr"/>
      <c r="D24" s="2" t="inlineStr">
        <is>
          <t>defined</t>
        </is>
      </c>
      <c r="E24" s="2" t="inlineStr">
        <is>
          <t>BWBR0052872</t>
        </is>
      </c>
      <c r="F24" s="2" t="inlineStr">
        <is>
          <t>party</t>
        </is>
      </c>
      <c r="G24" s="2" t="n"/>
      <c r="H24" s="2" t="inlineStr">
        <is>
          <t>een entiteit als bedoeld in de artikelen 8, 9, 10 of 11</t>
        </is>
      </c>
    </row>
    <row r="25">
      <c r="A25" s="2" t="inlineStr">
        <is>
          <t>BWBR0052872:onderzoeksorganisatie</t>
        </is>
      </c>
      <c r="B25" s="2" t="inlineStr">
        <is>
          <t>onderzoeksorganisatie</t>
        </is>
      </c>
      <c r="C25" s="2" t="inlineStr"/>
      <c r="D25" s="2" t="inlineStr">
        <is>
          <t>defined</t>
        </is>
      </c>
      <c r="E25" s="2" t="inlineStr">
        <is>
          <t>BWBR0052872</t>
        </is>
      </c>
      <c r="F25" s="2" t="inlineStr">
        <is>
          <t>party</t>
        </is>
      </c>
      <c r="G25" s="2" t="n"/>
      <c r="H25" s="2" t="inlineStr">
        <is>
          <t>een entiteit die als hoofddoel heeft het verrichten van toegepast onderzoek of experimentele ontwikkeling met het oog op de exploitatie van de resultaten van dat onderzoek voor commerciële doeleinden, met uitsluiting van onderwijsinstellingen</t>
        </is>
      </c>
    </row>
    <row r="26">
      <c r="A26" s="2" t="inlineStr">
        <is>
          <t>BWBR0052872:onze_minister</t>
        </is>
      </c>
      <c r="B26" s="2" t="inlineStr">
        <is>
          <t>Onze Minister</t>
        </is>
      </c>
      <c r="C26" s="2" t="inlineStr"/>
      <c r="D26" s="2" t="inlineStr">
        <is>
          <t>defined</t>
        </is>
      </c>
      <c r="E26" s="2" t="inlineStr">
        <is>
          <t>BWBR0052872</t>
        </is>
      </c>
      <c r="F26" s="2" t="inlineStr">
        <is>
          <t>state</t>
        </is>
      </c>
      <c r="G26" s="2" t="n"/>
      <c r="H26" s="2" t="inlineStr">
        <is>
          <t>Onze Minister van Justitie en Veiligheid</t>
        </is>
      </c>
    </row>
    <row r="27">
      <c r="A27" s="2" t="inlineStr">
        <is>
          <t>BWBR0052872:overheidsinstantie</t>
        </is>
      </c>
      <c r="B27" s="2" t="inlineStr">
        <is>
          <t>overheidsinstantie</t>
        </is>
      </c>
      <c r="C27" s="2" t="inlineStr"/>
      <c r="D27" s="2" t="inlineStr">
        <is>
          <t>defined</t>
        </is>
      </c>
      <c r="E27" s="2" t="inlineStr">
        <is>
          <t>BWBR0052872</t>
        </is>
      </c>
      <c r="F27" s="2" t="inlineStr">
        <is>
          <t>authority</t>
        </is>
      </c>
      <c r="G27" s="2" t="n"/>
      <c r="H27" s="2" t="inlineStr">
        <is>
          <t>een entiteit die overeenkomstig het Nederlands recht als zodanig in Nederland is erkend, met uitzondering van de rechtbanken, de gerechtshoven, de Hoge Raad, het College van Beroep voor het bedrijfsleven, de Centrale Raad van Beroep, de Afdeling bestuursrechtspraak van de Raad van State, de beide Kamers der Staten-Generaal en De Nederlandsche Bank N.V., en die aan de volgende criteria voldoet: a. zij is opgericht om te voorzien in behoeften van algemeen belang en heeft geen industrieel of commer</t>
        </is>
      </c>
    </row>
    <row r="28">
      <c r="A28" s="2" t="inlineStr">
        <is>
          <t>BWBR0052872:vertegenwoordiger</t>
        </is>
      </c>
      <c r="B28" s="2" t="inlineStr">
        <is>
          <t>vertegenwoordiger</t>
        </is>
      </c>
      <c r="C28" s="2" t="inlineStr"/>
      <c r="D28" s="2" t="inlineStr">
        <is>
          <t>defined</t>
        </is>
      </c>
      <c r="E28" s="2" t="inlineStr">
        <is>
          <t>BWBR0052872</t>
        </is>
      </c>
      <c r="F28" s="2" t="inlineStr">
        <is>
          <t>party</t>
        </is>
      </c>
      <c r="G28" s="2" t="n"/>
      <c r="H28" s="2" t="inlineStr">
        <is>
          <t>een in de Europese Unie gevestigde natuurlijk persoon of rechtspersoon die uitdrukkelijk is aangewezen om op te treden namens een DNS-dienstverlener, een register voor topleveldomeinnamen, een entiteit die domeinnaamregistratiediensten verleent, een aanbieder van cloudcomputingdiensten, een aanbieder van datacentrumdiensten, een aanbieder van een netwerk voor de levering van inhoud, een aanbieder van beheerde diensten, een aanbieder van beheerde beveiligingsdiensten, of een aanbieder van een onl</t>
        </is>
      </c>
    </row>
    <row r="29">
      <c r="A29" s="2" t="inlineStr">
        <is>
          <t>32022R2554:derde_aanbieder_van_ictdiensten</t>
        </is>
      </c>
      <c r="B29" s="2" t="inlineStr">
        <is>
          <t>derde aanbieder van ICT-diensten</t>
        </is>
      </c>
      <c r="C29" s="2" t="inlineStr"/>
      <c r="D29" s="2" t="inlineStr">
        <is>
          <t>defined</t>
        </is>
      </c>
      <c r="E29" s="2" t="inlineStr">
        <is>
          <t>32022R2554</t>
        </is>
      </c>
      <c r="F29" s="2" t="inlineStr">
        <is>
          <t>party</t>
        </is>
      </c>
      <c r="G29" s="2" t="n"/>
      <c r="H29" s="2" t="inlineStr">
        <is>
          <t>een onderneming die ICT-diensten verleent</t>
        </is>
      </c>
    </row>
    <row r="30">
      <c r="A30" s="2" t="inlineStr">
        <is>
          <t>32022R2554:aanbieder_van_ictdiensten_binnen_een_groep</t>
        </is>
      </c>
      <c r="B30" s="2" t="inlineStr">
        <is>
          <t>aanbieder van ICT-diensten binnen een groep</t>
        </is>
      </c>
      <c r="C30" s="2" t="inlineStr"/>
      <c r="D30" s="2" t="inlineStr">
        <is>
          <t>defined</t>
        </is>
      </c>
      <c r="E30" s="2" t="inlineStr">
        <is>
          <t>32022R2554</t>
        </is>
      </c>
      <c r="F30" s="2" t="inlineStr">
        <is>
          <t>party</t>
        </is>
      </c>
      <c r="G30" s="2" t="n"/>
      <c r="H30" s="2" t="inlineStr">
        <is>
          <t>een onderneming die deel uitmaakt van een financiële groep en hoofdzakelijk ICT-diensten verleent aan financiële entiteiten binnen dezelfde groep of aan financiële entiteiten die tot hetzelfde institutionele protectiestelsel behoren, met inbegrip van hun moedermaatschappijen, dochterondernemingen, bijkantoren of andere entiteiten die gezamenlijk eigendom zijn of onder gezamenlijke zeggenschap staan</t>
        </is>
      </c>
    </row>
    <row r="31">
      <c r="A31" s="2" t="inlineStr">
        <is>
          <t>32022R2554:kritieke_derde_aanbieder_van_ictdiensten</t>
        </is>
      </c>
      <c r="B31" s="2" t="inlineStr">
        <is>
          <t>kritieke derde aanbieder van ICT-diensten</t>
        </is>
      </c>
      <c r="C31" s="2" t="inlineStr"/>
      <c r="D31" s="2" t="inlineStr">
        <is>
          <t>defined</t>
        </is>
      </c>
      <c r="E31" s="2" t="inlineStr">
        <is>
          <t>32022R2554</t>
        </is>
      </c>
      <c r="F31" s="2" t="inlineStr">
        <is>
          <t>party</t>
        </is>
      </c>
      <c r="G31" s="2" t="n"/>
      <c r="H31" s="2" t="inlineStr">
        <is>
          <t>een derde aanbieder van ICT-diensten die overeenkomstig artikel 31 is aangewezen als cruciaal; 24) “in een derde land gevestigde derde aanbieder van ICT-diensten”: een derde aanbieder van ICT-diensten die een in een derde land gevestigde rechtspersoon is en die een contractuele overeenkomst met een financiële entiteit heeft gesloten voor de levering van ICT-diensten</t>
        </is>
      </c>
    </row>
    <row r="32">
      <c r="A32" s="2" t="inlineStr">
        <is>
          <t>32022R2554:dochteronderneming</t>
        </is>
      </c>
      <c r="B32" s="2" t="inlineStr">
        <is>
          <t>dochteronderneming</t>
        </is>
      </c>
      <c r="C32" s="2" t="inlineStr"/>
      <c r="D32" s="2" t="inlineStr">
        <is>
          <t>defined</t>
        </is>
      </c>
      <c r="E32" s="2" t="inlineStr">
        <is>
          <t>32022R2554</t>
        </is>
      </c>
      <c r="F32" s="2" t="inlineStr">
        <is>
          <t>party</t>
        </is>
      </c>
      <c r="G32" s="2" t="n"/>
      <c r="H32" s="2" t="inlineStr">
        <is>
          <t>een dochteronderneming in de zin van artikel 2, punt 10), en artikel 22 van Richtlijn 2013/34/EU</t>
        </is>
      </c>
    </row>
    <row r="33">
      <c r="A33" s="2" t="inlineStr">
        <is>
          <t>32022R2554:moederonderneming</t>
        </is>
      </c>
      <c r="B33" s="2" t="inlineStr">
        <is>
          <t>moederonderneming</t>
        </is>
      </c>
      <c r="C33" s="2" t="inlineStr"/>
      <c r="D33" s="2" t="inlineStr">
        <is>
          <t>defined</t>
        </is>
      </c>
      <c r="E33" s="2" t="inlineStr">
        <is>
          <t>32022R2554</t>
        </is>
      </c>
      <c r="F33" s="2" t="inlineStr">
        <is>
          <t>party</t>
        </is>
      </c>
      <c r="G33" s="2" t="n"/>
      <c r="H33" s="2" t="inlineStr">
        <is>
          <t>een moederonderneming in de zin van artikel 2, punt 9), en artikel 22 van Richtlijn 2013/34/EU</t>
        </is>
      </c>
    </row>
    <row r="34">
      <c r="A34" s="2" t="inlineStr">
        <is>
          <t>32022R2554:leidinggevend_orgaan</t>
        </is>
      </c>
      <c r="B34" s="2" t="inlineStr">
        <is>
          <t>leidinggevend orgaan</t>
        </is>
      </c>
      <c r="C34" s="2" t="inlineStr"/>
      <c r="D34" s="2" t="inlineStr">
        <is>
          <t>defined</t>
        </is>
      </c>
      <c r="E34" s="2" t="inlineStr">
        <is>
          <t>32022R2554</t>
        </is>
      </c>
      <c r="F34" s="2" t="inlineStr">
        <is>
          <t>body</t>
        </is>
      </c>
      <c r="G34" s="2" t="n"/>
      <c r="H34" s="2" t="inlineStr">
        <is>
          <t>een leidinggevend orgaan in de zin van artikel 4, lid 1, punt 36), van Richtlijn 2014/65/EU, artikel 3, lid 1, punt 7), van Richtlijn 2013/36/EU, artikel 2, lid 1, punt s), van Richtlijn 2009/65/EG van het Europees Parlement en de Raad (31), artikel 2, lid 1, punt 45), van Verordening (EU) nr. 909/2014, artikel 3, lid 1, punt 20), van Verordening (EU) 2016/1011, en in de relevante bepaling van de verordening betreffende markten in cryptoactiva, of de gelijkwaardige personen die de entiteit daadw</t>
        </is>
      </c>
    </row>
    <row r="35">
      <c r="A35" s="2" t="inlineStr">
        <is>
          <t>32022R2554:kredietinstelling</t>
        </is>
      </c>
      <c r="B35" s="2" t="inlineStr">
        <is>
          <t>kredietinstelling</t>
        </is>
      </c>
      <c r="C35" s="2" t="inlineStr"/>
      <c r="D35" s="2" t="inlineStr">
        <is>
          <t>defined</t>
        </is>
      </c>
      <c r="E35" s="2" t="inlineStr">
        <is>
          <t>32022R2554</t>
        </is>
      </c>
      <c r="F35" s="2" t="inlineStr">
        <is>
          <t>body</t>
        </is>
      </c>
      <c r="G35" s="2" t="n"/>
      <c r="H35" s="2" t="inlineStr">
        <is>
          <t>een kredietinstelling in de zin van artikel 4, lid 1, punt 1, van Verordening (EU) nr. 575/2013 van het Europees Parlement en de Raad (32)</t>
        </is>
      </c>
    </row>
    <row r="36">
      <c r="A36" s="2" t="inlineStr">
        <is>
          <t>32022R2554:bij_richtlijn_2013_36_eu_vrijgestelde_instelling</t>
        </is>
      </c>
      <c r="B36" s="2" t="inlineStr">
        <is>
          <t>bij Richtlijn 2013/36/EU vrijgestelde instelling</t>
        </is>
      </c>
      <c r="C36" s="2" t="inlineStr"/>
      <c r="D36" s="2" t="inlineStr">
        <is>
          <t>defined</t>
        </is>
      </c>
      <c r="E36" s="2" t="inlineStr">
        <is>
          <t>32022R2554</t>
        </is>
      </c>
      <c r="F36" s="2" t="inlineStr">
        <is>
          <t>body</t>
        </is>
      </c>
      <c r="G36" s="2" t="n"/>
      <c r="H36" s="2" t="inlineStr">
        <is>
          <t>een entiteit zoals vermeld in artikel 2, lid 5, punten 4) tot en met 23), van Richtlijn 2013/36/EU</t>
        </is>
      </c>
    </row>
    <row r="37">
      <c r="A37" s="2" t="inlineStr">
        <is>
          <t>32022R2554:beleggingsonderneming</t>
        </is>
      </c>
      <c r="B37" s="2" t="inlineStr">
        <is>
          <t>beleggingsonderneming</t>
        </is>
      </c>
      <c r="C37" s="2" t="inlineStr"/>
      <c r="D37" s="2" t="inlineStr">
        <is>
          <t>defined</t>
        </is>
      </c>
      <c r="E37" s="2" t="inlineStr">
        <is>
          <t>32022R2554</t>
        </is>
      </c>
      <c r="F37" s="2" t="inlineStr">
        <is>
          <t>party</t>
        </is>
      </c>
      <c r="G37" s="2" t="n"/>
      <c r="H37" s="2" t="inlineStr">
        <is>
          <t>een beleggingsonderneming in de zin van artikel 4, lid 1, punt 1, van Richtlijn 2014/65/EU</t>
        </is>
      </c>
    </row>
    <row r="38">
      <c r="A38" s="2" t="inlineStr">
        <is>
          <t>32022R2554:kleine_en_nietverweven_beleggingsonderneming</t>
        </is>
      </c>
      <c r="B38" s="2" t="inlineStr">
        <is>
          <t>kleine en niet-verweven beleggingsonderneming</t>
        </is>
      </c>
      <c r="C38" s="2" t="inlineStr"/>
      <c r="D38" s="2" t="inlineStr">
        <is>
          <t>defined</t>
        </is>
      </c>
      <c r="E38" s="2" t="inlineStr">
        <is>
          <t>32022R2554</t>
        </is>
      </c>
      <c r="F38" s="2" t="inlineStr">
        <is>
          <t>party</t>
        </is>
      </c>
      <c r="G38" s="2" t="n"/>
      <c r="H38" s="2" t="inlineStr">
        <is>
          <t>een beleggingsonderneming die voldoet aan de voorwaarden in artikel 12, lid 1, van Verordening (EU) 2019/2033 van het Europees Parlement en de Raad (33)</t>
        </is>
      </c>
    </row>
    <row r="39">
      <c r="A39" s="2" t="inlineStr">
        <is>
          <t>32022R2554:betalingsinstelling</t>
        </is>
      </c>
      <c r="B39" s="2" t="inlineStr">
        <is>
          <t>betalingsinstelling</t>
        </is>
      </c>
      <c r="C39" s="2" t="inlineStr"/>
      <c r="D39" s="2" t="inlineStr">
        <is>
          <t>defined</t>
        </is>
      </c>
      <c r="E39" s="2" t="inlineStr">
        <is>
          <t>32022R2554</t>
        </is>
      </c>
      <c r="F39" s="2" t="inlineStr">
        <is>
          <t>body</t>
        </is>
      </c>
      <c r="G39" s="2" t="n"/>
      <c r="H39" s="2" t="inlineStr">
        <is>
          <t>een betalingsinstelling in de zin van artikel 4, punt 4), van Richtlijn (EU) 2015/2366</t>
        </is>
      </c>
    </row>
    <row r="40">
      <c r="A40" s="2" t="inlineStr">
        <is>
          <t>32022R2554:bij_richtlijn_eu_2015_2366_vrijgestelde_betalingsinstelling</t>
        </is>
      </c>
      <c r="B40" s="2" t="inlineStr">
        <is>
          <t>bij Richtlijn (EU) 2015/2366 vrijgestelde betalingsinstelling</t>
        </is>
      </c>
      <c r="C40" s="2" t="inlineStr"/>
      <c r="D40" s="2" t="inlineStr">
        <is>
          <t>defined</t>
        </is>
      </c>
      <c r="E40" s="2" t="inlineStr">
        <is>
          <t>32022R2554</t>
        </is>
      </c>
      <c r="F40" s="2" t="inlineStr">
        <is>
          <t>body</t>
        </is>
      </c>
      <c r="G40" s="2" t="n"/>
      <c r="H40" s="2" t="inlineStr">
        <is>
          <t>een betalingsinstelling die is vrijgesteld op grond van artikel 32, lid 1, van Richtlijn (EU) 2015/2366</t>
        </is>
      </c>
    </row>
    <row r="41">
      <c r="A41" s="2" t="inlineStr">
        <is>
          <t>32022R2554:aanbieder_van_rekeninginformatiediensten</t>
        </is>
      </c>
      <c r="B41" s="2" t="inlineStr">
        <is>
          <t>aanbieder van rekeninginformatiediensten</t>
        </is>
      </c>
      <c r="C41" s="2" t="inlineStr"/>
      <c r="D41" s="2" t="inlineStr">
        <is>
          <t>defined</t>
        </is>
      </c>
      <c r="E41" s="2" t="inlineStr">
        <is>
          <t>32022R2554</t>
        </is>
      </c>
      <c r="F41" s="2" t="inlineStr">
        <is>
          <t>party</t>
        </is>
      </c>
      <c r="G41" s="2" t="n"/>
      <c r="H41" s="2" t="inlineStr">
        <is>
          <t>een aanbieder van rekeninginformatiediensten als bedoeld in artikel 33, lid 1, van Richtlijn (EU) 2015/2366</t>
        </is>
      </c>
    </row>
    <row r="42">
      <c r="A42" s="2" t="inlineStr">
        <is>
          <t>32022R2554:instelling_voor_elektronisch_geld</t>
        </is>
      </c>
      <c r="B42" s="2" t="inlineStr">
        <is>
          <t>instelling voor elektronisch geld</t>
        </is>
      </c>
      <c r="C42" s="2" t="inlineStr"/>
      <c r="D42" s="2" t="inlineStr">
        <is>
          <t>defined</t>
        </is>
      </c>
      <c r="E42" s="2" t="inlineStr">
        <is>
          <t>32022R2554</t>
        </is>
      </c>
      <c r="F42" s="2" t="inlineStr">
        <is>
          <t>body</t>
        </is>
      </c>
      <c r="G42" s="2" t="n"/>
      <c r="H42" s="2" t="inlineStr">
        <is>
          <t>een instelling voor elektronisch geld in de zin van artikel 2, punt 1), van Richtlijn 2009/110/EG van het Europees Parlement en de Raad</t>
        </is>
      </c>
    </row>
    <row r="43">
      <c r="A43" s="2" t="inlineStr">
        <is>
          <t>32022R2554:bij_richtlijn_2009_110_eg_vrijgestelde_instelling_voor_elektronisch_geld</t>
        </is>
      </c>
      <c r="B43" s="2" t="inlineStr">
        <is>
          <t>bij Richtlijn 2009/110/EG vrijgestelde instelling voor elektronisch geld</t>
        </is>
      </c>
      <c r="C43" s="2" t="inlineStr"/>
      <c r="D43" s="2" t="inlineStr">
        <is>
          <t>defined</t>
        </is>
      </c>
      <c r="E43" s="2" t="inlineStr">
        <is>
          <t>32022R2554</t>
        </is>
      </c>
      <c r="F43" s="2" t="inlineStr">
        <is>
          <t>body</t>
        </is>
      </c>
      <c r="G43" s="2" t="n"/>
      <c r="H43" s="2" t="inlineStr">
        <is>
          <t>een instelling voor elektronisch geld waaraan een ontheffing is verleend als bedoeld in artikel 9, lid 1, van Richtlijn 2009/110/EG</t>
        </is>
      </c>
    </row>
    <row r="44">
      <c r="A44" s="2" t="inlineStr">
        <is>
          <t>32022R2554:centrale_tegenpartij</t>
        </is>
      </c>
      <c r="B44" s="2" t="inlineStr">
        <is>
          <t>centrale tegenpartij</t>
        </is>
      </c>
      <c r="C44" s="2" t="inlineStr"/>
      <c r="D44" s="2" t="inlineStr">
        <is>
          <t>defined</t>
        </is>
      </c>
      <c r="E44" s="2" t="inlineStr">
        <is>
          <t>32022R2554</t>
        </is>
      </c>
      <c r="F44" s="2" t="inlineStr">
        <is>
          <t>party</t>
        </is>
      </c>
      <c r="G44" s="2" t="n"/>
      <c r="H44" s="2" t="inlineStr">
        <is>
          <t>een centrale tegenpartij in de zin van artikel 2, punt 1), van Verordening (EU) nr. 648/2012</t>
        </is>
      </c>
    </row>
    <row r="45">
      <c r="A45" s="2" t="inlineStr">
        <is>
          <t>32022R2554:centrale_effectenbewaarinstelling</t>
        </is>
      </c>
      <c r="B45" s="2" t="inlineStr">
        <is>
          <t>centrale effectenbewaarinstelling</t>
        </is>
      </c>
      <c r="C45" s="2" t="inlineStr"/>
      <c r="D45" s="2" t="inlineStr">
        <is>
          <t>defined</t>
        </is>
      </c>
      <c r="E45" s="2" t="inlineStr">
        <is>
          <t>32022R2554</t>
        </is>
      </c>
      <c r="F45" s="2" t="inlineStr">
        <is>
          <t>body</t>
        </is>
      </c>
      <c r="G45" s="2" t="n"/>
      <c r="H45" s="2" t="inlineStr">
        <is>
          <t>een centrale effectenbewaarinstelling in de zin van artikel 2, lid 1, punt 1), van Verordening (EU) nr. 909/2014; 43) “handelsplatform” een handelsplatform in de zin van artikel 4, lid 1, punt 24, van Richtlijn 2014/65/EU</t>
        </is>
      </c>
    </row>
    <row r="46">
      <c r="A46" s="2" t="inlineStr">
        <is>
          <t>32022R2554:beheerder_van_alternatieve_beleggingsinstellingen</t>
        </is>
      </c>
      <c r="B46" s="2" t="inlineStr">
        <is>
          <t>beheerder van alternatieve beleggingsinstellingen</t>
        </is>
      </c>
      <c r="C46" s="2" t="inlineStr"/>
      <c r="D46" s="2" t="inlineStr">
        <is>
          <t>defined</t>
        </is>
      </c>
      <c r="E46" s="2" t="inlineStr">
        <is>
          <t>32022R2554</t>
        </is>
      </c>
      <c r="F46" s="2" t="inlineStr">
        <is>
          <t>party</t>
        </is>
      </c>
      <c r="G46" s="2" t="n"/>
      <c r="H46" s="2" t="inlineStr">
        <is>
          <t>een beheerder van alternatieve beleggingsinstellingen in de zin van artikel 4, lid 1, punt b), van Richtlijn 2011/61/EU</t>
        </is>
      </c>
    </row>
    <row r="47">
      <c r="A47" s="2" t="inlineStr">
        <is>
          <t>32022R2554:aanbieder_van_datarapporteringsdiensten</t>
        </is>
      </c>
      <c r="B47" s="2" t="inlineStr">
        <is>
          <t>aanbieder van datarapporteringsdiensten</t>
        </is>
      </c>
      <c r="C47" s="2" t="inlineStr"/>
      <c r="D47" s="2" t="inlineStr">
        <is>
          <t>defined</t>
        </is>
      </c>
      <c r="E47" s="2" t="inlineStr">
        <is>
          <t>32022R2554</t>
        </is>
      </c>
      <c r="F47" s="2" t="inlineStr">
        <is>
          <t>party</t>
        </is>
      </c>
      <c r="G47" s="2" t="n"/>
      <c r="H47" s="2" t="inlineStr">
        <is>
          <t>een aanbieder van datarapporteringsdiensten in de zin van Verordening (EU) nr. 600/2014, als bedoeld in artikel 2, lid 1, punten 34 tot en met 36, van die verordening</t>
        </is>
      </c>
    </row>
    <row r="48">
      <c r="A48" s="2" t="inlineStr">
        <is>
          <t>32022R2554:verzekeringsonderneming</t>
        </is>
      </c>
      <c r="B48" s="2" t="inlineStr">
        <is>
          <t>verzekeringsonderneming</t>
        </is>
      </c>
      <c r="C48" s="2" t="inlineStr"/>
      <c r="D48" s="2" t="inlineStr">
        <is>
          <t>defined</t>
        </is>
      </c>
      <c r="E48" s="2" t="inlineStr">
        <is>
          <t>32022R2554</t>
        </is>
      </c>
      <c r="F48" s="2" t="inlineStr">
        <is>
          <t>party</t>
        </is>
      </c>
      <c r="G48" s="2" t="n"/>
      <c r="H48" s="2" t="inlineStr">
        <is>
          <t>een verzekeringsonderneming in de zin van artikel 13, punt 1, van Richtlijn 2009/138/EG</t>
        </is>
      </c>
    </row>
    <row r="49">
      <c r="A49" s="2" t="inlineStr">
        <is>
          <t>32022R2554:herverzekeringsonderneming</t>
        </is>
      </c>
      <c r="B49" s="2" t="inlineStr">
        <is>
          <t>herverzekeringsonderneming</t>
        </is>
      </c>
      <c r="C49" s="2" t="inlineStr"/>
      <c r="D49" s="2" t="inlineStr">
        <is>
          <t>defined</t>
        </is>
      </c>
      <c r="E49" s="2" t="inlineStr">
        <is>
          <t>32022R2554</t>
        </is>
      </c>
      <c r="F49" s="2" t="inlineStr">
        <is>
          <t>party</t>
        </is>
      </c>
      <c r="G49" s="2" t="n"/>
      <c r="H49" s="2" t="inlineStr">
        <is>
          <t>een herverzekeringsonderneming in de zin van artikel 13, punt 4, van Richtlijn 2009/138/EG</t>
        </is>
      </c>
    </row>
    <row r="50">
      <c r="A50" s="2" t="inlineStr">
        <is>
          <t>32022R2554:verzekeringstussenpersoon</t>
        </is>
      </c>
      <c r="B50" s="2" t="inlineStr">
        <is>
          <t>verzekeringstussenpersoon</t>
        </is>
      </c>
      <c r="C50" s="2" t="inlineStr"/>
      <c r="D50" s="2" t="inlineStr">
        <is>
          <t>defined</t>
        </is>
      </c>
      <c r="E50" s="2" t="inlineStr">
        <is>
          <t>32022R2554</t>
        </is>
      </c>
      <c r="F50" s="2" t="inlineStr">
        <is>
          <t>person</t>
        </is>
      </c>
      <c r="G50" s="2" t="n"/>
      <c r="H50" s="2" t="inlineStr">
        <is>
          <t>een verzekeringstussenpersoon in de zin van artikel 2, lid 1, punt 3, van Richtlijn (EU) 2016/97 van het Europees Parlement en de Raad (34)</t>
        </is>
      </c>
    </row>
    <row r="51">
      <c r="A51" s="2" t="inlineStr">
        <is>
          <t>32022R2554:nevenverzekeringstussenpersoon</t>
        </is>
      </c>
      <c r="B51" s="2" t="inlineStr">
        <is>
          <t>nevenverzekeringstussenpersoon</t>
        </is>
      </c>
      <c r="C51" s="2" t="inlineStr"/>
      <c r="D51" s="2" t="inlineStr">
        <is>
          <t>defined</t>
        </is>
      </c>
      <c r="E51" s="2" t="inlineStr">
        <is>
          <t>32022R2554</t>
        </is>
      </c>
      <c r="F51" s="2" t="inlineStr">
        <is>
          <t>person</t>
        </is>
      </c>
      <c r="G51" s="2" t="n"/>
      <c r="H51" s="2" t="inlineStr">
        <is>
          <t>een nevenverzekeringstussenpersoon in de zin van artikel 2, lid 1, punt 4, van Richtlijn (EU) 2016/97</t>
        </is>
      </c>
    </row>
    <row r="52">
      <c r="A52" s="2" t="inlineStr">
        <is>
          <t>32022R2554:herverzekeringstussenpersoon</t>
        </is>
      </c>
      <c r="B52" s="2" t="inlineStr">
        <is>
          <t>herverzekeringstussenpersoon</t>
        </is>
      </c>
      <c r="C52" s="2" t="inlineStr"/>
      <c r="D52" s="2" t="inlineStr">
        <is>
          <t>defined</t>
        </is>
      </c>
      <c r="E52" s="2" t="inlineStr">
        <is>
          <t>32022R2554</t>
        </is>
      </c>
      <c r="F52" s="2" t="inlineStr">
        <is>
          <t>person</t>
        </is>
      </c>
      <c r="G52" s="2" t="n"/>
      <c r="H52" s="2" t="inlineStr">
        <is>
          <t>een herverzekeringstussenpersoon in de zin van artikel 2, lid 1, punt 5, van Richtlijn (EU) 2016/97</t>
        </is>
      </c>
    </row>
    <row r="53">
      <c r="A53" s="2" t="inlineStr">
        <is>
          <t>32022R2554:instelling_voor_bedrijfspensioenvoorziening</t>
        </is>
      </c>
      <c r="B53" s="2" t="inlineStr">
        <is>
          <t>instelling voor bedrijfspensioenvoorziening</t>
        </is>
      </c>
      <c r="C53" s="2" t="inlineStr"/>
      <c r="D53" s="2" t="inlineStr">
        <is>
          <t>defined</t>
        </is>
      </c>
      <c r="E53" s="2" t="inlineStr">
        <is>
          <t>32022R2554</t>
        </is>
      </c>
      <c r="F53" s="2" t="inlineStr">
        <is>
          <t>body</t>
        </is>
      </c>
      <c r="G53" s="2" t="n"/>
      <c r="H53" s="2" t="inlineStr">
        <is>
          <t>een instelling voor bedrijfspensioenvoorziening in de zin van artikel 6, punt 1), van Richtlijn (EU) 2016/2341</t>
        </is>
      </c>
    </row>
    <row r="54">
      <c r="A54" s="2" t="inlineStr">
        <is>
          <t>32022R2554:kleine_instelling_voor_bedrijfspensioenvoorziening</t>
        </is>
      </c>
      <c r="B54" s="2" t="inlineStr">
        <is>
          <t>kleine instelling voor bedrijfspensioenvoorziening</t>
        </is>
      </c>
      <c r="C54" s="2" t="inlineStr"/>
      <c r="D54" s="2" t="inlineStr">
        <is>
          <t>defined</t>
        </is>
      </c>
      <c r="E54" s="2" t="inlineStr">
        <is>
          <t>32022R2554</t>
        </is>
      </c>
      <c r="F54" s="2" t="inlineStr">
        <is>
          <t>body</t>
        </is>
      </c>
      <c r="G54" s="2" t="n"/>
      <c r="H54" s="2" t="inlineStr">
        <is>
          <t>een instelling voor bedrijfspensioenvoorziening die pensioenregelingen uitvoert die samen minder dan 100 leden hebben</t>
        </is>
      </c>
    </row>
    <row r="55">
      <c r="A55" s="2" t="inlineStr">
        <is>
          <t>32022R2554:ratingbureau</t>
        </is>
      </c>
      <c r="B55" s="2" t="inlineStr">
        <is>
          <t>ratingbureau</t>
        </is>
      </c>
      <c r="C55" s="2" t="inlineStr"/>
      <c r="D55" s="2" t="inlineStr">
        <is>
          <t>defined</t>
        </is>
      </c>
      <c r="E55" s="2" t="inlineStr">
        <is>
          <t>32022R2554</t>
        </is>
      </c>
      <c r="F55" s="2" t="inlineStr">
        <is>
          <t>body</t>
        </is>
      </c>
      <c r="G55" s="2" t="n"/>
      <c r="H55" s="2" t="inlineStr">
        <is>
          <t>een ratingbureau in de zin van artikel 3, lid 1, punt b), van Verordening (EG) nr. 1060/2009</t>
        </is>
      </c>
    </row>
    <row r="56">
      <c r="A56" s="2" t="inlineStr">
        <is>
          <t>32022R2554:aanbieder_van_cryptoactivadiensten</t>
        </is>
      </c>
      <c r="B56" s="2" t="inlineStr">
        <is>
          <t>aanbieder van cryptoactivadiensten</t>
        </is>
      </c>
      <c r="C56" s="2" t="inlineStr"/>
      <c r="D56" s="2" t="inlineStr">
        <is>
          <t>defined</t>
        </is>
      </c>
      <c r="E56" s="2" t="inlineStr">
        <is>
          <t>32022R2554</t>
        </is>
      </c>
      <c r="F56" s="2" t="inlineStr">
        <is>
          <t>party</t>
        </is>
      </c>
      <c r="G56" s="2" t="n"/>
      <c r="H56" s="2" t="inlineStr">
        <is>
          <t>een aanbieder van cryptoactivadiensten in de zin van de relevante bepaling van de verordening betreffende markten in cryptoactiva</t>
        </is>
      </c>
    </row>
    <row r="57">
      <c r="A57" s="2" t="inlineStr">
        <is>
          <t>32022R2554:beheerder_van_kritieke_benchmarks</t>
        </is>
      </c>
      <c r="B57" s="2" t="inlineStr">
        <is>
          <t>beheerder van kritieke benchmarks</t>
        </is>
      </c>
      <c r="C57" s="2" t="inlineStr"/>
      <c r="D57" s="2" t="inlineStr">
        <is>
          <t>defined</t>
        </is>
      </c>
      <c r="E57" s="2" t="inlineStr">
        <is>
          <t>32022R2554</t>
        </is>
      </c>
      <c r="F57" s="2" t="inlineStr">
        <is>
          <t>party</t>
        </is>
      </c>
      <c r="G57" s="2" t="n"/>
      <c r="H57" s="2" t="inlineStr">
        <is>
          <t>een beheerder van kritieke benchmarks in de zin van artikel 3, lid 1, punt 25), van Verordening (EU) 2016/1011</t>
        </is>
      </c>
    </row>
    <row r="58">
      <c r="A58" s="2" t="inlineStr">
        <is>
          <t>32022R2554:microonderneming</t>
        </is>
      </c>
      <c r="B58" s="2" t="inlineStr">
        <is>
          <t>micro-onderneming</t>
        </is>
      </c>
      <c r="C58" s="2" t="inlineStr"/>
      <c r="D58" s="2" t="inlineStr">
        <is>
          <t>defined</t>
        </is>
      </c>
      <c r="E58" s="2" t="inlineStr">
        <is>
          <t>32022R2554</t>
        </is>
      </c>
      <c r="F58" s="2" t="inlineStr">
        <is>
          <t>party</t>
        </is>
      </c>
      <c r="G58" s="2" t="n"/>
      <c r="H58" s="2" t="inlineStr">
        <is>
          <t>een financiële entiteit die geen handelsplatform, centrale tegenpartij, transactieregister of centrale effectenbewaarinstelling is, en waar minder dan 10 personen werkzaam zijn en waarvan de jaaromzet en/of het jaarlijkse balanstotaal niet hoger liggen dan 2 miljoen EUR</t>
        </is>
      </c>
    </row>
    <row r="59">
      <c r="A59" s="2" t="inlineStr">
        <is>
          <t>32022R2554:gemengd_comite</t>
        </is>
      </c>
      <c r="B59" s="2" t="inlineStr">
        <is>
          <t>Gemengd Comité</t>
        </is>
      </c>
      <c r="C59" s="2" t="inlineStr"/>
      <c r="D59" s="2" t="inlineStr">
        <is>
          <t>defined</t>
        </is>
      </c>
      <c r="E59" s="2" t="inlineStr">
        <is>
          <t>32022R2554</t>
        </is>
      </c>
      <c r="F59" s="2" t="inlineStr">
        <is>
          <t>body</t>
        </is>
      </c>
      <c r="G59" s="2" t="n"/>
      <c r="H59" s="2" t="inlineStr">
        <is>
          <t>het in artikel 54 van de Verordeningen (EU) nr. 1093/2010, (EU) nr. 1094/2010 en (EU) nr. 1095/2010 bedoelde comité</t>
        </is>
      </c>
    </row>
    <row r="60">
      <c r="A60" s="2" t="inlineStr">
        <is>
          <t>32022R2554:kleine_onderneming</t>
        </is>
      </c>
      <c r="B60" s="2" t="inlineStr">
        <is>
          <t>kleine onderneming</t>
        </is>
      </c>
      <c r="C60" s="2" t="inlineStr"/>
      <c r="D60" s="2" t="inlineStr">
        <is>
          <t>defined</t>
        </is>
      </c>
      <c r="E60" s="2" t="inlineStr">
        <is>
          <t>32022R2554</t>
        </is>
      </c>
      <c r="F60" s="2" t="inlineStr">
        <is>
          <t>party</t>
        </is>
      </c>
      <c r="G60" s="2" t="n"/>
      <c r="H60" s="2" t="inlineStr">
        <is>
          <t>een financiële entiteit met 10 of meer werknemers, maar minder dan 50 werknemers, en een jaaromzet en/of een jaarlijks balanstotaal van meer dan 2 miljoen EUR, maar van ten hoogste 10 miljoen EUR</t>
        </is>
      </c>
    </row>
    <row r="61">
      <c r="A61" s="2" t="inlineStr">
        <is>
          <t>32022R2554:middelgrote_onderneming</t>
        </is>
      </c>
      <c r="B61" s="2" t="inlineStr">
        <is>
          <t>middelgrote onderneming</t>
        </is>
      </c>
      <c r="C61" s="2" t="inlineStr"/>
      <c r="D61" s="2" t="inlineStr">
        <is>
          <t>defined</t>
        </is>
      </c>
      <c r="E61" s="2" t="inlineStr">
        <is>
          <t>32022R2554</t>
        </is>
      </c>
      <c r="F61" s="2" t="inlineStr">
        <is>
          <t>party</t>
        </is>
      </c>
      <c r="G61" s="2" t="n"/>
      <c r="H61" s="2" t="inlineStr">
        <is>
          <t>een financiële entiteit die geen kleine onderneming is, minder dan 250 personen in dienst heeft en een jaaromzet van ten hoogste 50 miljoen EUR en/of een jaarlijkse balans van ten hoogste 43 miljoen EUR heeft</t>
        </is>
      </c>
    </row>
    <row r="62">
      <c r="A62" s="2" t="inlineStr">
        <is>
          <t>32022R2554:overheidsinstantie</t>
        </is>
      </c>
      <c r="B62" s="2" t="inlineStr">
        <is>
          <t>overheidsinstantie</t>
        </is>
      </c>
      <c r="C62" s="2" t="inlineStr"/>
      <c r="D62" s="2" t="inlineStr">
        <is>
          <t>defined</t>
        </is>
      </c>
      <c r="E62" s="2" t="inlineStr">
        <is>
          <t>32022R2554</t>
        </is>
      </c>
      <c r="F62" s="2" t="inlineStr">
        <is>
          <t>authority</t>
        </is>
      </c>
      <c r="G62" s="2" t="n"/>
      <c r="H62" s="2" t="inlineStr">
        <is>
          <t>een regerings- of andere overheidsinstantie, met inbegrip van nationale centrale banken.</t>
        </is>
      </c>
    </row>
    <row r="63">
      <c r="A63" s="2" t="inlineStr">
        <is>
          <t>32022R2554:hof_van_justitie</t>
        </is>
      </c>
      <c r="B63" s="2" t="inlineStr">
        <is>
          <t>Hof van Justitie</t>
        </is>
      </c>
      <c r="C63" s="2" t="inlineStr"/>
      <c r="D63" s="2" t="inlineStr">
        <is>
          <t>defined</t>
        </is>
      </c>
      <c r="E63" s="2" t="inlineStr">
        <is>
          <t>32022R2554</t>
        </is>
      </c>
      <c r="F63" s="2" t="inlineStr">
        <is>
          <t>institution</t>
        </is>
      </c>
      <c r="G63" s="2" t="n"/>
      <c r="H63" s="2" t="inlineStr">
        <is>
          <t>hij vermeldt dat tegen het besluit bezwaar kan worden aangetekend bij de bezwaarcommissie van de ETA’s en dat bij het Hof van Justitie van de Europese Unie</t>
        </is>
      </c>
    </row>
    <row r="64">
      <c r="A64" s="2" t="inlineStr">
        <is>
          <t>32016R0679:verwerkingsverantwoordelijke</t>
        </is>
      </c>
      <c r="B64" s="2" t="inlineStr">
        <is>
          <t>verwerkingsverantwoordelijke</t>
        </is>
      </c>
      <c r="C64" s="2" t="inlineStr"/>
      <c r="D64" s="2" t="inlineStr">
        <is>
          <t>defined</t>
        </is>
      </c>
      <c r="E64" s="2" t="inlineStr">
        <is>
          <t>32016R0679</t>
        </is>
      </c>
      <c r="F64" s="2" t="inlineStr">
        <is>
          <t>party</t>
        </is>
      </c>
      <c r="G64" s="2" t="n"/>
      <c r="H64" s="2" t="inlineStr">
        <is>
          <t>een natuurlijke persoon of rechtspersoon, een overheidsinstantie, een dienst of een ander orgaan die/dat, alleen of samen met anderen, het doel van en de middelen voor de verwerking van persoonsgegevens vaststelt; wanneer de doelstellingen van en de middelen voor deze verwerking in het Unierecht of het lidstatelijke recht worden vastgesteld, kan daarin worden bepaald wie de verwerkingsverantwoordelijke is of volgens welke criteria deze wordt aangewezen</t>
        </is>
      </c>
    </row>
    <row r="65">
      <c r="A65" s="2" t="inlineStr">
        <is>
          <t>32016R0679:verwerker</t>
        </is>
      </c>
      <c r="B65" s="2" t="inlineStr">
        <is>
          <t>verwerker</t>
        </is>
      </c>
      <c r="C65" s="2" t="inlineStr"/>
      <c r="D65" s="2" t="inlineStr">
        <is>
          <t>defined</t>
        </is>
      </c>
      <c r="E65" s="2" t="inlineStr">
        <is>
          <t>32016R0679</t>
        </is>
      </c>
      <c r="F65" s="2" t="inlineStr">
        <is>
          <t>party</t>
        </is>
      </c>
      <c r="G65" s="2" t="n"/>
      <c r="H65" s="2" t="inlineStr">
        <is>
          <t>een natuurlijke persoon of rechtspersoon, een overheidsinstantie, een dienst of een ander orgaan die/dat ten behoeve van de verwerkingsverantwoordelijke persoonsgegevens verwerkt</t>
        </is>
      </c>
    </row>
    <row r="66">
      <c r="A66" s="2" t="inlineStr">
        <is>
          <t>32016R0679:ontvanger</t>
        </is>
      </c>
      <c r="B66" s="2" t="inlineStr">
        <is>
          <t>ontvanger</t>
        </is>
      </c>
      <c r="C66" s="2" t="inlineStr"/>
      <c r="D66" s="2" t="inlineStr">
        <is>
          <t>defined</t>
        </is>
      </c>
      <c r="E66" s="2" t="inlineStr">
        <is>
          <t>32016R0679</t>
        </is>
      </c>
      <c r="F66" s="2" t="inlineStr">
        <is>
          <t>party</t>
        </is>
      </c>
      <c r="G66" s="2" t="n"/>
      <c r="H66" s="2" t="inlineStr">
        <is>
          <t>een natuurlijke persoon of rechtspersoon, een overheidsinstantie, een dienst of een ander orgaan, al dan niet een derde, aan wie/waaraan de persoonsgegevens worden verstrekt. Overheidsinstanties die mogelijk persoonsgegevens ontvangen in het kader van een bijzonder onderzoek overeenkomstig het Unierecht of het lidstatelijke recht gelden echter niet als ontvangers; de verwerking van die gegevens door die overheidsinstanties strookt met de gegevensbeschermingsregels die op het betreffende verwerki</t>
        </is>
      </c>
    </row>
    <row r="67">
      <c r="A67" s="2" t="inlineStr">
        <is>
          <t>32016R0679:derde</t>
        </is>
      </c>
      <c r="B67" s="2" t="inlineStr">
        <is>
          <t>derde</t>
        </is>
      </c>
      <c r="C67" s="2" t="inlineStr"/>
      <c r="D67" s="2" t="inlineStr">
        <is>
          <t>defined</t>
        </is>
      </c>
      <c r="E67" s="2" t="inlineStr">
        <is>
          <t>32016R0679</t>
        </is>
      </c>
      <c r="F67" s="2" t="inlineStr">
        <is>
          <t>party</t>
        </is>
      </c>
      <c r="G67" s="2" t="n"/>
      <c r="H67" s="2" t="inlineStr">
        <is>
          <t>een natuurlijke persoon of rechtspersoon, een overheidsinstantie, een dienst of een ander orgaan, niet zijnde de betrokkene, noch de verwerkingsverantwoordelijke, noch de verwerker, noch de personen die onder rechtstreeks gezag van de verwerkingsverantwoordelijke of de verwerker gemachtigd zijn om de persoonsgegevens te verwerken</t>
        </is>
      </c>
    </row>
    <row r="68">
      <c r="A68" s="2" t="inlineStr">
        <is>
          <t>32016R0679:vertegenwoordiger</t>
        </is>
      </c>
      <c r="B68" s="2" t="inlineStr">
        <is>
          <t>vertegenwoordiger</t>
        </is>
      </c>
      <c r="C68" s="2" t="inlineStr"/>
      <c r="D68" s="2" t="inlineStr">
        <is>
          <t>defined</t>
        </is>
      </c>
      <c r="E68" s="2" t="inlineStr">
        <is>
          <t>32016R0679</t>
        </is>
      </c>
      <c r="F68" s="2" t="inlineStr">
        <is>
          <t>party</t>
        </is>
      </c>
      <c r="G68" s="2" t="n"/>
      <c r="H68" s="2" t="inlineStr">
        <is>
          <t>een in de Unie gevestigde natuurlijke persoon of rechtspersoon die uit hoofde van artikel 27 schriftelijk door de verwerkingsverantwoordelijke of de verwerker is aangewezen om de verwerkingsverantwoordelijke of de verwerker te vertegenwoordigen in verband met hun respectieve verplichtingen krachtens deze verordening</t>
        </is>
      </c>
    </row>
    <row r="69">
      <c r="A69" s="2" t="inlineStr">
        <is>
          <t>32016R0679:onderneming</t>
        </is>
      </c>
      <c r="B69" s="2" t="inlineStr">
        <is>
          <t>onderneming</t>
        </is>
      </c>
      <c r="C69" s="2" t="inlineStr"/>
      <c r="D69" s="2" t="inlineStr">
        <is>
          <t>defined</t>
        </is>
      </c>
      <c r="E69" s="2" t="inlineStr">
        <is>
          <t>32016R0679</t>
        </is>
      </c>
      <c r="F69" s="2" t="inlineStr">
        <is>
          <t>party</t>
        </is>
      </c>
      <c r="G69" s="2" t="n"/>
      <c r="H69" s="2" t="inlineStr">
        <is>
          <t>een natuurlijke persoon of rechtspersoon die een economische activiteit uitoefent, ongeacht de rechtsvorm ervan, met inbegrip van maatschappen en persoonsvennootschappen of verenigingen die regelmatig een economische activiteit uitoefenen</t>
        </is>
      </c>
    </row>
    <row r="70">
      <c r="A70" s="2" t="inlineStr">
        <is>
          <t>32016R0679:concern</t>
        </is>
      </c>
      <c r="B70" s="2" t="inlineStr">
        <is>
          <t>concern</t>
        </is>
      </c>
      <c r="C70" s="2" t="inlineStr"/>
      <c r="D70" s="2" t="inlineStr">
        <is>
          <t>defined</t>
        </is>
      </c>
      <c r="E70" s="2" t="inlineStr">
        <is>
          <t>32016R0679</t>
        </is>
      </c>
      <c r="F70" s="2" t="inlineStr">
        <is>
          <t>party</t>
        </is>
      </c>
      <c r="G70" s="2" t="n"/>
      <c r="H70" s="2" t="inlineStr">
        <is>
          <t>een onderneming die zeggenschap uitoefent en de ondernemingen waarover die zeggenschap wordt uitgeoefend</t>
        </is>
      </c>
    </row>
    <row r="71">
      <c r="A71" s="2" t="inlineStr">
        <is>
          <t>32016R0679:toezichthoudende_autoriteit</t>
        </is>
      </c>
      <c r="B71" s="2" t="inlineStr">
        <is>
          <t>toezichthoudende autoriteit</t>
        </is>
      </c>
      <c r="C71" s="2" t="inlineStr"/>
      <c r="D71" s="2" t="inlineStr">
        <is>
          <t>defined</t>
        </is>
      </c>
      <c r="E71" s="2" t="inlineStr">
        <is>
          <t>32016R0679</t>
        </is>
      </c>
      <c r="F71" s="2" t="inlineStr">
        <is>
          <t>authority</t>
        </is>
      </c>
      <c r="G71" s="2" t="n"/>
      <c r="H71" s="2" t="inlineStr">
        <is>
          <t>een door een lidstaat ingevolge artikel 51 ingestelde onafhankelijke overheidsinstantie</t>
        </is>
      </c>
    </row>
    <row r="72">
      <c r="A72" s="2" t="inlineStr">
        <is>
          <t>32016R0679:betrokken_toezichthoudende_autoriteit</t>
        </is>
      </c>
      <c r="B72" s="2" t="inlineStr">
        <is>
          <t>betrokken toezichthoudende autoriteit</t>
        </is>
      </c>
      <c r="C72" s="2" t="inlineStr"/>
      <c r="D72" s="2" t="inlineStr">
        <is>
          <t>defined</t>
        </is>
      </c>
      <c r="E72" s="2" t="inlineStr">
        <is>
          <t>32016R0679</t>
        </is>
      </c>
      <c r="F72" s="2" t="inlineStr">
        <is>
          <t>authority</t>
        </is>
      </c>
      <c r="G72" s="2" t="n"/>
      <c r="H72" s="2" t="inlineStr">
        <is>
          <t>een toezichthoudende autoriteit die betrokken is bij de verwerking van persoonsgegevens omdat: a) de verwerkingsverantwoordelijke of de verwerker op het grondgebied van de lidstaat van die toezichthoudende autoriteit is gevestigd; b) de betrokkenen die in de lidstaat van die toezichthoudende autoriteit verblijven, door de verwerking wezenlijke gevolgen ondervinden of waarschijnlijk zullen ondervinden; of c) bij die toezichthoudende autoriteit een klacht is ingediend</t>
        </is>
      </c>
    </row>
    <row r="73">
      <c r="A73" s="2" t="inlineStr">
        <is>
          <t>32016R0679:internationale_organisatie</t>
        </is>
      </c>
      <c r="B73" s="2" t="inlineStr">
        <is>
          <t>internationale organisatie</t>
        </is>
      </c>
      <c r="C73" s="2" t="inlineStr"/>
      <c r="D73" s="2" t="inlineStr">
        <is>
          <t>defined</t>
        </is>
      </c>
      <c r="E73" s="2" t="inlineStr">
        <is>
          <t>32016R0679</t>
        </is>
      </c>
      <c r="F73" s="2" t="inlineStr">
        <is>
          <t>party</t>
        </is>
      </c>
      <c r="G73" s="2" t="n"/>
      <c r="H73" s="2" t="inlineStr">
        <is>
          <t>een organisatie en de daaronder vallende internationaalpubliekrechtelijke organen of andere organen die zijn opgericht bij of op grond van een overeenkomst tussen twee of meer landen.</t>
        </is>
      </c>
    </row>
    <row r="74">
      <c r="A74" s="2" t="inlineStr">
        <is>
          <t>32016R0679:de_betrokkene</t>
        </is>
      </c>
      <c r="B74" s="2" t="inlineStr">
        <is>
          <t>de betrokkene</t>
        </is>
      </c>
      <c r="C74" s="2" t="inlineStr"/>
      <c r="D74" s="2" t="inlineStr">
        <is>
          <t>defined</t>
        </is>
      </c>
      <c r="E74" s="2" t="inlineStr">
        <is>
          <t>32016R0679</t>
        </is>
      </c>
      <c r="F74" s="2" t="inlineStr">
        <is>
          <t>person</t>
        </is>
      </c>
      <c r="G74" s="2" t="n"/>
      <c r="H74" s="2" t="inlineStr">
        <is>
          <t>alle informatie over een geïdentificeerde of identificeerbare natuurlijke persoon</t>
        </is>
      </c>
    </row>
    <row r="75">
      <c r="A75" s="2" t="inlineStr">
        <is>
          <t>32022L2555:vertegenwoordiger</t>
        </is>
      </c>
      <c r="B75" s="2" t="inlineStr">
        <is>
          <t>vertegenwoordiger</t>
        </is>
      </c>
      <c r="C75" s="2" t="inlineStr"/>
      <c r="D75" s="2" t="inlineStr">
        <is>
          <t>defined</t>
        </is>
      </c>
      <c r="E75" s="2" t="inlineStr">
        <is>
          <t>32022L2555</t>
        </is>
      </c>
      <c r="F75" s="2" t="inlineStr">
        <is>
          <t>party</t>
        </is>
      </c>
      <c r="G75" s="2" t="n"/>
      <c r="H75" s="2" t="inlineStr">
        <is>
          <t xml:space="preserve">een in de Unie gevestigde natuurlijke of rechtspersoon die uitdrukkelijk is aangewezen om op te treden namens een DNS-dienstverlener, een register voor topleveldomeinnamen, een entiteit die domeinnaamregistratiediensten verleent, een aanbieder van cloudcomputingdiensten, een aanbieder van datacentrumdiensten, een aanbieder van een netwerk voor de levering van inhoud, een aanbieder van beheerde diensten, een aanbieder van beheerde beveiligingsdiensten, of een aanbieder van een onlinemarktplaats, </t>
        </is>
      </c>
    </row>
    <row r="76">
      <c r="A76" s="2" t="inlineStr">
        <is>
          <t>32022L2555:overheidsinstantie</t>
        </is>
      </c>
      <c r="B76" s="2" t="inlineStr">
        <is>
          <t>overheidsinstantie</t>
        </is>
      </c>
      <c r="C76" s="2" t="inlineStr"/>
      <c r="D76" s="2" t="inlineStr">
        <is>
          <t>defined</t>
        </is>
      </c>
      <c r="E76" s="2" t="inlineStr">
        <is>
          <t>32022L2555</t>
        </is>
      </c>
      <c r="F76" s="2" t="inlineStr">
        <is>
          <t>authority</t>
        </is>
      </c>
      <c r="G76" s="2" t="n"/>
      <c r="H76" s="2" t="inlineStr">
        <is>
          <t xml:space="preserve">een entiteit die overeenkomstig het nationale recht als zodanig in een lidstaat is erkend, met uitzondering van de rechterlijke macht, parlementen en centrale banken, en die aan de volgende criteria voldoet: a) zij is opgericht om te voorzien in behoeften van algemeen belang en heeft geen industrieel of commercieel karakter; b) zij heeft rechtspersoonlijkheid of mag volgens de wet namens een andere entiteit met rechtspersoonlijkheid optreden; c) zij wordt grotendeels gefinancierd door de staat, </t>
        </is>
      </c>
    </row>
    <row r="77">
      <c r="A77" s="2" t="inlineStr">
        <is>
          <t>32022L2555:entiteit</t>
        </is>
      </c>
      <c r="B77" s="2" t="inlineStr">
        <is>
          <t>entiteit</t>
        </is>
      </c>
      <c r="C77" s="2" t="inlineStr"/>
      <c r="D77" s="2" t="inlineStr">
        <is>
          <t>defined</t>
        </is>
      </c>
      <c r="E77" s="2" t="inlineStr">
        <is>
          <t>32022L2555</t>
        </is>
      </c>
      <c r="F77" s="2" t="inlineStr">
        <is>
          <t>party</t>
        </is>
      </c>
      <c r="G77" s="2" t="n"/>
      <c r="H77" s="2" t="inlineStr">
        <is>
          <t>een natuurlijke of rechtspersoon die als zodanig is opgericht en erkend volgens het nationale recht van zijn vestigingsplaats, en die in eigen naam rechten kan uitoefenen en aan verplichtingen kan worden onderworpen</t>
        </is>
      </c>
    </row>
    <row r="78">
      <c r="A78" s="2" t="inlineStr">
        <is>
          <t>32022L2555:aanbieder_van_beheerde_diensten</t>
        </is>
      </c>
      <c r="B78" s="2" t="inlineStr">
        <is>
          <t>aanbieder van beheerde diensten</t>
        </is>
      </c>
      <c r="C78" s="2" t="inlineStr"/>
      <c r="D78" s="2" t="inlineStr">
        <is>
          <t>defined</t>
        </is>
      </c>
      <c r="E78" s="2" t="inlineStr">
        <is>
          <t>32022L2555</t>
        </is>
      </c>
      <c r="F78" s="2" t="inlineStr">
        <is>
          <t>party</t>
        </is>
      </c>
      <c r="G78" s="2" t="n"/>
      <c r="H78" s="2" t="inlineStr">
        <is>
          <t>een entiteit die diensten verleent die verband houden met de installatie, het beheer, de exploitatie of het onderhoud van ICT-producten, -netwerken, -infrastructuur, -toepassingen of andere netwerk- en informatiesystemen, via bijstand of actieve administratie bij de consument ter plaatse of op afstand</t>
        </is>
      </c>
    </row>
    <row r="79">
      <c r="A79" s="2" t="inlineStr">
        <is>
          <t>32022L2555:aanbieder_van_beheerde_beveiligingsdiensten</t>
        </is>
      </c>
      <c r="B79" s="2" t="inlineStr">
        <is>
          <t>aanbieder van beheerde beveiligingsdiensten</t>
        </is>
      </c>
      <c r="C79" s="2" t="inlineStr"/>
      <c r="D79" s="2" t="inlineStr">
        <is>
          <t>defined</t>
        </is>
      </c>
      <c r="E79" s="2" t="inlineStr">
        <is>
          <t>32022L2555</t>
        </is>
      </c>
      <c r="F79" s="2" t="inlineStr">
        <is>
          <t>party</t>
        </is>
      </c>
      <c r="G79" s="2" t="n"/>
      <c r="H79" s="2" t="inlineStr">
        <is>
          <t>een aanbieder van beheerde diensten die bijstand biedt of verleent voor activiteiten die verband houden met risicobeheer op het gebied van cyberbeveiliging</t>
        </is>
      </c>
    </row>
    <row r="80">
      <c r="A80" s="2" t="inlineStr">
        <is>
          <t>32022L2555:onderzoeksorganisatie</t>
        </is>
      </c>
      <c r="B80" s="2" t="inlineStr">
        <is>
          <t>onderzoeksorganisatie</t>
        </is>
      </c>
      <c r="C80" s="2" t="inlineStr"/>
      <c r="D80" s="2" t="inlineStr">
        <is>
          <t>defined</t>
        </is>
      </c>
      <c r="E80" s="2" t="inlineStr">
        <is>
          <t>32022L2555</t>
        </is>
      </c>
      <c r="F80" s="2" t="inlineStr">
        <is>
          <t>party</t>
        </is>
      </c>
      <c r="G80" s="2" t="n"/>
      <c r="H80" s="2" t="inlineStr">
        <is>
          <t>een entiteit die als hoofddoel heeft het verrichten van toegepast onderzoek of experimentele ontwikkeling met het oog op de exploitatie van de resultaten van dat onderzoek voor commerciële doeleinden, met uitsluiting van onderwijsinstellingen.</t>
        </is>
      </c>
    </row>
    <row r="81">
      <c r="A81" s="2" t="inlineStr">
        <is>
          <t>BWBR0009950:aanbieder_van_diensten_van_de_informatiemaatschappij</t>
        </is>
      </c>
      <c r="B81" s="2" t="inlineStr">
        <is>
          <t>aanbieder van diensten van de informatiemaatschappij</t>
        </is>
      </c>
      <c r="C81" s="2" t="inlineStr"/>
      <c r="D81" s="2" t="inlineStr">
        <is>
          <t>defined</t>
        </is>
      </c>
      <c r="E81" s="2" t="inlineStr">
        <is>
          <t>BWBR0009950</t>
        </is>
      </c>
      <c r="F81" s="2" t="inlineStr">
        <is>
          <t>party</t>
        </is>
      </c>
      <c r="G81" s="2" t="n"/>
      <c r="H81" s="2" t="inlineStr">
        <is>
          <t>aanbieder van een dienst zoals gedefinieerd in artikel 1, eerste lid, onderdeel b, van Richtlijn (EU) 2015/1535 van het Europees Parlement en de Raad van 9 september 2015 betreffende een informatieprocedure op het gebied van technische voorschriften en regels betreffende de diensten van de informatiemaatschappij (PbEU 2015, L 241)</t>
        </is>
      </c>
    </row>
    <row r="82">
      <c r="A82" s="2" t="inlineStr">
        <is>
          <t>BWBR0009950:abonnee</t>
        </is>
      </c>
      <c r="B82" s="2" t="inlineStr">
        <is>
          <t>abonnee</t>
        </is>
      </c>
      <c r="C82" s="2" t="inlineStr"/>
      <c r="D82" s="2" t="inlineStr">
        <is>
          <t>defined</t>
        </is>
      </c>
      <c r="E82" s="2" t="inlineStr">
        <is>
          <t>BWBR0009950</t>
        </is>
      </c>
      <c r="F82" s="2" t="inlineStr">
        <is>
          <t>person</t>
        </is>
      </c>
      <c r="G82" s="2" t="n"/>
      <c r="H82" s="2" t="inlineStr">
        <is>
          <t>natuurlijke persoon of rechtspersoon die partij is bij een overeenkomst met een aanbieder van openbare elektronische communicatiediensten voor de levering van dergelijke diensten</t>
        </is>
      </c>
    </row>
    <row r="83">
      <c r="A83" s="2" t="inlineStr">
        <is>
          <t>BWBR0009950:berecbureau</t>
        </is>
      </c>
      <c r="B83" s="2" t="inlineStr">
        <is>
          <t>Berec-Bureau</t>
        </is>
      </c>
      <c r="C83" s="2" t="inlineStr"/>
      <c r="D83" s="2" t="inlineStr">
        <is>
          <t>defined</t>
        </is>
      </c>
      <c r="E83" s="2" t="inlineStr">
        <is>
          <t>BWBR0009950</t>
        </is>
      </c>
      <c r="F83" s="2" t="inlineStr">
        <is>
          <t>body</t>
        </is>
      </c>
      <c r="G83" s="2" t="n"/>
      <c r="H83" s="2" t="inlineStr">
        <is>
          <t>bureau, opgericht bij Verordening (EG) nr. (EU) 2018/1971 van het Europees Parlement en de Raad van 11 december 2018 tot instelling van het Orgaan van Europese regulerende instanties voor elektronische communicatie (Berec) en het Bureau voor ondersteuning van Berec (Berec-Bureau), tot wijziging van Verordening (EU) 2015/2120 en tot intrekking van Verordening (EG) nr. 1211/2009</t>
        </is>
      </c>
    </row>
    <row r="84">
      <c r="A84" s="2" t="inlineStr">
        <is>
          <t>BWBR0009950:conformiteitsbeoordelingsinstantie</t>
        </is>
      </c>
      <c r="B84" s="2" t="inlineStr">
        <is>
          <t>conformiteitsbeoordelingsinstantie</t>
        </is>
      </c>
      <c r="C84" s="2" t="inlineStr"/>
      <c r="D84" s="2" t="inlineStr">
        <is>
          <t>defined</t>
        </is>
      </c>
      <c r="E84" s="2" t="inlineStr">
        <is>
          <t>BWBR0009950</t>
        </is>
      </c>
      <c r="F84" s="2" t="inlineStr">
        <is>
          <t>body</t>
        </is>
      </c>
      <c r="G84" s="2" t="n"/>
      <c r="H84" s="2" t="inlineStr">
        <is>
          <t>een conformiteitsbeoordelingsinstantie als bedoeld in artikel 3, onderdeel 18, van de eidas-verordening</t>
        </is>
      </c>
    </row>
    <row r="85">
      <c r="A85" s="2" t="inlineStr">
        <is>
          <t>BWBR0009950:consument</t>
        </is>
      </c>
      <c r="B85" s="2" t="inlineStr">
        <is>
          <t>consument</t>
        </is>
      </c>
      <c r="C85" s="2" t="inlineStr"/>
      <c r="D85" s="2" t="inlineStr">
        <is>
          <t>defined</t>
        </is>
      </c>
      <c r="E85" s="2" t="inlineStr">
        <is>
          <t>BWBR0009950</t>
        </is>
      </c>
      <c r="F85" s="2" t="inlineStr">
        <is>
          <t>person</t>
        </is>
      </c>
      <c r="G85" s="2" t="n"/>
      <c r="H85" s="2" t="inlineStr">
        <is>
          <t>natuurlijke persoon die gebruik maakt van of verzoekt om een openbare elektronische communicatiedienst voor andere dan bedrijfs- of beroepsdoeleinden</t>
        </is>
      </c>
    </row>
    <row r="86">
      <c r="A86" s="2" t="inlineStr">
        <is>
          <t>BWBR0009950:distributeur</t>
        </is>
      </c>
      <c r="B86" s="2" t="inlineStr">
        <is>
          <t>distributeur</t>
        </is>
      </c>
      <c r="C86" s="2" t="inlineStr"/>
      <c r="D86" s="2" t="inlineStr">
        <is>
          <t>defined</t>
        </is>
      </c>
      <c r="E86" s="2" t="inlineStr">
        <is>
          <t>BWBR0009950</t>
        </is>
      </c>
      <c r="F86" s="2" t="inlineStr">
        <is>
          <t>party</t>
        </is>
      </c>
      <c r="G86" s="2" t="n"/>
      <c r="H86" s="2" t="inlineStr">
        <is>
          <t>natuurlijke persoon of rechtspersoon in de toeleveringsketen, niet zijnde de fabrikant of de importeur, die apparaten of radioapparaten op de markt aanbiedt</t>
        </is>
      </c>
    </row>
    <row r="87">
      <c r="A87" s="2" t="inlineStr">
        <is>
          <t>BWBR0009950:eindgebruiker</t>
        </is>
      </c>
      <c r="B87" s="2" t="inlineStr">
        <is>
          <t>eindgebruiker</t>
        </is>
      </c>
      <c r="C87" s="2" t="inlineStr"/>
      <c r="D87" s="2" t="inlineStr">
        <is>
          <t>defined</t>
        </is>
      </c>
      <c r="E87" s="2" t="inlineStr">
        <is>
          <t>BWBR0009950</t>
        </is>
      </c>
      <c r="F87" s="2" t="inlineStr">
        <is>
          <t>party</t>
        </is>
      </c>
      <c r="G87" s="2" t="n"/>
      <c r="H87" s="2" t="inlineStr">
        <is>
          <t>natuurlijke persoon of rechtspersoon die van een openbare elektronische communicatiedienst gebruik maakt of wil gaan maken en die niet tevens openbare elektronische communicatienetwerken of openbare elektronische communicatiediensten aanbiedt</t>
        </is>
      </c>
    </row>
    <row r="88">
      <c r="A88" s="2" t="inlineStr">
        <is>
          <t>BWBR0009950:fabrikant</t>
        </is>
      </c>
      <c r="B88" s="2" t="inlineStr">
        <is>
          <t>fabrikant</t>
        </is>
      </c>
      <c r="C88" s="2" t="inlineStr"/>
      <c r="D88" s="2" t="inlineStr">
        <is>
          <t>defined</t>
        </is>
      </c>
      <c r="E88" s="2" t="inlineStr">
        <is>
          <t>BWBR0009950</t>
        </is>
      </c>
      <c r="F88" s="2" t="inlineStr">
        <is>
          <t>party</t>
        </is>
      </c>
      <c r="G88" s="2" t="n"/>
      <c r="H88" s="2" t="inlineStr">
        <is>
          <t>natuurlijke persoon of rechtspersoon die apparaten of radioapparaten vervaardigt of laat ontwerpen of vervaardigen, en deze apparaten of radioapparaten onder zijn naam of handelsmerk verhandelt</t>
        </is>
      </c>
    </row>
    <row r="89">
      <c r="A89" s="2" t="inlineStr">
        <is>
          <t>BWBR0009950:gebruiker</t>
        </is>
      </c>
      <c r="B89" s="2" t="inlineStr">
        <is>
          <t>gebruiker</t>
        </is>
      </c>
      <c r="C89" s="2" t="inlineStr"/>
      <c r="D89" s="2" t="inlineStr">
        <is>
          <t>defined</t>
        </is>
      </c>
      <c r="E89" s="2" t="inlineStr">
        <is>
          <t>BWBR0009950</t>
        </is>
      </c>
      <c r="F89" s="2" t="inlineStr">
        <is>
          <t>party</t>
        </is>
      </c>
      <c r="G89" s="2" t="n"/>
      <c r="H89" s="2" t="inlineStr">
        <is>
          <t>natuurlijk persoon of rechtspersoon die gebruik maakt van of verzoekt om een openbare elektronische communicatiedienst</t>
        </is>
      </c>
    </row>
    <row r="90">
      <c r="A90" s="2" t="inlineStr">
        <is>
          <t>BWBR0009950:gemachtigde</t>
        </is>
      </c>
      <c r="B90" s="2" t="inlineStr">
        <is>
          <t>gemachtigde</t>
        </is>
      </c>
      <c r="C90" s="2" t="inlineStr"/>
      <c r="D90" s="2" t="inlineStr">
        <is>
          <t>defined</t>
        </is>
      </c>
      <c r="E90" s="2" t="inlineStr">
        <is>
          <t>BWBR0009950</t>
        </is>
      </c>
      <c r="F90" s="2" t="inlineStr">
        <is>
          <t>party</t>
        </is>
      </c>
      <c r="G90" s="2" t="n"/>
      <c r="H90" s="2" t="inlineStr">
        <is>
          <t>in de Europese Unie gevestigde natuurlijke persoon of rechtspersoon die schriftelijk door de fabrikant is gemachtigd om namens hem specifieke taken te vervullen</t>
        </is>
      </c>
    </row>
    <row r="91">
      <c r="A91" s="2" t="inlineStr">
        <is>
          <t>BWBR0009950:importeur</t>
        </is>
      </c>
      <c r="B91" s="2" t="inlineStr">
        <is>
          <t>importeur</t>
        </is>
      </c>
      <c r="C91" s="2" t="inlineStr"/>
      <c r="D91" s="2" t="inlineStr">
        <is>
          <t>defined</t>
        </is>
      </c>
      <c r="E91" s="2" t="inlineStr">
        <is>
          <t>BWBR0009950</t>
        </is>
      </c>
      <c r="F91" s="2" t="inlineStr">
        <is>
          <t>party</t>
        </is>
      </c>
      <c r="G91" s="2" t="n"/>
      <c r="H91" s="2" t="inlineStr">
        <is>
          <t>in de Europese Unie gevestigde natuurlijke persoon of rechtspersoon die apparaten of radioapparaten uit een derde land in de Europese Unie in de handel brengt</t>
        </is>
      </c>
    </row>
    <row r="92">
      <c r="A92" s="2" t="inlineStr">
        <is>
          <t>BWBR0009950:kleine_onderneming</t>
        </is>
      </c>
      <c r="B92" s="2" t="inlineStr">
        <is>
          <t>kleine onderneming</t>
        </is>
      </c>
      <c r="C92" s="2" t="inlineStr"/>
      <c r="D92" s="2" t="inlineStr">
        <is>
          <t>defined</t>
        </is>
      </c>
      <c r="E92" s="2" t="inlineStr">
        <is>
          <t>BWBR0009950</t>
        </is>
      </c>
      <c r="F92" s="2" t="inlineStr">
        <is>
          <t>party</t>
        </is>
      </c>
      <c r="G92" s="2" t="n"/>
      <c r="H92" s="2" t="inlineStr">
        <is>
          <t>onderneming waarop artikel 396, eerste lid, van Boek 2 van het Burgerlijk Wetboek, van toepassing is</t>
        </is>
      </c>
    </row>
    <row r="93">
      <c r="A93" s="2" t="inlineStr">
        <is>
          <t>BWBR0009950:marktdeelnemer</t>
        </is>
      </c>
      <c r="B93" s="2" t="inlineStr">
        <is>
          <t>marktdeelnemer</t>
        </is>
      </c>
      <c r="C93" s="2" t="inlineStr"/>
      <c r="D93" s="2" t="inlineStr">
        <is>
          <t>defined</t>
        </is>
      </c>
      <c r="E93" s="2" t="inlineStr">
        <is>
          <t>BWBR0009950</t>
        </is>
      </c>
      <c r="F93" s="2" t="inlineStr">
        <is>
          <t>party</t>
        </is>
      </c>
      <c r="G93" s="2" t="n"/>
      <c r="H93" s="2" t="inlineStr">
        <is>
          <t>de fabrikant, de gemachtigde, de importeur of de distributeur</t>
        </is>
      </c>
    </row>
    <row r="94">
      <c r="A94" s="2" t="inlineStr">
        <is>
          <t>BWBR0009950:microonderneming</t>
        </is>
      </c>
      <c r="B94" s="2" t="inlineStr">
        <is>
          <t>micro-onderneming</t>
        </is>
      </c>
      <c r="C94" s="2" t="inlineStr"/>
      <c r="D94" s="2" t="inlineStr">
        <is>
          <t>defined</t>
        </is>
      </c>
      <c r="E94" s="2" t="inlineStr">
        <is>
          <t>BWBR0009950</t>
        </is>
      </c>
      <c r="F94" s="2" t="inlineStr">
        <is>
          <t>party</t>
        </is>
      </c>
      <c r="G94" s="2" t="n"/>
      <c r="H94" s="2" t="inlineStr">
        <is>
          <t>onderneming waarop artikel 395a, eerste lid, van Boek 2 van het Burgerlijk Wetboek, van toepassing is</t>
        </is>
      </c>
    </row>
    <row r="95">
      <c r="A95" s="2" t="inlineStr">
        <is>
          <t>BWBR0009950:nationale_regelgevende_instantie_van_een_andere_lidstaat</t>
        </is>
      </c>
      <c r="B95" s="2" t="inlineStr">
        <is>
          <t>nationale regelgevende instantie van een andere lidstaat</t>
        </is>
      </c>
      <c r="C95" s="2" t="inlineStr"/>
      <c r="D95" s="2" t="inlineStr">
        <is>
          <t>defined</t>
        </is>
      </c>
      <c r="E95" s="2" t="inlineStr">
        <is>
          <t>BWBR0009950</t>
        </is>
      </c>
      <c r="F95" s="2" t="inlineStr">
        <is>
          <t>body</t>
        </is>
      </c>
      <c r="G95" s="2" t="n"/>
      <c r="H95" s="2" t="inlineStr">
        <is>
          <t>nationale regelgevende instantie van een andere lidstaat van de Europese Unie die krachtens het recht van die lidstaat is belast met de uitvoering van een of meer taken van nationale regelgevende instanties als bedoeld in artikel 5, eerste lid, van richtlijn (EU) 2018/1972</t>
        </is>
      </c>
    </row>
    <row r="96">
      <c r="A96" s="2" t="inlineStr">
        <is>
          <t>BWBR0009950:nummergebruiker</t>
        </is>
      </c>
      <c r="B96" s="2" t="inlineStr">
        <is>
          <t>nummergebruiker</t>
        </is>
      </c>
      <c r="C96" s="2" t="inlineStr"/>
      <c r="D96" s="2" t="inlineStr">
        <is>
          <t>defined</t>
        </is>
      </c>
      <c r="E96" s="2" t="inlineStr">
        <is>
          <t>BWBR0009950</t>
        </is>
      </c>
      <c r="F96" s="2" t="inlineStr">
        <is>
          <t>party</t>
        </is>
      </c>
      <c r="G96" s="2" t="n"/>
      <c r="H96" s="2" t="inlineStr">
        <is>
          <t>degene die een nummer gebruikt</t>
        </is>
      </c>
    </row>
    <row r="97">
      <c r="A97" s="2" t="inlineStr">
        <is>
          <t>BWBR0009950:nummerhouder</t>
        </is>
      </c>
      <c r="B97" s="2" t="inlineStr">
        <is>
          <t>nummerhouder</t>
        </is>
      </c>
      <c r="C97" s="2" t="inlineStr"/>
      <c r="D97" s="2" t="inlineStr">
        <is>
          <t>defined</t>
        </is>
      </c>
      <c r="E97" s="2" t="inlineStr">
        <is>
          <t>BWBR0009950</t>
        </is>
      </c>
      <c r="F97" s="2" t="inlineStr">
        <is>
          <t>party</t>
        </is>
      </c>
      <c r="G97" s="2" t="n"/>
      <c r="H97" s="2" t="inlineStr">
        <is>
          <t>degene aan wie de Autoriteit Consument en Markt op aanvraag een nummer heeft toegekend</t>
        </is>
      </c>
    </row>
    <row r="98">
      <c r="A98" s="2" t="inlineStr">
        <is>
          <t>BWBR0009950:onderneming</t>
        </is>
      </c>
      <c r="B98" s="2" t="inlineStr">
        <is>
          <t>onderneming</t>
        </is>
      </c>
      <c r="C98" s="2" t="inlineStr"/>
      <c r="D98" s="2" t="inlineStr">
        <is>
          <t>defined</t>
        </is>
      </c>
      <c r="E98" s="2" t="inlineStr">
        <is>
          <t>BWBR0009950</t>
        </is>
      </c>
      <c r="F98" s="2" t="inlineStr">
        <is>
          <t>party</t>
        </is>
      </c>
      <c r="G98" s="2" t="n"/>
      <c r="H98" s="2" t="inlineStr">
        <is>
          <t>onderneming in de zin van artikel 101, eerste lid, van het Verdrag betreffende de werking van de Europese Unie</t>
        </is>
      </c>
    </row>
    <row r="99">
      <c r="A99" s="2" t="inlineStr">
        <is>
          <t>BWBR0009950:onze_minister</t>
        </is>
      </c>
      <c r="B99" s="2" t="inlineStr">
        <is>
          <t>Onze Minister</t>
        </is>
      </c>
      <c r="C99" s="2" t="inlineStr"/>
      <c r="D99" s="2" t="inlineStr">
        <is>
          <t>defined</t>
        </is>
      </c>
      <c r="E99" s="2" t="inlineStr">
        <is>
          <t>BWBR0009950</t>
        </is>
      </c>
      <c r="F99" s="2" t="inlineStr">
        <is>
          <t>state</t>
        </is>
      </c>
      <c r="G99" s="2" t="n"/>
      <c r="H99" s="2" t="inlineStr">
        <is>
          <t>Onze Minister van Economische Zaken en Klimaat</t>
        </is>
      </c>
    </row>
    <row r="100">
      <c r="A100" s="2" t="inlineStr">
        <is>
          <t>BWBR0009950:toezichthoudend_orgaan</t>
        </is>
      </c>
      <c r="B100" s="2" t="inlineStr">
        <is>
          <t>toezichthoudend orgaan</t>
        </is>
      </c>
      <c r="C100" s="2" t="inlineStr"/>
      <c r="D100" s="2" t="inlineStr">
        <is>
          <t>defined</t>
        </is>
      </c>
      <c r="E100" s="2" t="inlineStr">
        <is>
          <t>BWBR0009950</t>
        </is>
      </c>
      <c r="F100" s="2" t="inlineStr">
        <is>
          <t>body</t>
        </is>
      </c>
      <c r="G100" s="2" t="n"/>
      <c r="H100" s="2" t="inlineStr">
        <is>
          <t>toezichthoudend orgaan als bedoeld in artikel 46 ter, eerste lid, van de eidas-verordening</t>
        </is>
      </c>
    </row>
    <row r="101">
      <c r="A101" s="2" t="inlineStr">
        <is>
          <t>BWBR0009950:aanbieder_van_een_openbaar_elektronisch_communicatienetwerk</t>
        </is>
      </c>
      <c r="B101" s="2" t="inlineStr">
        <is>
          <t>aanbieder van een openbaar elektronisch communicatienetwerk</t>
        </is>
      </c>
      <c r="C101" s="2" t="inlineStr"/>
      <c r="D101" s="2" t="inlineStr">
        <is>
          <t>defined</t>
        </is>
      </c>
      <c r="E101" s="2" t="inlineStr">
        <is>
          <t>BWBR0009950</t>
        </is>
      </c>
      <c r="F101" s="2" t="inlineStr">
        <is>
          <t>party</t>
        </is>
      </c>
      <c r="G101" s="2" t="n"/>
      <c r="H101" s="2" t="inlineStr">
        <is>
          <t>degene die in eigen naam en voor eigen rekening kabels ten dienste van een dergelijk netwerk aanlegt, instandhoudt en opruimt.</t>
        </is>
      </c>
    </row>
    <row r="102">
      <c r="A102" s="2" t="inlineStr">
        <is>
          <t>BWBR0009950:netwerkexploitant</t>
        </is>
      </c>
      <c r="B102" s="2" t="inlineStr">
        <is>
          <t>netwerkexploitant</t>
        </is>
      </c>
      <c r="C102" s="2" t="inlineStr"/>
      <c r="D102" s="2" t="inlineStr">
        <is>
          <t>defined</t>
        </is>
      </c>
      <c r="E102" s="2" t="inlineStr">
        <is>
          <t>BWBR0009950</t>
        </is>
      </c>
      <c r="F102" s="2" t="inlineStr">
        <is>
          <t>party</t>
        </is>
      </c>
      <c r="G102" s="2" t="n"/>
      <c r="H102" s="2" t="inlineStr">
        <is>
          <t>een aanbieder van 1°. een openbaar elektronisch communicatienetwerk, of 2°. fysieke infrastructuur waarmee een dienst wordt geleverd die bestaat uit vervoer of uit de productie, het transport of de distributie van gas, elektriciteit, straatverlichting, verwarming en water</t>
        </is>
      </c>
    </row>
    <row r="103">
      <c r="A103" s="2" t="inlineStr">
        <is>
          <t>BWBR0009950:openbare_onderneming</t>
        </is>
      </c>
      <c r="B103" s="2" t="inlineStr">
        <is>
          <t>openbare onderneming</t>
        </is>
      </c>
      <c r="C103" s="2" t="inlineStr"/>
      <c r="D103" s="2" t="inlineStr">
        <is>
          <t>defined</t>
        </is>
      </c>
      <c r="E103" s="2" t="inlineStr">
        <is>
          <t>BWBR0009950</t>
        </is>
      </c>
      <c r="F103" s="2" t="inlineStr">
        <is>
          <t>party</t>
        </is>
      </c>
      <c r="G103" s="2" t="n"/>
      <c r="H103" s="2" t="inlineStr">
        <is>
          <t>onderneming waarop een krachtens het publiekrecht ingestelde rechtspersoon rechtstreeks of middellijk een dominerende invloed kan uitoefenen.</t>
        </is>
      </c>
    </row>
    <row r="104">
      <c r="A104" s="2" t="inlineStr">
        <is>
          <t>BWBR0009950:aangesloten_instelling</t>
        </is>
      </c>
      <c r="B104" s="2" t="inlineStr">
        <is>
          <t>aangesloten instelling</t>
        </is>
      </c>
      <c r="C104" s="2" t="inlineStr"/>
      <c r="D104" s="2" t="inlineStr">
        <is>
          <t>defined</t>
        </is>
      </c>
      <c r="E104" s="2" t="inlineStr">
        <is>
          <t>BWBR0009950</t>
        </is>
      </c>
      <c r="F104" s="2" t="inlineStr">
        <is>
          <t>body</t>
        </is>
      </c>
      <c r="G104" s="2" t="n"/>
      <c r="H104" s="2" t="inlineStr">
        <is>
          <t>aangesloten instelling als bedoeld in artikel 1 van de Wet giraal effectenverkeer</t>
        </is>
      </c>
    </row>
    <row r="105">
      <c r="A105" s="2" t="inlineStr">
        <is>
          <t>BWBR0009950:beursgenoteerde_telecommunicatiepartij</t>
        </is>
      </c>
      <c r="B105" s="2" t="inlineStr">
        <is>
          <t>beursgenoteerde telecommunicatiepartij</t>
        </is>
      </c>
      <c r="C105" s="2" t="inlineStr"/>
      <c r="D105" s="2" t="inlineStr">
        <is>
          <t>defined</t>
        </is>
      </c>
      <c r="E105" s="2" t="inlineStr">
        <is>
          <t>BWBR0009950</t>
        </is>
      </c>
      <c r="F105" s="2" t="inlineStr">
        <is>
          <t>party</t>
        </is>
      </c>
      <c r="G105" s="2" t="n"/>
      <c r="H105" s="2" t="inlineStr">
        <is>
          <t>telecommunicatiepartij waarvan de aandelen zijn toegelaten tot de handel op een gereglementeerde markt</t>
        </is>
      </c>
    </row>
    <row r="106">
      <c r="A106" s="2" t="inlineStr">
        <is>
          <t>BWBR0009950:beursgenoteerde_betrokken_partij</t>
        </is>
      </c>
      <c r="B106" s="2" t="inlineStr">
        <is>
          <t>beursgenoteerde betrokken partij</t>
        </is>
      </c>
      <c r="C106" s="2" t="inlineStr"/>
      <c r="D106" s="2" t="inlineStr">
        <is>
          <t>defined</t>
        </is>
      </c>
      <c r="E106" s="2" t="inlineStr">
        <is>
          <t>BWBR0009950</t>
        </is>
      </c>
      <c r="F106" s="2" t="inlineStr">
        <is>
          <t>party</t>
        </is>
      </c>
      <c r="G106" s="2" t="n"/>
      <c r="H106" s="2" t="inlineStr">
        <is>
          <t>betrokken partij waarvan aandelen zijn toegelaten tot de handel op een gereglementeerde markt</t>
        </is>
      </c>
    </row>
    <row r="107">
      <c r="A107" s="2" t="inlineStr">
        <is>
          <t>BWBR0009950:betrokken_partij</t>
        </is>
      </c>
      <c r="B107" s="2" t="inlineStr">
        <is>
          <t>betrokken partij</t>
        </is>
      </c>
      <c r="C107" s="2" t="inlineStr"/>
      <c r="D107" s="2" t="inlineStr">
        <is>
          <t>defined</t>
        </is>
      </c>
      <c r="E107" s="2" t="inlineStr">
        <is>
          <t>BWBR0009950</t>
        </is>
      </c>
      <c r="F107" s="2" t="inlineStr">
        <is>
          <t>party</t>
        </is>
      </c>
      <c r="G107" s="2" t="n"/>
      <c r="H107" s="2" t="inlineStr">
        <is>
          <t>telecommunicatiepartij waarop een verbod als bedoeld in artikel 14a.4, eerste lid, betrekking heeft</t>
        </is>
      </c>
    </row>
    <row r="108">
      <c r="A108" s="2" t="inlineStr">
        <is>
          <t>BWBR0009950:instelling_in_het_buitenland</t>
        </is>
      </c>
      <c r="B108" s="2" t="inlineStr">
        <is>
          <t>instelling in het buitenland</t>
        </is>
      </c>
      <c r="C108" s="2" t="inlineStr"/>
      <c r="D108" s="2" t="inlineStr">
        <is>
          <t>defined</t>
        </is>
      </c>
      <c r="E108" s="2" t="inlineStr">
        <is>
          <t>BWBR0009950</t>
        </is>
      </c>
      <c r="F108" s="2" t="inlineStr">
        <is>
          <t>body</t>
        </is>
      </c>
      <c r="G108" s="2" t="n"/>
      <c r="H108" s="2" t="inlineStr">
        <is>
          <t>instelling als bedoeld in artikel 49a, onderdeel b, van de Wet giraal effectenverkeer</t>
        </is>
      </c>
    </row>
    <row r="109">
      <c r="A109" s="2" t="inlineStr">
        <is>
          <t>BWBR0009950:ongewenst_persoon</t>
        </is>
      </c>
      <c r="B109" s="2" t="inlineStr">
        <is>
          <t>ongewenst persoon</t>
        </is>
      </c>
      <c r="C109" s="2" t="inlineStr"/>
      <c r="D109" s="2" t="inlineStr">
        <is>
          <t>defined</t>
        </is>
      </c>
      <c r="E109" s="2" t="inlineStr">
        <is>
          <t>BWBR0009950</t>
        </is>
      </c>
      <c r="F109" s="2" t="inlineStr">
        <is>
          <t>person</t>
        </is>
      </c>
      <c r="G109" s="2" t="n"/>
      <c r="H109" s="2" t="inlineStr">
        <is>
          <t>persoon of entiteit die is onderworpen aan beperkende maatregelen krachtens: a. hoofdstuk VII van het Handvest van de Verenigde Naties; b. artikel 215 van het Verdrag betreffende de werking van de Europese Unie; c. de Sanctiewet 1977</t>
        </is>
      </c>
    </row>
    <row r="110">
      <c r="A110" s="2" t="inlineStr">
        <is>
          <t>BWBR0009950:personen_met_wie_in_onderling_overleg_wordt_gehandeld</t>
        </is>
      </c>
      <c r="B110" s="2" t="inlineStr">
        <is>
          <t>personen met wie in onderling overleg wordt gehandeld</t>
        </is>
      </c>
      <c r="C110" s="2" t="inlineStr"/>
      <c r="D110" s="2" t="inlineStr">
        <is>
          <t>defined</t>
        </is>
      </c>
      <c r="E110" s="2" t="inlineStr">
        <is>
          <t>BWBR0009950</t>
        </is>
      </c>
      <c r="F110" s="2" t="inlineStr">
        <is>
          <t>person</t>
        </is>
      </c>
      <c r="G110" s="2" t="n"/>
      <c r="H110" s="2" t="inlineStr">
        <is>
          <t>natuurlijke personen, rechtspersonen of vennootschappen met wie, onderscheidenlijk waarmee wordt samengewerkt op grond van een overeenkomst met als doel het verwerven van overwegende zeggenschap in een naamloze vennootschap als bedoeld in de definitie van personen met wie in onderling overleg wordt gehandeld, in artikel 1:1 van de Wet op het financieel toezicht</t>
        </is>
      </c>
    </row>
    <row r="111">
      <c r="A111" s="2" t="inlineStr">
        <is>
          <t>BWBR0009950:telecommunicatiepartij</t>
        </is>
      </c>
      <c r="B111" s="2" t="inlineStr">
        <is>
          <t>telecommunicatiepartij</t>
        </is>
      </c>
      <c r="C111" s="2" t="inlineStr"/>
      <c r="D111" s="2" t="inlineStr">
        <is>
          <t>defined</t>
        </is>
      </c>
      <c r="E111" s="2" t="inlineStr">
        <is>
          <t>BWBR0009950</t>
        </is>
      </c>
      <c r="F111" s="2" t="inlineStr">
        <is>
          <t>party</t>
        </is>
      </c>
      <c r="G111" s="2" t="n"/>
      <c r="H111" s="2" t="inlineStr">
        <is>
          <t>bijkantoor of een in Nederland gevestigde rechtspersoon, eenmanszaak of vennootschap, zijnde een aanbieder of houder van overwegende zeggenschap in een aanbieder van: a. een elektronisch communicatienetwerk of -dienst; b. een hostingdienst, internetknooppunt, vertrouwensdienst of datacenter, met uitzondering van datacenters uitsluitend of hoofdzakelijk voor eigen gebruik; of c. een bij algemene maatregel van bestuur aangewezen categorie netwerken of diensten</t>
        </is>
      </c>
    </row>
    <row r="112">
      <c r="A112" s="2" t="inlineStr">
        <is>
          <t>BWBR0009950:uitgevende_instelling</t>
        </is>
      </c>
      <c r="B112" s="2" t="inlineStr">
        <is>
          <t>uitgevende instelling</t>
        </is>
      </c>
      <c r="C112" s="2" t="inlineStr"/>
      <c r="D112" s="2" t="inlineStr">
        <is>
          <t>defined</t>
        </is>
      </c>
      <c r="E112" s="2" t="inlineStr">
        <is>
          <t>BWBR0009950</t>
        </is>
      </c>
      <c r="F112" s="2" t="inlineStr">
        <is>
          <t>body</t>
        </is>
      </c>
      <c r="G112" s="2" t="n"/>
      <c r="H112" s="2" t="inlineStr">
        <is>
          <t>een beursgenoteerde telecommunicatiepartij</t>
        </is>
      </c>
    </row>
    <row r="113">
      <c r="A113" s="2" t="inlineStr">
        <is>
          <t>BWBR0040940:onze_minister</t>
        </is>
      </c>
      <c r="B113" s="2" t="inlineStr">
        <is>
          <t>Onze Minister</t>
        </is>
      </c>
      <c r="C113" s="2" t="inlineStr"/>
      <c r="D113" s="2" t="inlineStr">
        <is>
          <t>defined</t>
        </is>
      </c>
      <c r="E113" s="2" t="inlineStr">
        <is>
          <t>BWBR0040940</t>
        </is>
      </c>
      <c r="F113" s="2" t="inlineStr">
        <is>
          <t>state</t>
        </is>
      </c>
      <c r="G113" s="2" t="n"/>
      <c r="H113" s="2" t="inlineStr">
        <is>
          <t>Onze Minister voor Rechtsbescherming</t>
        </is>
      </c>
    </row>
    <row r="114">
      <c r="A114" s="2" t="inlineStr">
        <is>
          <t>BWBR0048156:aangewezen_organisatie</t>
        </is>
      </c>
      <c r="B114" s="2" t="inlineStr">
        <is>
          <t>aangewezen organisatie</t>
        </is>
      </c>
      <c r="C114" s="2" t="inlineStr"/>
      <c r="D114" s="2" t="inlineStr">
        <is>
          <t>defined</t>
        </is>
      </c>
      <c r="E114" s="2" t="inlineStr">
        <is>
          <t>BWBR0048156</t>
        </is>
      </c>
      <c r="F114" s="2" t="inlineStr">
        <is>
          <t>party</t>
        </is>
      </c>
      <c r="G114" s="2" t="n"/>
      <c r="H114" s="2" t="inlineStr">
        <is>
          <t>organisatie als bedoeld in artikel 2, tweede lid</t>
        </is>
      </c>
    </row>
    <row r="115">
      <c r="A115" s="2" t="inlineStr">
        <is>
          <t>BWBR0048156:onze_minister</t>
        </is>
      </c>
      <c r="B115" s="2" t="inlineStr">
        <is>
          <t>Onze Minister</t>
        </is>
      </c>
      <c r="C115" s="2" t="inlineStr"/>
      <c r="D115" s="2" t="inlineStr">
        <is>
          <t>defined</t>
        </is>
      </c>
      <c r="E115" s="2" t="inlineStr">
        <is>
          <t>BWBR0048156</t>
        </is>
      </c>
      <c r="F115" s="2" t="inlineStr">
        <is>
          <t>state</t>
        </is>
      </c>
      <c r="G115" s="2" t="n"/>
      <c r="H115" s="2" t="inlineStr">
        <is>
          <t>Onze Minister van Binnenlandse Zaken en Koninkrijksrelaties</t>
        </is>
      </c>
    </row>
    <row r="116">
      <c r="A116" s="2" t="inlineStr">
        <is>
          <t>BWBR0048156:bestuursorganen</t>
        </is>
      </c>
      <c r="B116" s="2" t="inlineStr">
        <is>
          <t>bestuursorganen</t>
        </is>
      </c>
      <c r="C116" s="2" t="inlineStr"/>
      <c r="D116" s="2" t="inlineStr">
        <is>
          <t>defined</t>
        </is>
      </c>
      <c r="E116" s="2" t="inlineStr">
        <is>
          <t>BWBR0048156</t>
        </is>
      </c>
      <c r="F116" s="2" t="inlineStr">
        <is>
          <t>authority</t>
        </is>
      </c>
      <c r="G116" s="2" t="n"/>
      <c r="H116" s="2" t="inlineStr">
        <is>
          <t>bestuursorganen als bedoeld in artikel 1:1, eerste lid, onderdeel a, van de Algemene wet bestuursrecht.</t>
        </is>
      </c>
    </row>
    <row r="117">
      <c r="A117" s="2" t="inlineStr">
        <is>
          <t>BWBR0048156:aangewezen_organisaties</t>
        </is>
      </c>
      <c r="B117" s="2" t="inlineStr">
        <is>
          <t>aangewezen organisaties</t>
        </is>
      </c>
      <c r="C117" s="2" t="inlineStr"/>
      <c r="D117" s="2" t="inlineStr">
        <is>
          <t>defined</t>
        </is>
      </c>
      <c r="E117" s="2" t="inlineStr">
        <is>
          <t>BWBR0048156</t>
        </is>
      </c>
      <c r="F117" s="2" t="inlineStr">
        <is>
          <t>party</t>
        </is>
      </c>
      <c r="G117" s="2" t="n"/>
      <c r="H117" s="2" t="inlineStr">
        <is>
          <t>a. de organisaties behorende tot een in de bijlage bij deze wet aangewezen categorie, en b. de organisaties die bij besluit, als bedoeld in het zesde lid, zijn aangewezen.</t>
        </is>
      </c>
    </row>
    <row r="118">
      <c r="A118" s="2" t="inlineStr">
        <is>
          <t>BWBR0048156:rechterlijke_instanties</t>
        </is>
      </c>
      <c r="B118" s="2" t="inlineStr">
        <is>
          <t>rechterlijke instanties</t>
        </is>
      </c>
      <c r="C118" s="2" t="inlineStr"/>
      <c r="D118" s="2" t="inlineStr">
        <is>
          <t>defined</t>
        </is>
      </c>
      <c r="E118" s="2" t="inlineStr">
        <is>
          <t>BWBR0048156</t>
        </is>
      </c>
      <c r="F118" s="2" t="inlineStr">
        <is>
          <t>body</t>
        </is>
      </c>
      <c r="G118" s="2" t="n"/>
      <c r="H118" s="2" t="inlineStr">
        <is>
          <t>a. de gerechten bedoeld in artikel 2 van de Wet op de Rechterlijke Organisatie; b. de Afdeling bestuursrechtspraak van de Raad van State; c. het College van Beroep voor het bedrijfsleven; d. de Centrale Raad van Beroep.</t>
        </is>
      </c>
    </row>
    <row r="119">
      <c r="A119" s="2" t="inlineStr">
        <is>
          <t>BWBR0048156:onderneming_of_rechtspersoon_als_bedoeld_in_artikel_5_onderscheidenlijk_6_van_de_handelsregisterwet_2007_of_een_op_grond_van_artikel_8_aanhef_en_onderdeel_a_van_die_wet_aangewezen_rechtspersoon</t>
        </is>
      </c>
      <c r="B119" s="2" t="inlineStr">
        <is>
          <t>onderneming of rechtspersoon als bedoeld in artikel 5 onderscheidenlijk 6 van de Handelsregisterwet 2007 of een op grond van artikel 8, aanhef en onderdeel a, van die wet aangewezen rechtspersoon</t>
        </is>
      </c>
      <c r="C119" s="2" t="inlineStr"/>
      <c r="D119" s="2" t="inlineStr">
        <is>
          <t>defined</t>
        </is>
      </c>
      <c r="E119" s="2" t="inlineStr">
        <is>
          <t>BWBR0048156</t>
        </is>
      </c>
      <c r="F119" s="2" t="inlineStr">
        <is>
          <t>party</t>
        </is>
      </c>
      <c r="G119" s="2" t="n"/>
      <c r="H119" s="2" t="inlineStr">
        <is>
          <t>onderneming of rechtspersoon als bedoeld in artikel 3 onderscheidenlijk 4 van de Handelsregisterwet 2009 BES».</t>
        </is>
      </c>
    </row>
    <row r="120">
      <c r="A120" s="2" t="inlineStr">
        <is>
          <t>BWBR0048156:bestuursorganen_als_bedoeld_in_artikel_1_1_eerste_lid_onderdeel_a_van_de_algemene_wet_bestuursrecht</t>
        </is>
      </c>
      <c r="B120" s="2" t="inlineStr">
        <is>
          <t>bestuursorganen als bedoeld in artikel 1:1, eerste lid, onderdeel a, van de Algemene wet bestuursrecht</t>
        </is>
      </c>
      <c r="C120" s="2" t="inlineStr"/>
      <c r="D120" s="2" t="inlineStr">
        <is>
          <t>defined</t>
        </is>
      </c>
      <c r="E120" s="2" t="inlineStr">
        <is>
          <t>BWBR0048156</t>
        </is>
      </c>
      <c r="F120" s="2" t="inlineStr">
        <is>
          <t>authority</t>
        </is>
      </c>
      <c r="G120" s="2" t="n"/>
      <c r="H120" s="2" t="inlineStr">
        <is>
          <t>bestuursorganen als bedoeld in artikel 2, eerste lid, van de Wet administratieve rechtspraak BES».</t>
        </is>
      </c>
    </row>
    <row r="121">
      <c r="A121" s="2" t="inlineStr">
        <is>
          <t>BWBR0048156:organen_personen_en_colleges_als_bedoeld_in_artikel_1_1_tweede_lid_van_de_algemene_wet_bestuursrecht</t>
        </is>
      </c>
      <c r="B121" s="2" t="inlineStr">
        <is>
          <t>organen, personen en colleges als bedoeld in artikel 1:1, tweede lid, van de Algemene wet bestuursrecht</t>
        </is>
      </c>
      <c r="C121" s="2" t="inlineStr"/>
      <c r="D121" s="2" t="inlineStr">
        <is>
          <t>defined</t>
        </is>
      </c>
      <c r="E121" s="2" t="inlineStr">
        <is>
          <t>BWBR0048156</t>
        </is>
      </c>
      <c r="F121" s="2" t="inlineStr">
        <is>
          <t>body</t>
        </is>
      </c>
      <c r="G121" s="2" t="n"/>
      <c r="H121" s="2" t="inlineStr">
        <is>
          <t>organen als bedoeld in artikel 2, eerste lid, onderdelen a tot en met d, van de Wet administratieve rechtspraak BES».</t>
        </is>
      </c>
    </row>
    <row r="122">
      <c r="A122" s="2" t="inlineStr">
        <is>
          <t>KEY:EU:commissie</t>
        </is>
      </c>
      <c r="B122" s="2" t="inlineStr">
        <is>
          <t>Commissie</t>
        </is>
      </c>
      <c r="C122" s="2" t="inlineStr">
        <is>
          <t>Europese Commissie</t>
        </is>
      </c>
      <c r="D122" s="2" t="inlineStr">
        <is>
          <t>key</t>
        </is>
      </c>
      <c r="E122" s="2" t="inlineStr">
        <is>
          <t>eu</t>
        </is>
      </c>
      <c r="F122" s="2" t="inlineStr">
        <is>
          <t>institution</t>
        </is>
      </c>
      <c r="G122" s="2" t="n"/>
      <c r="H122" s="2" t="inlineStr">
        <is>
          <t>curated</t>
        </is>
      </c>
    </row>
    <row r="123">
      <c r="A123" s="2" t="inlineStr">
        <is>
          <t>KEY:EU:lidstaat</t>
        </is>
      </c>
      <c r="B123" s="2" t="inlineStr">
        <is>
          <t>lidstaat</t>
        </is>
      </c>
      <c r="C123" s="2" t="inlineStr"/>
      <c r="D123" s="2" t="inlineStr">
        <is>
          <t>key</t>
        </is>
      </c>
      <c r="E123" s="2" t="inlineStr">
        <is>
          <t>eu</t>
        </is>
      </c>
      <c r="F123" s="2" t="inlineStr">
        <is>
          <t>state</t>
        </is>
      </c>
      <c r="G123" s="2" t="n"/>
      <c r="H123" s="2" t="inlineStr">
        <is>
          <t>curated</t>
        </is>
      </c>
    </row>
    <row r="124">
      <c r="A124" s="2" t="inlineStr">
        <is>
          <t>KEY:EU:europees_parlement</t>
        </is>
      </c>
      <c r="B124" s="2" t="inlineStr">
        <is>
          <t>Europees Parlement</t>
        </is>
      </c>
      <c r="C124" s="2" t="inlineStr"/>
      <c r="D124" s="2" t="inlineStr">
        <is>
          <t>key</t>
        </is>
      </c>
      <c r="E124" s="2" t="inlineStr">
        <is>
          <t>eu</t>
        </is>
      </c>
      <c r="F124" s="2" t="inlineStr">
        <is>
          <t>institution</t>
        </is>
      </c>
      <c r="G124" s="2" t="n"/>
      <c r="H124" s="2" t="inlineStr">
        <is>
          <t>curated</t>
        </is>
      </c>
    </row>
    <row r="125">
      <c r="A125" s="2" t="inlineStr">
        <is>
          <t>KEY:EU:raad</t>
        </is>
      </c>
      <c r="B125" s="2" t="inlineStr">
        <is>
          <t>Raad</t>
        </is>
      </c>
      <c r="C125" s="2" t="inlineStr">
        <is>
          <t>Raad van de Europese Unie</t>
        </is>
      </c>
      <c r="D125" s="2" t="inlineStr">
        <is>
          <t>key</t>
        </is>
      </c>
      <c r="E125" s="2" t="inlineStr">
        <is>
          <t>eu</t>
        </is>
      </c>
      <c r="F125" s="2" t="inlineStr">
        <is>
          <t>institution</t>
        </is>
      </c>
      <c r="G125" s="2" t="n"/>
      <c r="H125" s="2" t="inlineStr">
        <is>
          <t>curated</t>
        </is>
      </c>
    </row>
    <row r="126">
      <c r="A126" s="2" t="inlineStr">
        <is>
          <t>KEY:EU:hof_van_justitie</t>
        </is>
      </c>
      <c r="B126" s="2" t="inlineStr">
        <is>
          <t>Hof van Justitie</t>
        </is>
      </c>
      <c r="C126" s="2" t="inlineStr">
        <is>
          <t>Hof van Justitie van de Europese Unie</t>
        </is>
      </c>
      <c r="D126" s="2" t="inlineStr">
        <is>
          <t>key</t>
        </is>
      </c>
      <c r="E126" s="2" t="inlineStr">
        <is>
          <t>eu</t>
        </is>
      </c>
      <c r="F126" s="2" t="inlineStr">
        <is>
          <t>institution</t>
        </is>
      </c>
      <c r="G126" s="2" t="n"/>
      <c r="H126" s="2" t="inlineStr">
        <is>
          <t>curated</t>
        </is>
      </c>
    </row>
    <row r="127">
      <c r="A127" s="2" t="inlineStr">
        <is>
          <t>KEY:EU:europese_toezichthouder_voor_gegevensbescherming</t>
        </is>
      </c>
      <c r="B127" s="2" t="inlineStr">
        <is>
          <t>Europese Toezichthouder voor gegevensbescherming</t>
        </is>
      </c>
      <c r="C127" s="2" t="inlineStr"/>
      <c r="D127" s="2" t="inlineStr">
        <is>
          <t>key</t>
        </is>
      </c>
      <c r="E127" s="2" t="inlineStr">
        <is>
          <t>eu</t>
        </is>
      </c>
      <c r="F127" s="2" t="inlineStr">
        <is>
          <t>authority</t>
        </is>
      </c>
      <c r="G127" s="2" t="n"/>
      <c r="H127" s="2" t="inlineStr">
        <is>
          <t>curated</t>
        </is>
      </c>
    </row>
    <row r="128">
      <c r="A128" s="2" t="inlineStr">
        <is>
          <t>KEY:EU:gerecht</t>
        </is>
      </c>
      <c r="B128" s="2" t="inlineStr">
        <is>
          <t>gerecht</t>
        </is>
      </c>
      <c r="C128" s="2" t="inlineStr">
        <is>
          <t>bevoegd gerecht; nationaal gerecht</t>
        </is>
      </c>
      <c r="D128" s="2" t="inlineStr">
        <is>
          <t>key</t>
        </is>
      </c>
      <c r="E128" s="2" t="inlineStr">
        <is>
          <t>eu</t>
        </is>
      </c>
      <c r="F128" s="2" t="inlineStr">
        <is>
          <t>institution</t>
        </is>
      </c>
      <c r="G128" s="2" t="n"/>
      <c r="H128" s="2" t="inlineStr">
        <is>
          <t>curated</t>
        </is>
      </c>
    </row>
    <row r="129">
      <c r="A129" s="2" t="inlineStr">
        <is>
          <t>KEY:EU:overheidsinstantie</t>
        </is>
      </c>
      <c r="B129" s="2" t="inlineStr">
        <is>
          <t>overheidsinstantie</t>
        </is>
      </c>
      <c r="C129" s="2" t="inlineStr"/>
      <c r="D129" s="2" t="inlineStr">
        <is>
          <t>key</t>
        </is>
      </c>
      <c r="E129" s="2" t="inlineStr">
        <is>
          <t>eu</t>
        </is>
      </c>
      <c r="F129" s="2" t="inlineStr">
        <is>
          <t>authority</t>
        </is>
      </c>
      <c r="G129" s="2" t="n"/>
      <c r="H129" s="2" t="inlineStr">
        <is>
          <t>curated</t>
        </is>
      </c>
    </row>
    <row r="130">
      <c r="A130" s="2" t="inlineStr">
        <is>
          <t>KEY:EU:nationale_accreditatieinstantie</t>
        </is>
      </c>
      <c r="B130" s="2" t="inlineStr">
        <is>
          <t>nationale accreditatie-instantie</t>
        </is>
      </c>
      <c r="C130" s="2" t="inlineStr">
        <is>
          <t>accreditatie-instantie</t>
        </is>
      </c>
      <c r="D130" s="2" t="inlineStr">
        <is>
          <t>key</t>
        </is>
      </c>
      <c r="E130" s="2" t="inlineStr">
        <is>
          <t>eu</t>
        </is>
      </c>
      <c r="F130" s="2" t="inlineStr">
        <is>
          <t>body</t>
        </is>
      </c>
      <c r="G130" s="2" t="n"/>
      <c r="H130" s="2" t="inlineStr">
        <is>
          <t>curated</t>
        </is>
      </c>
    </row>
    <row r="131">
      <c r="A131" s="2" t="inlineStr">
        <is>
          <t>KEY:32016R0679:comite</t>
        </is>
      </c>
      <c r="B131" s="2" t="inlineStr">
        <is>
          <t>Comité</t>
        </is>
      </c>
      <c r="C131" s="2" t="inlineStr">
        <is>
          <t>Europees Comité voor gegevensbescherming</t>
        </is>
      </c>
      <c r="D131" s="2" t="inlineStr">
        <is>
          <t>key</t>
        </is>
      </c>
      <c r="E131" s="2" t="inlineStr">
        <is>
          <t>32016R0679</t>
        </is>
      </c>
      <c r="F131" s="2" t="inlineStr">
        <is>
          <t>body</t>
        </is>
      </c>
      <c r="G131" s="2" t="n"/>
      <c r="H131" s="2" t="inlineStr">
        <is>
          <t>curated</t>
        </is>
      </c>
    </row>
    <row r="132">
      <c r="A132" s="2" t="inlineStr">
        <is>
          <t>KEY:32016R0679:voorzitter</t>
        </is>
      </c>
      <c r="B132" s="2" t="inlineStr">
        <is>
          <t>voorzitter</t>
        </is>
      </c>
      <c r="C132" s="2" t="inlineStr">
        <is>
          <t>voorzitter van het Comité</t>
        </is>
      </c>
      <c r="D132" s="2" t="inlineStr">
        <is>
          <t>key</t>
        </is>
      </c>
      <c r="E132" s="2" t="inlineStr">
        <is>
          <t>32016R0679</t>
        </is>
      </c>
      <c r="F132" s="2" t="inlineStr">
        <is>
          <t>office</t>
        </is>
      </c>
      <c r="G132" s="2" t="inlineStr">
        <is>
          <t>KEY:32016R0679:comite</t>
        </is>
      </c>
      <c r="H132" s="2" t="inlineStr">
        <is>
          <t>curated</t>
        </is>
      </c>
    </row>
    <row r="133">
      <c r="A133" s="2" t="inlineStr">
        <is>
          <t>KEY:32016R0679:secretariaat</t>
        </is>
      </c>
      <c r="B133" s="2" t="inlineStr">
        <is>
          <t>secretariaat</t>
        </is>
      </c>
      <c r="C133" s="2" t="inlineStr">
        <is>
          <t>secretariaat van het Comité</t>
        </is>
      </c>
      <c r="D133" s="2" t="inlineStr">
        <is>
          <t>key</t>
        </is>
      </c>
      <c r="E133" s="2" t="inlineStr">
        <is>
          <t>32016R0679</t>
        </is>
      </c>
      <c r="F133" s="2" t="inlineStr">
        <is>
          <t>office</t>
        </is>
      </c>
      <c r="G133" s="2" t="inlineStr">
        <is>
          <t>KEY:32016R0679:comite</t>
        </is>
      </c>
      <c r="H133" s="2" t="inlineStr">
        <is>
          <t>curated</t>
        </is>
      </c>
    </row>
    <row r="134">
      <c r="A134" s="2" t="inlineStr">
        <is>
          <t>KEY:32016R0679:leidende_toezichthoudende_autoriteit</t>
        </is>
      </c>
      <c r="B134" s="2" t="inlineStr">
        <is>
          <t>leidende toezichthoudende autoriteit</t>
        </is>
      </c>
      <c r="C134" s="2" t="inlineStr"/>
      <c r="D134" s="2" t="inlineStr">
        <is>
          <t>key</t>
        </is>
      </c>
      <c r="E134" s="2" t="inlineStr">
        <is>
          <t>32016R0679</t>
        </is>
      </c>
      <c r="F134" s="2" t="inlineStr">
        <is>
          <t>authority</t>
        </is>
      </c>
      <c r="G134" s="2" t="n"/>
      <c r="H134" s="2" t="inlineStr">
        <is>
          <t>curated</t>
        </is>
      </c>
    </row>
    <row r="135">
      <c r="A135" s="2" t="inlineStr">
        <is>
          <t>KEY:32016R0679:functionaris_voor_gegevensbescherming</t>
        </is>
      </c>
      <c r="B135" s="2" t="inlineStr">
        <is>
          <t>functionaris voor gegevensbescherming</t>
        </is>
      </c>
      <c r="C135" s="2" t="inlineStr"/>
      <c r="D135" s="2" t="inlineStr">
        <is>
          <t>key</t>
        </is>
      </c>
      <c r="E135" s="2" t="inlineStr">
        <is>
          <t>32016R0679</t>
        </is>
      </c>
      <c r="F135" s="2" t="inlineStr">
        <is>
          <t>office</t>
        </is>
      </c>
      <c r="G135" s="2" t="n"/>
      <c r="H135" s="2" t="inlineStr">
        <is>
          <t>curated</t>
        </is>
      </c>
    </row>
    <row r="136">
      <c r="A136" s="2" t="inlineStr">
        <is>
          <t>KEY:32016R0679:certificeringsorgaan</t>
        </is>
      </c>
      <c r="B136" s="2" t="inlineStr">
        <is>
          <t>certificeringsorgaan</t>
        </is>
      </c>
      <c r="C136" s="2" t="inlineStr"/>
      <c r="D136" s="2" t="inlineStr">
        <is>
          <t>key</t>
        </is>
      </c>
      <c r="E136" s="2" t="inlineStr">
        <is>
          <t>32016R0679</t>
        </is>
      </c>
      <c r="F136" s="2" t="inlineStr">
        <is>
          <t>body</t>
        </is>
      </c>
      <c r="G136" s="2" t="n"/>
      <c r="H136" s="2" t="inlineStr">
        <is>
          <t>curated</t>
        </is>
      </c>
    </row>
    <row r="137">
      <c r="A137" s="2" t="inlineStr">
        <is>
          <t>KEY:32016R0679:vereniging</t>
        </is>
      </c>
      <c r="B137" s="2" t="inlineStr">
        <is>
          <t>vereniging</t>
        </is>
      </c>
      <c r="C137" s="2" t="inlineStr">
        <is>
          <t>verenigingen en andere organen die categorieën van verwerkingsverantwoordelijken of verwerkers vertegenwoordigen</t>
        </is>
      </c>
      <c r="D137" s="2" t="inlineStr">
        <is>
          <t>key</t>
        </is>
      </c>
      <c r="E137" s="2" t="inlineStr">
        <is>
          <t>32016R0679</t>
        </is>
      </c>
      <c r="F137" s="2" t="inlineStr">
        <is>
          <t>party</t>
        </is>
      </c>
      <c r="G137" s="2" t="n"/>
      <c r="H137" s="2" t="inlineStr">
        <is>
          <t>curated</t>
        </is>
      </c>
    </row>
    <row r="138">
      <c r="A138" s="2" t="inlineStr">
        <is>
          <t>KEY:32024R1689:aiboard</t>
        </is>
      </c>
      <c r="B138" s="2" t="inlineStr">
        <is>
          <t>AI-board</t>
        </is>
      </c>
      <c r="C138" s="2" t="inlineStr">
        <is>
          <t>Europese raad voor artificiële intelligentie</t>
        </is>
      </c>
      <c r="D138" s="2" t="inlineStr">
        <is>
          <t>key</t>
        </is>
      </c>
      <c r="E138" s="2" t="inlineStr">
        <is>
          <t>32024R1689</t>
        </is>
      </c>
      <c r="F138" s="2" t="inlineStr">
        <is>
          <t>body</t>
        </is>
      </c>
      <c r="G138" s="2" t="n"/>
      <c r="H138" s="2" t="inlineStr">
        <is>
          <t>curated</t>
        </is>
      </c>
    </row>
    <row r="139">
      <c r="A139" s="2" t="inlineStr">
        <is>
          <t>KEY:32024R1689:adviesforum</t>
        </is>
      </c>
      <c r="B139" s="2" t="inlineStr">
        <is>
          <t>adviesforum</t>
        </is>
      </c>
      <c r="C139" s="2" t="inlineStr"/>
      <c r="D139" s="2" t="inlineStr">
        <is>
          <t>key</t>
        </is>
      </c>
      <c r="E139" s="2" t="inlineStr">
        <is>
          <t>32024R1689</t>
        </is>
      </c>
      <c r="F139" s="2" t="inlineStr">
        <is>
          <t>body</t>
        </is>
      </c>
      <c r="G139" s="2" t="n"/>
      <c r="H139" s="2" t="inlineStr">
        <is>
          <t>curated</t>
        </is>
      </c>
    </row>
    <row r="140">
      <c r="A140" s="2" t="inlineStr">
        <is>
          <t>KEY:32024R1689:wetenschappelijk_panel</t>
        </is>
      </c>
      <c r="B140" s="2" t="inlineStr">
        <is>
          <t>wetenschappelijk panel</t>
        </is>
      </c>
      <c r="C140" s="2" t="inlineStr">
        <is>
          <t>wetenschappelijk panel van onafhankelijke deskundigen</t>
        </is>
      </c>
      <c r="D140" s="2" t="inlineStr">
        <is>
          <t>key</t>
        </is>
      </c>
      <c r="E140" s="2" t="inlineStr">
        <is>
          <t>32024R1689</t>
        </is>
      </c>
      <c r="F140" s="2" t="inlineStr">
        <is>
          <t>body</t>
        </is>
      </c>
      <c r="G140" s="2" t="n"/>
      <c r="H140" s="2" t="inlineStr">
        <is>
          <t>curated</t>
        </is>
      </c>
    </row>
    <row r="141">
      <c r="A141" s="2" t="inlineStr">
        <is>
          <t>KEY:32024R1689:productfabrikant</t>
        </is>
      </c>
      <c r="B141" s="2" t="inlineStr">
        <is>
          <t>productfabrikant</t>
        </is>
      </c>
      <c r="C141" s="2" t="inlineStr"/>
      <c r="D141" s="2" t="inlineStr">
        <is>
          <t>key</t>
        </is>
      </c>
      <c r="E141" s="2" t="inlineStr">
        <is>
          <t>32024R1689</t>
        </is>
      </c>
      <c r="F141" s="2" t="inlineStr">
        <is>
          <t>party</t>
        </is>
      </c>
      <c r="G141" s="2" t="n"/>
      <c r="H141" s="2" t="inlineStr">
        <is>
          <t>curated</t>
        </is>
      </c>
    </row>
    <row r="142">
      <c r="A142" s="2" t="inlineStr">
        <is>
          <t>KEY:32024R1689:permanente_subgroep_voor_markttoezicht</t>
        </is>
      </c>
      <c r="B142" s="2" t="inlineStr">
        <is>
          <t>permanente subgroep voor markttoezicht</t>
        </is>
      </c>
      <c r="C142" s="2" t="inlineStr">
        <is>
          <t>subgroep</t>
        </is>
      </c>
      <c r="D142" s="2" t="inlineStr">
        <is>
          <t>key</t>
        </is>
      </c>
      <c r="E142" s="2" t="inlineStr">
        <is>
          <t>32024R1689</t>
        </is>
      </c>
      <c r="F142" s="2" t="inlineStr">
        <is>
          <t>body</t>
        </is>
      </c>
      <c r="G142" s="2" t="inlineStr">
        <is>
          <t>KEY:32024R1689:aiboard</t>
        </is>
      </c>
      <c r="H142" s="2" t="inlineStr">
        <is>
          <t>curated</t>
        </is>
      </c>
    </row>
    <row r="143">
      <c r="A143" s="2" t="inlineStr">
        <is>
          <t>KEY:32024R1689:gegevensbeschermingsautoriteit</t>
        </is>
      </c>
      <c r="B143" s="2" t="inlineStr">
        <is>
          <t>gegevensbeschermingsautoriteit</t>
        </is>
      </c>
      <c r="C143" s="2" t="inlineStr">
        <is>
          <t>nationale gegevensbeschermingsautoriteit</t>
        </is>
      </c>
      <c r="D143" s="2" t="inlineStr">
        <is>
          <t>key</t>
        </is>
      </c>
      <c r="E143" s="2" t="inlineStr">
        <is>
          <t>32024R1689</t>
        </is>
      </c>
      <c r="F143" s="2" t="inlineStr">
        <is>
          <t>authority</t>
        </is>
      </c>
      <c r="G143" s="2" t="n"/>
      <c r="H143" s="2" t="inlineStr">
        <is>
          <t>curated</t>
        </is>
      </c>
    </row>
    <row r="144">
      <c r="A144" s="2" t="inlineStr">
        <is>
          <t>KEY:32024R1689:civielebeschermingsautoriteit</t>
        </is>
      </c>
      <c r="B144" s="2" t="inlineStr">
        <is>
          <t>civielebeschermingsautoriteit</t>
        </is>
      </c>
      <c r="C144" s="2" t="inlineStr"/>
      <c r="D144" s="2" t="inlineStr">
        <is>
          <t>key</t>
        </is>
      </c>
      <c r="E144" s="2" t="inlineStr">
        <is>
          <t>32024R1689</t>
        </is>
      </c>
      <c r="F144" s="2" t="inlineStr">
        <is>
          <t>authority</t>
        </is>
      </c>
      <c r="G144" s="2" t="n"/>
      <c r="H144" s="2" t="inlineStr">
        <is>
          <t>curated</t>
        </is>
      </c>
    </row>
    <row r="145">
      <c r="A145" s="2" t="inlineStr">
        <is>
          <t>KEY:32024R1689:kmo</t>
        </is>
      </c>
      <c r="B145" s="2" t="inlineStr">
        <is>
          <t>kmo</t>
        </is>
      </c>
      <c r="C145" s="2" t="inlineStr">
        <is>
          <t>kmo, met inbegrip van start-ups</t>
        </is>
      </c>
      <c r="D145" s="2" t="inlineStr">
        <is>
          <t>key</t>
        </is>
      </c>
      <c r="E145" s="2" t="inlineStr">
        <is>
          <t>32024R1689</t>
        </is>
      </c>
      <c r="F145" s="2" t="inlineStr">
        <is>
          <t>party</t>
        </is>
      </c>
      <c r="G145" s="2" t="n"/>
      <c r="H145" s="2" t="inlineStr">
        <is>
          <t>curated</t>
        </is>
      </c>
    </row>
  </sheetData>
  <autoFilter ref="A1:H14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s="7" t="inlineStr">
        <is>
          <t>#</t>
        </is>
      </c>
      <c r="B1" s="7" t="inlineStr">
        <is>
          <t>stratum</t>
        </is>
      </c>
      <c r="C1" s="7" t="inlineStr">
        <is>
          <t>kind</t>
        </is>
      </c>
      <c r="D1" s="7" t="inlineStr">
        <is>
          <t>source</t>
        </is>
      </c>
      <c r="E1" s="7" t="inlineStr">
        <is>
          <t>level</t>
        </is>
      </c>
      <c r="F1" s="7" t="inlineStr">
        <is>
          <t>unit</t>
        </is>
      </c>
      <c r="G1" s="7" t="inlineStr">
        <is>
          <t>result</t>
        </is>
      </c>
      <c r="H1" s="7" t="inlineStr">
        <is>
          <t>actor_id</t>
        </is>
      </c>
      <c r="I1" s="7" t="inlineStr">
        <is>
          <t>fallback_class</t>
        </is>
      </c>
      <c r="J1" s="7" t="inlineStr">
        <is>
          <t>role_keys</t>
        </is>
      </c>
      <c r="K1" s="7" t="inlineStr">
        <is>
          <t>occ_EU</t>
        </is>
      </c>
      <c r="L1" s="7" t="inlineStr">
        <is>
          <t>occ_NL</t>
        </is>
      </c>
      <c r="M1" s="7" t="inlineStr">
        <is>
          <t>group_occ</t>
        </is>
      </c>
      <c r="N1" s="7" t="inlineStr">
        <is>
          <t>norm_ids</t>
        </is>
      </c>
    </row>
    <row r="2">
      <c r="A2" s="7" t="n">
        <v>1</v>
      </c>
      <c r="B2" s="7" t="inlineStr">
        <is>
          <t>NL | shortened</t>
        </is>
      </c>
      <c r="C2" s="7" t="inlineStr">
        <is>
          <t>sample</t>
        </is>
      </c>
      <c r="D2" s="7" t="inlineStr">
        <is>
          <t>NL</t>
        </is>
      </c>
      <c r="E2" s="7" t="inlineStr">
        <is>
          <t>shortened</t>
        </is>
      </c>
      <c r="F2" s="7" t="inlineStr">
        <is>
          <t>aanbieder van een openbaar elektronisch communicatienetwerk waarover een openbare elektronische communicatiedienst wordt verzorgd</t>
        </is>
      </c>
      <c r="G2" s="7" t="inlineStr">
        <is>
          <t>BWBR0009950:aanbieder_van_een_openbaar_elektronisch_communicatienetwerk</t>
        </is>
      </c>
      <c r="H2" s="7" t="inlineStr">
        <is>
          <t>BWBR0009950:aanbieder_van_een_openbaar_elektronisch_communicatienetwerk</t>
        </is>
      </c>
      <c r="I2" s="7" t="n"/>
      <c r="J2" s="7" t="inlineStr">
        <is>
          <t>aanbieder open elektronisch communicatienetwerk waarover open elektronisch communicatiedienst wordt verzorgd / aanbieder open elektronisch communicatienetwerk waarover open elektronisch communicatiedienst wordt / aanbieder open elektronisch communicatienetwerk waarover open elektronisch communicatiedienst / aanbieder open elektronisch communicatienetwerk waarover open elektronisch / aanbieder open elektronisch communicatienetwerk waarover open / aanbieder open elektronisch communicatienetwerk waarover / aanbieder open elektronisch communicatienetwerk / aanbieder open elektronisch / aanbieder open / aanbieder</t>
        </is>
      </c>
      <c r="K2" s="7" t="n">
        <v>0</v>
      </c>
      <c r="L2" s="7" t="n">
        <v>0</v>
      </c>
      <c r="M2" s="7" t="n">
        <v>1</v>
      </c>
      <c r="N2" s="7" t="inlineStr">
        <is>
          <t>BWBR0009950:4.10:6:10</t>
        </is>
      </c>
    </row>
    <row r="3">
      <c r="A3" s="7" t="n">
        <v>2</v>
      </c>
      <c r="B3" s="7" t="inlineStr">
        <is>
          <t>EU | exact</t>
        </is>
      </c>
      <c r="C3" s="7" t="inlineStr">
        <is>
          <t>sample</t>
        </is>
      </c>
      <c r="D3" s="7" t="inlineStr">
        <is>
          <t>EU</t>
        </is>
      </c>
      <c r="E3" s="7" t="inlineStr">
        <is>
          <t>exact</t>
        </is>
      </c>
      <c r="F3" s="7" t="inlineStr">
        <is>
          <t>gebruiksverantwoordelijke</t>
        </is>
      </c>
      <c r="G3" s="7" t="inlineStr">
        <is>
          <t>32024R1689:gebruiksverantwoordelijke</t>
        </is>
      </c>
      <c r="H3" s="7" t="inlineStr">
        <is>
          <t>32024R1689:gebruiksverantwoordelijke</t>
        </is>
      </c>
      <c r="I3" s="7" t="n"/>
      <c r="J3" s="7" t="inlineStr">
        <is>
          <t>gebruiksverantwoord</t>
        </is>
      </c>
      <c r="K3" s="7" t="n">
        <v>0</v>
      </c>
      <c r="L3" s="7" t="n">
        <v>0</v>
      </c>
      <c r="M3" s="7" t="n">
        <v>11</v>
      </c>
      <c r="N3" s="7" t="inlineStr">
        <is>
          <t>32024R1689:26:8:15</t>
        </is>
      </c>
    </row>
    <row r="4">
      <c r="A4" s="7" t="n">
        <v>3</v>
      </c>
      <c r="B4" s="7" t="inlineStr">
        <is>
          <t>EU | shortened</t>
        </is>
      </c>
      <c r="C4" s="7" t="inlineStr">
        <is>
          <t>sample</t>
        </is>
      </c>
      <c r="D4" s="7" t="inlineStr">
        <is>
          <t>EU</t>
        </is>
      </c>
      <c r="E4" s="7" t="inlineStr">
        <is>
          <t>shortened</t>
        </is>
      </c>
      <c r="F4" s="7" t="inlineStr">
        <is>
          <t>potentiële aanbieder</t>
        </is>
      </c>
      <c r="G4" s="7" t="inlineStr">
        <is>
          <t>32024R1689:aanbieder</t>
        </is>
      </c>
      <c r="H4" s="7" t="inlineStr">
        <is>
          <t>32024R1689:aanbieder</t>
        </is>
      </c>
      <c r="I4" s="7" t="n"/>
      <c r="J4" s="7" t="inlineStr">
        <is>
          <t>potentiel aanbieder / aanbieder</t>
        </is>
      </c>
      <c r="K4" s="7" t="n">
        <v>0</v>
      </c>
      <c r="L4" s="7" t="n">
        <v>0</v>
      </c>
      <c r="M4" s="7" t="n">
        <v>12</v>
      </c>
      <c r="N4" s="7" t="inlineStr">
        <is>
          <t>32024R1689:60:4:9</t>
        </is>
      </c>
    </row>
    <row r="5">
      <c r="A5" s="7" t="n">
        <v>4</v>
      </c>
      <c r="B5" s="7" t="inlineStr">
        <is>
          <t>EU | fallback</t>
        </is>
      </c>
      <c r="C5" s="7" t="inlineStr">
        <is>
          <t>sample</t>
        </is>
      </c>
      <c r="D5" s="7" t="inlineStr">
        <is>
          <t>EU</t>
        </is>
      </c>
      <c r="E5" s="7" t="inlineStr">
        <is>
          <t>fallback</t>
        </is>
      </c>
      <c r="F5" s="7" t="inlineStr">
        <is>
          <t>derden</t>
        </is>
      </c>
      <c r="G5" s="7" t="inlineStr">
        <is>
          <t>class:party</t>
        </is>
      </c>
      <c r="H5" s="7" t="n"/>
      <c r="I5" s="7" t="inlineStr">
        <is>
          <t>party</t>
        </is>
      </c>
      <c r="J5" s="7" t="inlineStr">
        <is>
          <t>derd</t>
        </is>
      </c>
      <c r="K5" s="7" t="n">
        <v>0</v>
      </c>
      <c r="L5" s="7" t="n">
        <v>0</v>
      </c>
      <c r="M5" s="7" t="n">
        <v>2</v>
      </c>
      <c r="N5" s="7" t="inlineStr">
        <is>
          <t>32024R1689:25:4:15</t>
        </is>
      </c>
    </row>
    <row r="6">
      <c r="A6" s="7" t="n">
        <v>5</v>
      </c>
      <c r="B6" s="7" t="inlineStr">
        <is>
          <t>census</t>
        </is>
      </c>
      <c r="C6" s="7" t="inlineStr">
        <is>
          <t>census</t>
        </is>
      </c>
      <c r="D6" s="7" t="inlineStr">
        <is>
          <t>EU</t>
        </is>
      </c>
      <c r="E6" s="7" t="inlineStr">
        <is>
          <t>exact</t>
        </is>
      </c>
      <c r="F6" s="7" t="inlineStr">
        <is>
          <t>verwerker</t>
        </is>
      </c>
      <c r="G6" s="7" t="inlineStr">
        <is>
          <t>32016R0679:verwerker</t>
        </is>
      </c>
      <c r="H6" s="7" t="inlineStr">
        <is>
          <t>32016R0679:verwerker</t>
        </is>
      </c>
      <c r="I6" s="7" t="n"/>
      <c r="J6" s="7" t="inlineStr">
        <is>
          <t>verwerker</t>
        </is>
      </c>
      <c r="K6" s="7" t="n">
        <v>51</v>
      </c>
      <c r="L6" s="7" t="n">
        <v>0</v>
      </c>
      <c r="M6" s="7" t="n">
        <v>51</v>
      </c>
      <c r="N6" s="7" t="inlineStr">
        <is>
          <t>32016R0679:27:1:1, 32016R0679:38:3:5, 32016R0679:28:3:13</t>
        </is>
      </c>
    </row>
    <row r="7">
      <c r="A7" s="7" t="n">
        <v>6</v>
      </c>
      <c r="B7" s="7" t="inlineStr">
        <is>
          <t>NL | not_actor</t>
        </is>
      </c>
      <c r="C7" s="7" t="inlineStr">
        <is>
          <t>sample</t>
        </is>
      </c>
      <c r="D7" s="7" t="inlineStr">
        <is>
          <t>NL</t>
        </is>
      </c>
      <c r="E7" s="7" t="inlineStr">
        <is>
          <t>not_actor</t>
        </is>
      </c>
      <c r="F7" s="7" t="inlineStr">
        <is>
          <t>voorschriften</t>
        </is>
      </c>
      <c r="G7" s="7" t="inlineStr">
        <is>
          <t>not_actor</t>
        </is>
      </c>
      <c r="H7" s="7" t="n"/>
      <c r="I7" s="7" t="n"/>
      <c r="J7" s="7" t="inlineStr">
        <is>
          <t>voorschrift</t>
        </is>
      </c>
      <c r="K7" s="7" t="n">
        <v>0</v>
      </c>
      <c r="L7" s="7" t="n">
        <v>0</v>
      </c>
      <c r="M7" s="7" t="n">
        <v>1</v>
      </c>
      <c r="N7" s="7" t="inlineStr">
        <is>
          <t>BWBR0009950:6a.6:7:13</t>
        </is>
      </c>
    </row>
    <row r="8">
      <c r="A8" s="7" t="n">
        <v>7</v>
      </c>
      <c r="B8" s="7" t="inlineStr">
        <is>
          <t>NL | not_actor</t>
        </is>
      </c>
      <c r="C8" s="7" t="inlineStr">
        <is>
          <t>sample</t>
        </is>
      </c>
      <c r="D8" s="7" t="inlineStr">
        <is>
          <t>NL</t>
        </is>
      </c>
      <c r="E8" s="7" t="inlineStr">
        <is>
          <t>not_actor</t>
        </is>
      </c>
      <c r="F8" s="7" t="inlineStr">
        <is>
          <t>Maatregelen van aanbieders van internettoegangsdiensten en voor het publiek beschikbare interpersoonlijke communicatiediensten</t>
        </is>
      </c>
      <c r="G8" s="7" t="inlineStr">
        <is>
          <t>not_actor</t>
        </is>
      </c>
      <c r="H8" s="7" t="n"/>
      <c r="I8" s="7" t="n"/>
      <c r="J8" s="7" t="inlineStr">
        <is>
          <t>maatregel aanbieder internettoegangsdienst publiek beschik interperson communicatiedienst / maatregel aanbieder internettoegangsdienst publiek beschik interperson / maatregel aanbieder internettoegangsdienst publiek beschik / maatregel aanbieder internettoegangsdienst publiek / maatregel aanbieder internettoegangsdienst / maatregel aanbieder / maatregel</t>
        </is>
      </c>
      <c r="K8" s="7" t="n">
        <v>0</v>
      </c>
      <c r="L8" s="7" t="n">
        <v>0</v>
      </c>
      <c r="M8" s="7" t="n">
        <v>1</v>
      </c>
      <c r="N8" s="7" t="inlineStr">
        <is>
          <t>BWBR0009950:7.4:2:2</t>
        </is>
      </c>
    </row>
    <row r="9">
      <c r="A9" s="7" t="n">
        <v>8</v>
      </c>
      <c r="B9" s="7" t="inlineStr">
        <is>
          <t>census</t>
        </is>
      </c>
      <c r="C9" s="7" t="inlineStr">
        <is>
          <t>census</t>
        </is>
      </c>
      <c r="D9" s="7" t="inlineStr">
        <is>
          <t>EU</t>
        </is>
      </c>
      <c r="E9" s="7" t="inlineStr">
        <is>
          <t>exact</t>
        </is>
      </c>
      <c r="F9" s="7" t="inlineStr">
        <is>
          <t>lidstaat</t>
        </is>
      </c>
      <c r="G9" s="7" t="inlineStr">
        <is>
          <t>KEY:EU:lidstaat</t>
        </is>
      </c>
      <c r="H9" s="7" t="inlineStr">
        <is>
          <t>KEY:EU:lidstaat</t>
        </is>
      </c>
      <c r="I9" s="7" t="n"/>
      <c r="J9" s="7" t="inlineStr">
        <is>
          <t>lidstat</t>
        </is>
      </c>
      <c r="K9" s="7" t="n">
        <v>63</v>
      </c>
      <c r="L9" s="7" t="n">
        <v>0</v>
      </c>
      <c r="M9" s="7" t="n">
        <v>63</v>
      </c>
      <c r="N9" s="7" t="inlineStr">
        <is>
          <t>32022L2555:34:8:11, 32016R0679:46:5:6, 32022L2555:9:1:1</t>
        </is>
      </c>
    </row>
    <row r="10">
      <c r="A10" s="7" t="n">
        <v>9</v>
      </c>
      <c r="B10" s="7" t="inlineStr">
        <is>
          <t>NL | not_actor</t>
        </is>
      </c>
      <c r="C10" s="7" t="inlineStr">
        <is>
          <t>sample</t>
        </is>
      </c>
      <c r="D10" s="7" t="inlineStr">
        <is>
          <t>NL</t>
        </is>
      </c>
      <c r="E10" s="7" t="inlineStr">
        <is>
          <t>not_actor</t>
        </is>
      </c>
      <c r="F10" s="7" t="inlineStr">
        <is>
          <t>centrale contactpunt</t>
        </is>
      </c>
      <c r="G10" s="7" t="inlineStr">
        <is>
          <t>not_actor</t>
        </is>
      </c>
      <c r="H10" s="7" t="n"/>
      <c r="I10" s="7" t="n"/>
      <c r="J10" s="7" t="inlineStr">
        <is>
          <t>central contactpunt / contactpunt</t>
        </is>
      </c>
      <c r="K10" s="7" t="n">
        <v>0</v>
      </c>
      <c r="L10" s="7" t="n">
        <v>0</v>
      </c>
      <c r="M10" s="7" t="n">
        <v>19</v>
      </c>
      <c r="N10" s="7" t="inlineStr">
        <is>
          <t>BWBR0052872:39:3:6</t>
        </is>
      </c>
    </row>
    <row r="11">
      <c r="A11" s="7" t="n">
        <v>10</v>
      </c>
      <c r="B11" s="7" t="inlineStr">
        <is>
          <t>census</t>
        </is>
      </c>
      <c r="C11" s="7" t="inlineStr">
        <is>
          <t>census</t>
        </is>
      </c>
      <c r="D11" s="7" t="inlineStr">
        <is>
          <t>NL</t>
        </is>
      </c>
      <c r="E11" s="7" t="inlineStr">
        <is>
          <t>fallback</t>
        </is>
      </c>
      <c r="F11" s="7" t="inlineStr">
        <is>
          <t>aanbieder</t>
        </is>
      </c>
      <c r="G11" s="7" t="inlineStr">
        <is>
          <t>class:party</t>
        </is>
      </c>
      <c r="H11" s="7" t="n"/>
      <c r="I11" s="7" t="inlineStr">
        <is>
          <t>party</t>
        </is>
      </c>
      <c r="J11" s="7" t="inlineStr">
        <is>
          <t>aanbieder</t>
        </is>
      </c>
      <c r="K11" s="7" t="n">
        <v>0</v>
      </c>
      <c r="L11" s="7" t="n">
        <v>56</v>
      </c>
      <c r="M11" s="7" t="n">
        <v>56</v>
      </c>
      <c r="N11" s="7" t="inlineStr">
        <is>
          <t>BWBR0009950:4.11:3:5, BWBR0009950:7.1:2:7, BWBR0009950:11.11:5:9</t>
        </is>
      </c>
    </row>
    <row r="12">
      <c r="A12" s="7" t="n">
        <v>11</v>
      </c>
      <c r="B12" s="7" t="inlineStr">
        <is>
          <t>census</t>
        </is>
      </c>
      <c r="C12" s="7" t="inlineStr">
        <is>
          <t>census</t>
        </is>
      </c>
      <c r="D12" s="7" t="inlineStr">
        <is>
          <t>EU</t>
        </is>
      </c>
      <c r="E12" s="7" t="inlineStr">
        <is>
          <t>exact</t>
        </is>
      </c>
      <c r="F12" s="7" t="inlineStr">
        <is>
          <t>AI-bureau</t>
        </is>
      </c>
      <c r="G12" s="7" t="inlineStr">
        <is>
          <t>32024R1689:aibureau</t>
        </is>
      </c>
      <c r="H12" s="7" t="inlineStr">
        <is>
          <t>32024R1689:aibureau</t>
        </is>
      </c>
      <c r="I12" s="7" t="n"/>
      <c r="J12" s="7" t="inlineStr">
        <is>
          <t>aibureau</t>
        </is>
      </c>
      <c r="K12" s="7" t="n">
        <v>47</v>
      </c>
      <c r="L12" s="7" t="n">
        <v>0</v>
      </c>
      <c r="M12" s="7" t="n">
        <v>47</v>
      </c>
      <c r="N12" s="7" t="inlineStr">
        <is>
          <t>32024R1689:95:2:3, 32024R1689:50:7:19, 32024R1689:65:8:21</t>
        </is>
      </c>
    </row>
    <row r="13">
      <c r="A13" s="7" t="n">
        <v>12</v>
      </c>
      <c r="B13" s="7" t="inlineStr">
        <is>
          <t>NL | exact</t>
        </is>
      </c>
      <c r="C13" s="7" t="inlineStr">
        <is>
          <t>sample</t>
        </is>
      </c>
      <c r="D13" s="7" t="inlineStr">
        <is>
          <t>NL</t>
        </is>
      </c>
      <c r="E13" s="7" t="inlineStr">
        <is>
          <t>exact</t>
        </is>
      </c>
      <c r="F13" s="7" t="inlineStr">
        <is>
          <t>instelling in het buitenland</t>
        </is>
      </c>
      <c r="G13" s="7" t="inlineStr">
        <is>
          <t>BWBR0009950:instelling_in_het_buitenland</t>
        </is>
      </c>
      <c r="H13" s="7" t="inlineStr">
        <is>
          <t>BWBR0009950:instelling_in_het_buitenland</t>
        </is>
      </c>
      <c r="I13" s="7" t="n"/>
      <c r="J13" s="7" t="inlineStr">
        <is>
          <t>instell buitenland / instell</t>
        </is>
      </c>
      <c r="K13" s="7" t="n">
        <v>0</v>
      </c>
      <c r="L13" s="7" t="n">
        <v>0</v>
      </c>
      <c r="M13" s="7" t="n">
        <v>4</v>
      </c>
      <c r="N13" s="7" t="inlineStr">
        <is>
          <t>BWBR0009950:14a.11:3:6</t>
        </is>
      </c>
    </row>
    <row r="14">
      <c r="A14" s="7" t="n">
        <v>13</v>
      </c>
      <c r="B14" s="7" t="inlineStr">
        <is>
          <t>NL | fallback</t>
        </is>
      </c>
      <c r="C14" s="7" t="inlineStr">
        <is>
          <t>sample</t>
        </is>
      </c>
      <c r="D14" s="7" t="inlineStr">
        <is>
          <t>NL</t>
        </is>
      </c>
      <c r="E14" s="7" t="inlineStr">
        <is>
          <t>fallback</t>
        </is>
      </c>
      <c r="F14" s="7" t="inlineStr">
        <is>
          <t>vergunninghouder</t>
        </is>
      </c>
      <c r="G14" s="7" t="inlineStr">
        <is>
          <t>class:party</t>
        </is>
      </c>
      <c r="H14" s="7" t="n"/>
      <c r="I14" s="7" t="inlineStr">
        <is>
          <t>party</t>
        </is>
      </c>
      <c r="J14" s="7" t="inlineStr">
        <is>
          <t>vergunninghouder</t>
        </is>
      </c>
      <c r="K14" s="7" t="n">
        <v>0</v>
      </c>
      <c r="L14" s="7" t="n">
        <v>0</v>
      </c>
      <c r="M14" s="7" t="n">
        <v>2</v>
      </c>
      <c r="N14" s="7" t="inlineStr">
        <is>
          <t>BWBR0009950:3.20a:6:7</t>
        </is>
      </c>
    </row>
    <row r="15">
      <c r="A15" s="7" t="n">
        <v>14</v>
      </c>
      <c r="B15" s="7" t="inlineStr">
        <is>
          <t>EU | not_actor</t>
        </is>
      </c>
      <c r="C15" s="7" t="inlineStr">
        <is>
          <t>sample</t>
        </is>
      </c>
      <c r="D15" s="7" t="inlineStr">
        <is>
          <t>EU</t>
        </is>
      </c>
      <c r="E15" s="7" t="inlineStr">
        <is>
          <t>not_actor</t>
        </is>
      </c>
      <c r="F15" s="7" t="inlineStr">
        <is>
          <t>eisen</t>
        </is>
      </c>
      <c r="G15" s="7" t="inlineStr">
        <is>
          <t>not_actor</t>
        </is>
      </c>
      <c r="H15" s="7" t="n"/>
      <c r="I15" s="7" t="n"/>
      <c r="J15" s="7" t="inlineStr">
        <is>
          <t>eis</t>
        </is>
      </c>
      <c r="K15" s="7" t="n">
        <v>0</v>
      </c>
      <c r="L15" s="7" t="n">
        <v>0</v>
      </c>
      <c r="M15" s="7" t="n">
        <v>2</v>
      </c>
      <c r="N15" s="7" t="inlineStr">
        <is>
          <t>32016R0679:43:3:7</t>
        </is>
      </c>
    </row>
    <row r="16">
      <c r="A16" s="7" t="n">
        <v>15</v>
      </c>
      <c r="B16" s="7" t="inlineStr">
        <is>
          <t>census</t>
        </is>
      </c>
      <c r="C16" s="7" t="inlineStr">
        <is>
          <t>census</t>
        </is>
      </c>
      <c r="D16" s="7" t="inlineStr">
        <is>
          <t>EU</t>
        </is>
      </c>
      <c r="E16" s="7" t="inlineStr">
        <is>
          <t>not_actor</t>
        </is>
      </c>
      <c r="F16" s="7" t="inlineStr">
        <is>
          <t>ETA’s</t>
        </is>
      </c>
      <c r="G16" s="7" t="inlineStr">
        <is>
          <t>not_actor</t>
        </is>
      </c>
      <c r="H16" s="7" t="n"/>
      <c r="I16" s="7" t="n"/>
      <c r="J16" s="7" t="inlineStr">
        <is>
          <t>eta</t>
        </is>
      </c>
      <c r="K16" s="7" t="n">
        <v>53</v>
      </c>
      <c r="L16" s="7" t="n">
        <v>0</v>
      </c>
      <c r="M16" s="7" t="n">
        <v>53</v>
      </c>
      <c r="N16" s="7" t="inlineStr">
        <is>
          <t>32022R2554:15:whole:3, 32022R2554:28:9:36, 32022R2554:20:whole:4</t>
        </is>
      </c>
    </row>
    <row r="17">
      <c r="A17" s="7" t="n">
        <v>16</v>
      </c>
      <c r="B17" s="7" t="inlineStr">
        <is>
          <t>NL | not_actor</t>
        </is>
      </c>
      <c r="C17" s="7" t="inlineStr">
        <is>
          <t>sample</t>
        </is>
      </c>
      <c r="D17" s="7" t="inlineStr">
        <is>
          <t>NL</t>
        </is>
      </c>
      <c r="E17" s="7" t="inlineStr">
        <is>
          <t>not_actor</t>
        </is>
      </c>
      <c r="F17" s="7" t="inlineStr">
        <is>
          <t>kennisgeving aan de Autoriteit persoonsgegevens en de persoon</t>
        </is>
      </c>
      <c r="G17" s="7" t="inlineStr">
        <is>
          <t>not_actor</t>
        </is>
      </c>
      <c r="H17" s="7" t="n"/>
      <c r="I17" s="7" t="n"/>
      <c r="J17" s="7" t="inlineStr">
        <is>
          <t>kennisgev autoriteit persoonsgegeven person / kennisgev autoriteit persoonsgegeven / kennisgev autoriteit / kennisgev</t>
        </is>
      </c>
      <c r="K17" s="7" t="n">
        <v>0</v>
      </c>
      <c r="L17" s="7" t="n">
        <v>0</v>
      </c>
      <c r="M17" s="7" t="n">
        <v>1</v>
      </c>
      <c r="N17" s="7" t="inlineStr">
        <is>
          <t>BWBR0009950:11.3a:3:3</t>
        </is>
      </c>
    </row>
    <row r="18">
      <c r="A18" s="7" t="n">
        <v>17</v>
      </c>
      <c r="B18" s="7" t="inlineStr">
        <is>
          <t>NL | fallback</t>
        </is>
      </c>
      <c r="C18" s="7" t="inlineStr">
        <is>
          <t>sample</t>
        </is>
      </c>
      <c r="D18" s="7" t="inlineStr">
        <is>
          <t>NL</t>
        </is>
      </c>
      <c r="E18" s="7" t="inlineStr">
        <is>
          <t>fallback</t>
        </is>
      </c>
      <c r="F18" s="7" t="inlineStr">
        <is>
          <t>verwerkingsverantwoordelijke</t>
        </is>
      </c>
      <c r="G18" s="7" t="inlineStr">
        <is>
          <t>class:party</t>
        </is>
      </c>
      <c r="H18" s="7" t="n"/>
      <c r="I18" s="7" t="inlineStr">
        <is>
          <t>party</t>
        </is>
      </c>
      <c r="J18" s="7" t="inlineStr">
        <is>
          <t>verwerkingsverantwoord</t>
        </is>
      </c>
      <c r="K18" s="7" t="n">
        <v>0</v>
      </c>
      <c r="L18" s="7" t="n">
        <v>0</v>
      </c>
      <c r="M18" s="7" t="n">
        <v>8</v>
      </c>
      <c r="N18" s="7" t="inlineStr">
        <is>
          <t>BWBR0040940:35:6:9</t>
        </is>
      </c>
    </row>
    <row r="19">
      <c r="A19" s="7" t="n">
        <v>18</v>
      </c>
      <c r="B19" s="7" t="inlineStr">
        <is>
          <t>NL | not_actor</t>
        </is>
      </c>
      <c r="C19" s="7" t="inlineStr">
        <is>
          <t>sample</t>
        </is>
      </c>
      <c r="D19" s="7" t="inlineStr">
        <is>
          <t>NL</t>
        </is>
      </c>
      <c r="E19" s="7" t="inlineStr">
        <is>
          <t>not_actor</t>
        </is>
      </c>
      <c r="F19" s="7" t="inlineStr">
        <is>
          <t>degene</t>
        </is>
      </c>
      <c r="G19" s="7" t="inlineStr">
        <is>
          <t>not_actor</t>
        </is>
      </c>
      <c r="H19" s="7" t="n"/>
      <c r="I19" s="7" t="n"/>
      <c r="J19" s="7" t="inlineStr">
        <is>
          <t>deg</t>
        </is>
      </c>
      <c r="K19" s="7" t="n">
        <v>0</v>
      </c>
      <c r="L19" s="7" t="n">
        <v>0</v>
      </c>
      <c r="M19" s="7" t="n">
        <v>9</v>
      </c>
      <c r="N19" s="7" t="inlineStr">
        <is>
          <t>BWBR0009950:14a.10:2:2</t>
        </is>
      </c>
    </row>
    <row r="20">
      <c r="A20" s="7" t="n">
        <v>19</v>
      </c>
      <c r="B20" s="7" t="inlineStr">
        <is>
          <t>EU | exact</t>
        </is>
      </c>
      <c r="C20" s="7" t="inlineStr">
        <is>
          <t>sample</t>
        </is>
      </c>
      <c r="D20" s="7" t="inlineStr">
        <is>
          <t>EU</t>
        </is>
      </c>
      <c r="E20" s="7" t="inlineStr">
        <is>
          <t>exact</t>
        </is>
      </c>
      <c r="F20" s="7" t="inlineStr">
        <is>
          <t>AI-board</t>
        </is>
      </c>
      <c r="G20" s="7" t="inlineStr">
        <is>
          <t>KEY:32024R1689:aiboard</t>
        </is>
      </c>
      <c r="H20" s="7" t="inlineStr">
        <is>
          <t>KEY:32024R1689:aiboard</t>
        </is>
      </c>
      <c r="I20" s="7" t="n"/>
      <c r="J20" s="7" t="inlineStr">
        <is>
          <t>aiboard</t>
        </is>
      </c>
      <c r="K20" s="7" t="n">
        <v>0</v>
      </c>
      <c r="L20" s="7" t="n">
        <v>0</v>
      </c>
      <c r="M20" s="7" t="n">
        <v>35</v>
      </c>
      <c r="N20" s="7" t="inlineStr">
        <is>
          <t>32024R1689:56:6:16</t>
        </is>
      </c>
    </row>
    <row r="21">
      <c r="A21" s="7" t="n">
        <v>20</v>
      </c>
      <c r="B21" s="7" t="inlineStr">
        <is>
          <t>NL | not_actor</t>
        </is>
      </c>
      <c r="C21" s="7" t="inlineStr">
        <is>
          <t>sample</t>
        </is>
      </c>
      <c r="D21" s="7" t="inlineStr">
        <is>
          <t>NL</t>
        </is>
      </c>
      <c r="E21" s="7" t="inlineStr">
        <is>
          <t>not_actor</t>
        </is>
      </c>
      <c r="F21" s="7" t="inlineStr">
        <is>
          <t>Autoriteit persoonsgegevens</t>
        </is>
      </c>
      <c r="G21" s="7" t="inlineStr">
        <is>
          <t>not_actor</t>
        </is>
      </c>
      <c r="H21" s="7" t="n"/>
      <c r="I21" s="7" t="n"/>
      <c r="J21" s="7" t="inlineStr">
        <is>
          <t>autoriteit persoonsgegeven / persoonsgegeven</t>
        </is>
      </c>
      <c r="K21" s="7" t="n">
        <v>0</v>
      </c>
      <c r="L21" s="7" t="n">
        <v>0</v>
      </c>
      <c r="M21" s="7" t="n">
        <v>32</v>
      </c>
      <c r="N21" s="7" t="inlineStr">
        <is>
          <t>BWBR0040940:14:1:1</t>
        </is>
      </c>
    </row>
    <row r="22">
      <c r="A22" s="7" t="n">
        <v>21</v>
      </c>
      <c r="B22" s="7" t="inlineStr">
        <is>
          <t>NL | not_actor</t>
        </is>
      </c>
      <c r="C22" s="7" t="inlineStr">
        <is>
          <t>sample</t>
        </is>
      </c>
      <c r="D22" s="7" t="inlineStr">
        <is>
          <t>NL</t>
        </is>
      </c>
      <c r="E22" s="7" t="inlineStr">
        <is>
          <t>not_actor</t>
        </is>
      </c>
      <c r="F22" s="7" t="inlineStr">
        <is>
          <t>bewaarder van een beleggingsinstelling en buitenlandse instelling met een functie</t>
        </is>
      </c>
      <c r="G22" s="7" t="inlineStr">
        <is>
          <t>not_actor</t>
        </is>
      </c>
      <c r="H22" s="7" t="n"/>
      <c r="I22" s="7" t="n"/>
      <c r="J22" s="7" t="inlineStr">
        <is>
          <t>bewaarder beleggingsinstell buitenland instell functie / bewaarder beleggingsinstell buitenland instell / bewaarder beleggingsinstell buitenland / bewaarder beleggingsinstell / bewaarder</t>
        </is>
      </c>
      <c r="K22" s="7" t="n">
        <v>0</v>
      </c>
      <c r="L22" s="7" t="n">
        <v>0</v>
      </c>
      <c r="M22" s="7" t="n">
        <v>1</v>
      </c>
      <c r="N22" s="7" t="inlineStr">
        <is>
          <t>BWBR0009950:14a.7:2:3</t>
        </is>
      </c>
    </row>
    <row r="23">
      <c r="A23" s="7" t="n">
        <v>22</v>
      </c>
      <c r="B23" s="7" t="inlineStr">
        <is>
          <t>EU | exact</t>
        </is>
      </c>
      <c r="C23" s="7" t="inlineStr">
        <is>
          <t>sample</t>
        </is>
      </c>
      <c r="D23" s="7" t="inlineStr">
        <is>
          <t>EU</t>
        </is>
      </c>
      <c r="E23" s="7" t="inlineStr">
        <is>
          <t>exact</t>
        </is>
      </c>
      <c r="F23" s="7" t="inlineStr">
        <is>
          <t>gebruiksverantwoordelijken</t>
        </is>
      </c>
      <c r="G23" s="7" t="inlineStr">
        <is>
          <t>32024R1689:gebruiksverantwoordelijke</t>
        </is>
      </c>
      <c r="H23" s="7" t="inlineStr">
        <is>
          <t>32024R1689:gebruiksverantwoordelijke</t>
        </is>
      </c>
      <c r="I23" s="7" t="n"/>
      <c r="J23" s="7" t="inlineStr">
        <is>
          <t>gebruiksverantwoord</t>
        </is>
      </c>
      <c r="K23" s="7" t="n">
        <v>0</v>
      </c>
      <c r="L23" s="7" t="n">
        <v>0</v>
      </c>
      <c r="M23" s="7" t="n">
        <v>10</v>
      </c>
      <c r="N23" s="7" t="inlineStr">
        <is>
          <t>32024R1689:4:whole:1</t>
        </is>
      </c>
    </row>
    <row r="24">
      <c r="A24" s="7" t="n">
        <v>23</v>
      </c>
      <c r="B24" s="7" t="inlineStr">
        <is>
          <t>NL | shortened</t>
        </is>
      </c>
      <c r="C24" s="7" t="inlineStr">
        <is>
          <t>sample</t>
        </is>
      </c>
      <c r="D24" s="7" t="inlineStr">
        <is>
          <t>NL</t>
        </is>
      </c>
      <c r="E24" s="7" t="inlineStr">
        <is>
          <t>shortened</t>
        </is>
      </c>
      <c r="F24" s="7" t="inlineStr">
        <is>
          <t>Onze Minister van Economische Zaken</t>
        </is>
      </c>
      <c r="G24" s="7" t="inlineStr">
        <is>
          <t>BWBR0052872:onze_minister</t>
        </is>
      </c>
      <c r="H24" s="7" t="inlineStr">
        <is>
          <t>BWBR0052872:onze_minister</t>
        </is>
      </c>
      <c r="I24" s="7" t="n"/>
      <c r="J24" s="7" t="inlineStr">
        <is>
          <t>onz minister economisch zak / onz minister economisch / onz minister / minister economisch zak / minister economisch / minister</t>
        </is>
      </c>
      <c r="K24" s="7" t="n">
        <v>0</v>
      </c>
      <c r="L24" s="7" t="n">
        <v>0</v>
      </c>
      <c r="M24" s="7" t="n">
        <v>2</v>
      </c>
      <c r="N24" s="7" t="inlineStr">
        <is>
          <t>BWBR0052872:49:6:7</t>
        </is>
      </c>
    </row>
    <row r="25">
      <c r="A25" s="7" t="n">
        <v>24</v>
      </c>
      <c r="B25" s="7" t="inlineStr">
        <is>
          <t>NL | exact</t>
        </is>
      </c>
      <c r="C25" s="7" t="inlineStr">
        <is>
          <t>sample</t>
        </is>
      </c>
      <c r="D25" s="7" t="inlineStr">
        <is>
          <t>NL</t>
        </is>
      </c>
      <c r="E25" s="7" t="inlineStr">
        <is>
          <t>exact</t>
        </is>
      </c>
      <c r="F25" s="7" t="inlineStr">
        <is>
          <t>CSIRT’s</t>
        </is>
      </c>
      <c r="G25" s="7" t="inlineStr">
        <is>
          <t>BWBR0052872:csirt</t>
        </is>
      </c>
      <c r="H25" s="7" t="inlineStr">
        <is>
          <t>BWBR0052872:csirt</t>
        </is>
      </c>
      <c r="I25" s="7" t="n"/>
      <c r="J25" s="7" t="inlineStr">
        <is>
          <t>csirt</t>
        </is>
      </c>
      <c r="K25" s="7" t="n">
        <v>0</v>
      </c>
      <c r="L25" s="7" t="n">
        <v>0</v>
      </c>
      <c r="M25" s="7" t="n">
        <v>8</v>
      </c>
      <c r="N25" s="7" t="inlineStr">
        <is>
          <t>BWBR0052872:51:2:4</t>
        </is>
      </c>
    </row>
    <row r="26">
      <c r="A26" s="7" t="n">
        <v>25</v>
      </c>
      <c r="B26" s="7" t="inlineStr">
        <is>
          <t>EU | not_actor</t>
        </is>
      </c>
      <c r="C26" s="7" t="inlineStr">
        <is>
          <t>sample</t>
        </is>
      </c>
      <c r="D26" s="7" t="inlineStr">
        <is>
          <t>EU</t>
        </is>
      </c>
      <c r="E26" s="7" t="inlineStr">
        <is>
          <t>not_actor</t>
        </is>
      </c>
      <c r="F26" s="7" t="inlineStr">
        <is>
          <t>ECB</t>
        </is>
      </c>
      <c r="G26" s="7" t="inlineStr">
        <is>
          <t>not_actor</t>
        </is>
      </c>
      <c r="H26" s="7" t="n"/>
      <c r="I26" s="7" t="n"/>
      <c r="J26" s="7" t="inlineStr">
        <is>
          <t>ecb</t>
        </is>
      </c>
      <c r="K26" s="7" t="n">
        <v>0</v>
      </c>
      <c r="L26" s="7" t="n">
        <v>0</v>
      </c>
      <c r="M26" s="7" t="n">
        <v>10</v>
      </c>
      <c r="N26" s="7" t="inlineStr">
        <is>
          <t>32022R2554:49:2:7</t>
        </is>
      </c>
    </row>
    <row r="27">
      <c r="A27" s="7" t="n">
        <v>26</v>
      </c>
      <c r="B27" s="7" t="inlineStr">
        <is>
          <t>EU | not_actor</t>
        </is>
      </c>
      <c r="C27" s="7" t="inlineStr">
        <is>
          <t>sample</t>
        </is>
      </c>
      <c r="D27" s="7" t="inlineStr">
        <is>
          <t>EU</t>
        </is>
      </c>
      <c r="E27" s="7" t="inlineStr">
        <is>
          <t>not_actor</t>
        </is>
      </c>
      <c r="F27" s="7" t="inlineStr">
        <is>
          <t>samenwerkingsgroep</t>
        </is>
      </c>
      <c r="G27" s="7" t="inlineStr">
        <is>
          <t>not_actor</t>
        </is>
      </c>
      <c r="H27" s="7" t="n"/>
      <c r="I27" s="7" t="n"/>
      <c r="J27" s="7" t="inlineStr">
        <is>
          <t>samenwerkingsgroep</t>
        </is>
      </c>
      <c r="K27" s="7" t="n">
        <v>0</v>
      </c>
      <c r="L27" s="7" t="n">
        <v>0</v>
      </c>
      <c r="M27" s="7" t="n">
        <v>10</v>
      </c>
      <c r="N27" s="7" t="inlineStr">
        <is>
          <t>32022L2555:19:6:16</t>
        </is>
      </c>
    </row>
    <row r="28">
      <c r="A28" s="7" t="n">
        <v>27</v>
      </c>
      <c r="B28" s="7" t="inlineStr">
        <is>
          <t>EU | shortened</t>
        </is>
      </c>
      <c r="C28" s="7" t="inlineStr">
        <is>
          <t>sample</t>
        </is>
      </c>
      <c r="D28" s="7" t="inlineStr">
        <is>
          <t>EU</t>
        </is>
      </c>
      <c r="E28" s="7" t="inlineStr">
        <is>
          <t>shortened</t>
        </is>
      </c>
      <c r="F28" s="7" t="inlineStr">
        <is>
          <t>essentiële en belangrijke entiteiten</t>
        </is>
      </c>
      <c r="G28" s="7" t="inlineStr">
        <is>
          <t>32022L2555:entiteit</t>
        </is>
      </c>
      <c r="H28" s="7" t="inlineStr">
        <is>
          <t>32022L2555:entiteit</t>
        </is>
      </c>
      <c r="I28" s="7" t="n"/>
      <c r="J28" s="7" t="inlineStr">
        <is>
          <t>essentiel belangrijk entiteit / belangrijk entiteit / entiteit</t>
        </is>
      </c>
      <c r="K28" s="7" t="n">
        <v>0</v>
      </c>
      <c r="L28" s="7" t="n">
        <v>0</v>
      </c>
      <c r="M28" s="7" t="n">
        <v>6</v>
      </c>
      <c r="N28" s="7" t="inlineStr">
        <is>
          <t>32022L2555:30:1:1</t>
        </is>
      </c>
    </row>
    <row r="29">
      <c r="A29" s="7" t="n">
        <v>28</v>
      </c>
      <c r="B29" s="7" t="inlineStr">
        <is>
          <t>NL | exact</t>
        </is>
      </c>
      <c r="C29" s="7" t="inlineStr">
        <is>
          <t>sample</t>
        </is>
      </c>
      <c r="D29" s="7" t="inlineStr">
        <is>
          <t>NL</t>
        </is>
      </c>
      <c r="E29" s="7" t="inlineStr">
        <is>
          <t>exact</t>
        </is>
      </c>
      <c r="F29" s="7" t="inlineStr">
        <is>
          <t>aanbieder van een openbaar elektronisch communicatienetwerk</t>
        </is>
      </c>
      <c r="G29" s="7" t="inlineStr">
        <is>
          <t>BWBR0009950:aanbieder_van_een_openbaar_elektronisch_communicatienetwerk</t>
        </is>
      </c>
      <c r="H29" s="7" t="inlineStr">
        <is>
          <t>BWBR0009950:aanbieder_van_een_openbaar_elektronisch_communicatienetwerk</t>
        </is>
      </c>
      <c r="I29" s="7" t="n"/>
      <c r="J29" s="7" t="inlineStr">
        <is>
          <t>aanbieder open elektronisch communicatienetwerk / aanbieder open elektronisch / aanbieder open / aanbieder</t>
        </is>
      </c>
      <c r="K29" s="7" t="n">
        <v>0</v>
      </c>
      <c r="L29" s="7" t="n">
        <v>0</v>
      </c>
      <c r="M29" s="7" t="n">
        <v>25</v>
      </c>
      <c r="N29" s="7" t="inlineStr">
        <is>
          <t>BWBR0009950:11.9:1:2</t>
        </is>
      </c>
    </row>
    <row r="30">
      <c r="A30" s="7" t="n">
        <v>29</v>
      </c>
      <c r="B30" s="7" t="inlineStr">
        <is>
          <t>NL | not_actor</t>
        </is>
      </c>
      <c r="C30" s="7" t="inlineStr">
        <is>
          <t>sample</t>
        </is>
      </c>
      <c r="D30" s="7" t="inlineStr">
        <is>
          <t>NL</t>
        </is>
      </c>
      <c r="E30" s="7" t="inlineStr">
        <is>
          <t>not_actor</t>
        </is>
      </c>
      <c r="F30" s="7" t="inlineStr">
        <is>
          <t>ambtenaar</t>
        </is>
      </c>
      <c r="G30" s="7" t="inlineStr">
        <is>
          <t>not_actor</t>
        </is>
      </c>
      <c r="H30" s="7" t="n"/>
      <c r="I30" s="7" t="n"/>
      <c r="J30" s="7" t="inlineStr">
        <is>
          <t>ambtenar</t>
        </is>
      </c>
      <c r="K30" s="7" t="n">
        <v>0</v>
      </c>
      <c r="L30" s="7" t="n">
        <v>0</v>
      </c>
      <c r="M30" s="7" t="n">
        <v>2</v>
      </c>
      <c r="N30" s="7" t="inlineStr">
        <is>
          <t>BWBR0009950:15.7b:2:4</t>
        </is>
      </c>
    </row>
    <row r="31">
      <c r="A31" s="7" t="n">
        <v>30</v>
      </c>
      <c r="B31" s="7" t="inlineStr">
        <is>
          <t>NL | exact</t>
        </is>
      </c>
      <c r="C31" s="7" t="inlineStr">
        <is>
          <t>sample</t>
        </is>
      </c>
      <c r="D31" s="7" t="inlineStr">
        <is>
          <t>NL</t>
        </is>
      </c>
      <c r="E31" s="7" t="inlineStr">
        <is>
          <t>exact</t>
        </is>
      </c>
      <c r="F31" s="7" t="inlineStr">
        <is>
          <t>CSIRT</t>
        </is>
      </c>
      <c r="G31" s="7" t="inlineStr">
        <is>
          <t>BWBR0052872:csirt</t>
        </is>
      </c>
      <c r="H31" s="7" t="inlineStr">
        <is>
          <t>BWBR0052872:csirt</t>
        </is>
      </c>
      <c r="I31" s="7" t="n"/>
      <c r="J31" s="7" t="inlineStr">
        <is>
          <t>csirt</t>
        </is>
      </c>
      <c r="K31" s="7" t="n">
        <v>0</v>
      </c>
      <c r="L31" s="7" t="n">
        <v>0</v>
      </c>
      <c r="M31" s="7" t="n">
        <v>35</v>
      </c>
      <c r="N31" s="7" t="inlineStr">
        <is>
          <t>BWBR0052872:36:2:4</t>
        </is>
      </c>
    </row>
    <row r="32">
      <c r="A32" s="7" t="n">
        <v>31</v>
      </c>
      <c r="B32" s="7" t="inlineStr">
        <is>
          <t>EU | shortened</t>
        </is>
      </c>
      <c r="C32" s="7" t="inlineStr">
        <is>
          <t>sample</t>
        </is>
      </c>
      <c r="D32" s="7" t="inlineStr">
        <is>
          <t>EU</t>
        </is>
      </c>
      <c r="E32" s="7" t="inlineStr">
        <is>
          <t>shortened</t>
        </is>
      </c>
      <c r="F32" s="7" t="inlineStr">
        <is>
          <t>betrokken entiteiten</t>
        </is>
      </c>
      <c r="G32" s="7" t="inlineStr">
        <is>
          <t>32022L2555:entiteit</t>
        </is>
      </c>
      <c r="H32" s="7" t="inlineStr">
        <is>
          <t>32022L2555:entiteit</t>
        </is>
      </c>
      <c r="I32" s="7" t="n"/>
      <c r="J32" s="7" t="inlineStr">
        <is>
          <t>betrok entiteit / entiteit</t>
        </is>
      </c>
      <c r="K32" s="7" t="n">
        <v>0</v>
      </c>
      <c r="L32" s="7" t="n">
        <v>0</v>
      </c>
      <c r="M32" s="7" t="n">
        <v>9</v>
      </c>
      <c r="N32" s="7" t="inlineStr">
        <is>
          <t>32022L2555:23:4:9</t>
        </is>
      </c>
    </row>
    <row r="33">
      <c r="A33" s="7" t="n">
        <v>32</v>
      </c>
      <c r="B33" s="7" t="inlineStr">
        <is>
          <t>census</t>
        </is>
      </c>
      <c r="C33" s="7" t="inlineStr">
        <is>
          <t>census</t>
        </is>
      </c>
      <c r="D33" s="7" t="inlineStr">
        <is>
          <t>NL</t>
        </is>
      </c>
      <c r="E33" s="7" t="inlineStr">
        <is>
          <t>exact</t>
        </is>
      </c>
      <c r="F33" s="7" t="inlineStr">
        <is>
          <t>Onze Minister</t>
        </is>
      </c>
      <c r="G33" s="7" t="inlineStr">
        <is>
          <t>BWBR0048156:onze_minister</t>
        </is>
      </c>
      <c r="H33" s="7" t="inlineStr">
        <is>
          <t>BWBR0048156:onze_minister</t>
        </is>
      </c>
      <c r="I33" s="7" t="n"/>
      <c r="J33" s="7" t="inlineStr">
        <is>
          <t>onz minister / minister</t>
        </is>
      </c>
      <c r="K33" s="7" t="n">
        <v>0</v>
      </c>
      <c r="L33" s="7" t="n">
        <v>45</v>
      </c>
      <c r="M33" s="7" t="n">
        <v>45</v>
      </c>
      <c r="N33" s="7" t="inlineStr">
        <is>
          <t>BWBR0048156:9:8:16, BWBR0048156:11:8:9, BWBR0048156:14:8:15</t>
        </is>
      </c>
    </row>
    <row r="34">
      <c r="A34" s="7" t="n">
        <v>33</v>
      </c>
      <c r="B34" s="7" t="inlineStr">
        <is>
          <t>EU | not_actor</t>
        </is>
      </c>
      <c r="C34" s="7" t="inlineStr">
        <is>
          <t>sample</t>
        </is>
      </c>
      <c r="D34" s="7" t="inlineStr">
        <is>
          <t>EU</t>
        </is>
      </c>
      <c r="E34" s="7" t="inlineStr">
        <is>
          <t>not_actor</t>
        </is>
      </c>
      <c r="F34" s="7" t="inlineStr">
        <is>
          <t>systeem</t>
        </is>
      </c>
      <c r="G34" s="7" t="inlineStr">
        <is>
          <t>not_actor</t>
        </is>
      </c>
      <c r="H34" s="7" t="n"/>
      <c r="I34" s="7" t="n"/>
      <c r="J34" s="7" t="inlineStr">
        <is>
          <t>system</t>
        </is>
      </c>
      <c r="K34" s="7" t="n">
        <v>0</v>
      </c>
      <c r="L34" s="7" t="n">
        <v>0</v>
      </c>
      <c r="M34" s="7" t="n">
        <v>2</v>
      </c>
      <c r="N34" s="7" t="inlineStr">
        <is>
          <t>32024R1689:17:1:2</t>
        </is>
      </c>
    </row>
    <row r="35">
      <c r="A35" s="7" t="n">
        <v>34</v>
      </c>
      <c r="B35" s="7" t="inlineStr">
        <is>
          <t>EU | not_actor</t>
        </is>
      </c>
      <c r="C35" s="7" t="inlineStr">
        <is>
          <t>sample</t>
        </is>
      </c>
      <c r="D35" s="7" t="inlineStr">
        <is>
          <t>EU</t>
        </is>
      </c>
      <c r="E35" s="7" t="inlineStr">
        <is>
          <t>not_actor</t>
        </is>
      </c>
      <c r="F35" s="7" t="inlineStr">
        <is>
          <t>contractuele overeenkomsten inzake het gebruik van ICT-diensten</t>
        </is>
      </c>
      <c r="G35" s="7" t="inlineStr">
        <is>
          <t>not_actor</t>
        </is>
      </c>
      <c r="H35" s="7" t="n"/>
      <c r="I35" s="7" t="n"/>
      <c r="J35" s="7" t="inlineStr">
        <is>
          <t>contractuel overeenkomst inzak gebruik ictdienst / contractuel overeenkomst inzak gebruik / overeenkomst inzak gebruik ictdienst / overeenkomst inzak gebruik / inzak gebruik ictdienst / inzak gebruik / gebruik ictdienst / gebruik</t>
        </is>
      </c>
      <c r="K35" s="7" t="n">
        <v>0</v>
      </c>
      <c r="L35" s="7" t="n">
        <v>0</v>
      </c>
      <c r="M35" s="7" t="n">
        <v>2</v>
      </c>
      <c r="N35" s="7" t="inlineStr">
        <is>
          <t>32022R2554:30:2:5</t>
        </is>
      </c>
    </row>
    <row r="36">
      <c r="A36" s="7" t="n">
        <v>35</v>
      </c>
      <c r="B36" s="7" t="inlineStr">
        <is>
          <t>census</t>
        </is>
      </c>
      <c r="C36" s="7" t="inlineStr">
        <is>
          <t>census</t>
        </is>
      </c>
      <c r="D36" s="7" t="inlineStr">
        <is>
          <t>EU</t>
        </is>
      </c>
      <c r="E36" s="7" t="inlineStr">
        <is>
          <t>exact</t>
        </is>
      </c>
      <c r="F36" s="7" t="inlineStr">
        <is>
          <t>Comité</t>
        </is>
      </c>
      <c r="G36" s="7" t="inlineStr">
        <is>
          <t>KEY:32016R0679:comite</t>
        </is>
      </c>
      <c r="H36" s="7" t="inlineStr">
        <is>
          <t>KEY:32016R0679:comite</t>
        </is>
      </c>
      <c r="I36" s="7" t="n"/>
      <c r="J36" s="7" t="inlineStr">
        <is>
          <t>comit</t>
        </is>
      </c>
      <c r="K36" s="7" t="n">
        <v>63</v>
      </c>
      <c r="L36" s="7" t="n">
        <v>0</v>
      </c>
      <c r="M36" s="7" t="n">
        <v>63</v>
      </c>
      <c r="N36" s="7" t="inlineStr">
        <is>
          <t>32016R0679:64:1:1, 32016R0679:70:1:8, 32016R0679:70:1:18</t>
        </is>
      </c>
    </row>
    <row r="37">
      <c r="A37" s="7" t="n">
        <v>36</v>
      </c>
      <c r="B37" s="7" t="inlineStr">
        <is>
          <t>EU | shortened</t>
        </is>
      </c>
      <c r="C37" s="7" t="inlineStr">
        <is>
          <t>sample</t>
        </is>
      </c>
      <c r="D37" s="7" t="inlineStr">
        <is>
          <t>EU</t>
        </is>
      </c>
      <c r="E37" s="7" t="inlineStr">
        <is>
          <t>shortened</t>
        </is>
      </c>
      <c r="F37" s="7" t="inlineStr">
        <is>
          <t>twee of meer verwerkingsverantwoordelijken</t>
        </is>
      </c>
      <c r="G37" s="7" t="inlineStr">
        <is>
          <t>32016R0679:verwerkingsverantwoordelijke</t>
        </is>
      </c>
      <c r="H37" s="7" t="inlineStr">
        <is>
          <t>32016R0679:verwerkingsverantwoordelijke</t>
        </is>
      </c>
      <c r="I37" s="7" t="n"/>
      <c r="J37" s="7" t="inlineStr">
        <is>
          <t>twee mer verwerkingsverantwoord / mer verwerkingsverantwoord / verwerkingsverantwoord</t>
        </is>
      </c>
      <c r="K37" s="7" t="n">
        <v>0</v>
      </c>
      <c r="L37" s="7" t="n">
        <v>0</v>
      </c>
      <c r="M37" s="7" t="n">
        <v>1</v>
      </c>
      <c r="N37" s="7" t="inlineStr">
        <is>
          <t>32016R0679:26:1:3</t>
        </is>
      </c>
    </row>
    <row r="38">
      <c r="A38" s="7" t="n">
        <v>37</v>
      </c>
      <c r="B38" s="7" t="inlineStr">
        <is>
          <t>NL | fallback</t>
        </is>
      </c>
      <c r="C38" s="7" t="inlineStr">
        <is>
          <t>sample</t>
        </is>
      </c>
      <c r="D38" s="7" t="inlineStr">
        <is>
          <t>NL</t>
        </is>
      </c>
      <c r="E38" s="7" t="inlineStr">
        <is>
          <t>fallback</t>
        </is>
      </c>
      <c r="F38" s="7" t="inlineStr">
        <is>
          <t>aanbieder van de dienst met toegevoegde waarde</t>
        </is>
      </c>
      <c r="G38" s="7" t="inlineStr">
        <is>
          <t>class:party</t>
        </is>
      </c>
      <c r="H38" s="7" t="n"/>
      <c r="I38" s="7" t="inlineStr">
        <is>
          <t>party</t>
        </is>
      </c>
      <c r="J38" s="7" t="inlineStr">
        <is>
          <t>aanbieder dienst toegevoegd waard / aanbieder dienst toegevoegd / aanbieder dienst / aanbieder</t>
        </is>
      </c>
      <c r="K38" s="7" t="n">
        <v>0</v>
      </c>
      <c r="L38" s="7" t="n">
        <v>0</v>
      </c>
      <c r="M38" s="7" t="n">
        <v>1</v>
      </c>
      <c r="N38" s="7" t="inlineStr">
        <is>
          <t>BWBR0009950:11.5a:3:3</t>
        </is>
      </c>
    </row>
    <row r="39">
      <c r="A39" s="7" t="n">
        <v>38</v>
      </c>
      <c r="B39" s="7" t="inlineStr">
        <is>
          <t>EU | shortened</t>
        </is>
      </c>
      <c r="C39" s="7" t="inlineStr">
        <is>
          <t>sample</t>
        </is>
      </c>
      <c r="D39" s="7" t="inlineStr">
        <is>
          <t>EU</t>
        </is>
      </c>
      <c r="E39" s="7" t="inlineStr">
        <is>
          <t>shortened</t>
        </is>
      </c>
      <c r="F39" s="7" t="inlineStr">
        <is>
          <t>gecontroleerde entiteit</t>
        </is>
      </c>
      <c r="G39" s="7" t="inlineStr">
        <is>
          <t>32022L2555:entiteit</t>
        </is>
      </c>
      <c r="H39" s="7" t="inlineStr">
        <is>
          <t>32022L2555:entiteit</t>
        </is>
      </c>
      <c r="I39" s="7" t="n"/>
      <c r="J39" s="7" t="inlineStr">
        <is>
          <t>gecontroleerd entiteit / entiteit</t>
        </is>
      </c>
      <c r="K39" s="7" t="n">
        <v>0</v>
      </c>
      <c r="L39" s="7" t="n">
        <v>0</v>
      </c>
      <c r="M39" s="7" t="n">
        <v>1</v>
      </c>
      <c r="N39" s="7" t="inlineStr">
        <is>
          <t>32022L2555:32:2:3</t>
        </is>
      </c>
    </row>
    <row r="40">
      <c r="A40" s="7" t="n">
        <v>39</v>
      </c>
      <c r="B40" s="7" t="inlineStr">
        <is>
          <t>EU | exact</t>
        </is>
      </c>
      <c r="C40" s="7" t="inlineStr">
        <is>
          <t>sample</t>
        </is>
      </c>
      <c r="D40" s="7" t="inlineStr">
        <is>
          <t>EU</t>
        </is>
      </c>
      <c r="E40" s="7" t="inlineStr">
        <is>
          <t>exact</t>
        </is>
      </c>
      <c r="F40" s="7" t="inlineStr">
        <is>
          <t>centrale tegenpartij</t>
        </is>
      </c>
      <c r="G40" s="7" t="inlineStr">
        <is>
          <t>32022R2554:centrale_tegenpartij</t>
        </is>
      </c>
      <c r="H40" s="7" t="inlineStr">
        <is>
          <t>32022R2554:centrale_tegenpartij</t>
        </is>
      </c>
      <c r="I40" s="7" t="n"/>
      <c r="J40" s="7" t="inlineStr">
        <is>
          <t>central tegenpartij / tegenpartij</t>
        </is>
      </c>
      <c r="K40" s="7" t="n">
        <v>0</v>
      </c>
      <c r="L40" s="7" t="n">
        <v>0</v>
      </c>
      <c r="M40" s="7" t="n">
        <v>2</v>
      </c>
      <c r="N40" s="7" t="inlineStr">
        <is>
          <t>32022R2554:12:3:13</t>
        </is>
      </c>
    </row>
    <row r="41">
      <c r="A41" s="7" t="n">
        <v>40</v>
      </c>
      <c r="B41" s="7" t="inlineStr">
        <is>
          <t>NL | fallback</t>
        </is>
      </c>
      <c r="C41" s="7" t="inlineStr">
        <is>
          <t>sample</t>
        </is>
      </c>
      <c r="D41" s="7" t="inlineStr">
        <is>
          <t>NL</t>
        </is>
      </c>
      <c r="E41" s="7" t="inlineStr">
        <is>
          <t>fallback</t>
        </is>
      </c>
      <c r="F41" s="7" t="inlineStr">
        <is>
          <t>wettelijk vertegenwoordiger</t>
        </is>
      </c>
      <c r="G41" s="7" t="inlineStr">
        <is>
          <t>class:party</t>
        </is>
      </c>
      <c r="H41" s="7" t="n"/>
      <c r="I41" s="7" t="inlineStr">
        <is>
          <t>party</t>
        </is>
      </c>
      <c r="J41" s="7" t="inlineStr">
        <is>
          <t>wettelijk vertegenwoordiger / vertegenwoordiger</t>
        </is>
      </c>
      <c r="K41" s="7" t="n">
        <v>0</v>
      </c>
      <c r="L41" s="7" t="n">
        <v>0</v>
      </c>
      <c r="M41" s="7" t="n">
        <v>3</v>
      </c>
      <c r="N41" s="7" t="inlineStr">
        <is>
          <t>BWBR0040940:5:1:1</t>
        </is>
      </c>
    </row>
    <row r="42">
      <c r="A42" s="7" t="n">
        <v>41</v>
      </c>
      <c r="B42" s="7" t="inlineStr">
        <is>
          <t>NL | exact</t>
        </is>
      </c>
      <c r="C42" s="7" t="inlineStr">
        <is>
          <t>sample</t>
        </is>
      </c>
      <c r="D42" s="7" t="inlineStr">
        <is>
          <t>NL</t>
        </is>
      </c>
      <c r="E42" s="7" t="inlineStr">
        <is>
          <t>exact</t>
        </is>
      </c>
      <c r="F42" s="7" t="inlineStr">
        <is>
          <t>Onze Minister</t>
        </is>
      </c>
      <c r="G42" s="7" t="inlineStr">
        <is>
          <t>BWBR0040940:onze_minister</t>
        </is>
      </c>
      <c r="H42" s="7" t="inlineStr">
        <is>
          <t>BWBR0040940:onze_minister</t>
        </is>
      </c>
      <c r="I42" s="7" t="n"/>
      <c r="J42" s="7" t="inlineStr">
        <is>
          <t>onz minister / minister</t>
        </is>
      </c>
      <c r="K42" s="7" t="n">
        <v>0</v>
      </c>
      <c r="L42" s="7" t="n">
        <v>0</v>
      </c>
      <c r="M42" s="7" t="n">
        <v>8</v>
      </c>
      <c r="N42" s="7" t="inlineStr">
        <is>
          <t>BWBR0040940:7:8:12</t>
        </is>
      </c>
    </row>
    <row r="43">
      <c r="A43" s="7" t="n">
        <v>42</v>
      </c>
      <c r="B43" s="7" t="inlineStr">
        <is>
          <t>NL | shortened</t>
        </is>
      </c>
      <c r="C43" s="7" t="inlineStr">
        <is>
          <t>sample</t>
        </is>
      </c>
      <c r="D43" s="7" t="inlineStr">
        <is>
          <t>NL</t>
        </is>
      </c>
      <c r="E43" s="7" t="inlineStr">
        <is>
          <t>shortened</t>
        </is>
      </c>
      <c r="F43" s="7" t="inlineStr">
        <is>
          <t>bij een geschil betrokken partij</t>
        </is>
      </c>
      <c r="G43" s="7" t="inlineStr">
        <is>
          <t>BWBR0009950:betrokken_partij</t>
        </is>
      </c>
      <c r="H43" s="7" t="inlineStr">
        <is>
          <t>BWBR0009950:betrokken_partij</t>
        </is>
      </c>
      <c r="I43" s="7" t="n"/>
      <c r="J43" s="7" t="inlineStr">
        <is>
          <t>geschil betrok partij / betrok partij / partij</t>
        </is>
      </c>
      <c r="K43" s="7" t="n">
        <v>0</v>
      </c>
      <c r="L43" s="7" t="n">
        <v>0</v>
      </c>
      <c r="M43" s="7" t="n">
        <v>1</v>
      </c>
      <c r="N43" s="7" t="inlineStr">
        <is>
          <t>BWBR0009950:12.6:whole:1</t>
        </is>
      </c>
    </row>
    <row r="44">
      <c r="A44" s="7" t="n">
        <v>43</v>
      </c>
      <c r="B44" s="7" t="inlineStr">
        <is>
          <t>census</t>
        </is>
      </c>
      <c r="C44" s="7" t="inlineStr">
        <is>
          <t>census</t>
        </is>
      </c>
      <c r="D44" s="7" t="inlineStr">
        <is>
          <t>EU</t>
        </is>
      </c>
      <c r="E44" s="7" t="inlineStr">
        <is>
          <t>fallback</t>
        </is>
      </c>
      <c r="F44" s="7" t="inlineStr">
        <is>
          <t>financiële entiteiten</t>
        </is>
      </c>
      <c r="G44" s="7" t="inlineStr">
        <is>
          <t>class:party</t>
        </is>
      </c>
      <c r="H44" s="7" t="n"/>
      <c r="I44" s="7" t="inlineStr">
        <is>
          <t>party</t>
        </is>
      </c>
      <c r="J44" s="7" t="inlineStr">
        <is>
          <t>financiel entiteit / entiteit</t>
        </is>
      </c>
      <c r="K44" s="7" t="n">
        <v>94</v>
      </c>
      <c r="L44" s="7" t="n">
        <v>0</v>
      </c>
      <c r="M44" s="7" t="n">
        <v>94</v>
      </c>
      <c r="N44" s="7" t="inlineStr">
        <is>
          <t>32022R2554:27:2:6, 32022R2554:12:4:15, 32022R2554:8:1:4</t>
        </is>
      </c>
    </row>
    <row r="45">
      <c r="A45" s="7" t="n">
        <v>44</v>
      </c>
      <c r="B45" s="7" t="inlineStr">
        <is>
          <t>EU | fallback</t>
        </is>
      </c>
      <c r="C45" s="7" t="inlineStr">
        <is>
          <t>sample</t>
        </is>
      </c>
      <c r="D45" s="7" t="inlineStr">
        <is>
          <t>EU</t>
        </is>
      </c>
      <c r="E45" s="7" t="inlineStr">
        <is>
          <t>fallback</t>
        </is>
      </c>
      <c r="F45" s="7" t="inlineStr">
        <is>
          <t>leden</t>
        </is>
      </c>
      <c r="G45" s="7" t="inlineStr">
        <is>
          <t>class:office</t>
        </is>
      </c>
      <c r="H45" s="7" t="n"/>
      <c r="I45" s="7" t="inlineStr">
        <is>
          <t>office</t>
        </is>
      </c>
      <c r="J45" s="7" t="inlineStr">
        <is>
          <t>lid</t>
        </is>
      </c>
      <c r="K45" s="7" t="n">
        <v>0</v>
      </c>
      <c r="L45" s="7" t="n">
        <v>0</v>
      </c>
      <c r="M45" s="7" t="n">
        <v>14</v>
      </c>
      <c r="N45" s="7" t="inlineStr">
        <is>
          <t>32016R0679:62:3:8</t>
        </is>
      </c>
    </row>
    <row r="46">
      <c r="A46" s="7" t="n">
        <v>45</v>
      </c>
      <c r="B46" s="7" t="inlineStr">
        <is>
          <t>EU | exact</t>
        </is>
      </c>
      <c r="C46" s="7" t="inlineStr">
        <is>
          <t>sample</t>
        </is>
      </c>
      <c r="D46" s="7" t="inlineStr">
        <is>
          <t>EU</t>
        </is>
      </c>
      <c r="E46" s="7" t="inlineStr">
        <is>
          <t>exact</t>
        </is>
      </c>
      <c r="F46" s="7" t="inlineStr">
        <is>
          <t>aanbieders</t>
        </is>
      </c>
      <c r="G46" s="7" t="inlineStr">
        <is>
          <t>32024R1689:aanbieder</t>
        </is>
      </c>
      <c r="H46" s="7" t="inlineStr">
        <is>
          <t>32024R1689:aanbieder</t>
        </is>
      </c>
      <c r="I46" s="7" t="n"/>
      <c r="J46" s="7" t="inlineStr">
        <is>
          <t>aanbieder</t>
        </is>
      </c>
      <c r="K46" s="7" t="n">
        <v>0</v>
      </c>
      <c r="L46" s="7" t="n">
        <v>0</v>
      </c>
      <c r="M46" s="7" t="n">
        <v>19</v>
      </c>
      <c r="N46" s="7" t="inlineStr">
        <is>
          <t>32024R1689:59:1:1</t>
        </is>
      </c>
    </row>
    <row r="47">
      <c r="A47" s="7" t="n">
        <v>46</v>
      </c>
      <c r="B47" s="7" t="inlineStr">
        <is>
          <t>NL | fallback</t>
        </is>
      </c>
      <c r="C47" s="7" t="inlineStr">
        <is>
          <t>sample</t>
        </is>
      </c>
      <c r="D47" s="7" t="inlineStr">
        <is>
          <t>NL</t>
        </is>
      </c>
      <c r="E47" s="7" t="inlineStr">
        <is>
          <t>fallback</t>
        </is>
      </c>
      <c r="F47" s="7" t="inlineStr">
        <is>
          <t>leden</t>
        </is>
      </c>
      <c r="G47" s="7" t="inlineStr">
        <is>
          <t>class:office</t>
        </is>
      </c>
      <c r="H47" s="7" t="n"/>
      <c r="I47" s="7" t="inlineStr">
        <is>
          <t>office</t>
        </is>
      </c>
      <c r="J47" s="7" t="inlineStr">
        <is>
          <t>lid</t>
        </is>
      </c>
      <c r="K47" s="7" t="n">
        <v>0</v>
      </c>
      <c r="L47" s="7" t="n">
        <v>0</v>
      </c>
      <c r="M47" s="7" t="n">
        <v>14</v>
      </c>
      <c r="N47" s="7" t="inlineStr">
        <is>
          <t>BWBR0040940:11:5:5</t>
        </is>
      </c>
    </row>
    <row r="48">
      <c r="A48" s="7" t="n">
        <v>47</v>
      </c>
      <c r="B48" s="7" t="inlineStr">
        <is>
          <t>census</t>
        </is>
      </c>
      <c r="C48" s="7" t="inlineStr">
        <is>
          <t>census</t>
        </is>
      </c>
      <c r="D48" s="7" t="inlineStr">
        <is>
          <t>EU</t>
        </is>
      </c>
      <c r="E48" s="7" t="inlineStr">
        <is>
          <t>fallback</t>
        </is>
      </c>
      <c r="F48" s="7" t="inlineStr">
        <is>
          <t>bevoegde autoriteiten</t>
        </is>
      </c>
      <c r="G48" s="7" t="inlineStr">
        <is>
          <t>class:authority</t>
        </is>
      </c>
      <c r="H48" s="7" t="n"/>
      <c r="I48" s="7" t="inlineStr">
        <is>
          <t>authority</t>
        </is>
      </c>
      <c r="J48" s="7" t="inlineStr">
        <is>
          <t>bevoegd autoriteit / autoriteit</t>
        </is>
      </c>
      <c r="K48" s="7" t="n">
        <v>95</v>
      </c>
      <c r="L48" s="7" t="n">
        <v>0</v>
      </c>
      <c r="M48" s="7" t="n">
        <v>95</v>
      </c>
      <c r="N48" s="7" t="inlineStr">
        <is>
          <t>32022R2554:47:3:5, 32022R2554:33:5:9, 32022L2555:32:5:22</t>
        </is>
      </c>
    </row>
    <row r="49">
      <c r="A49" s="7" t="n">
        <v>48</v>
      </c>
      <c r="B49" s="7" t="inlineStr">
        <is>
          <t>EU | fallback</t>
        </is>
      </c>
      <c r="C49" s="7" t="inlineStr">
        <is>
          <t>sample</t>
        </is>
      </c>
      <c r="D49" s="7" t="inlineStr">
        <is>
          <t>EU</t>
        </is>
      </c>
      <c r="E49" s="7" t="inlineStr">
        <is>
          <t>fallback</t>
        </is>
      </c>
      <c r="F49" s="7" t="inlineStr">
        <is>
          <t>betrokken natuurlijke personen</t>
        </is>
      </c>
      <c r="G49" s="7" t="inlineStr">
        <is>
          <t>class:person</t>
        </is>
      </c>
      <c r="H49" s="7" t="n"/>
      <c r="I49" s="7" t="inlineStr">
        <is>
          <t>person</t>
        </is>
      </c>
      <c r="J49" s="7" t="inlineStr">
        <is>
          <t>betrok natur person / natur person / person</t>
        </is>
      </c>
      <c r="K49" s="7" t="n">
        <v>0</v>
      </c>
      <c r="L49" s="7" t="n">
        <v>0</v>
      </c>
      <c r="M49" s="7" t="n">
        <v>1</v>
      </c>
      <c r="N49" s="7" t="inlineStr">
        <is>
          <t>32024R1689:50:1:4</t>
        </is>
      </c>
    </row>
    <row r="50">
      <c r="A50" s="7" t="n">
        <v>49</v>
      </c>
      <c r="B50" s="7" t="inlineStr">
        <is>
          <t>NL | fallback</t>
        </is>
      </c>
      <c r="C50" s="7" t="inlineStr">
        <is>
          <t>sample</t>
        </is>
      </c>
      <c r="D50" s="7" t="inlineStr">
        <is>
          <t>NL</t>
        </is>
      </c>
      <c r="E50" s="7" t="inlineStr">
        <is>
          <t>fallback</t>
        </is>
      </c>
      <c r="F50" s="7" t="inlineStr">
        <is>
          <t>ambtenaren.1, eerste lid</t>
        </is>
      </c>
      <c r="G50" s="7" t="inlineStr">
        <is>
          <t>class:office</t>
        </is>
      </c>
      <c r="H50" s="7" t="n"/>
      <c r="I50" s="7" t="inlineStr">
        <is>
          <t>office</t>
        </is>
      </c>
      <c r="J50" s="7" t="inlineStr">
        <is>
          <t>ambtenar eerst lid / eerst lid / lid</t>
        </is>
      </c>
      <c r="K50" s="7" t="n">
        <v>0</v>
      </c>
      <c r="L50" s="7" t="n">
        <v>0</v>
      </c>
      <c r="M50" s="7" t="n">
        <v>3</v>
      </c>
      <c r="N50" s="7" t="inlineStr">
        <is>
          <t>BWBR0009950:15.7b:1:1</t>
        </is>
      </c>
    </row>
    <row r="51">
      <c r="A51" s="7" t="n">
        <v>50</v>
      </c>
      <c r="B51" s="7" t="inlineStr">
        <is>
          <t>EU | not_actor</t>
        </is>
      </c>
      <c r="C51" s="7" t="inlineStr">
        <is>
          <t>sample</t>
        </is>
      </c>
      <c r="D51" s="7" t="inlineStr">
        <is>
          <t>EU</t>
        </is>
      </c>
      <c r="E51" s="7" t="inlineStr">
        <is>
          <t>not_actor</t>
        </is>
      </c>
      <c r="F51" s="7" t="inlineStr">
        <is>
          <t>uitvoeringshandelingen</t>
        </is>
      </c>
      <c r="G51" s="7" t="inlineStr">
        <is>
          <t>not_actor</t>
        </is>
      </c>
      <c r="H51" s="7" t="n"/>
      <c r="I51" s="7" t="n"/>
      <c r="J51" s="7" t="inlineStr">
        <is>
          <t>uitvoeringshandel</t>
        </is>
      </c>
      <c r="K51" s="7" t="n">
        <v>0</v>
      </c>
      <c r="L51" s="7" t="n">
        <v>0</v>
      </c>
      <c r="M51" s="7" t="n">
        <v>4</v>
      </c>
      <c r="N51" s="7" t="inlineStr">
        <is>
          <t>32024R1689:58:1:3</t>
        </is>
      </c>
    </row>
    <row r="52">
      <c r="A52" s="7" t="n">
        <v>51</v>
      </c>
      <c r="B52" s="7" t="inlineStr">
        <is>
          <t>census</t>
        </is>
      </c>
      <c r="C52" s="7" t="inlineStr">
        <is>
          <t>census</t>
        </is>
      </c>
      <c r="D52" s="7" t="inlineStr">
        <is>
          <t>EU</t>
        </is>
      </c>
      <c r="E52" s="7" t="inlineStr">
        <is>
          <t>exact</t>
        </is>
      </c>
      <c r="F52" s="7" t="inlineStr">
        <is>
          <t>lidstaten</t>
        </is>
      </c>
      <c r="G52" s="7" t="inlineStr">
        <is>
          <t>KEY:EU:lidstaat</t>
        </is>
      </c>
      <c r="H52" s="7" t="inlineStr">
        <is>
          <t>KEY:EU:lidstaat</t>
        </is>
      </c>
      <c r="I52" s="7" t="n"/>
      <c r="J52" s="7" t="inlineStr">
        <is>
          <t>lidstat</t>
        </is>
      </c>
      <c r="K52" s="7" t="n">
        <v>179</v>
      </c>
      <c r="L52" s="7" t="n">
        <v>0</v>
      </c>
      <c r="M52" s="7" t="n">
        <v>179</v>
      </c>
      <c r="N52" s="7" t="inlineStr">
        <is>
          <t>32024R1689:65:4:7, 32024R1689:74:8:10, 32022L2555:19:4:10</t>
        </is>
      </c>
    </row>
    <row r="53">
      <c r="A53" s="7" t="n">
        <v>52</v>
      </c>
      <c r="B53" s="7" t="inlineStr">
        <is>
          <t>NL | not_actor</t>
        </is>
      </c>
      <c r="C53" s="7" t="inlineStr">
        <is>
          <t>sample</t>
        </is>
      </c>
      <c r="D53" s="7" t="inlineStr">
        <is>
          <t>NL</t>
        </is>
      </c>
      <c r="E53" s="7" t="inlineStr">
        <is>
          <t>not_actor</t>
        </is>
      </c>
      <c r="F53" s="7" t="inlineStr">
        <is>
          <t>degene</t>
        </is>
      </c>
      <c r="G53" s="7" t="inlineStr">
        <is>
          <t>not_actor</t>
        </is>
      </c>
      <c r="H53" s="7" t="n"/>
      <c r="I53" s="7" t="n"/>
      <c r="J53" s="7" t="inlineStr">
        <is>
          <t>deg</t>
        </is>
      </c>
      <c r="K53" s="7" t="n">
        <v>0</v>
      </c>
      <c r="L53" s="7" t="n">
        <v>0</v>
      </c>
      <c r="M53" s="7" t="n">
        <v>9</v>
      </c>
      <c r="N53" s="7" t="inlineStr">
        <is>
          <t>BWBR0009950:9.4:5:5</t>
        </is>
      </c>
    </row>
    <row r="54">
      <c r="A54" s="7" t="n">
        <v>53</v>
      </c>
      <c r="B54" s="7" t="inlineStr">
        <is>
          <t>EU | shortened</t>
        </is>
      </c>
      <c r="C54" s="7" t="inlineStr">
        <is>
          <t>sample</t>
        </is>
      </c>
      <c r="D54" s="7" t="inlineStr">
        <is>
          <t>EU</t>
        </is>
      </c>
      <c r="E54" s="7" t="inlineStr">
        <is>
          <t>shortened</t>
        </is>
      </c>
      <c r="F54" s="7" t="inlineStr">
        <is>
          <t>bevoegde toezichthoudende autoriteit</t>
        </is>
      </c>
      <c r="G54" s="7" t="inlineStr">
        <is>
          <t>32016R0679:toezichthoudende_autoriteit</t>
        </is>
      </c>
      <c r="H54" s="7" t="inlineStr">
        <is>
          <t>32016R0679:toezichthoudende_autoriteit</t>
        </is>
      </c>
      <c r="I54" s="7" t="n"/>
      <c r="J54" s="7" t="inlineStr">
        <is>
          <t>bevoegd toezichthoud autoriteit / toezichthoud autoriteit / autoriteit</t>
        </is>
      </c>
      <c r="K54" s="7" t="n">
        <v>0</v>
      </c>
      <c r="L54" s="7" t="n">
        <v>0</v>
      </c>
      <c r="M54" s="7" t="n">
        <v>18</v>
      </c>
      <c r="N54" s="7" t="inlineStr">
        <is>
          <t>32016R0679:35:6:9</t>
        </is>
      </c>
    </row>
    <row r="55">
      <c r="A55" s="7" t="n">
        <v>54</v>
      </c>
      <c r="B55" s="7" t="inlineStr">
        <is>
          <t>EU | not_actor</t>
        </is>
      </c>
      <c r="C55" s="7" t="inlineStr">
        <is>
          <t>sample</t>
        </is>
      </c>
      <c r="D55" s="7" t="inlineStr">
        <is>
          <t>EU</t>
        </is>
      </c>
      <c r="E55" s="7" t="inlineStr">
        <is>
          <t>not_actor</t>
        </is>
      </c>
      <c r="F55" s="7" t="inlineStr">
        <is>
          <t>Enisa</t>
        </is>
      </c>
      <c r="G55" s="7" t="inlineStr">
        <is>
          <t>not_actor</t>
        </is>
      </c>
      <c r="H55" s="7" t="n"/>
      <c r="I55" s="7" t="n"/>
      <c r="J55" s="7" t="inlineStr">
        <is>
          <t>enisa</t>
        </is>
      </c>
      <c r="K55" s="7" t="n">
        <v>0</v>
      </c>
      <c r="L55" s="7" t="n">
        <v>0</v>
      </c>
      <c r="M55" s="7" t="n">
        <v>22</v>
      </c>
      <c r="N55" s="7" t="inlineStr">
        <is>
          <t>32022L2555:27:1:2</t>
        </is>
      </c>
    </row>
    <row r="56">
      <c r="A56" s="7" t="n">
        <v>55</v>
      </c>
      <c r="B56" s="7" t="inlineStr">
        <is>
          <t>EU | exact</t>
        </is>
      </c>
      <c r="C56" s="7" t="inlineStr">
        <is>
          <t>sample</t>
        </is>
      </c>
      <c r="D56" s="7" t="inlineStr">
        <is>
          <t>EU</t>
        </is>
      </c>
      <c r="E56" s="7" t="inlineStr">
        <is>
          <t>exact</t>
        </is>
      </c>
      <c r="F56" s="7" t="inlineStr">
        <is>
          <t>verwerkingsverantwoordelijken</t>
        </is>
      </c>
      <c r="G56" s="7" t="inlineStr">
        <is>
          <t>32016R0679:verwerkingsverantwoordelijke</t>
        </is>
      </c>
      <c r="H56" s="7" t="inlineStr">
        <is>
          <t>32016R0679:verwerkingsverantwoordelijke</t>
        </is>
      </c>
      <c r="I56" s="7" t="n"/>
      <c r="J56" s="7" t="inlineStr">
        <is>
          <t>verwerkingsverantwoord</t>
        </is>
      </c>
      <c r="K56" s="7" t="n">
        <v>0</v>
      </c>
      <c r="L56" s="7" t="n">
        <v>0</v>
      </c>
      <c r="M56" s="7" t="n">
        <v>6</v>
      </c>
      <c r="N56" s="7" t="inlineStr">
        <is>
          <t>32016R0679:36:5:9</t>
        </is>
      </c>
    </row>
    <row r="57">
      <c r="A57" s="7" t="n">
        <v>56</v>
      </c>
      <c r="B57" s="7" t="inlineStr">
        <is>
          <t>EU | fallback</t>
        </is>
      </c>
      <c r="C57" s="7" t="inlineStr">
        <is>
          <t>sample</t>
        </is>
      </c>
      <c r="D57" s="7" t="inlineStr">
        <is>
          <t>EU</t>
        </is>
      </c>
      <c r="E57" s="7" t="inlineStr">
        <is>
          <t>fallback</t>
        </is>
      </c>
      <c r="F57" s="7" t="inlineStr">
        <is>
          <t>bevoegde autoriteit</t>
        </is>
      </c>
      <c r="G57" s="7" t="inlineStr">
        <is>
          <t>class:authority</t>
        </is>
      </c>
      <c r="H57" s="7" t="n"/>
      <c r="I57" s="7" t="inlineStr">
        <is>
          <t>authority</t>
        </is>
      </c>
      <c r="J57" s="7" t="inlineStr">
        <is>
          <t>bevoegd autoriteit / autoriteit</t>
        </is>
      </c>
      <c r="K57" s="7" t="n">
        <v>0</v>
      </c>
      <c r="L57" s="7" t="n">
        <v>0</v>
      </c>
      <c r="M57" s="7" t="n">
        <v>28</v>
      </c>
      <c r="N57" s="7" t="inlineStr">
        <is>
          <t>32022R2554:54:5:7</t>
        </is>
      </c>
    </row>
    <row r="58">
      <c r="A58" s="7" t="n">
        <v>57</v>
      </c>
      <c r="B58" s="7" t="inlineStr">
        <is>
          <t>NL | fallback</t>
        </is>
      </c>
      <c r="C58" s="7" t="inlineStr">
        <is>
          <t>sample</t>
        </is>
      </c>
      <c r="D58" s="7" t="inlineStr">
        <is>
          <t>NL</t>
        </is>
      </c>
      <c r="E58" s="7" t="inlineStr">
        <is>
          <t>fallback</t>
        </is>
      </c>
      <c r="F58" s="7" t="inlineStr">
        <is>
          <t>leden</t>
        </is>
      </c>
      <c r="G58" s="7" t="inlineStr">
        <is>
          <t>class:office</t>
        </is>
      </c>
      <c r="H58" s="7" t="n"/>
      <c r="I58" s="7" t="inlineStr">
        <is>
          <t>office</t>
        </is>
      </c>
      <c r="J58" s="7" t="inlineStr">
        <is>
          <t>lid</t>
        </is>
      </c>
      <c r="K58" s="7" t="n">
        <v>0</v>
      </c>
      <c r="L58" s="7" t="n">
        <v>0</v>
      </c>
      <c r="M58" s="7" t="n">
        <v>14</v>
      </c>
      <c r="N58" s="7" t="inlineStr">
        <is>
          <t>BWBR0040940:7:10:13</t>
        </is>
      </c>
    </row>
    <row r="59">
      <c r="A59" s="7" t="n">
        <v>58</v>
      </c>
      <c r="B59" s="7" t="inlineStr">
        <is>
          <t>NL | exact</t>
        </is>
      </c>
      <c r="C59" s="7" t="inlineStr">
        <is>
          <t>sample</t>
        </is>
      </c>
      <c r="D59" s="7" t="inlineStr">
        <is>
          <t>NL</t>
        </is>
      </c>
      <c r="E59" s="7" t="inlineStr">
        <is>
          <t>exact</t>
        </is>
      </c>
      <c r="F59" s="7" t="inlineStr">
        <is>
          <t>aangewezen organisaties</t>
        </is>
      </c>
      <c r="G59" s="7" t="inlineStr">
        <is>
          <t>BWBR0048156:aangewezen_organisatie</t>
        </is>
      </c>
      <c r="H59" s="7" t="inlineStr">
        <is>
          <t>BWBR0048156:aangewezen_organisatie</t>
        </is>
      </c>
      <c r="I59" s="7" t="n"/>
      <c r="J59" s="7" t="inlineStr">
        <is>
          <t>aangewez organisatie / organisatie</t>
        </is>
      </c>
      <c r="K59" s="7" t="n">
        <v>0</v>
      </c>
      <c r="L59" s="7" t="n">
        <v>0</v>
      </c>
      <c r="M59" s="7" t="n">
        <v>13</v>
      </c>
      <c r="N59" s="7" t="inlineStr">
        <is>
          <t>BWBR0048156:16:1:1</t>
        </is>
      </c>
    </row>
    <row r="60">
      <c r="A60" s="7" t="n">
        <v>59</v>
      </c>
      <c r="B60" s="7" t="inlineStr">
        <is>
          <t>NL | not_actor</t>
        </is>
      </c>
      <c r="C60" s="7" t="inlineStr">
        <is>
          <t>sample</t>
        </is>
      </c>
      <c r="D60" s="7" t="inlineStr">
        <is>
          <t>NL</t>
        </is>
      </c>
      <c r="E60" s="7" t="inlineStr">
        <is>
          <t>not_actor</t>
        </is>
      </c>
      <c r="F60" s="7" t="inlineStr">
        <is>
          <t>tool</t>
        </is>
      </c>
      <c r="G60" s="7" t="inlineStr">
        <is>
          <t>not_actor</t>
        </is>
      </c>
      <c r="H60" s="7" t="n"/>
      <c r="I60" s="7" t="n"/>
      <c r="J60" s="7" t="inlineStr">
        <is>
          <t>tol</t>
        </is>
      </c>
      <c r="K60" s="7" t="n">
        <v>0</v>
      </c>
      <c r="L60" s="7" t="n">
        <v>0</v>
      </c>
      <c r="M60" s="7" t="n">
        <v>10</v>
      </c>
      <c r="N60" s="7" t="inlineStr">
        <is>
          <t>BWBR0009950:7.3:5:6</t>
        </is>
      </c>
    </row>
    <row r="61">
      <c r="A61" s="7" t="n">
        <v>60</v>
      </c>
      <c r="B61" s="7" t="inlineStr">
        <is>
          <t>NL | fallback</t>
        </is>
      </c>
      <c r="C61" s="7" t="inlineStr">
        <is>
          <t>sample</t>
        </is>
      </c>
      <c r="D61" s="7" t="inlineStr">
        <is>
          <t>NL</t>
        </is>
      </c>
      <c r="E61" s="7" t="inlineStr">
        <is>
          <t>fallback</t>
        </is>
      </c>
      <c r="F61" s="7" t="inlineStr">
        <is>
          <t>personen</t>
        </is>
      </c>
      <c r="G61" s="7" t="inlineStr">
        <is>
          <t>class:person</t>
        </is>
      </c>
      <c r="H61" s="7" t="n"/>
      <c r="I61" s="7" t="inlineStr">
        <is>
          <t>person</t>
        </is>
      </c>
      <c r="J61" s="7" t="inlineStr">
        <is>
          <t>person</t>
        </is>
      </c>
      <c r="K61" s="7" t="n">
        <v>0</v>
      </c>
      <c r="L61" s="7" t="n">
        <v>0</v>
      </c>
      <c r="M61" s="7" t="n">
        <v>11</v>
      </c>
      <c r="N61" s="7" t="inlineStr">
        <is>
          <t>BWBR0009950:11.5a:6:7</t>
        </is>
      </c>
    </row>
    <row r="62">
      <c r="A62" s="7" t="n">
        <v>61</v>
      </c>
      <c r="B62" s="7" t="inlineStr">
        <is>
          <t>EU | exact</t>
        </is>
      </c>
      <c r="C62" s="7" t="inlineStr">
        <is>
          <t>sample</t>
        </is>
      </c>
      <c r="D62" s="7" t="inlineStr">
        <is>
          <t>EU</t>
        </is>
      </c>
      <c r="E62" s="7" t="inlineStr">
        <is>
          <t>exact</t>
        </is>
      </c>
      <c r="F62" s="7" t="inlineStr">
        <is>
          <t>AI-board</t>
        </is>
      </c>
      <c r="G62" s="7" t="inlineStr">
        <is>
          <t>KEY:32024R1689:aiboard</t>
        </is>
      </c>
      <c r="H62" s="7" t="inlineStr">
        <is>
          <t>KEY:32024R1689:aiboard</t>
        </is>
      </c>
      <c r="I62" s="7" t="n"/>
      <c r="J62" s="7" t="inlineStr">
        <is>
          <t>aiboard</t>
        </is>
      </c>
      <c r="K62" s="7" t="n">
        <v>0</v>
      </c>
      <c r="L62" s="7" t="n">
        <v>0</v>
      </c>
      <c r="M62" s="7" t="n">
        <v>35</v>
      </c>
      <c r="N62" s="7" t="inlineStr">
        <is>
          <t>32024R1689:66:whole:18</t>
        </is>
      </c>
    </row>
    <row r="63">
      <c r="A63" s="7" t="n">
        <v>62</v>
      </c>
      <c r="B63" s="7" t="inlineStr">
        <is>
          <t>EU | not_actor</t>
        </is>
      </c>
      <c r="C63" s="7" t="inlineStr">
        <is>
          <t>sample</t>
        </is>
      </c>
      <c r="D63" s="7" t="inlineStr">
        <is>
          <t>EU</t>
        </is>
      </c>
      <c r="E63" s="7" t="inlineStr">
        <is>
          <t>not_actor</t>
        </is>
      </c>
      <c r="F63" s="7" t="inlineStr">
        <is>
          <t>secundaire verwerkingslocatie</t>
        </is>
      </c>
      <c r="G63" s="7" t="inlineStr">
        <is>
          <t>not_actor</t>
        </is>
      </c>
      <c r="H63" s="7" t="n"/>
      <c r="I63" s="7" t="n"/>
      <c r="J63" s="7" t="inlineStr">
        <is>
          <t>secundair verwerkingslocatie / verwerkingslocatie</t>
        </is>
      </c>
      <c r="K63" s="7" t="n">
        <v>0</v>
      </c>
      <c r="L63" s="7" t="n">
        <v>0</v>
      </c>
      <c r="M63" s="7" t="n">
        <v>7</v>
      </c>
      <c r="N63" s="7" t="inlineStr">
        <is>
          <t>32022R2554:12:5:20</t>
        </is>
      </c>
    </row>
    <row r="64">
      <c r="A64" s="7" t="n">
        <v>63</v>
      </c>
      <c r="B64" s="7" t="inlineStr">
        <is>
          <t>NL | shortened</t>
        </is>
      </c>
      <c r="C64" s="7" t="inlineStr">
        <is>
          <t>sample</t>
        </is>
      </c>
      <c r="D64" s="7" t="inlineStr">
        <is>
          <t>NL</t>
        </is>
      </c>
      <c r="E64" s="7" t="inlineStr">
        <is>
          <t>shortened</t>
        </is>
      </c>
      <c r="F64" s="7" t="inlineStr">
        <is>
          <t>bevoegde autoriteit voor een entiteit in de sector onderzoek</t>
        </is>
      </c>
      <c r="G64" s="7" t="inlineStr">
        <is>
          <t>BWBR0052872:bevoegde_autoriteit</t>
        </is>
      </c>
      <c r="H64" s="7" t="inlineStr">
        <is>
          <t>BWBR0052872:bevoegde_autoriteit</t>
        </is>
      </c>
      <c r="I64" s="7" t="n"/>
      <c r="J64" s="7" t="inlineStr">
        <is>
          <t>bevoegd autoriteit entiteit sector onderzoek / bevoegd autoriteit entiteit sector / bevoegd autoriteit entiteit / bevoegd autoriteit / autoriteit entiteit sector onderzoek / autoriteit entiteit sector / autoriteit entiteit / autoriteit</t>
        </is>
      </c>
      <c r="K64" s="7" t="n">
        <v>0</v>
      </c>
      <c r="L64" s="7" t="n">
        <v>0</v>
      </c>
      <c r="M64" s="7" t="n">
        <v>2</v>
      </c>
      <c r="N64" s="7" t="inlineStr">
        <is>
          <t>BWBR0052872:15:4:2</t>
        </is>
      </c>
    </row>
    <row r="65">
      <c r="A65" s="7" t="n">
        <v>64</v>
      </c>
      <c r="B65" s="7" t="inlineStr">
        <is>
          <t>census</t>
        </is>
      </c>
      <c r="C65" s="7" t="inlineStr">
        <is>
          <t>census</t>
        </is>
      </c>
      <c r="D65" s="7" t="inlineStr">
        <is>
          <t>EU</t>
        </is>
      </c>
      <c r="E65" s="7" t="inlineStr">
        <is>
          <t>not_actor</t>
        </is>
      </c>
      <c r="F65" s="7" t="inlineStr">
        <is>
          <t>lead overseer</t>
        </is>
      </c>
      <c r="G65" s="7" t="inlineStr">
        <is>
          <t>not_actor</t>
        </is>
      </c>
      <c r="H65" s="7" t="n"/>
      <c r="I65" s="7" t="n"/>
      <c r="J65" s="7" t="inlineStr">
        <is>
          <t>lead overser / overser</t>
        </is>
      </c>
      <c r="K65" s="7" t="n">
        <v>49</v>
      </c>
      <c r="L65" s="7" t="n">
        <v>0</v>
      </c>
      <c r="M65" s="7" t="n">
        <v>49</v>
      </c>
      <c r="N65" s="7" t="inlineStr">
        <is>
          <t>32022R2554:38:1:1, 32022R2554:39:3:7, 32022R2554:35:6:19</t>
        </is>
      </c>
    </row>
    <row r="66">
      <c r="A66" s="7" t="n">
        <v>65</v>
      </c>
      <c r="B66" s="7" t="inlineStr">
        <is>
          <t>NL | exact</t>
        </is>
      </c>
      <c r="C66" s="7" t="inlineStr">
        <is>
          <t>sample</t>
        </is>
      </c>
      <c r="D66" s="7" t="inlineStr">
        <is>
          <t>NL</t>
        </is>
      </c>
      <c r="E66" s="7" t="inlineStr">
        <is>
          <t>exact</t>
        </is>
      </c>
      <c r="F66" s="7" t="inlineStr">
        <is>
          <t>aangewezen organisaties</t>
        </is>
      </c>
      <c r="G66" s="7" t="inlineStr">
        <is>
          <t>BWBR0048156:aangewezen_organisatie</t>
        </is>
      </c>
      <c r="H66" s="7" t="inlineStr">
        <is>
          <t>BWBR0048156:aangewezen_organisatie</t>
        </is>
      </c>
      <c r="I66" s="7" t="n"/>
      <c r="J66" s="7" t="inlineStr">
        <is>
          <t>aangewez organisatie / organisatie</t>
        </is>
      </c>
      <c r="K66" s="7" t="n">
        <v>0</v>
      </c>
      <c r="L66" s="7" t="n">
        <v>0</v>
      </c>
      <c r="M66" s="7" t="n">
        <v>13</v>
      </c>
      <c r="N66" s="7" t="inlineStr">
        <is>
          <t>BWBR0048156:15:2:1</t>
        </is>
      </c>
    </row>
    <row r="67">
      <c r="A67" s="7" t="n">
        <v>66</v>
      </c>
      <c r="B67" s="7" t="inlineStr">
        <is>
          <t>EU | not_actor</t>
        </is>
      </c>
      <c r="C67" s="7" t="inlineStr">
        <is>
          <t>sample</t>
        </is>
      </c>
      <c r="D67" s="7" t="inlineStr">
        <is>
          <t>EU</t>
        </is>
      </c>
      <c r="E67" s="7" t="inlineStr">
        <is>
          <t>not_actor</t>
        </is>
      </c>
      <c r="F67" s="7" t="inlineStr">
        <is>
          <t>scannen</t>
        </is>
      </c>
      <c r="G67" s="7" t="inlineStr">
        <is>
          <t>not_actor</t>
        </is>
      </c>
      <c r="H67" s="7" t="n"/>
      <c r="I67" s="7" t="n"/>
      <c r="J67" s="7" t="inlineStr">
        <is>
          <t>scann</t>
        </is>
      </c>
      <c r="K67" s="7" t="n">
        <v>0</v>
      </c>
      <c r="L67" s="7" t="n">
        <v>0</v>
      </c>
      <c r="M67" s="7" t="n">
        <v>1</v>
      </c>
      <c r="N67" s="7" t="inlineStr">
        <is>
          <t>32022L2555:11:3:24</t>
        </is>
      </c>
    </row>
    <row r="68">
      <c r="A68" s="7" t="n">
        <v>67</v>
      </c>
      <c r="B68" s="7" t="inlineStr">
        <is>
          <t>NL | exact</t>
        </is>
      </c>
      <c r="C68" s="7" t="inlineStr">
        <is>
          <t>sample</t>
        </is>
      </c>
      <c r="D68" s="7" t="inlineStr">
        <is>
          <t>NL</t>
        </is>
      </c>
      <c r="E68" s="7" t="inlineStr">
        <is>
          <t>exact</t>
        </is>
      </c>
      <c r="F68" s="7" t="inlineStr">
        <is>
          <t>belangrijke entiteit</t>
        </is>
      </c>
      <c r="G68" s="7" t="inlineStr">
        <is>
          <t>BWBR0052872:belangrijke_entiteit</t>
        </is>
      </c>
      <c r="H68" s="7" t="inlineStr">
        <is>
          <t>BWBR0052872:belangrijke_entiteit</t>
        </is>
      </c>
      <c r="I68" s="7" t="n"/>
      <c r="J68" s="7" t="inlineStr">
        <is>
          <t>belangrijk entiteit / entiteit</t>
        </is>
      </c>
      <c r="K68" s="7" t="n">
        <v>0</v>
      </c>
      <c r="L68" s="7" t="n">
        <v>0</v>
      </c>
      <c r="M68" s="7" t="n">
        <v>23</v>
      </c>
      <c r="N68" s="7" t="inlineStr">
        <is>
          <t>BWBR0052872:29:2:3</t>
        </is>
      </c>
    </row>
    <row r="69">
      <c r="A69" s="7" t="n">
        <v>68</v>
      </c>
      <c r="B69" s="7" t="inlineStr">
        <is>
          <t>NL | shortened</t>
        </is>
      </c>
      <c r="C69" s="7" t="inlineStr">
        <is>
          <t>sample</t>
        </is>
      </c>
      <c r="D69" s="7" t="inlineStr">
        <is>
          <t>NL</t>
        </is>
      </c>
      <c r="E69" s="7" t="inlineStr">
        <is>
          <t>shortened</t>
        </is>
      </c>
      <c r="F69" s="7" t="inlineStr">
        <is>
          <t>Onze Minister van Economische Zaken</t>
        </is>
      </c>
      <c r="G69" s="7" t="inlineStr">
        <is>
          <t>BWBR0052872:onze_minister</t>
        </is>
      </c>
      <c r="H69" s="7" t="inlineStr">
        <is>
          <t>BWBR0052872:onze_minister</t>
        </is>
      </c>
      <c r="I69" s="7" t="n"/>
      <c r="J69" s="7" t="inlineStr">
        <is>
          <t>onz minister economisch zak / onz minister economisch / onz minister / minister economisch zak / minister economisch / minister</t>
        </is>
      </c>
      <c r="K69" s="7" t="n">
        <v>0</v>
      </c>
      <c r="L69" s="7" t="n">
        <v>0</v>
      </c>
      <c r="M69" s="7" t="n">
        <v>2</v>
      </c>
      <c r="N69" s="7" t="inlineStr">
        <is>
          <t>BWBR0052872:59:whole:1</t>
        </is>
      </c>
    </row>
    <row r="70">
      <c r="A70" s="7" t="n">
        <v>69</v>
      </c>
      <c r="B70" s="7" t="inlineStr">
        <is>
          <t>EU | not_actor</t>
        </is>
      </c>
      <c r="C70" s="7" t="inlineStr">
        <is>
          <t>sample</t>
        </is>
      </c>
      <c r="D70" s="7" t="inlineStr">
        <is>
          <t>EU</t>
        </is>
      </c>
      <c r="E70" s="7" t="inlineStr">
        <is>
          <t>not_actor</t>
        </is>
      </c>
      <c r="F70" s="7" t="inlineStr">
        <is>
          <t>gebruik van het systeem voor biometrische identificatie op afstand achteraf</t>
        </is>
      </c>
      <c r="G70" s="7" t="inlineStr">
        <is>
          <t>not_actor</t>
        </is>
      </c>
      <c r="H70" s="7" t="n"/>
      <c r="I70" s="7" t="n"/>
      <c r="J70" s="7" t="inlineStr">
        <is>
          <t>gebruik system biometrisch identificatie afstand achteraf / gebruik system biometrisch identificatie afstand / gebruik system biometrisch identificatie / gebruik system biometrisch / gebruik system / gebruik</t>
        </is>
      </c>
      <c r="K70" s="7" t="n">
        <v>0</v>
      </c>
      <c r="L70" s="7" t="n">
        <v>0</v>
      </c>
      <c r="M70" s="7" t="n">
        <v>1</v>
      </c>
      <c r="N70" s="7" t="inlineStr">
        <is>
          <t>32024R1689:26:10:22</t>
        </is>
      </c>
    </row>
    <row r="71">
      <c r="A71" s="7" t="n">
        <v>70</v>
      </c>
      <c r="B71" s="7" t="inlineStr">
        <is>
          <t>EU | not_actor</t>
        </is>
      </c>
      <c r="C71" s="7" t="inlineStr">
        <is>
          <t>sample</t>
        </is>
      </c>
      <c r="D71" s="7" t="inlineStr">
        <is>
          <t>EU</t>
        </is>
      </c>
      <c r="E71" s="7" t="inlineStr">
        <is>
          <t>not_actor</t>
        </is>
      </c>
      <c r="F71" s="7" t="inlineStr">
        <is>
          <t>vertrek uit de AI-testomgeving voor regelgeving</t>
        </is>
      </c>
      <c r="G71" s="7" t="inlineStr">
        <is>
          <t>not_actor</t>
        </is>
      </c>
      <c r="H71" s="7" t="n"/>
      <c r="I71" s="7" t="n"/>
      <c r="J71" s="7" t="inlineStr">
        <is>
          <t>vertrek aitestomgev regelgev / vertrek aitestomgev / vertrek</t>
        </is>
      </c>
      <c r="K71" s="7" t="n">
        <v>0</v>
      </c>
      <c r="L71" s="7" t="n">
        <v>0</v>
      </c>
      <c r="M71" s="7" t="n">
        <v>3</v>
      </c>
      <c r="N71" s="7" t="inlineStr">
        <is>
          <t>32024R1689:58:2:14</t>
        </is>
      </c>
    </row>
    <row r="72">
      <c r="A72" s="7" t="n">
        <v>71</v>
      </c>
      <c r="B72" s="7" t="inlineStr">
        <is>
          <t>EU | shortened</t>
        </is>
      </c>
      <c r="C72" s="7" t="inlineStr">
        <is>
          <t>sample</t>
        </is>
      </c>
      <c r="D72" s="7" t="inlineStr">
        <is>
          <t>EU</t>
        </is>
      </c>
      <c r="E72" s="7" t="inlineStr">
        <is>
          <t>shortened</t>
        </is>
      </c>
      <c r="F72" s="7" t="inlineStr">
        <is>
          <t>aanbieder van een betrokken AI-systeem</t>
        </is>
      </c>
      <c r="G72" s="7" t="inlineStr">
        <is>
          <t>32024R1689:aanbieder</t>
        </is>
      </c>
      <c r="H72" s="7" t="inlineStr">
        <is>
          <t>32024R1689:aanbieder</t>
        </is>
      </c>
      <c r="I72" s="7" t="n"/>
      <c r="J72" s="7" t="inlineStr">
        <is>
          <t>aanbieder betrok aisystem / aanbieder betrok / aanbieder</t>
        </is>
      </c>
      <c r="K72" s="7" t="n">
        <v>0</v>
      </c>
      <c r="L72" s="7" t="n">
        <v>0</v>
      </c>
      <c r="M72" s="7" t="n">
        <v>1</v>
      </c>
      <c r="N72" s="7" t="inlineStr">
        <is>
          <t>32024R1689:80:4:7</t>
        </is>
      </c>
    </row>
    <row r="73">
      <c r="A73" s="7" t="n">
        <v>72</v>
      </c>
      <c r="B73" s="7" t="inlineStr">
        <is>
          <t>EU | exact</t>
        </is>
      </c>
      <c r="C73" s="7" t="inlineStr">
        <is>
          <t>sample</t>
        </is>
      </c>
      <c r="D73" s="7" t="inlineStr">
        <is>
          <t>EU</t>
        </is>
      </c>
      <c r="E73" s="7" t="inlineStr">
        <is>
          <t>exact</t>
        </is>
      </c>
      <c r="F73" s="7" t="inlineStr">
        <is>
          <t>voorzitter</t>
        </is>
      </c>
      <c r="G73" s="7" t="inlineStr">
        <is>
          <t>KEY:32016R0679:voorzitter</t>
        </is>
      </c>
      <c r="H73" s="7" t="inlineStr">
        <is>
          <t>KEY:32016R0679:voorzitter</t>
        </is>
      </c>
      <c r="I73" s="7" t="n"/>
      <c r="J73" s="7" t="inlineStr">
        <is>
          <t>voorzitter</t>
        </is>
      </c>
      <c r="K73" s="7" t="n">
        <v>0</v>
      </c>
      <c r="L73" s="7" t="n">
        <v>0</v>
      </c>
      <c r="M73" s="7" t="n">
        <v>6</v>
      </c>
      <c r="N73" s="7" t="inlineStr">
        <is>
          <t>32016R0679:74:1:4</t>
        </is>
      </c>
    </row>
    <row r="74">
      <c r="A74" s="7" t="n">
        <v>73</v>
      </c>
      <c r="B74" s="7" t="inlineStr">
        <is>
          <t>NL | fallback</t>
        </is>
      </c>
      <c r="C74" s="7" t="inlineStr">
        <is>
          <t>sample</t>
        </is>
      </c>
      <c r="D74" s="7" t="inlineStr">
        <is>
          <t>NL</t>
        </is>
      </c>
      <c r="E74" s="7" t="inlineStr">
        <is>
          <t>fallback</t>
        </is>
      </c>
      <c r="F74" s="7" t="inlineStr">
        <is>
          <t>rechtspersoon</t>
        </is>
      </c>
      <c r="G74" s="7" t="inlineStr">
        <is>
          <t>class:party</t>
        </is>
      </c>
      <c r="H74" s="7" t="n"/>
      <c r="I74" s="7" t="inlineStr">
        <is>
          <t>party</t>
        </is>
      </c>
      <c r="J74" s="7" t="inlineStr">
        <is>
          <t>rechtsperson</t>
        </is>
      </c>
      <c r="K74" s="7" t="n">
        <v>0</v>
      </c>
      <c r="L74" s="7" t="n">
        <v>0</v>
      </c>
      <c r="M74" s="7" t="n">
        <v>3</v>
      </c>
      <c r="N74" s="7" t="inlineStr">
        <is>
          <t>BWBR0009950:11.7:3:3</t>
        </is>
      </c>
    </row>
    <row r="75">
      <c r="A75" s="7" t="n">
        <v>74</v>
      </c>
      <c r="B75" s="7" t="inlineStr">
        <is>
          <t>NL | not_actor</t>
        </is>
      </c>
      <c r="C75" s="7" t="inlineStr">
        <is>
          <t>sample</t>
        </is>
      </c>
      <c r="D75" s="7" t="inlineStr">
        <is>
          <t>NL</t>
        </is>
      </c>
      <c r="E75" s="7" t="inlineStr">
        <is>
          <t>not_actor</t>
        </is>
      </c>
      <c r="F75" s="7" t="inlineStr">
        <is>
          <t>registers voor topleveldomeinnamen en de entiteiten</t>
        </is>
      </c>
      <c r="G75" s="7" t="inlineStr">
        <is>
          <t>not_actor</t>
        </is>
      </c>
      <c r="H75" s="7" t="n"/>
      <c r="I75" s="7" t="n"/>
      <c r="J75" s="7" t="inlineStr">
        <is>
          <t>register topleveldomeinnam entiteit / register topleveldomeinnam / register</t>
        </is>
      </c>
      <c r="K75" s="7" t="n">
        <v>0</v>
      </c>
      <c r="L75" s="7" t="n">
        <v>0</v>
      </c>
      <c r="M75" s="7" t="n">
        <v>14</v>
      </c>
      <c r="N75" s="7" t="inlineStr">
        <is>
          <t>BWBR0052872:49:5:6</t>
        </is>
      </c>
    </row>
    <row r="76">
      <c r="A76" s="7" t="n">
        <v>75</v>
      </c>
      <c r="B76" s="7" t="inlineStr">
        <is>
          <t>EU | exact</t>
        </is>
      </c>
      <c r="C76" s="7" t="inlineStr">
        <is>
          <t>sample</t>
        </is>
      </c>
      <c r="D76" s="7" t="inlineStr">
        <is>
          <t>EU</t>
        </is>
      </c>
      <c r="E76" s="7" t="inlineStr">
        <is>
          <t>exact</t>
        </is>
      </c>
      <c r="F76" s="7" t="inlineStr">
        <is>
          <t>verwerkers</t>
        </is>
      </c>
      <c r="G76" s="7" t="inlineStr">
        <is>
          <t>32016R0679:verwerker</t>
        </is>
      </c>
      <c r="H76" s="7" t="inlineStr">
        <is>
          <t>32016R0679:verwerker</t>
        </is>
      </c>
      <c r="I76" s="7" t="n"/>
      <c r="J76" s="7" t="inlineStr">
        <is>
          <t>verwerker</t>
        </is>
      </c>
      <c r="K76" s="7" t="n">
        <v>0</v>
      </c>
      <c r="L76" s="7" t="n">
        <v>0</v>
      </c>
      <c r="M76" s="7" t="n">
        <v>3</v>
      </c>
      <c r="N76" s="7" t="inlineStr">
        <is>
          <t>32016R0679:40:3:6</t>
        </is>
      </c>
    </row>
    <row r="77">
      <c r="A77" s="7" t="n">
        <v>76</v>
      </c>
      <c r="B77" s="7" t="inlineStr">
        <is>
          <t>EU | fallback</t>
        </is>
      </c>
      <c r="C77" s="7" t="inlineStr">
        <is>
          <t>sample</t>
        </is>
      </c>
      <c r="D77" s="7" t="inlineStr">
        <is>
          <t>EU</t>
        </is>
      </c>
      <c r="E77" s="7" t="inlineStr">
        <is>
          <t>fallback</t>
        </is>
      </c>
      <c r="F77" s="7" t="inlineStr">
        <is>
          <t>deelnemers aan het normalisatieproces</t>
        </is>
      </c>
      <c r="G77" s="7" t="inlineStr">
        <is>
          <t>class:party</t>
        </is>
      </c>
      <c r="H77" s="7" t="n"/>
      <c r="I77" s="7" t="inlineStr">
        <is>
          <t>party</t>
        </is>
      </c>
      <c r="J77" s="7" t="inlineStr">
        <is>
          <t>deelnemer normalisatieproc / deelnemer</t>
        </is>
      </c>
      <c r="K77" s="7" t="n">
        <v>0</v>
      </c>
      <c r="L77" s="7" t="n">
        <v>0</v>
      </c>
      <c r="M77" s="7" t="n">
        <v>3</v>
      </c>
      <c r="N77" s="7" t="inlineStr">
        <is>
          <t>32024R1689:40:3:7</t>
        </is>
      </c>
    </row>
    <row r="78">
      <c r="A78" s="7" t="n">
        <v>77</v>
      </c>
      <c r="B78" s="7" t="inlineStr">
        <is>
          <t>NL | exact</t>
        </is>
      </c>
      <c r="C78" s="7" t="inlineStr">
        <is>
          <t>sample</t>
        </is>
      </c>
      <c r="D78" s="7" t="inlineStr">
        <is>
          <t>NL</t>
        </is>
      </c>
      <c r="E78" s="7" t="inlineStr">
        <is>
          <t>exact</t>
        </is>
      </c>
      <c r="F78" s="7" t="inlineStr">
        <is>
          <t>abonnee</t>
        </is>
      </c>
      <c r="G78" s="7" t="inlineStr">
        <is>
          <t>BWBR0009950:abonnee</t>
        </is>
      </c>
      <c r="H78" s="7" t="inlineStr">
        <is>
          <t>BWBR0009950:abonnee</t>
        </is>
      </c>
      <c r="I78" s="7" t="n"/>
      <c r="J78" s="7" t="inlineStr">
        <is>
          <t>abonnee</t>
        </is>
      </c>
      <c r="K78" s="7" t="n">
        <v>0</v>
      </c>
      <c r="L78" s="7" t="n">
        <v>0</v>
      </c>
      <c r="M78" s="7" t="n">
        <v>9</v>
      </c>
      <c r="N78" s="7" t="inlineStr">
        <is>
          <t>BWBR0009950:11.6:4:9</t>
        </is>
      </c>
    </row>
    <row r="79">
      <c r="A79" s="7" t="n">
        <v>78</v>
      </c>
      <c r="B79" s="7" t="inlineStr">
        <is>
          <t>EU | not_actor</t>
        </is>
      </c>
      <c r="C79" s="7" t="inlineStr">
        <is>
          <t>sample</t>
        </is>
      </c>
      <c r="D79" s="7" t="inlineStr">
        <is>
          <t>EU</t>
        </is>
      </c>
      <c r="E79" s="7" t="inlineStr">
        <is>
          <t>not_actor</t>
        </is>
      </c>
      <c r="F79" s="7" t="inlineStr">
        <is>
          <t>aangestelde lead overseer</t>
        </is>
      </c>
      <c r="G79" s="7" t="inlineStr">
        <is>
          <t>not_actor</t>
        </is>
      </c>
      <c r="H79" s="7" t="n"/>
      <c r="I79" s="7" t="n"/>
      <c r="J79" s="7" t="inlineStr">
        <is>
          <t>aangesteld lead overser / lead overser / overser</t>
        </is>
      </c>
      <c r="K79" s="7" t="n">
        <v>0</v>
      </c>
      <c r="L79" s="7" t="n">
        <v>0</v>
      </c>
      <c r="M79" s="7" t="n">
        <v>2</v>
      </c>
      <c r="N79" s="7" t="inlineStr">
        <is>
          <t>32022R2554:33:1:1</t>
        </is>
      </c>
    </row>
    <row r="80">
      <c r="A80" s="7" t="n">
        <v>79</v>
      </c>
      <c r="B80" s="7" t="inlineStr">
        <is>
          <t>census</t>
        </is>
      </c>
      <c r="C80" s="7" t="inlineStr">
        <is>
          <t>census</t>
        </is>
      </c>
      <c r="D80" s="7" t="inlineStr">
        <is>
          <t>EU</t>
        </is>
      </c>
      <c r="E80" s="7" t="inlineStr">
        <is>
          <t>fallback</t>
        </is>
      </c>
      <c r="F80" s="7" t="inlineStr">
        <is>
          <t>CSIRT’s</t>
        </is>
      </c>
      <c r="G80" s="7" t="inlineStr">
        <is>
          <t>class:authority</t>
        </is>
      </c>
      <c r="H80" s="7" t="n"/>
      <c r="I80" s="7" t="inlineStr">
        <is>
          <t>authority</t>
        </is>
      </c>
      <c r="J80" s="7" t="inlineStr">
        <is>
          <t>csirt</t>
        </is>
      </c>
      <c r="K80" s="7" t="n">
        <v>48</v>
      </c>
      <c r="L80" s="7" t="n">
        <v>0</v>
      </c>
      <c r="M80" s="7" t="n">
        <v>48</v>
      </c>
      <c r="N80" s="7" t="inlineStr">
        <is>
          <t>32022L2555:11:3:28, 32022L2555:11:1:6, 32022L2555:11:3:22</t>
        </is>
      </c>
    </row>
    <row r="81">
      <c r="A81" s="7" t="n">
        <v>80</v>
      </c>
      <c r="B81" s="7" t="inlineStr">
        <is>
          <t>NL | fallback</t>
        </is>
      </c>
      <c r="C81" s="7" t="inlineStr">
        <is>
          <t>sample</t>
        </is>
      </c>
      <c r="D81" s="7" t="inlineStr">
        <is>
          <t>NL</t>
        </is>
      </c>
      <c r="E81" s="7" t="inlineStr">
        <is>
          <t>fallback</t>
        </is>
      </c>
      <c r="F81" s="7" t="inlineStr">
        <is>
          <t>burgemeester</t>
        </is>
      </c>
      <c r="G81" s="7" t="inlineStr">
        <is>
          <t>class:state</t>
        </is>
      </c>
      <c r="H81" s="7" t="n"/>
      <c r="I81" s="7" t="inlineStr">
        <is>
          <t>state</t>
        </is>
      </c>
      <c r="J81" s="7" t="inlineStr">
        <is>
          <t>burgemeester</t>
        </is>
      </c>
      <c r="K81" s="7" t="n">
        <v>0</v>
      </c>
      <c r="L81" s="7" t="n">
        <v>0</v>
      </c>
      <c r="M81" s="7" t="n">
        <v>2</v>
      </c>
      <c r="N81" s="7" t="inlineStr">
        <is>
          <t>BWBR0009950:5.14:3:6</t>
        </is>
      </c>
    </row>
    <row r="82">
      <c r="A82" s="7" t="n">
        <v>81</v>
      </c>
      <c r="B82" s="7" t="inlineStr">
        <is>
          <t>EU | fallback</t>
        </is>
      </c>
      <c r="C82" s="7" t="inlineStr">
        <is>
          <t>sample</t>
        </is>
      </c>
      <c r="D82" s="7" t="inlineStr">
        <is>
          <t>EU</t>
        </is>
      </c>
      <c r="E82" s="7" t="inlineStr">
        <is>
          <t>fallback</t>
        </is>
      </c>
      <c r="F82" s="7" t="inlineStr">
        <is>
          <t>onderaannemer</t>
        </is>
      </c>
      <c r="G82" s="7" t="inlineStr">
        <is>
          <t>class:party</t>
        </is>
      </c>
      <c r="H82" s="7" t="n"/>
      <c r="I82" s="7" t="inlineStr">
        <is>
          <t>party</t>
        </is>
      </c>
      <c r="J82" s="7" t="inlineStr">
        <is>
          <t>onderaannemer</t>
        </is>
      </c>
      <c r="K82" s="7" t="n">
        <v>0</v>
      </c>
      <c r="L82" s="7" t="n">
        <v>0</v>
      </c>
      <c r="M82" s="7" t="n">
        <v>1</v>
      </c>
      <c r="N82" s="7" t="inlineStr">
        <is>
          <t>32024R1689:33:3:4</t>
        </is>
      </c>
    </row>
    <row r="83">
      <c r="A83" s="7" t="n">
        <v>82</v>
      </c>
      <c r="B83" s="7" t="inlineStr">
        <is>
          <t>EU | exact</t>
        </is>
      </c>
      <c r="C83" s="7" t="inlineStr">
        <is>
          <t>sample</t>
        </is>
      </c>
      <c r="D83" s="7" t="inlineStr">
        <is>
          <t>EU</t>
        </is>
      </c>
      <c r="E83" s="7" t="inlineStr">
        <is>
          <t>exact</t>
        </is>
      </c>
      <c r="F83" s="7" t="inlineStr">
        <is>
          <t>AI-board</t>
        </is>
      </c>
      <c r="G83" s="7" t="inlineStr">
        <is>
          <t>KEY:32024R1689:aiboard</t>
        </is>
      </c>
      <c r="H83" s="7" t="inlineStr">
        <is>
          <t>KEY:32024R1689:aiboard</t>
        </is>
      </c>
      <c r="I83" s="7" t="n"/>
      <c r="J83" s="7" t="inlineStr">
        <is>
          <t>aiboard</t>
        </is>
      </c>
      <c r="K83" s="7" t="n">
        <v>0</v>
      </c>
      <c r="L83" s="7" t="n">
        <v>0</v>
      </c>
      <c r="M83" s="7" t="n">
        <v>35</v>
      </c>
      <c r="N83" s="7" t="inlineStr">
        <is>
          <t>32024R1689:66:whole:7</t>
        </is>
      </c>
    </row>
    <row r="84">
      <c r="A84" s="7" t="n">
        <v>83</v>
      </c>
      <c r="B84" s="7" t="inlineStr">
        <is>
          <t>NL | not_actor</t>
        </is>
      </c>
      <c r="C84" s="7" t="inlineStr">
        <is>
          <t>sample</t>
        </is>
      </c>
      <c r="D84" s="7" t="inlineStr">
        <is>
          <t>NL</t>
        </is>
      </c>
      <c r="E84" s="7" t="inlineStr">
        <is>
          <t>not_actor</t>
        </is>
      </c>
      <c r="F84" s="7" t="inlineStr">
        <is>
          <t>verkeersgegevens</t>
        </is>
      </c>
      <c r="G84" s="7" t="inlineStr">
        <is>
          <t>not_actor</t>
        </is>
      </c>
      <c r="H84" s="7" t="n"/>
      <c r="I84" s="7" t="n"/>
      <c r="J84" s="7" t="inlineStr">
        <is>
          <t>verkeersgegeven</t>
        </is>
      </c>
      <c r="K84" s="7" t="n">
        <v>0</v>
      </c>
      <c r="L84" s="7" t="n">
        <v>0</v>
      </c>
      <c r="M84" s="7" t="n">
        <v>2</v>
      </c>
      <c r="N84" s="7" t="inlineStr">
        <is>
          <t>BWBR0009950:11.5:2:4</t>
        </is>
      </c>
    </row>
    <row r="85">
      <c r="A85" s="7" t="n">
        <v>84</v>
      </c>
      <c r="B85" s="7" t="inlineStr">
        <is>
          <t>NL | exact</t>
        </is>
      </c>
      <c r="C85" s="7" t="inlineStr">
        <is>
          <t>sample</t>
        </is>
      </c>
      <c r="D85" s="7" t="inlineStr">
        <is>
          <t>NL</t>
        </is>
      </c>
      <c r="E85" s="7" t="inlineStr">
        <is>
          <t>exact</t>
        </is>
      </c>
      <c r="F85" s="7" t="inlineStr">
        <is>
          <t>Nummerhouders</t>
        </is>
      </c>
      <c r="G85" s="7" t="inlineStr">
        <is>
          <t>BWBR0009950:nummerhouder</t>
        </is>
      </c>
      <c r="H85" s="7" t="inlineStr">
        <is>
          <t>BWBR0009950:nummerhouder</t>
        </is>
      </c>
      <c r="I85" s="7" t="n"/>
      <c r="J85" s="7" t="inlineStr">
        <is>
          <t>nummerhouder</t>
        </is>
      </c>
      <c r="K85" s="7" t="n">
        <v>0</v>
      </c>
      <c r="L85" s="7" t="n">
        <v>0</v>
      </c>
      <c r="M85" s="7" t="n">
        <v>1</v>
      </c>
      <c r="N85" s="7" t="inlineStr">
        <is>
          <t>BWBR0009950:20.16a:2:1</t>
        </is>
      </c>
    </row>
    <row r="86">
      <c r="A86" s="7" t="n">
        <v>85</v>
      </c>
      <c r="B86" s="7" t="inlineStr">
        <is>
          <t>NL | fallback</t>
        </is>
      </c>
      <c r="C86" s="7" t="inlineStr">
        <is>
          <t>sample</t>
        </is>
      </c>
      <c r="D86" s="7" t="inlineStr">
        <is>
          <t>NL</t>
        </is>
      </c>
      <c r="E86" s="7" t="inlineStr">
        <is>
          <t>fallback</t>
        </is>
      </c>
      <c r="F86" s="7" t="inlineStr">
        <is>
          <t>rechtbank</t>
        </is>
      </c>
      <c r="G86" s="7" t="inlineStr">
        <is>
          <t>class:institution</t>
        </is>
      </c>
      <c r="H86" s="7" t="n"/>
      <c r="I86" s="7" t="inlineStr">
        <is>
          <t>institution</t>
        </is>
      </c>
      <c r="J86" s="7" t="inlineStr">
        <is>
          <t>rechtbank</t>
        </is>
      </c>
      <c r="K86" s="7" t="n">
        <v>0</v>
      </c>
      <c r="L86" s="7" t="n">
        <v>0</v>
      </c>
      <c r="M86" s="7" t="n">
        <v>5</v>
      </c>
      <c r="N86" s="7" t="inlineStr">
        <is>
          <t>BWBR0040940:35:6:10</t>
        </is>
      </c>
    </row>
    <row r="87">
      <c r="A87" s="7" t="n">
        <v>86</v>
      </c>
      <c r="B87" s="7" t="inlineStr">
        <is>
          <t>EU | shortened</t>
        </is>
      </c>
      <c r="C87" s="7" t="inlineStr">
        <is>
          <t>sample</t>
        </is>
      </c>
      <c r="D87" s="7" t="inlineStr">
        <is>
          <t>EU</t>
        </is>
      </c>
      <c r="E87" s="7" t="inlineStr">
        <is>
          <t>shortened</t>
        </is>
      </c>
      <c r="F87" s="7" t="inlineStr">
        <is>
          <t>relevante operator</t>
        </is>
      </c>
      <c r="G87" s="7" t="inlineStr">
        <is>
          <t>32024R1689:operator</t>
        </is>
      </c>
      <c r="H87" s="7" t="inlineStr">
        <is>
          <t>32024R1689:operator</t>
        </is>
      </c>
      <c r="I87" s="7" t="n"/>
      <c r="J87" s="7" t="inlineStr">
        <is>
          <t>relevant operator / operator</t>
        </is>
      </c>
      <c r="K87" s="7" t="n">
        <v>0</v>
      </c>
      <c r="L87" s="7" t="n">
        <v>0</v>
      </c>
      <c r="M87" s="7" t="n">
        <v>1</v>
      </c>
      <c r="N87" s="7" t="inlineStr">
        <is>
          <t>32024R1689:82:2:2</t>
        </is>
      </c>
    </row>
    <row r="88">
      <c r="A88" s="7" t="n">
        <v>87</v>
      </c>
      <c r="B88" s="7" t="inlineStr">
        <is>
          <t>EU | fallback</t>
        </is>
      </c>
      <c r="C88" s="7" t="inlineStr">
        <is>
          <t>sample</t>
        </is>
      </c>
      <c r="D88" s="7" t="inlineStr">
        <is>
          <t>EU</t>
        </is>
      </c>
      <c r="E88" s="7" t="inlineStr">
        <is>
          <t>fallback</t>
        </is>
      </c>
      <c r="F88" s="7" t="inlineStr">
        <is>
          <t>proefpersonen</t>
        </is>
      </c>
      <c r="G88" s="7" t="inlineStr">
        <is>
          <t>class:person</t>
        </is>
      </c>
      <c r="H88" s="7" t="n"/>
      <c r="I88" s="7" t="inlineStr">
        <is>
          <t>person</t>
        </is>
      </c>
      <c r="J88" s="7" t="inlineStr">
        <is>
          <t>proefperson</t>
        </is>
      </c>
      <c r="K88" s="7" t="n">
        <v>0</v>
      </c>
      <c r="L88" s="7" t="n">
        <v>0</v>
      </c>
      <c r="M88" s="7" t="n">
        <v>2</v>
      </c>
      <c r="N88" s="7" t="inlineStr">
        <is>
          <t>32024R1689:60:4:15</t>
        </is>
      </c>
    </row>
    <row r="89">
      <c r="A89" s="7" t="n">
        <v>88</v>
      </c>
      <c r="B89" s="7" t="inlineStr">
        <is>
          <t>census</t>
        </is>
      </c>
      <c r="C89" s="7" t="inlineStr">
        <is>
          <t>census</t>
        </is>
      </c>
      <c r="D89" s="7" t="inlineStr">
        <is>
          <t>EU</t>
        </is>
      </c>
      <c r="E89" s="7" t="inlineStr">
        <is>
          <t>exact</t>
        </is>
      </c>
      <c r="F89" s="7" t="inlineStr">
        <is>
          <t>toezichthoudende autoriteit</t>
        </is>
      </c>
      <c r="G89" s="7" t="inlineStr">
        <is>
          <t>32016R0679:toezichthoudende_autoriteit</t>
        </is>
      </c>
      <c r="H89" s="7" t="inlineStr">
        <is>
          <t>32016R0679:toezichthoudende_autoriteit</t>
        </is>
      </c>
      <c r="I89" s="7" t="n"/>
      <c r="J89" s="7" t="inlineStr">
        <is>
          <t>toezichthoud autoriteit / autoriteit</t>
        </is>
      </c>
      <c r="K89" s="7" t="n">
        <v>96</v>
      </c>
      <c r="L89" s="7" t="n">
        <v>0</v>
      </c>
      <c r="M89" s="7" t="n">
        <v>96</v>
      </c>
      <c r="N89" s="7" t="inlineStr">
        <is>
          <t>32016R0679:60:7:15, 32016R0679:58:1:4, 32016R0679:58:2:14</t>
        </is>
      </c>
    </row>
    <row r="90">
      <c r="A90" s="7" t="n">
        <v>89</v>
      </c>
      <c r="B90" s="7" t="inlineStr">
        <is>
          <t>census</t>
        </is>
      </c>
      <c r="C90" s="7" t="inlineStr">
        <is>
          <t>census</t>
        </is>
      </c>
      <c r="D90" s="7" t="inlineStr">
        <is>
          <t>EU</t>
        </is>
      </c>
      <c r="E90" s="7" t="inlineStr">
        <is>
          <t>fallback</t>
        </is>
      </c>
      <c r="F90" s="7" t="inlineStr">
        <is>
          <t>Financiële entiteiten</t>
        </is>
      </c>
      <c r="G90" s="7" t="inlineStr">
        <is>
          <t>class:party</t>
        </is>
      </c>
      <c r="H90" s="7" t="n"/>
      <c r="I90" s="7" t="inlineStr">
        <is>
          <t>party</t>
        </is>
      </c>
      <c r="J90" s="7" t="inlineStr">
        <is>
          <t>financiel entiteit / entiteit</t>
        </is>
      </c>
      <c r="K90" s="7" t="n">
        <v>87</v>
      </c>
      <c r="L90" s="7" t="n">
        <v>0</v>
      </c>
      <c r="M90" s="7" t="n">
        <v>87</v>
      </c>
      <c r="N90" s="7" t="inlineStr">
        <is>
          <t>32022R2554:10:1:4, 32022R2554:17:1:2, 32022R2554:28:1:1</t>
        </is>
      </c>
    </row>
    <row r="91">
      <c r="A91" s="7" t="n">
        <v>90</v>
      </c>
      <c r="B91" s="7" t="inlineStr">
        <is>
          <t>NL | shortened</t>
        </is>
      </c>
      <c r="C91" s="7" t="inlineStr">
        <is>
          <t>sample</t>
        </is>
      </c>
      <c r="D91" s="7" t="inlineStr">
        <is>
          <t>NL</t>
        </is>
      </c>
      <c r="E91" s="7" t="inlineStr">
        <is>
          <t>shortened</t>
        </is>
      </c>
      <c r="F91" s="7" t="inlineStr">
        <is>
          <t>betrokken gebruiker</t>
        </is>
      </c>
      <c r="G91" s="7" t="inlineStr">
        <is>
          <t>BWBR0009950:gebruiker</t>
        </is>
      </c>
      <c r="H91" s="7" t="inlineStr">
        <is>
          <t>BWBR0009950:gebruiker</t>
        </is>
      </c>
      <c r="I91" s="7" t="n"/>
      <c r="J91" s="7" t="inlineStr">
        <is>
          <t>betrok gebruiker / gebruiker</t>
        </is>
      </c>
      <c r="K91" s="7" t="n">
        <v>0</v>
      </c>
      <c r="L91" s="7" t="n">
        <v>0</v>
      </c>
      <c r="M91" s="7" t="n">
        <v>2</v>
      </c>
      <c r="N91" s="7" t="inlineStr">
        <is>
          <t>BWBR0009950:11.7a:1:3</t>
        </is>
      </c>
    </row>
    <row r="92">
      <c r="A92" s="7" t="n">
        <v>91</v>
      </c>
      <c r="B92" s="7" t="inlineStr">
        <is>
          <t>EU | exact</t>
        </is>
      </c>
      <c r="C92" s="7" t="inlineStr">
        <is>
          <t>sample</t>
        </is>
      </c>
      <c r="D92" s="7" t="inlineStr">
        <is>
          <t>EU</t>
        </is>
      </c>
      <c r="E92" s="7" t="inlineStr">
        <is>
          <t>exact</t>
        </is>
      </c>
      <c r="F92" s="7" t="inlineStr">
        <is>
          <t>aanmeldende autoriteit</t>
        </is>
      </c>
      <c r="G92" s="7" t="inlineStr">
        <is>
          <t>32024R1689:aanmeldende_autoriteit</t>
        </is>
      </c>
      <c r="H92" s="7" t="inlineStr">
        <is>
          <t>32024R1689:aanmeldende_autoriteit</t>
        </is>
      </c>
      <c r="I92" s="7" t="n"/>
      <c r="J92" s="7" t="inlineStr">
        <is>
          <t>aanmeld autoriteit / autoriteit</t>
        </is>
      </c>
      <c r="K92" s="7" t="n">
        <v>0</v>
      </c>
      <c r="L92" s="7" t="n">
        <v>0</v>
      </c>
      <c r="M92" s="7" t="n">
        <v>23</v>
      </c>
      <c r="N92" s="7" t="inlineStr">
        <is>
          <t>32024R1689:36:8:28</t>
        </is>
      </c>
    </row>
    <row r="93">
      <c r="A93" s="7" t="n">
        <v>92</v>
      </c>
      <c r="B93" s="7" t="inlineStr">
        <is>
          <t>NL | exact</t>
        </is>
      </c>
      <c r="C93" s="7" t="inlineStr">
        <is>
          <t>sample</t>
        </is>
      </c>
      <c r="D93" s="7" t="inlineStr">
        <is>
          <t>NL</t>
        </is>
      </c>
      <c r="E93" s="7" t="inlineStr">
        <is>
          <t>exact</t>
        </is>
      </c>
      <c r="F93" s="7" t="inlineStr">
        <is>
          <t>belangrijke entiteit</t>
        </is>
      </c>
      <c r="G93" s="7" t="inlineStr">
        <is>
          <t>BWBR0052872:belangrijke_entiteit</t>
        </is>
      </c>
      <c r="H93" s="7" t="inlineStr">
        <is>
          <t>BWBR0052872:belangrijke_entiteit</t>
        </is>
      </c>
      <c r="I93" s="7" t="n"/>
      <c r="J93" s="7" t="inlineStr">
        <is>
          <t>belangrijk entiteit / entiteit</t>
        </is>
      </c>
      <c r="K93" s="7" t="n">
        <v>0</v>
      </c>
      <c r="L93" s="7" t="n">
        <v>0</v>
      </c>
      <c r="M93" s="7" t="n">
        <v>23</v>
      </c>
      <c r="N93" s="7" t="inlineStr">
        <is>
          <t>BWBR0052872:33:1:1</t>
        </is>
      </c>
    </row>
    <row r="94">
      <c r="A94" s="7" t="n">
        <v>93</v>
      </c>
      <c r="B94" s="7" t="inlineStr">
        <is>
          <t>NL | exact</t>
        </is>
      </c>
      <c r="C94" s="7" t="inlineStr">
        <is>
          <t>sample</t>
        </is>
      </c>
      <c r="D94" s="7" t="inlineStr">
        <is>
          <t>NL</t>
        </is>
      </c>
      <c r="E94" s="7" t="inlineStr">
        <is>
          <t>exact</t>
        </is>
      </c>
      <c r="F94" s="7" t="inlineStr">
        <is>
          <t>onderneming</t>
        </is>
      </c>
      <c r="G94" s="7" t="inlineStr">
        <is>
          <t>BWBR0009950:onderneming</t>
        </is>
      </c>
      <c r="H94" s="7" t="inlineStr">
        <is>
          <t>BWBR0009950:onderneming</t>
        </is>
      </c>
      <c r="I94" s="7" t="n"/>
      <c r="J94" s="7" t="inlineStr">
        <is>
          <t>ondernem</t>
        </is>
      </c>
      <c r="K94" s="7" t="n">
        <v>0</v>
      </c>
      <c r="L94" s="7" t="n">
        <v>0</v>
      </c>
      <c r="M94" s="7" t="n">
        <v>29</v>
      </c>
      <c r="N94" s="7" t="inlineStr">
        <is>
          <t>BWBR0009950:12.9:3:3</t>
        </is>
      </c>
    </row>
    <row r="95">
      <c r="A95" s="7" t="n">
        <v>94</v>
      </c>
      <c r="B95" s="7" t="inlineStr">
        <is>
          <t>EU | exact</t>
        </is>
      </c>
      <c r="C95" s="7" t="inlineStr">
        <is>
          <t>sample</t>
        </is>
      </c>
      <c r="D95" s="7" t="inlineStr">
        <is>
          <t>EU</t>
        </is>
      </c>
      <c r="E95" s="7" t="inlineStr">
        <is>
          <t>exact</t>
        </is>
      </c>
      <c r="F95" s="7" t="inlineStr">
        <is>
          <t>gebruiksverantwoordelijken</t>
        </is>
      </c>
      <c r="G95" s="7" t="inlineStr">
        <is>
          <t>32024R1689:gebruiksverantwoordelijke</t>
        </is>
      </c>
      <c r="H95" s="7" t="inlineStr">
        <is>
          <t>32024R1689:gebruiksverantwoordelijke</t>
        </is>
      </c>
      <c r="I95" s="7" t="n"/>
      <c r="J95" s="7" t="inlineStr">
        <is>
          <t>gebruiksverantwoord</t>
        </is>
      </c>
      <c r="K95" s="7" t="n">
        <v>0</v>
      </c>
      <c r="L95" s="7" t="n">
        <v>0</v>
      </c>
      <c r="M95" s="7" t="n">
        <v>10</v>
      </c>
      <c r="N95" s="7" t="inlineStr">
        <is>
          <t>32024R1689:49:3:3</t>
        </is>
      </c>
    </row>
    <row r="96">
      <c r="A96" s="7" t="n">
        <v>95</v>
      </c>
      <c r="B96" s="7" t="inlineStr">
        <is>
          <t>census</t>
        </is>
      </c>
      <c r="C96" s="7" t="inlineStr">
        <is>
          <t>census</t>
        </is>
      </c>
      <c r="D96" s="7" t="inlineStr">
        <is>
          <t>NL</t>
        </is>
      </c>
      <c r="E96" s="7" t="inlineStr">
        <is>
          <t>exact</t>
        </is>
      </c>
      <c r="F96" s="7" t="inlineStr">
        <is>
          <t>bevoegde autoriteit</t>
        </is>
      </c>
      <c r="G96" s="7" t="inlineStr">
        <is>
          <t>BWBR0052872:bevoegde_autoriteit</t>
        </is>
      </c>
      <c r="H96" s="7" t="inlineStr">
        <is>
          <t>BWBR0052872:bevoegde_autoriteit</t>
        </is>
      </c>
      <c r="I96" s="7" t="n"/>
      <c r="J96" s="7" t="inlineStr">
        <is>
          <t>bevoegd autoriteit / autoriteit</t>
        </is>
      </c>
      <c r="K96" s="7" t="n">
        <v>0</v>
      </c>
      <c r="L96" s="7" t="n">
        <v>52</v>
      </c>
      <c r="M96" s="7" t="n">
        <v>52</v>
      </c>
      <c r="N96" s="7" t="inlineStr">
        <is>
          <t>BWBR0052872:71:1:1, BWBR0052872:76:2:2, BWBR0052872:71:2:3</t>
        </is>
      </c>
    </row>
    <row r="97">
      <c r="A97" s="7" t="n">
        <v>96</v>
      </c>
      <c r="B97" s="7" t="inlineStr">
        <is>
          <t>census</t>
        </is>
      </c>
      <c r="C97" s="7" t="inlineStr">
        <is>
          <t>census</t>
        </is>
      </c>
      <c r="D97" s="7" t="inlineStr">
        <is>
          <t>EU</t>
        </is>
      </c>
      <c r="E97" s="7" t="inlineStr">
        <is>
          <t>exact</t>
        </is>
      </c>
      <c r="F97" s="7" t="inlineStr">
        <is>
          <t>aanbieder</t>
        </is>
      </c>
      <c r="G97" s="7" t="inlineStr">
        <is>
          <t>32024R1689:aanbieder</t>
        </is>
      </c>
      <c r="H97" s="7" t="inlineStr">
        <is>
          <t>32024R1689:aanbieder</t>
        </is>
      </c>
      <c r="I97" s="7" t="n"/>
      <c r="J97" s="7" t="inlineStr">
        <is>
          <t>aanbieder</t>
        </is>
      </c>
      <c r="K97" s="7" t="n">
        <v>48</v>
      </c>
      <c r="L97" s="7" t="n">
        <v>0</v>
      </c>
      <c r="M97" s="7" t="n">
        <v>48</v>
      </c>
      <c r="N97" s="7" t="inlineStr">
        <is>
          <t>32024R1689:23:1:6, 32024R1689:43:3:8, 32024R1689:14:3:5</t>
        </is>
      </c>
    </row>
    <row r="98">
      <c r="A98" s="7" t="n">
        <v>97</v>
      </c>
      <c r="B98" s="7" t="inlineStr">
        <is>
          <t>EU | fallback</t>
        </is>
      </c>
      <c r="C98" s="7" t="inlineStr">
        <is>
          <t>sample</t>
        </is>
      </c>
      <c r="D98" s="7" t="inlineStr">
        <is>
          <t>EU</t>
        </is>
      </c>
      <c r="E98" s="7" t="inlineStr">
        <is>
          <t>fallback</t>
        </is>
      </c>
      <c r="F98" s="7" t="inlineStr">
        <is>
          <t>autoriteit</t>
        </is>
      </c>
      <c r="G98" s="7" t="inlineStr">
        <is>
          <t>class:authority</t>
        </is>
      </c>
      <c r="H98" s="7" t="n"/>
      <c r="I98" s="7" t="inlineStr">
        <is>
          <t>authority</t>
        </is>
      </c>
      <c r="J98" s="7" t="inlineStr">
        <is>
          <t>autoriteit</t>
        </is>
      </c>
      <c r="K98" s="7" t="n">
        <v>0</v>
      </c>
      <c r="L98" s="7" t="n">
        <v>0</v>
      </c>
      <c r="M98" s="7" t="n">
        <v>4</v>
      </c>
      <c r="N98" s="7" t="inlineStr">
        <is>
          <t>32022R2554:26:7:13</t>
        </is>
      </c>
    </row>
    <row r="99">
      <c r="A99" s="7" t="n">
        <v>98</v>
      </c>
      <c r="B99" s="7" t="inlineStr">
        <is>
          <t>EU | fallback</t>
        </is>
      </c>
      <c r="C99" s="7" t="inlineStr">
        <is>
          <t>sample</t>
        </is>
      </c>
      <c r="D99" s="7" t="inlineStr">
        <is>
          <t>EU</t>
        </is>
      </c>
      <c r="E99" s="7" t="inlineStr">
        <is>
          <t>fallback</t>
        </is>
      </c>
      <c r="F99" s="7" t="inlineStr">
        <is>
          <t>organisatie</t>
        </is>
      </c>
      <c r="G99" s="7" t="inlineStr">
        <is>
          <t>class:party</t>
        </is>
      </c>
      <c r="H99" s="7" t="n"/>
      <c r="I99" s="7" t="inlineStr">
        <is>
          <t>party</t>
        </is>
      </c>
      <c r="J99" s="7" t="inlineStr">
        <is>
          <t>organisatie</t>
        </is>
      </c>
      <c r="K99" s="7" t="n">
        <v>0</v>
      </c>
      <c r="L99" s="7" t="n">
        <v>0</v>
      </c>
      <c r="M99" s="7" t="n">
        <v>3</v>
      </c>
      <c r="N99" s="7" t="inlineStr">
        <is>
          <t>32016R0679:80:1:4</t>
        </is>
      </c>
    </row>
    <row r="100">
      <c r="A100" s="7" t="n">
        <v>99</v>
      </c>
      <c r="B100" s="7" t="inlineStr">
        <is>
          <t>NL | not_actor</t>
        </is>
      </c>
      <c r="C100" s="7" t="inlineStr">
        <is>
          <t>sample</t>
        </is>
      </c>
      <c r="D100" s="7" t="inlineStr">
        <is>
          <t>NL</t>
        </is>
      </c>
      <c r="E100" s="7" t="inlineStr">
        <is>
          <t>not_actor</t>
        </is>
      </c>
      <c r="F100" s="7" t="inlineStr">
        <is>
          <t>tool</t>
        </is>
      </c>
      <c r="G100" s="7" t="inlineStr">
        <is>
          <t>not_actor</t>
        </is>
      </c>
      <c r="H100" s="7" t="n"/>
      <c r="I100" s="7" t="n"/>
      <c r="J100" s="7" t="inlineStr">
        <is>
          <t>tol</t>
        </is>
      </c>
      <c r="K100" s="7" t="n">
        <v>0</v>
      </c>
      <c r="L100" s="7" t="n">
        <v>0</v>
      </c>
      <c r="M100" s="7" t="n">
        <v>10</v>
      </c>
      <c r="N100" s="7" t="inlineStr">
        <is>
          <t>BWBR0009950:7.3:5:12</t>
        </is>
      </c>
    </row>
    <row r="101">
      <c r="A101" s="7" t="n">
        <v>100</v>
      </c>
      <c r="B101" s="7" t="inlineStr">
        <is>
          <t>EU | shortened</t>
        </is>
      </c>
      <c r="C101" s="7" t="inlineStr">
        <is>
          <t>sample</t>
        </is>
      </c>
      <c r="D101" s="7" t="inlineStr">
        <is>
          <t>EU</t>
        </is>
      </c>
      <c r="E101" s="7" t="inlineStr">
        <is>
          <t>shortened</t>
        </is>
      </c>
      <c r="F101" s="7" t="inlineStr">
        <is>
          <t>betrokken entiteiten</t>
        </is>
      </c>
      <c r="G101" s="7" t="inlineStr">
        <is>
          <t>32022L2555:entiteit</t>
        </is>
      </c>
      <c r="H101" s="7" t="inlineStr">
        <is>
          <t>32022L2555:entiteit</t>
        </is>
      </c>
      <c r="I101" s="7" t="n"/>
      <c r="J101" s="7" t="inlineStr">
        <is>
          <t>betrok entiteit / entiteit</t>
        </is>
      </c>
      <c r="K101" s="7" t="n">
        <v>0</v>
      </c>
      <c r="L101" s="7" t="n">
        <v>0</v>
      </c>
      <c r="M101" s="7" t="n">
        <v>9</v>
      </c>
      <c r="N101" s="7" t="inlineStr">
        <is>
          <t>32022L2555:23:4:12</t>
        </is>
      </c>
    </row>
    <row r="102">
      <c r="A102" s="7" t="n">
        <v>101</v>
      </c>
      <c r="B102" s="7" t="inlineStr">
        <is>
          <t>EU | shortened</t>
        </is>
      </c>
      <c r="C102" s="7" t="inlineStr">
        <is>
          <t>sample</t>
        </is>
      </c>
      <c r="D102" s="7" t="inlineStr">
        <is>
          <t>EU</t>
        </is>
      </c>
      <c r="E102" s="7" t="inlineStr">
        <is>
          <t>shortened</t>
        </is>
      </c>
      <c r="F102" s="7" t="inlineStr">
        <is>
          <t>distributeurs van een AI-systeem met een hoog risico</t>
        </is>
      </c>
      <c r="G102" s="7" t="inlineStr">
        <is>
          <t>32024R1689:distributeur</t>
        </is>
      </c>
      <c r="H102" s="7" t="inlineStr">
        <is>
          <t>32024R1689:distributeur</t>
        </is>
      </c>
      <c r="I102" s="7" t="n"/>
      <c r="J102" s="7" t="inlineStr">
        <is>
          <t>distributeur aisystem hog risico / distributeur aisystem hog / distributeur aisystem / distributeur</t>
        </is>
      </c>
      <c r="K102" s="7" t="n">
        <v>0</v>
      </c>
      <c r="L102" s="7" t="n">
        <v>0</v>
      </c>
      <c r="M102" s="7" t="n">
        <v>1</v>
      </c>
      <c r="N102" s="7" t="inlineStr">
        <is>
          <t>32024R1689:24:5:12</t>
        </is>
      </c>
    </row>
    <row r="103">
      <c r="A103" s="7" t="n">
        <v>102</v>
      </c>
      <c r="B103" s="7" t="inlineStr">
        <is>
          <t>EU | exact</t>
        </is>
      </c>
      <c r="C103" s="7" t="inlineStr">
        <is>
          <t>sample</t>
        </is>
      </c>
      <c r="D103" s="7" t="inlineStr">
        <is>
          <t>EU</t>
        </is>
      </c>
      <c r="E103" s="7" t="inlineStr">
        <is>
          <t>exact</t>
        </is>
      </c>
      <c r="F103" s="7" t="inlineStr">
        <is>
          <t>nationale accreditatie-instantie</t>
        </is>
      </c>
      <c r="G103" s="7" t="inlineStr">
        <is>
          <t>KEY:EU:nationale_accreditatieinstantie</t>
        </is>
      </c>
      <c r="H103" s="7" t="inlineStr">
        <is>
          <t>KEY:EU:nationale_accreditatieinstantie</t>
        </is>
      </c>
      <c r="I103" s="7" t="n"/>
      <c r="J103" s="7" t="inlineStr">
        <is>
          <t>national accreditatieinstantie / accreditatieinstantie</t>
        </is>
      </c>
      <c r="K103" s="7" t="n">
        <v>0</v>
      </c>
      <c r="L103" s="7" t="n">
        <v>0</v>
      </c>
      <c r="M103" s="7" t="n">
        <v>2</v>
      </c>
      <c r="N103" s="7" t="inlineStr">
        <is>
          <t>32016R0679:43:1:4</t>
        </is>
      </c>
    </row>
    <row r="104">
      <c r="A104" s="7" t="n">
        <v>103</v>
      </c>
      <c r="B104" s="7" t="inlineStr">
        <is>
          <t>NL | not_actor</t>
        </is>
      </c>
      <c r="C104" s="7" t="inlineStr">
        <is>
          <t>sample</t>
        </is>
      </c>
      <c r="D104" s="7" t="inlineStr">
        <is>
          <t>NL</t>
        </is>
      </c>
      <c r="E104" s="7" t="inlineStr">
        <is>
          <t>not_actor</t>
        </is>
      </c>
      <c r="F104" s="7" t="inlineStr">
        <is>
          <t>Autoriteit persoonsgegevens</t>
        </is>
      </c>
      <c r="G104" s="7" t="inlineStr">
        <is>
          <t>not_actor</t>
        </is>
      </c>
      <c r="H104" s="7" t="n"/>
      <c r="I104" s="7" t="n"/>
      <c r="J104" s="7" t="inlineStr">
        <is>
          <t>autoriteit persoonsgegeven / persoonsgegeven</t>
        </is>
      </c>
      <c r="K104" s="7" t="n">
        <v>0</v>
      </c>
      <c r="L104" s="7" t="n">
        <v>0</v>
      </c>
      <c r="M104" s="7" t="n">
        <v>32</v>
      </c>
      <c r="N104" s="7" t="inlineStr">
        <is>
          <t>BWBR0040940:20:1:1</t>
        </is>
      </c>
    </row>
    <row r="105">
      <c r="A105" s="7" t="n">
        <v>104</v>
      </c>
      <c r="B105" s="7" t="inlineStr">
        <is>
          <t>EU | exact</t>
        </is>
      </c>
      <c r="C105" s="7" t="inlineStr">
        <is>
          <t>sample</t>
        </is>
      </c>
      <c r="D105" s="7" t="inlineStr">
        <is>
          <t>EU</t>
        </is>
      </c>
      <c r="E105" s="7" t="inlineStr">
        <is>
          <t>exact</t>
        </is>
      </c>
      <c r="F105" s="7" t="inlineStr">
        <is>
          <t>nationale bevoegde autoriteit</t>
        </is>
      </c>
      <c r="G105" s="7" t="inlineStr">
        <is>
          <t>32024R1689:nationale_bevoegde_autoriteit</t>
        </is>
      </c>
      <c r="H105" s="7" t="inlineStr">
        <is>
          <t>32024R1689:nationale_bevoegde_autoriteit</t>
        </is>
      </c>
      <c r="I105" s="7" t="n"/>
      <c r="J105" s="7" t="inlineStr">
        <is>
          <t>national bevoegd autoriteit / bevoegd autoriteit / autoriteit</t>
        </is>
      </c>
      <c r="K105" s="7" t="n">
        <v>0</v>
      </c>
      <c r="L105" s="7" t="n">
        <v>0</v>
      </c>
      <c r="M105" s="7" t="n">
        <v>2</v>
      </c>
      <c r="N105" s="7" t="inlineStr">
        <is>
          <t>32024R1689:58:2:17</t>
        </is>
      </c>
    </row>
    <row r="106">
      <c r="A106" s="7" t="n">
        <v>105</v>
      </c>
      <c r="B106" s="7" t="inlineStr">
        <is>
          <t>NL | not_actor</t>
        </is>
      </c>
      <c r="C106" s="7" t="inlineStr">
        <is>
          <t>sample</t>
        </is>
      </c>
      <c r="D106" s="7" t="inlineStr">
        <is>
          <t>NL</t>
        </is>
      </c>
      <c r="E106" s="7" t="inlineStr">
        <is>
          <t>not_actor</t>
        </is>
      </c>
      <c r="F106" s="7" t="inlineStr">
        <is>
          <t>Autoriteit persoonsgegevens</t>
        </is>
      </c>
      <c r="G106" s="7" t="inlineStr">
        <is>
          <t>not_actor</t>
        </is>
      </c>
      <c r="H106" s="7" t="n"/>
      <c r="I106" s="7" t="n"/>
      <c r="J106" s="7" t="inlineStr">
        <is>
          <t>autoriteit persoonsgegeven / persoonsgegeven</t>
        </is>
      </c>
      <c r="K106" s="7" t="n">
        <v>0</v>
      </c>
      <c r="L106" s="7" t="n">
        <v>0</v>
      </c>
      <c r="M106" s="7" t="n">
        <v>32</v>
      </c>
      <c r="N106" s="7" t="inlineStr">
        <is>
          <t>BWBR0009950:15.4:4:4</t>
        </is>
      </c>
    </row>
    <row r="107">
      <c r="A107" s="7" t="n">
        <v>106</v>
      </c>
      <c r="B107" s="7" t="inlineStr">
        <is>
          <t>census</t>
        </is>
      </c>
      <c r="C107" s="7" t="inlineStr">
        <is>
          <t>census</t>
        </is>
      </c>
      <c r="D107" s="7" t="inlineStr">
        <is>
          <t>NL</t>
        </is>
      </c>
      <c r="E107" s="7" t="inlineStr">
        <is>
          <t>exact</t>
        </is>
      </c>
      <c r="F107" s="7" t="inlineStr">
        <is>
          <t>Onze Minister</t>
        </is>
      </c>
      <c r="G107" s="7" t="inlineStr">
        <is>
          <t>BWBR0009950:onze_minister</t>
        </is>
      </c>
      <c r="H107" s="7" t="inlineStr">
        <is>
          <t>BWBR0009950:onze_minister</t>
        </is>
      </c>
      <c r="I107" s="7" t="n"/>
      <c r="J107" s="7" t="inlineStr">
        <is>
          <t>onz minister / minister</t>
        </is>
      </c>
      <c r="K107" s="7" t="n">
        <v>0</v>
      </c>
      <c r="L107" s="7" t="n">
        <v>182</v>
      </c>
      <c r="M107" s="7" t="n">
        <v>182</v>
      </c>
      <c r="N107" s="7" t="inlineStr">
        <is>
          <t>BWBR0009950:9.3:3:7, BWBR0009950:3.8a:3:5, BWBR0009950:7.7:5:4</t>
        </is>
      </c>
    </row>
    <row r="108">
      <c r="A108" s="7" t="n">
        <v>107</v>
      </c>
      <c r="B108" s="7" t="inlineStr">
        <is>
          <t>NL | shortened</t>
        </is>
      </c>
      <c r="C108" s="7" t="inlineStr">
        <is>
          <t>sample</t>
        </is>
      </c>
      <c r="D108" s="7" t="inlineStr">
        <is>
          <t>NL</t>
        </is>
      </c>
      <c r="E108" s="7" t="inlineStr">
        <is>
          <t>shortened</t>
        </is>
      </c>
      <c r="F108" s="7" t="inlineStr">
        <is>
          <t>CSIRT respectievelijk de bevoegde autoriteit</t>
        </is>
      </c>
      <c r="G108" s="7" t="inlineStr">
        <is>
          <t>BWBR0052872:bevoegde_autoriteit</t>
        </is>
      </c>
      <c r="H108" s="7" t="inlineStr">
        <is>
          <t>BWBR0052872:bevoegde_autoriteit</t>
        </is>
      </c>
      <c r="I108" s="7" t="n"/>
      <c r="J108" s="7" t="inlineStr">
        <is>
          <t>csirt respectiev bevoegd autoriteit / respectiev bevoegd autoriteit / bevoegd autoriteit / autoriteit</t>
        </is>
      </c>
      <c r="K108" s="7" t="n">
        <v>0</v>
      </c>
      <c r="L108" s="7" t="n">
        <v>0</v>
      </c>
      <c r="M108" s="7" t="n">
        <v>2</v>
      </c>
      <c r="N108" s="7" t="inlineStr">
        <is>
          <t>BWBR0052872:37:whole:1</t>
        </is>
      </c>
    </row>
    <row r="109">
      <c r="A109" s="7" t="n">
        <v>108</v>
      </c>
      <c r="B109" s="7" t="inlineStr">
        <is>
          <t>NL | exact</t>
        </is>
      </c>
      <c r="C109" s="7" t="inlineStr">
        <is>
          <t>sample</t>
        </is>
      </c>
      <c r="D109" s="7" t="inlineStr">
        <is>
          <t>NL</t>
        </is>
      </c>
      <c r="E109" s="7" t="inlineStr">
        <is>
          <t>exact</t>
        </is>
      </c>
      <c r="F109" s="7" t="inlineStr">
        <is>
          <t>CSIRT</t>
        </is>
      </c>
      <c r="G109" s="7" t="inlineStr">
        <is>
          <t>BWBR0052872:csirt</t>
        </is>
      </c>
      <c r="H109" s="7" t="inlineStr">
        <is>
          <t>BWBR0052872:csirt</t>
        </is>
      </c>
      <c r="I109" s="7" t="n"/>
      <c r="J109" s="7" t="inlineStr">
        <is>
          <t>csirt</t>
        </is>
      </c>
      <c r="K109" s="7" t="n">
        <v>0</v>
      </c>
      <c r="L109" s="7" t="n">
        <v>0</v>
      </c>
      <c r="M109" s="7" t="n">
        <v>35</v>
      </c>
      <c r="N109" s="7" t="inlineStr">
        <is>
          <t>BWBR0052872:16:2:14</t>
        </is>
      </c>
    </row>
    <row r="110">
      <c r="A110" s="7" t="n">
        <v>109</v>
      </c>
      <c r="B110" s="7" t="inlineStr">
        <is>
          <t>EU | exact</t>
        </is>
      </c>
      <c r="C110" s="7" t="inlineStr">
        <is>
          <t>sample</t>
        </is>
      </c>
      <c r="D110" s="7" t="inlineStr">
        <is>
          <t>EU</t>
        </is>
      </c>
      <c r="E110" s="7" t="inlineStr">
        <is>
          <t>exact</t>
        </is>
      </c>
      <c r="F110" s="7" t="inlineStr">
        <is>
          <t>Aanbieders</t>
        </is>
      </c>
      <c r="G110" s="7" t="inlineStr">
        <is>
          <t>32024R1689:aanbieder</t>
        </is>
      </c>
      <c r="H110" s="7" t="inlineStr">
        <is>
          <t>32024R1689:aanbieder</t>
        </is>
      </c>
      <c r="I110" s="7" t="n"/>
      <c r="J110" s="7" t="inlineStr">
        <is>
          <t>aanbieder</t>
        </is>
      </c>
      <c r="K110" s="7" t="n">
        <v>0</v>
      </c>
      <c r="L110" s="7" t="n">
        <v>0</v>
      </c>
      <c r="M110" s="7" t="n">
        <v>17</v>
      </c>
      <c r="N110" s="7" t="inlineStr">
        <is>
          <t>32024R1689:50:2:6</t>
        </is>
      </c>
    </row>
    <row r="111">
      <c r="A111" s="7" t="n">
        <v>110</v>
      </c>
      <c r="B111" s="7" t="inlineStr">
        <is>
          <t>EU | not_actor</t>
        </is>
      </c>
      <c r="C111" s="7" t="inlineStr">
        <is>
          <t>sample</t>
        </is>
      </c>
      <c r="D111" s="7" t="inlineStr">
        <is>
          <t>EU</t>
        </is>
      </c>
      <c r="E111" s="7" t="inlineStr">
        <is>
          <t>not_actor</t>
        </is>
      </c>
      <c r="F111" s="7" t="inlineStr">
        <is>
          <t>uitwisseling van informatie tussen de bevoegde autoriteiten</t>
        </is>
      </c>
      <c r="G111" s="7" t="inlineStr">
        <is>
          <t>not_actor</t>
        </is>
      </c>
      <c r="H111" s="7" t="n"/>
      <c r="I111" s="7" t="n"/>
      <c r="J111" s="7" t="inlineStr">
        <is>
          <t>uitwissel informatie tuss bevoegd autoriteit / uitwissel informatie tuss bevoegd / uitwissel informatie tuss / uitwissel informatie / uitwissel</t>
        </is>
      </c>
      <c r="K111" s="7" t="n">
        <v>0</v>
      </c>
      <c r="L111" s="7" t="n">
        <v>0</v>
      </c>
      <c r="M111" s="7" t="n">
        <v>2</v>
      </c>
      <c r="N111" s="7" t="inlineStr">
        <is>
          <t>32022R2554:55:4:4</t>
        </is>
      </c>
    </row>
    <row r="112">
      <c r="A112" s="7" t="n">
        <v>111</v>
      </c>
      <c r="B112" s="7" t="inlineStr">
        <is>
          <t>EU | fallback</t>
        </is>
      </c>
      <c r="C112" s="7" t="inlineStr">
        <is>
          <t>sample</t>
        </is>
      </c>
      <c r="D112" s="7" t="inlineStr">
        <is>
          <t>EU</t>
        </is>
      </c>
      <c r="E112" s="7" t="inlineStr">
        <is>
          <t>fallback</t>
        </is>
      </c>
      <c r="F112" s="7" t="inlineStr">
        <is>
          <t>autoriteiten</t>
        </is>
      </c>
      <c r="G112" s="7" t="inlineStr">
        <is>
          <t>class:authority</t>
        </is>
      </c>
      <c r="H112" s="7" t="n"/>
      <c r="I112" s="7" t="inlineStr">
        <is>
          <t>authority</t>
        </is>
      </c>
      <c r="J112" s="7" t="inlineStr">
        <is>
          <t>autoriteit</t>
        </is>
      </c>
      <c r="K112" s="7" t="n">
        <v>0</v>
      </c>
      <c r="L112" s="7" t="n">
        <v>0</v>
      </c>
      <c r="M112" s="7" t="n">
        <v>6</v>
      </c>
      <c r="N112" s="7" t="inlineStr">
        <is>
          <t>32024R1689:78:3:7</t>
        </is>
      </c>
    </row>
    <row r="113">
      <c r="A113" s="7" t="n">
        <v>112</v>
      </c>
      <c r="B113" s="7" t="inlineStr">
        <is>
          <t>census</t>
        </is>
      </c>
      <c r="C113" s="7" t="inlineStr">
        <is>
          <t>census</t>
        </is>
      </c>
      <c r="D113" s="7" t="inlineStr">
        <is>
          <t>EU</t>
        </is>
      </c>
      <c r="E113" s="7" t="inlineStr">
        <is>
          <t>exact</t>
        </is>
      </c>
      <c r="F113" s="7" t="inlineStr">
        <is>
          <t>Commissie</t>
        </is>
      </c>
      <c r="G113" s="7" t="inlineStr">
        <is>
          <t>KEY:EU:commissie</t>
        </is>
      </c>
      <c r="H113" s="7" t="inlineStr">
        <is>
          <t>KEY:EU:commissie</t>
        </is>
      </c>
      <c r="I113" s="7" t="n"/>
      <c r="J113" s="7" t="inlineStr">
        <is>
          <t>commissie</t>
        </is>
      </c>
      <c r="K113" s="7" t="n">
        <v>250</v>
      </c>
      <c r="L113" s="7" t="n">
        <v>0</v>
      </c>
      <c r="M113" s="7" t="n">
        <v>250</v>
      </c>
      <c r="N113" s="7" t="inlineStr">
        <is>
          <t>32022R2554:58:1:2, 32024R1689:112:5:12, 32024R1689:92:2:2</t>
        </is>
      </c>
    </row>
    <row r="114">
      <c r="A114" s="7" t="n">
        <v>113</v>
      </c>
      <c r="B114" s="7" t="inlineStr">
        <is>
          <t>EU | fallback</t>
        </is>
      </c>
      <c r="C114" s="7" t="inlineStr">
        <is>
          <t>sample</t>
        </is>
      </c>
      <c r="D114" s="7" t="inlineStr">
        <is>
          <t>EU</t>
        </is>
      </c>
      <c r="E114" s="7" t="inlineStr">
        <is>
          <t>fallback</t>
        </is>
      </c>
      <c r="F114" s="7" t="inlineStr">
        <is>
          <t>natuurlijke persoon</t>
        </is>
      </c>
      <c r="G114" s="7" t="inlineStr">
        <is>
          <t>class:person</t>
        </is>
      </c>
      <c r="H114" s="7" t="n"/>
      <c r="I114" s="7" t="inlineStr">
        <is>
          <t>person</t>
        </is>
      </c>
      <c r="J114" s="7" t="inlineStr">
        <is>
          <t>natur person / person</t>
        </is>
      </c>
      <c r="K114" s="7" t="n">
        <v>0</v>
      </c>
      <c r="L114" s="7" t="n">
        <v>0</v>
      </c>
      <c r="M114" s="7" t="n">
        <v>5</v>
      </c>
      <c r="N114" s="7" t="inlineStr">
        <is>
          <t>32022L2555:32:6:27</t>
        </is>
      </c>
    </row>
    <row r="115">
      <c r="A115" s="7" t="n">
        <v>114</v>
      </c>
      <c r="B115" s="7" t="inlineStr">
        <is>
          <t>EU | not_actor</t>
        </is>
      </c>
      <c r="C115" s="7" t="inlineStr">
        <is>
          <t>sample</t>
        </is>
      </c>
      <c r="D115" s="7" t="inlineStr">
        <is>
          <t>EU</t>
        </is>
      </c>
      <c r="E115" s="7" t="inlineStr">
        <is>
          <t>not_actor</t>
        </is>
      </c>
      <c r="F115" s="7" t="inlineStr">
        <is>
          <t>bijzondere categorieën persoonsgegevens</t>
        </is>
      </c>
      <c r="G115" s="7" t="inlineStr">
        <is>
          <t>not_actor</t>
        </is>
      </c>
      <c r="H115" s="7" t="n"/>
      <c r="I115" s="7" t="n"/>
      <c r="J115" s="7" t="inlineStr">
        <is>
          <t>bijzonder categorieen persoonsgegeven / categorieen persoonsgegeven / persoonsgegeven</t>
        </is>
      </c>
      <c r="K115" s="7" t="n">
        <v>0</v>
      </c>
      <c r="L115" s="7" t="n">
        <v>0</v>
      </c>
      <c r="M115" s="7" t="n">
        <v>4</v>
      </c>
      <c r="N115" s="7" t="inlineStr">
        <is>
          <t>32024R1689:10:5:10</t>
        </is>
      </c>
    </row>
    <row r="116">
      <c r="A116" s="7" t="n">
        <v>115</v>
      </c>
      <c r="B116" s="7" t="inlineStr">
        <is>
          <t>NL | shortened</t>
        </is>
      </c>
      <c r="C116" s="7" t="inlineStr">
        <is>
          <t>sample</t>
        </is>
      </c>
      <c r="D116" s="7" t="inlineStr">
        <is>
          <t>NL</t>
        </is>
      </c>
      <c r="E116" s="7" t="inlineStr">
        <is>
          <t>shortened</t>
        </is>
      </c>
      <c r="F116" s="7" t="inlineStr">
        <is>
          <t>Autoriteit Consument</t>
        </is>
      </c>
      <c r="G116" s="7" t="inlineStr">
        <is>
          <t>BWBR0009950:consument</t>
        </is>
      </c>
      <c r="H116" s="7" t="inlineStr">
        <is>
          <t>BWBR0009950:consument</t>
        </is>
      </c>
      <c r="I116" s="7" t="n"/>
      <c r="J116" s="7" t="inlineStr">
        <is>
          <t>autoriteit consument / consument</t>
        </is>
      </c>
      <c r="K116" s="7" t="n">
        <v>0</v>
      </c>
      <c r="L116" s="7" t="n">
        <v>0</v>
      </c>
      <c r="M116" s="7" t="n">
        <v>1</v>
      </c>
      <c r="N116" s="7" t="inlineStr">
        <is>
          <t>BWBR0009950:6a.4e:4:8</t>
        </is>
      </c>
    </row>
    <row r="117">
      <c r="A117" s="7" t="n">
        <v>116</v>
      </c>
      <c r="B117" s="7" t="inlineStr">
        <is>
          <t>NL | exact</t>
        </is>
      </c>
      <c r="C117" s="7" t="inlineStr">
        <is>
          <t>sample</t>
        </is>
      </c>
      <c r="D117" s="7" t="inlineStr">
        <is>
          <t>NL</t>
        </is>
      </c>
      <c r="E117" s="7" t="inlineStr">
        <is>
          <t>exact</t>
        </is>
      </c>
      <c r="F117" s="7" t="inlineStr">
        <is>
          <t>Onze minister</t>
        </is>
      </c>
      <c r="G117" s="7" t="inlineStr">
        <is>
          <t>BWBR0009950:onze_minister</t>
        </is>
      </c>
      <c r="H117" s="7" t="inlineStr">
        <is>
          <t>BWBR0009950:onze_minister</t>
        </is>
      </c>
      <c r="I117" s="7" t="n"/>
      <c r="J117" s="7" t="inlineStr">
        <is>
          <t>onz minister / minister</t>
        </is>
      </c>
      <c r="K117" s="7" t="n">
        <v>0</v>
      </c>
      <c r="L117" s="7" t="n">
        <v>0</v>
      </c>
      <c r="M117" s="7" t="n">
        <v>1</v>
      </c>
      <c r="N117" s="7" t="inlineStr">
        <is>
          <t>BWBR0009950:3.19a:5:9</t>
        </is>
      </c>
    </row>
    <row r="118">
      <c r="A118" s="7" t="n">
        <v>117</v>
      </c>
      <c r="B118" s="7" t="inlineStr">
        <is>
          <t>census</t>
        </is>
      </c>
      <c r="C118" s="7" t="inlineStr">
        <is>
          <t>census</t>
        </is>
      </c>
      <c r="D118" s="7" t="inlineStr">
        <is>
          <t>EU</t>
        </is>
      </c>
      <c r="E118" s="7" t="inlineStr">
        <is>
          <t>exact</t>
        </is>
      </c>
      <c r="F118" s="7" t="inlineStr">
        <is>
          <t>verwerkingsverantwoordelijke</t>
        </is>
      </c>
      <c r="G118" s="7" t="inlineStr">
        <is>
          <t>32016R0679:verwerkingsverantwoordelijke</t>
        </is>
      </c>
      <c r="H118" s="7" t="inlineStr">
        <is>
          <t>32016R0679:verwerkingsverantwoordelijke</t>
        </is>
      </c>
      <c r="I118" s="7" t="n"/>
      <c r="J118" s="7" t="inlineStr">
        <is>
          <t>verwerkingsverantwoord</t>
        </is>
      </c>
      <c r="K118" s="7" t="n">
        <v>111</v>
      </c>
      <c r="L118" s="7" t="n">
        <v>0</v>
      </c>
      <c r="M118" s="7" t="n">
        <v>111</v>
      </c>
      <c r="N118" s="7" t="inlineStr">
        <is>
          <t>32016R0679:21:1:2, 32016R0679:38:2:4, 32016R0679:24:2:5</t>
        </is>
      </c>
    </row>
    <row r="119">
      <c r="A119" s="7" t="n">
        <v>118</v>
      </c>
      <c r="B119" s="7" t="inlineStr">
        <is>
          <t>census</t>
        </is>
      </c>
      <c r="C119" s="7" t="inlineStr">
        <is>
          <t>census</t>
        </is>
      </c>
      <c r="D119" s="7" t="inlineStr">
        <is>
          <t>NL</t>
        </is>
      </c>
      <c r="E119" s="7" t="inlineStr">
        <is>
          <t>not_actor</t>
        </is>
      </c>
      <c r="F119" s="7" t="inlineStr">
        <is>
          <t>Autoriteit Consument en Markt</t>
        </is>
      </c>
      <c r="G119" s="7" t="inlineStr">
        <is>
          <t>not_actor</t>
        </is>
      </c>
      <c r="H119" s="7" t="n"/>
      <c r="I119" s="7" t="n"/>
      <c r="J119" s="7" t="inlineStr">
        <is>
          <t>autoriteit consument markt / consument markt / markt</t>
        </is>
      </c>
      <c r="K119" s="7" t="n">
        <v>0</v>
      </c>
      <c r="L119" s="7" t="n">
        <v>270</v>
      </c>
      <c r="M119" s="7" t="n">
        <v>270</v>
      </c>
      <c r="N119" s="7" t="inlineStr">
        <is>
          <t>BWBR0009950:6a.1:3:4, BWBR0009950:2.1:5:7, BWBR0009950:4.2:9:16</t>
        </is>
      </c>
    </row>
    <row r="120">
      <c r="A120" s="7" t="n">
        <v>119</v>
      </c>
      <c r="B120" s="7" t="inlineStr">
        <is>
          <t>NL | fallback</t>
        </is>
      </c>
      <c r="C120" s="7" t="inlineStr">
        <is>
          <t>sample</t>
        </is>
      </c>
      <c r="D120" s="7" t="inlineStr">
        <is>
          <t>NL</t>
        </is>
      </c>
      <c r="E120" s="7" t="inlineStr">
        <is>
          <t>fallback</t>
        </is>
      </c>
      <c r="F120" s="7" t="inlineStr">
        <is>
          <t>aanbieders van internettoegangsdiensten of voor het publiek beschikbare nummergebaseerde interpersoonlijke communicatiediensten</t>
        </is>
      </c>
      <c r="G120" s="7" t="inlineStr">
        <is>
          <t>class:party</t>
        </is>
      </c>
      <c r="H120" s="7" t="n"/>
      <c r="I120" s="7" t="inlineStr">
        <is>
          <t>party</t>
        </is>
      </c>
      <c r="J120" s="7" t="inlineStr">
        <is>
          <t>aanbieder internettoegangsdienst publiek beschik nummergebaseerd interperson communicatiedienst / aanbieder internettoegangsdienst publiek beschik nummergebaseerd interperson / aanbieder internettoegangsdienst publiek beschik nummergebaseerd / aanbieder internettoegangsdienst publiek beschik / aanbieder internettoegangsdienst publiek / aanbieder internettoegangsdienst / aanbieder</t>
        </is>
      </c>
      <c r="K120" s="7" t="n">
        <v>0</v>
      </c>
      <c r="L120" s="7" t="n">
        <v>0</v>
      </c>
      <c r="M120" s="7" t="n">
        <v>1</v>
      </c>
      <c r="N120" s="7" t="inlineStr">
        <is>
          <t>BWBR0009950:7.7a:1:2</t>
        </is>
      </c>
    </row>
    <row r="121">
      <c r="A121" s="7" t="n">
        <v>120</v>
      </c>
      <c r="B121" s="7" t="inlineStr">
        <is>
          <t>NL | fallback</t>
        </is>
      </c>
      <c r="C121" s="7" t="inlineStr">
        <is>
          <t>sample</t>
        </is>
      </c>
      <c r="D121" s="7" t="inlineStr">
        <is>
          <t>NL</t>
        </is>
      </c>
      <c r="E121" s="7" t="inlineStr">
        <is>
          <t>fallback</t>
        </is>
      </c>
      <c r="F121" s="7" t="inlineStr">
        <is>
          <t>aanbieder van een internettoegangsdienst</t>
        </is>
      </c>
      <c r="G121" s="7" t="inlineStr">
        <is>
          <t>class:party</t>
        </is>
      </c>
      <c r="H121" s="7" t="n"/>
      <c r="I121" s="7" t="inlineStr">
        <is>
          <t>party</t>
        </is>
      </c>
      <c r="J121" s="7" t="inlineStr">
        <is>
          <t>aanbieder internettoegangsdienst / aanbieder</t>
        </is>
      </c>
      <c r="K121" s="7" t="n">
        <v>0</v>
      </c>
      <c r="L121" s="7" t="n">
        <v>0</v>
      </c>
      <c r="M121" s="7" t="n">
        <v>1</v>
      </c>
      <c r="N121" s="7" t="inlineStr">
        <is>
          <t>BWBR0009950:7.6a:2:3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7" t="inlineStr">
        <is>
          <t>stratum</t>
        </is>
      </c>
      <c r="B1" s="7" t="inlineStr">
        <is>
          <t>source</t>
        </is>
      </c>
      <c r="C1" s="7" t="inlineStr">
        <is>
          <t>level</t>
        </is>
      </c>
      <c r="D1" s="7" t="inlineStr">
        <is>
          <t>N_h</t>
        </is>
      </c>
    </row>
    <row r="2">
      <c r="A2" s="7" t="inlineStr">
        <is>
          <t>EU | exact</t>
        </is>
      </c>
      <c r="B2" s="7" t="inlineStr">
        <is>
          <t>EU</t>
        </is>
      </c>
      <c r="C2" s="7" t="inlineStr">
        <is>
          <t>exact</t>
        </is>
      </c>
      <c r="D2" s="7" t="n">
        <v>581</v>
      </c>
    </row>
    <row r="3">
      <c r="A3" s="7" t="inlineStr">
        <is>
          <t>EU | shortened</t>
        </is>
      </c>
      <c r="B3" s="7" t="inlineStr">
        <is>
          <t>EU</t>
        </is>
      </c>
      <c r="C3" s="7" t="inlineStr">
        <is>
          <t>shortened</t>
        </is>
      </c>
      <c r="D3" s="7" t="n">
        <v>211</v>
      </c>
    </row>
    <row r="4">
      <c r="A4" s="7" t="inlineStr">
        <is>
          <t>EU | fallback</t>
        </is>
      </c>
      <c r="B4" s="7" t="inlineStr">
        <is>
          <t>EU</t>
        </is>
      </c>
      <c r="C4" s="7" t="inlineStr">
        <is>
          <t>fallback</t>
        </is>
      </c>
      <c r="D4" s="7" t="n">
        <v>263</v>
      </c>
    </row>
    <row r="5">
      <c r="A5" s="7" t="inlineStr">
        <is>
          <t>EU | not_actor</t>
        </is>
      </c>
      <c r="B5" s="7" t="inlineStr">
        <is>
          <t>EU</t>
        </is>
      </c>
      <c r="C5" s="7" t="inlineStr">
        <is>
          <t>not_actor</t>
        </is>
      </c>
      <c r="D5" s="7" t="n">
        <v>517</v>
      </c>
    </row>
    <row r="6">
      <c r="A6" s="7" t="inlineStr">
        <is>
          <t>NL | exact</t>
        </is>
      </c>
      <c r="B6" s="7" t="inlineStr">
        <is>
          <t>NL</t>
        </is>
      </c>
      <c r="C6" s="7" t="inlineStr">
        <is>
          <t>exact</t>
        </is>
      </c>
      <c r="D6" s="7" t="n">
        <v>361</v>
      </c>
    </row>
    <row r="7">
      <c r="A7" s="7" t="inlineStr">
        <is>
          <t>NL | shortened</t>
        </is>
      </c>
      <c r="B7" s="7" t="inlineStr">
        <is>
          <t>NL</t>
        </is>
      </c>
      <c r="C7" s="7" t="inlineStr">
        <is>
          <t>shortened</t>
        </is>
      </c>
      <c r="D7" s="7" t="n">
        <v>41</v>
      </c>
    </row>
    <row r="8">
      <c r="A8" s="7" t="inlineStr">
        <is>
          <t>NL | fallback</t>
        </is>
      </c>
      <c r="B8" s="7" t="inlineStr">
        <is>
          <t>NL</t>
        </is>
      </c>
      <c r="C8" s="7" t="inlineStr">
        <is>
          <t>fallback</t>
        </is>
      </c>
      <c r="D8" s="7" t="n">
        <v>312</v>
      </c>
    </row>
    <row r="9">
      <c r="A9" s="7" t="inlineStr">
        <is>
          <t>NL | not_actor</t>
        </is>
      </c>
      <c r="B9" s="7" t="inlineStr">
        <is>
          <t>NL</t>
        </is>
      </c>
      <c r="C9" s="7" t="inlineStr">
        <is>
          <t>not_actor</t>
        </is>
      </c>
      <c r="D9" s="7" t="n">
        <v>367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44" customWidth="1" min="1" max="1"/>
    <col width="34" customWidth="1" min="2" max="2"/>
    <col width="22" customWidth="1" min="3" max="3"/>
    <col width="14" customWidth="1" min="4" max="4"/>
    <col width="12" customWidth="1" min="5" max="5"/>
    <col width="10" customWidth="1" min="6" max="6"/>
    <col width="70" customWidth="1" min="7" max="7"/>
  </cols>
  <sheetData>
    <row r="1">
      <c r="A1" s="8" t="inlineStr">
        <is>
          <t>Sample design</t>
        </is>
      </c>
    </row>
    <row r="2" ht="520" customHeight="1">
      <c r="A2" s="2" t="inlineStr">
        <is>
          <t>What is validated. Each actor unit of a norm is mapped to an inventory actor (exact or shortened match), to the broad class of its head word (fallback) or to nothing (not an actor, dropped). Each result is a claim the labeller checks from the norm text: is this the actor, is it an actor of this class without an entry, is it really not an actor?
Population. The sampling unit is an actor unit as it occurs in a norm, so a unit used in many norms counts as often as it is used downstream, and each is judged in its own norm. 4,592 unit occurrences: EU 2,906, Dutch 1,686. Norms with status pronoun, missing or no_units have no unit and make no mapping claim; they are exact counts (table below). The source is taken from the document id: BWBR ids are Dutch, all others EU.
Census. The result of a unit is the same wherever it gets the same ID, class or 'not an actor', so one judgement settles all those occurrences. The 20 most frequent (unit, result) groups are judged in full, each once, against up to 3 contexts taken in turn from both sources. They are the top of the frequency ranking, ties broken alphabetically, fixed before any judging. A census group that fits some uses but not others is labelled partial. The coverage curve below shows where a further group would cover little more than one sampled unit.
Strata. Outside the census, units are stratified by source, so the EU-Dutch comparison gets the same number of judgements on each side, and by match level, because each level makes a different claim and can fail at its own rate. Each source gets 50 judgements: a floor of 8 per stratum, the rest in proportion to N_h. A norm gives at most 1 sampled unit.
Precision. In the worst case (50% in every stratum) each source's precision is known to about +/-8 points (EU) and +/-9 (Dutch), at 80% to +/-6 and +/-7; the EU-Dutch difference to about +/-12 points. The census adds no sampling error. Overall figures weight each stratum by N_h and each census group by its occurrences, never by row count.
Blind. The labeller sees the norm, the unit and what it was mapped to, but not the match level or the role keys; those are in the hidden key sheet, and the rows are shuffled. A fallback or 'not an actor' result is visible as such, since it is the claim being judged.
Consistency. Every distinct unit (998) was mapped again with the current inventory and gave the same result. Adding actors to the inventory changes the strata, so the sample is drawn after the inventory is updated.</t>
        </is>
      </c>
    </row>
    <row r="4">
      <c r="A4" s="3" t="inlineStr">
        <is>
          <t>stratum</t>
        </is>
      </c>
      <c r="B4" s="3" t="inlineStr">
        <is>
          <t>source</t>
        </is>
      </c>
      <c r="C4" s="3" t="inlineStr">
        <is>
          <t>level</t>
        </is>
      </c>
      <c r="D4" s="3" t="inlineStr">
        <is>
          <t>population N_h</t>
        </is>
      </c>
      <c r="E4" s="3" t="inlineStr">
        <is>
          <t>share of source</t>
        </is>
      </c>
      <c r="F4" s="3" t="inlineStr">
        <is>
          <t>n sampled</t>
        </is>
      </c>
      <c r="G4" s="3" t="inlineStr">
        <is>
          <t>why this stratum and this n</t>
        </is>
      </c>
    </row>
    <row r="5">
      <c r="A5" s="9" t="inlineStr">
        <is>
          <t>EU | exact</t>
        </is>
      </c>
      <c r="B5" s="9" t="inlineStr">
        <is>
          <t>EU</t>
        </is>
      </c>
      <c r="C5" s="9" t="inlineStr">
        <is>
          <t>exact</t>
        </is>
      </c>
      <c r="D5" s="10" t="n">
        <v>581</v>
      </c>
      <c r="E5" s="11">
        <f>IFERROR(D5/SUMIFS($D$5:$D$12,$B$5:$B$12,B5),0)</f>
        <v/>
      </c>
      <c r="F5" s="9" t="n">
        <v>15</v>
      </c>
      <c r="G5" s="2" t="inlineStr">
        <is>
          <t>The full role key equals an inventory label or alias: the safest route. Checks the inventory entries of the common actors.</t>
        </is>
      </c>
    </row>
    <row r="6">
      <c r="A6" s="9" t="inlineStr">
        <is>
          <t>EU | shortened</t>
        </is>
      </c>
      <c r="B6" s="9" t="inlineStr">
        <is>
          <t>EU</t>
        </is>
      </c>
      <c r="C6" s="9" t="inlineStr">
        <is>
          <t>shortened</t>
        </is>
      </c>
      <c r="D6" s="10" t="n">
        <v>211</v>
      </c>
      <c r="E6" s="11">
        <f>IFERROR(D6/SUMIFS($D$5:$D$12,$B$5:$B$12,B6),0)</f>
        <v/>
      </c>
      <c r="F6" s="9" t="n">
        <v>10</v>
      </c>
      <c r="G6" s="2" t="inlineStr">
        <is>
          <t>Words were dropped until a key matched: the riskiest route to an ID (an entry too broad, or the wrong one).</t>
        </is>
      </c>
    </row>
    <row r="7">
      <c r="A7" s="9" t="inlineStr">
        <is>
          <t>EU | fallback</t>
        </is>
      </c>
      <c r="B7" s="9" t="inlineStr">
        <is>
          <t>EU</t>
        </is>
      </c>
      <c r="C7" s="9" t="inlineStr">
        <is>
          <t>fallback</t>
        </is>
      </c>
      <c r="D7" s="10" t="n">
        <v>263</v>
      </c>
      <c r="E7" s="11">
        <f>IFERROR(D7/SUMIFS($D$5:$D$12,$B$5:$B$12,B7),0)</f>
        <v/>
      </c>
      <c r="F7" s="9" t="n">
        <v>11</v>
      </c>
      <c r="G7" s="2" t="inlineStr">
        <is>
          <t>No entry matched; only the head word's class. Is it an actor, is the class right, and was an inventory entry missed?</t>
        </is>
      </c>
    </row>
    <row r="8">
      <c r="A8" s="9" t="inlineStr">
        <is>
          <t>EU | not_actor</t>
        </is>
      </c>
      <c r="B8" s="9" t="inlineStr">
        <is>
          <t>EU</t>
        </is>
      </c>
      <c r="C8" s="9" t="inlineStr">
        <is>
          <t>not_actor</t>
        </is>
      </c>
      <c r="D8" s="10" t="n">
        <v>517</v>
      </c>
      <c r="E8" s="11">
        <f>IFERROR(D8/SUMIFS($D$5:$D$12,$B$5:$B$12,B8),0)</f>
        <v/>
      </c>
      <c r="F8" s="9" t="n">
        <v>14</v>
      </c>
      <c r="G8" s="2" t="inlineStr">
        <is>
          <t>Dropped as not an actor. Its errors are actors lost to the whole actor filter (recall of the mapping).</t>
        </is>
      </c>
    </row>
    <row r="9">
      <c r="A9" s="9" t="inlineStr">
        <is>
          <t>NL | exact</t>
        </is>
      </c>
      <c r="B9" s="9" t="inlineStr">
        <is>
          <t>NL</t>
        </is>
      </c>
      <c r="C9" s="9" t="inlineStr">
        <is>
          <t>exact</t>
        </is>
      </c>
      <c r="D9" s="10" t="n">
        <v>361</v>
      </c>
      <c r="E9" s="11">
        <f>IFERROR(D9/SUMIFS($D$5:$D$12,$B$5:$B$12,B9),0)</f>
        <v/>
      </c>
      <c r="F9" s="9" t="n">
        <v>14</v>
      </c>
      <c r="G9" s="2" t="inlineStr">
        <is>
          <t>The full role key equals an inventory label or alias: the safest route. Checks the inventory entries of the common actors.</t>
        </is>
      </c>
    </row>
    <row r="10">
      <c r="A10" s="9" t="inlineStr">
        <is>
          <t>NL | shortened</t>
        </is>
      </c>
      <c r="B10" s="9" t="inlineStr">
        <is>
          <t>NL</t>
        </is>
      </c>
      <c r="C10" s="9" t="inlineStr">
        <is>
          <t>shortened</t>
        </is>
      </c>
      <c r="D10" s="10" t="n">
        <v>41</v>
      </c>
      <c r="E10" s="11">
        <f>IFERROR(D10/SUMIFS($D$5:$D$12,$B$5:$B$12,B10),0)</f>
        <v/>
      </c>
      <c r="F10" s="9" t="n">
        <v>8</v>
      </c>
      <c r="G10" s="2" t="inlineStr">
        <is>
          <t>Words were dropped until a key matched: the riskiest route to an ID (an entry too broad, or the wrong one).</t>
        </is>
      </c>
    </row>
    <row r="11">
      <c r="A11" s="9" t="inlineStr">
        <is>
          <t>NL | fallback</t>
        </is>
      </c>
      <c r="B11" s="9" t="inlineStr">
        <is>
          <t>NL</t>
        </is>
      </c>
      <c r="C11" s="9" t="inlineStr">
        <is>
          <t>fallback</t>
        </is>
      </c>
      <c r="D11" s="10" t="n">
        <v>312</v>
      </c>
      <c r="E11" s="11">
        <f>IFERROR(D11/SUMIFS($D$5:$D$12,$B$5:$B$12,B11),0)</f>
        <v/>
      </c>
      <c r="F11" s="9" t="n">
        <v>13</v>
      </c>
      <c r="G11" s="2" t="inlineStr">
        <is>
          <t>No entry matched; only the head word's class. Is it an actor, is the class right, and was an inventory entry missed?</t>
        </is>
      </c>
    </row>
    <row r="12">
      <c r="A12" s="9" t="inlineStr">
        <is>
          <t>NL | not_actor</t>
        </is>
      </c>
      <c r="B12" s="9" t="inlineStr">
        <is>
          <t>NL</t>
        </is>
      </c>
      <c r="C12" s="9" t="inlineStr">
        <is>
          <t>not_actor</t>
        </is>
      </c>
      <c r="D12" s="10" t="n">
        <v>367</v>
      </c>
      <c r="E12" s="11">
        <f>IFERROR(D12/SUMIFS($D$5:$D$12,$B$5:$B$12,B12),0)</f>
        <v/>
      </c>
      <c r="F12" s="9" t="n">
        <v>15</v>
      </c>
      <c r="G12" s="2" t="inlineStr">
        <is>
          <t>Dropped as not an actor. Its errors are actors lost to the whole actor filter (recall of the mapping).</t>
        </is>
      </c>
    </row>
    <row r="13">
      <c r="A13" s="8" t="inlineStr">
        <is>
          <t>total outside the census</t>
        </is>
      </c>
      <c r="D13" s="12">
        <f>SUM(D5:D12)</f>
        <v/>
      </c>
      <c r="F13" s="8">
        <f>SUM(F5:F12)</f>
        <v/>
      </c>
    </row>
    <row r="15">
      <c r="A15" s="8" t="inlineStr">
        <is>
          <t>Census: the 20 most frequent (unit, result) groups, judged once each</t>
        </is>
      </c>
    </row>
    <row r="16">
      <c r="A16" s="3" t="inlineStr">
        <is>
          <t>#</t>
        </is>
      </c>
      <c r="B16" s="3" t="inlineStr">
        <is>
          <t>unit</t>
        </is>
      </c>
      <c r="C16" s="3" t="inlineStr">
        <is>
          <t>assigned</t>
        </is>
      </c>
      <c r="D16" s="3" t="inlineStr">
        <is>
          <t>level</t>
        </is>
      </c>
      <c r="E16" s="3" t="inlineStr">
        <is>
          <t>EU</t>
        </is>
      </c>
      <c r="F16" s="3" t="inlineStr">
        <is>
          <t>NL</t>
        </is>
      </c>
    </row>
    <row r="17">
      <c r="A17" s="9" t="n">
        <v>1</v>
      </c>
      <c r="B17" s="9" t="inlineStr">
        <is>
          <t>Autoriteit Consument en Markt</t>
        </is>
      </c>
      <c r="C17" s="9" t="inlineStr">
        <is>
          <t>not_actor</t>
        </is>
      </c>
      <c r="D17" s="9" t="inlineStr">
        <is>
          <t>not_actor</t>
        </is>
      </c>
      <c r="E17" s="10" t="n">
        <v>0</v>
      </c>
      <c r="F17" s="10" t="n">
        <v>270</v>
      </c>
    </row>
    <row r="18">
      <c r="A18" s="9" t="n">
        <v>2</v>
      </c>
      <c r="B18" s="9" t="inlineStr">
        <is>
          <t>Commissie</t>
        </is>
      </c>
      <c r="C18" s="9" t="inlineStr">
        <is>
          <t>KEY:EU:commissie</t>
        </is>
      </c>
      <c r="D18" s="9" t="inlineStr">
        <is>
          <t>exact</t>
        </is>
      </c>
      <c r="E18" s="10" t="n">
        <v>250</v>
      </c>
      <c r="F18" s="10" t="n">
        <v>0</v>
      </c>
    </row>
    <row r="19">
      <c r="A19" s="9" t="n">
        <v>3</v>
      </c>
      <c r="B19" s="9" t="inlineStr">
        <is>
          <t>Onze Minister</t>
        </is>
      </c>
      <c r="C19" s="9" t="inlineStr">
        <is>
          <t>BWBR0009950:onze_minister</t>
        </is>
      </c>
      <c r="D19" s="9" t="inlineStr">
        <is>
          <t>exact</t>
        </is>
      </c>
      <c r="E19" s="10" t="n">
        <v>0</v>
      </c>
      <c r="F19" s="10" t="n">
        <v>182</v>
      </c>
    </row>
    <row r="20">
      <c r="A20" s="9" t="n">
        <v>4</v>
      </c>
      <c r="B20" s="9" t="inlineStr">
        <is>
          <t>lidstaten</t>
        </is>
      </c>
      <c r="C20" s="9" t="inlineStr">
        <is>
          <t>KEY:EU:lidstaat</t>
        </is>
      </c>
      <c r="D20" s="9" t="inlineStr">
        <is>
          <t>exact</t>
        </is>
      </c>
      <c r="E20" s="10" t="n">
        <v>179</v>
      </c>
      <c r="F20" s="10" t="n">
        <v>0</v>
      </c>
    </row>
    <row r="21">
      <c r="A21" s="9" t="n">
        <v>5</v>
      </c>
      <c r="B21" s="9" t="inlineStr">
        <is>
          <t>verwerkingsverantwoordelijke</t>
        </is>
      </c>
      <c r="C21" s="9" t="inlineStr">
        <is>
          <t>32016R0679:verwerkingsverantwoordelijke</t>
        </is>
      </c>
      <c r="D21" s="9" t="inlineStr">
        <is>
          <t>exact</t>
        </is>
      </c>
      <c r="E21" s="10" t="n">
        <v>111</v>
      </c>
      <c r="F21" s="10" t="n">
        <v>0</v>
      </c>
    </row>
    <row r="22">
      <c r="A22" s="9" t="n">
        <v>6</v>
      </c>
      <c r="B22" s="9" t="inlineStr">
        <is>
          <t>toezichthoudende autoriteit</t>
        </is>
      </c>
      <c r="C22" s="9" t="inlineStr">
        <is>
          <t>32016R0679:toezichthoudende_autoriteit</t>
        </is>
      </c>
      <c r="D22" s="9" t="inlineStr">
        <is>
          <t>exact</t>
        </is>
      </c>
      <c r="E22" s="10" t="n">
        <v>96</v>
      </c>
      <c r="F22" s="10" t="n">
        <v>0</v>
      </c>
    </row>
    <row r="23">
      <c r="A23" s="9" t="n">
        <v>7</v>
      </c>
      <c r="B23" s="9" t="inlineStr">
        <is>
          <t>bevoegde autoriteiten</t>
        </is>
      </c>
      <c r="C23" s="9" t="inlineStr">
        <is>
          <t>class:authority</t>
        </is>
      </c>
      <c r="D23" s="9" t="inlineStr">
        <is>
          <t>fallback</t>
        </is>
      </c>
      <c r="E23" s="10" t="n">
        <v>95</v>
      </c>
      <c r="F23" s="10" t="n">
        <v>0</v>
      </c>
    </row>
    <row r="24">
      <c r="A24" s="9" t="n">
        <v>8</v>
      </c>
      <c r="B24" s="9" t="inlineStr">
        <is>
          <t>financiële entiteiten</t>
        </is>
      </c>
      <c r="C24" s="9" t="inlineStr">
        <is>
          <t>class:party</t>
        </is>
      </c>
      <c r="D24" s="9" t="inlineStr">
        <is>
          <t>fallback</t>
        </is>
      </c>
      <c r="E24" s="10" t="n">
        <v>94</v>
      </c>
      <c r="F24" s="10" t="n">
        <v>0</v>
      </c>
    </row>
    <row r="25">
      <c r="A25" s="9" t="n">
        <v>9</v>
      </c>
      <c r="B25" s="9" t="inlineStr">
        <is>
          <t>Financiële entiteiten</t>
        </is>
      </c>
      <c r="C25" s="9" t="inlineStr">
        <is>
          <t>class:party</t>
        </is>
      </c>
      <c r="D25" s="9" t="inlineStr">
        <is>
          <t>fallback</t>
        </is>
      </c>
      <c r="E25" s="10" t="n">
        <v>87</v>
      </c>
      <c r="F25" s="10" t="n">
        <v>0</v>
      </c>
    </row>
    <row r="26">
      <c r="A26" s="9" t="n">
        <v>10</v>
      </c>
      <c r="B26" s="9" t="inlineStr">
        <is>
          <t>Comité</t>
        </is>
      </c>
      <c r="C26" s="9" t="inlineStr">
        <is>
          <t>KEY:32016R0679:comite</t>
        </is>
      </c>
      <c r="D26" s="9" t="inlineStr">
        <is>
          <t>exact</t>
        </is>
      </c>
      <c r="E26" s="10" t="n">
        <v>63</v>
      </c>
      <c r="F26" s="10" t="n">
        <v>0</v>
      </c>
    </row>
    <row r="27">
      <c r="A27" s="9" t="n">
        <v>11</v>
      </c>
      <c r="B27" s="9" t="inlineStr">
        <is>
          <t>lidstaat</t>
        </is>
      </c>
      <c r="C27" s="9" t="inlineStr">
        <is>
          <t>KEY:EU:lidstaat</t>
        </is>
      </c>
      <c r="D27" s="9" t="inlineStr">
        <is>
          <t>exact</t>
        </is>
      </c>
      <c r="E27" s="10" t="n">
        <v>63</v>
      </c>
      <c r="F27" s="10" t="n">
        <v>0</v>
      </c>
    </row>
    <row r="28">
      <c r="A28" s="9" t="n">
        <v>12</v>
      </c>
      <c r="B28" s="9" t="inlineStr">
        <is>
          <t>aanbieder</t>
        </is>
      </c>
      <c r="C28" s="9" t="inlineStr">
        <is>
          <t>class:party</t>
        </is>
      </c>
      <c r="D28" s="9" t="inlineStr">
        <is>
          <t>fallback</t>
        </is>
      </c>
      <c r="E28" s="10" t="n">
        <v>0</v>
      </c>
      <c r="F28" s="10" t="n">
        <v>56</v>
      </c>
    </row>
    <row r="29">
      <c r="A29" s="9" t="n">
        <v>13</v>
      </c>
      <c r="B29" s="9" t="inlineStr">
        <is>
          <t>ETA’s</t>
        </is>
      </c>
      <c r="C29" s="9" t="inlineStr">
        <is>
          <t>not_actor</t>
        </is>
      </c>
      <c r="D29" s="9" t="inlineStr">
        <is>
          <t>not_actor</t>
        </is>
      </c>
      <c r="E29" s="10" t="n">
        <v>53</v>
      </c>
      <c r="F29" s="10" t="n">
        <v>0</v>
      </c>
    </row>
    <row r="30">
      <c r="A30" s="9" t="n">
        <v>14</v>
      </c>
      <c r="B30" s="9" t="inlineStr">
        <is>
          <t>bevoegde autoriteit</t>
        </is>
      </c>
      <c r="C30" s="9" t="inlineStr">
        <is>
          <t>BWBR0052872:bevoegde_autoriteit</t>
        </is>
      </c>
      <c r="D30" s="9" t="inlineStr">
        <is>
          <t>exact</t>
        </is>
      </c>
      <c r="E30" s="10" t="n">
        <v>0</v>
      </c>
      <c r="F30" s="10" t="n">
        <v>52</v>
      </c>
    </row>
    <row r="31">
      <c r="A31" s="9" t="n">
        <v>15</v>
      </c>
      <c r="B31" s="9" t="inlineStr">
        <is>
          <t>verwerker</t>
        </is>
      </c>
      <c r="C31" s="9" t="inlineStr">
        <is>
          <t>32016R0679:verwerker</t>
        </is>
      </c>
      <c r="D31" s="9" t="inlineStr">
        <is>
          <t>exact</t>
        </is>
      </c>
      <c r="E31" s="10" t="n">
        <v>51</v>
      </c>
      <c r="F31" s="10" t="n">
        <v>0</v>
      </c>
    </row>
    <row r="32">
      <c r="A32" s="9" t="n">
        <v>16</v>
      </c>
      <c r="B32" s="9" t="inlineStr">
        <is>
          <t>lead overseer</t>
        </is>
      </c>
      <c r="C32" s="9" t="inlineStr">
        <is>
          <t>not_actor</t>
        </is>
      </c>
      <c r="D32" s="9" t="inlineStr">
        <is>
          <t>not_actor</t>
        </is>
      </c>
      <c r="E32" s="10" t="n">
        <v>49</v>
      </c>
      <c r="F32" s="10" t="n">
        <v>0</v>
      </c>
    </row>
    <row r="33">
      <c r="A33" s="9" t="n">
        <v>17</v>
      </c>
      <c r="B33" s="9" t="inlineStr">
        <is>
          <t>aanbieder</t>
        </is>
      </c>
      <c r="C33" s="9" t="inlineStr">
        <is>
          <t>32024R1689:aanbieder</t>
        </is>
      </c>
      <c r="D33" s="9" t="inlineStr">
        <is>
          <t>exact</t>
        </is>
      </c>
      <c r="E33" s="10" t="n">
        <v>48</v>
      </c>
      <c r="F33" s="10" t="n">
        <v>0</v>
      </c>
    </row>
    <row r="34">
      <c r="A34" s="9" t="n">
        <v>18</v>
      </c>
      <c r="B34" s="9" t="inlineStr">
        <is>
          <t>CSIRT’s</t>
        </is>
      </c>
      <c r="C34" s="9" t="inlineStr">
        <is>
          <t>class:authority</t>
        </is>
      </c>
      <c r="D34" s="9" t="inlineStr">
        <is>
          <t>fallback</t>
        </is>
      </c>
      <c r="E34" s="10" t="n">
        <v>48</v>
      </c>
      <c r="F34" s="10" t="n">
        <v>0</v>
      </c>
    </row>
    <row r="35">
      <c r="A35" s="9" t="n">
        <v>19</v>
      </c>
      <c r="B35" s="9" t="inlineStr">
        <is>
          <t>AI-bureau</t>
        </is>
      </c>
      <c r="C35" s="9" t="inlineStr">
        <is>
          <t>32024R1689:aibureau</t>
        </is>
      </c>
      <c r="D35" s="9" t="inlineStr">
        <is>
          <t>exact</t>
        </is>
      </c>
      <c r="E35" s="10" t="n">
        <v>47</v>
      </c>
      <c r="F35" s="10" t="n">
        <v>0</v>
      </c>
    </row>
    <row r="36">
      <c r="A36" s="9" t="n">
        <v>20</v>
      </c>
      <c r="B36" s="9" t="inlineStr">
        <is>
          <t>Onze Minister</t>
        </is>
      </c>
      <c r="C36" s="9" t="inlineStr">
        <is>
          <t>BWBR0048156:onze_minister</t>
        </is>
      </c>
      <c r="D36" s="9" t="inlineStr">
        <is>
          <t>exact</t>
        </is>
      </c>
      <c r="E36" s="10" t="n">
        <v>0</v>
      </c>
      <c r="F36" s="10" t="n">
        <v>45</v>
      </c>
    </row>
    <row r="37">
      <c r="A37" s="8" t="inlineStr">
        <is>
          <t>total</t>
        </is>
      </c>
      <c r="E37" s="12">
        <f>SUM(E17:E36)</f>
        <v/>
      </c>
      <c r="F37" s="12">
        <f>SUM(F17:F36)</f>
        <v/>
      </c>
    </row>
    <row r="39">
      <c r="A39" s="8" t="inlineStr">
        <is>
          <t>Coverage: share of unit occurrences covered by the most frequent groups</t>
        </is>
      </c>
    </row>
    <row r="40">
      <c r="A40" s="3" t="inlineStr">
        <is>
          <t>census size</t>
        </is>
      </c>
      <c r="B40" s="3" t="inlineStr">
        <is>
          <t>EU</t>
        </is>
      </c>
      <c r="C40" s="3" t="inlineStr">
        <is>
          <t>NL</t>
        </is>
      </c>
    </row>
    <row r="41">
      <c r="A41" s="9" t="n">
        <v>5</v>
      </c>
      <c r="B41" s="11" t="n">
        <v>0.1858224363386098</v>
      </c>
      <c r="C41" s="11" t="n">
        <v>0.2680901542111507</v>
      </c>
    </row>
    <row r="42">
      <c r="A42" s="9" t="n">
        <v>10</v>
      </c>
      <c r="B42" s="11" t="n">
        <v>0.3355127322780454</v>
      </c>
      <c r="C42" s="11" t="n">
        <v>0.2680901542111507</v>
      </c>
    </row>
    <row r="43">
      <c r="A43" s="9" t="n">
        <v>20</v>
      </c>
      <c r="B43" s="11" t="n">
        <v>0.459050240880936</v>
      </c>
      <c r="C43" s="11" t="n">
        <v>0.3588374851720048</v>
      </c>
    </row>
    <row r="44">
      <c r="A44" s="9" t="n">
        <v>30</v>
      </c>
      <c r="B44" s="11" t="n">
        <v>0.5103234686854783</v>
      </c>
      <c r="C44" s="11" t="n">
        <v>0.4507710557532622</v>
      </c>
    </row>
    <row r="45">
      <c r="A45" s="9" t="n">
        <v>50</v>
      </c>
      <c r="B45" s="11" t="n">
        <v>0.6104611149346181</v>
      </c>
      <c r="C45" s="11" t="n">
        <v>0.5071174377224199</v>
      </c>
    </row>
    <row r="46">
      <c r="A46" s="9" t="n">
        <v>100</v>
      </c>
      <c r="B46" s="11" t="n">
        <v>0.7278045423262216</v>
      </c>
      <c r="C46" s="11" t="n">
        <v>0.6198102016607354</v>
      </c>
    </row>
    <row r="48">
      <c r="A48" s="8" t="inlineStr">
        <is>
          <t>Exact counts (not sampled)</t>
        </is>
      </c>
    </row>
    <row r="49">
      <c r="A49" s="3" t="inlineStr"/>
      <c r="B49" s="3" t="inlineStr">
        <is>
          <t>EU</t>
        </is>
      </c>
      <c r="C49" s="3" t="inlineStr">
        <is>
          <t>NL</t>
        </is>
      </c>
      <c r="D49" s="3" t="inlineStr">
        <is>
          <t>total</t>
        </is>
      </c>
    </row>
    <row r="50">
      <c r="A50" s="8" t="inlineStr">
        <is>
          <t>norms</t>
        </is>
      </c>
    </row>
    <row r="51">
      <c r="A51" s="9" t="inlineStr">
        <is>
          <t xml:space="preserve">   ... status fallback</t>
        </is>
      </c>
      <c r="B51" s="10" t="n">
        <v>535</v>
      </c>
      <c r="C51" s="10" t="n">
        <v>321</v>
      </c>
      <c r="D51" s="10">
        <f>B51+C51</f>
        <v/>
      </c>
    </row>
    <row r="52">
      <c r="A52" s="9" t="inlineStr">
        <is>
          <t xml:space="preserve">   ... status mapped</t>
        </is>
      </c>
      <c r="B52" s="10" t="n">
        <v>1580</v>
      </c>
      <c r="C52" s="10" t="n">
        <v>626</v>
      </c>
      <c r="D52" s="10">
        <f>B52+C52</f>
        <v/>
      </c>
    </row>
    <row r="53">
      <c r="A53" s="9" t="inlineStr">
        <is>
          <t xml:space="preserve">   ... status not_actor</t>
        </is>
      </c>
      <c r="B53" s="10" t="n">
        <v>521</v>
      </c>
      <c r="C53" s="10" t="n">
        <v>550</v>
      </c>
      <c r="D53" s="10">
        <f>B53+C53</f>
        <v/>
      </c>
    </row>
    <row r="54">
      <c r="A54" s="9" t="inlineStr">
        <is>
          <t xml:space="preserve">   ... status missing (no unit, no claim)</t>
        </is>
      </c>
      <c r="B54" s="10" t="n">
        <v>345</v>
      </c>
      <c r="C54" s="10" t="n">
        <v>612</v>
      </c>
      <c r="D54" s="10">
        <f>B54+C54</f>
        <v/>
      </c>
    </row>
    <row r="55">
      <c r="A55" s="9" t="inlineStr">
        <is>
          <t xml:space="preserve">   ... status no_units (no unit, no claim)</t>
        </is>
      </c>
      <c r="B55" s="10" t="n">
        <v>3</v>
      </c>
      <c r="C55" s="10" t="n">
        <v>6</v>
      </c>
      <c r="D55" s="10">
        <f>B55+C55</f>
        <v/>
      </c>
    </row>
    <row r="56">
      <c r="A56" s="9" t="inlineStr">
        <is>
          <t xml:space="preserve">   ... status pronoun (no unit, no claim)</t>
        </is>
      </c>
      <c r="B56" s="10" t="n">
        <v>125</v>
      </c>
      <c r="C56" s="10" t="n">
        <v>35</v>
      </c>
      <c r="D56" s="10">
        <f>B56+C56</f>
        <v/>
      </c>
    </row>
    <row r="57">
      <c r="A57" s="8" t="inlineStr">
        <is>
          <t>unit occurrences</t>
        </is>
      </c>
    </row>
    <row r="58">
      <c r="A58" s="9" t="inlineStr">
        <is>
          <t xml:space="preserve">   ... exact</t>
        </is>
      </c>
      <c r="B58" s="10" t="n">
        <v>1489</v>
      </c>
      <c r="C58" s="10" t="n">
        <v>640</v>
      </c>
      <c r="D58" s="10">
        <f>B58+C58</f>
        <v/>
      </c>
    </row>
    <row r="59">
      <c r="A59" s="9" t="inlineStr">
        <is>
          <t xml:space="preserve">   ... shortened</t>
        </is>
      </c>
      <c r="B59" s="10" t="n">
        <v>211</v>
      </c>
      <c r="C59" s="10" t="n">
        <v>41</v>
      </c>
      <c r="D59" s="10">
        <f>B59+C59</f>
        <v/>
      </c>
    </row>
    <row r="60">
      <c r="A60" s="9" t="inlineStr">
        <is>
          <t xml:space="preserve">   ... fallback</t>
        </is>
      </c>
      <c r="B60" s="10" t="n">
        <v>587</v>
      </c>
      <c r="C60" s="10" t="n">
        <v>368</v>
      </c>
      <c r="D60" s="10">
        <f>B60+C60</f>
        <v/>
      </c>
    </row>
    <row r="61">
      <c r="A61" s="9" t="inlineStr">
        <is>
          <t xml:space="preserve">   ... not_actor</t>
        </is>
      </c>
      <c r="B61" s="10" t="n">
        <v>619</v>
      </c>
      <c r="C61" s="10" t="n">
        <v>637</v>
      </c>
      <c r="D61" s="10">
        <f>B61+C61</f>
        <v/>
      </c>
    </row>
    <row r="62">
      <c r="A62" s="13" t="inlineStr">
        <is>
          <t>Settings: census 20, contexts 3, per source 50, floor 8, max per norm 1, seed 42</t>
        </is>
      </c>
    </row>
  </sheetData>
  <mergeCells count="1">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22" customWidth="1" min="1" max="1"/>
    <col width="7" customWidth="1" min="2" max="2"/>
    <col width="8" customWidth="1" min="3" max="3"/>
    <col width="8" customWidth="1" min="4" max="4"/>
    <col width="8" customWidth="1" min="5" max="5"/>
    <col width="8" customWidth="1" min="6" max="6"/>
    <col width="8" customWidth="1" min="7" max="7"/>
    <col width="8" customWidth="1" min="8" max="8"/>
    <col width="8" customWidth="1" min="9" max="9"/>
    <col width="13" customWidth="1" min="10" max="10"/>
    <col width="13" customWidth="1" min="11" max="11"/>
  </cols>
  <sheetData>
    <row r="1">
      <c r="A1" s="3" t="inlineStr">
        <is>
          <t>stratum</t>
        </is>
      </c>
      <c r="B1" s="3" t="inlineStr">
        <is>
          <t>rows</t>
        </is>
      </c>
      <c r="C1" s="3" t="inlineStr">
        <is>
          <t>judged</t>
        </is>
      </c>
      <c r="D1" s="3" t="inlineStr">
        <is>
          <t>correct</t>
        </is>
      </c>
      <c r="E1" s="3" t="inlineStr">
        <is>
          <t>partial</t>
        </is>
      </c>
      <c r="F1" s="3" t="inlineStr">
        <is>
          <t>wrong</t>
        </is>
      </c>
      <c r="G1" s="3" t="inlineStr">
        <is>
          <t>unclear</t>
        </is>
      </c>
      <c r="H1" s="3" t="inlineStr">
        <is>
          <t>strict</t>
        </is>
      </c>
      <c r="I1" s="3" t="inlineStr">
        <is>
          <t>lenient</t>
        </is>
      </c>
      <c r="J1" s="3" t="inlineStr">
        <is>
          <t>strict 95% low</t>
        </is>
      </c>
      <c r="K1" s="3" t="inlineStr">
        <is>
          <t>strict 95% high</t>
        </is>
      </c>
      <c r="M1" s="14" t="inlineStr">
        <is>
          <t>z</t>
        </is>
      </c>
    </row>
    <row r="2">
      <c r="A2" s="9" t="inlineStr">
        <is>
          <t>EU | exact</t>
        </is>
      </c>
      <c r="B2" s="9">
        <f>COUNTIFS(key!$B$2:$B$121,A2)</f>
        <v/>
      </c>
      <c r="C2" s="9">
        <f>COUNTIFS(key!$B$2:$B$121,A2,Review!$H$2:$H$121,"&lt;&gt;")</f>
        <v/>
      </c>
      <c r="D2" s="9">
        <f>COUNTIFS(key!$B$2:$B$121,A2,Review!$H$2:$H$121,"correct")</f>
        <v/>
      </c>
      <c r="E2" s="9">
        <f>COUNTIFS(key!$B$2:$B$121,A2,Review!$H$2:$H$121,"partial")</f>
        <v/>
      </c>
      <c r="F2" s="9">
        <f>COUNTIFS(key!$B$2:$B$121,A2,Review!$H$2:$H$121,"wrong")</f>
        <v/>
      </c>
      <c r="G2" s="9">
        <f>COUNTIFS(key!$B$2:$B$121,A2,Review!$H$2:$H$121,"unclear")</f>
        <v/>
      </c>
      <c r="H2" s="15">
        <f>IFERROR(D2/(C2-G2),"")</f>
        <v/>
      </c>
      <c r="I2" s="15">
        <f>IFERROR((D2+E2)/(C2-G2),"")</f>
        <v/>
      </c>
      <c r="J2" s="15">
        <f>IFERROR(MAX(0,(H2+$M$2^2/(2*(C2-G2)))/(1+$M$2^2/(C2-G2))-$M$2*SQRT(H2*(1-H2)/(C2-G2)+$M$2^2/(4*(C2-G2)^2))/(1+$M$2^2/(C2-G2))),"")</f>
        <v/>
      </c>
      <c r="K2" s="15">
        <f>IFERROR(MIN(1,(H2+$M$2^2/(2*(C2-G2)))/(1+$M$2^2/(C2-G2))+$M$2*SQRT(H2*(1-H2)/(C2-G2)+$M$2^2/(4*(C2-G2)^2))/(1+$M$2^2/(C2-G2))),"")</f>
        <v/>
      </c>
      <c r="M2" s="16" t="n">
        <v>1.96</v>
      </c>
    </row>
    <row r="3">
      <c r="A3" s="9" t="inlineStr">
        <is>
          <t>EU | shortened</t>
        </is>
      </c>
      <c r="B3" s="9">
        <f>COUNTIFS(key!$B$2:$B$121,A3)</f>
        <v/>
      </c>
      <c r="C3" s="9">
        <f>COUNTIFS(key!$B$2:$B$121,A3,Review!$H$2:$H$121,"&lt;&gt;")</f>
        <v/>
      </c>
      <c r="D3" s="9">
        <f>COUNTIFS(key!$B$2:$B$121,A3,Review!$H$2:$H$121,"correct")</f>
        <v/>
      </c>
      <c r="E3" s="9">
        <f>COUNTIFS(key!$B$2:$B$121,A3,Review!$H$2:$H$121,"partial")</f>
        <v/>
      </c>
      <c r="F3" s="9">
        <f>COUNTIFS(key!$B$2:$B$121,A3,Review!$H$2:$H$121,"wrong")</f>
        <v/>
      </c>
      <c r="G3" s="9">
        <f>COUNTIFS(key!$B$2:$B$121,A3,Review!$H$2:$H$121,"unclear")</f>
        <v/>
      </c>
      <c r="H3" s="15">
        <f>IFERROR(D3/(C3-G3),"")</f>
        <v/>
      </c>
      <c r="I3" s="15">
        <f>IFERROR((D3+E3)/(C3-G3),"")</f>
        <v/>
      </c>
      <c r="J3" s="15">
        <f>IFERROR(MAX(0,(H3+$M$2^2/(2*(C3-G3)))/(1+$M$2^2/(C3-G3))-$M$2*SQRT(H3*(1-H3)/(C3-G3)+$M$2^2/(4*(C3-G3)^2))/(1+$M$2^2/(C3-G3))),"")</f>
        <v/>
      </c>
      <c r="K3" s="15">
        <f>IFERROR(MIN(1,(H3+$M$2^2/(2*(C3-G3)))/(1+$M$2^2/(C3-G3))+$M$2*SQRT(H3*(1-H3)/(C3-G3)+$M$2^2/(4*(C3-G3)^2))/(1+$M$2^2/(C3-G3))),"")</f>
        <v/>
      </c>
    </row>
    <row r="4">
      <c r="A4" s="9" t="inlineStr">
        <is>
          <t>EU | fallback</t>
        </is>
      </c>
      <c r="B4" s="9">
        <f>COUNTIFS(key!$B$2:$B$121,A4)</f>
        <v/>
      </c>
      <c r="C4" s="9">
        <f>COUNTIFS(key!$B$2:$B$121,A4,Review!$H$2:$H$121,"&lt;&gt;")</f>
        <v/>
      </c>
      <c r="D4" s="9">
        <f>COUNTIFS(key!$B$2:$B$121,A4,Review!$H$2:$H$121,"correct")</f>
        <v/>
      </c>
      <c r="E4" s="9">
        <f>COUNTIFS(key!$B$2:$B$121,A4,Review!$H$2:$H$121,"partial")</f>
        <v/>
      </c>
      <c r="F4" s="9">
        <f>COUNTIFS(key!$B$2:$B$121,A4,Review!$H$2:$H$121,"wrong")</f>
        <v/>
      </c>
      <c r="G4" s="9">
        <f>COUNTIFS(key!$B$2:$B$121,A4,Review!$H$2:$H$121,"unclear")</f>
        <v/>
      </c>
      <c r="H4" s="15">
        <f>IFERROR(D4/(C4-G4),"")</f>
        <v/>
      </c>
      <c r="I4" s="15">
        <f>IFERROR((D4+E4)/(C4-G4),"")</f>
        <v/>
      </c>
      <c r="J4" s="15">
        <f>IFERROR(MAX(0,(H4+$M$2^2/(2*(C4-G4)))/(1+$M$2^2/(C4-G4))-$M$2*SQRT(H4*(1-H4)/(C4-G4)+$M$2^2/(4*(C4-G4)^2))/(1+$M$2^2/(C4-G4))),"")</f>
        <v/>
      </c>
      <c r="K4" s="15">
        <f>IFERROR(MIN(1,(H4+$M$2^2/(2*(C4-G4)))/(1+$M$2^2/(C4-G4))+$M$2*SQRT(H4*(1-H4)/(C4-G4)+$M$2^2/(4*(C4-G4)^2))/(1+$M$2^2/(C4-G4))),"")</f>
        <v/>
      </c>
    </row>
    <row r="5">
      <c r="A5" s="9" t="inlineStr">
        <is>
          <t>EU | not_actor</t>
        </is>
      </c>
      <c r="B5" s="9">
        <f>COUNTIFS(key!$B$2:$B$121,A5)</f>
        <v/>
      </c>
      <c r="C5" s="9">
        <f>COUNTIFS(key!$B$2:$B$121,A5,Review!$H$2:$H$121,"&lt;&gt;")</f>
        <v/>
      </c>
      <c r="D5" s="9">
        <f>COUNTIFS(key!$B$2:$B$121,A5,Review!$H$2:$H$121,"correct")</f>
        <v/>
      </c>
      <c r="E5" s="9">
        <f>COUNTIFS(key!$B$2:$B$121,A5,Review!$H$2:$H$121,"partial")</f>
        <v/>
      </c>
      <c r="F5" s="9">
        <f>COUNTIFS(key!$B$2:$B$121,A5,Review!$H$2:$H$121,"wrong")</f>
        <v/>
      </c>
      <c r="G5" s="9">
        <f>COUNTIFS(key!$B$2:$B$121,A5,Review!$H$2:$H$121,"unclear")</f>
        <v/>
      </c>
      <c r="H5" s="15">
        <f>IFERROR(D5/(C5-G5),"")</f>
        <v/>
      </c>
      <c r="I5" s="15">
        <f>IFERROR((D5+E5)/(C5-G5),"")</f>
        <v/>
      </c>
      <c r="J5" s="15">
        <f>IFERROR(MAX(0,(H5+$M$2^2/(2*(C5-G5)))/(1+$M$2^2/(C5-G5))-$M$2*SQRT(H5*(1-H5)/(C5-G5)+$M$2^2/(4*(C5-G5)^2))/(1+$M$2^2/(C5-G5))),"")</f>
        <v/>
      </c>
      <c r="K5" s="15">
        <f>IFERROR(MIN(1,(H5+$M$2^2/(2*(C5-G5)))/(1+$M$2^2/(C5-G5))+$M$2*SQRT(H5*(1-H5)/(C5-G5)+$M$2^2/(4*(C5-G5)^2))/(1+$M$2^2/(C5-G5))),"")</f>
        <v/>
      </c>
    </row>
    <row r="6">
      <c r="A6" s="9" t="inlineStr">
        <is>
          <t>NL | exact</t>
        </is>
      </c>
      <c r="B6" s="9">
        <f>COUNTIFS(key!$B$2:$B$121,A6)</f>
        <v/>
      </c>
      <c r="C6" s="9">
        <f>COUNTIFS(key!$B$2:$B$121,A6,Review!$H$2:$H$121,"&lt;&gt;")</f>
        <v/>
      </c>
      <c r="D6" s="9">
        <f>COUNTIFS(key!$B$2:$B$121,A6,Review!$H$2:$H$121,"correct")</f>
        <v/>
      </c>
      <c r="E6" s="9">
        <f>COUNTIFS(key!$B$2:$B$121,A6,Review!$H$2:$H$121,"partial")</f>
        <v/>
      </c>
      <c r="F6" s="9">
        <f>COUNTIFS(key!$B$2:$B$121,A6,Review!$H$2:$H$121,"wrong")</f>
        <v/>
      </c>
      <c r="G6" s="9">
        <f>COUNTIFS(key!$B$2:$B$121,A6,Review!$H$2:$H$121,"unclear")</f>
        <v/>
      </c>
      <c r="H6" s="15">
        <f>IFERROR(D6/(C6-G6),"")</f>
        <v/>
      </c>
      <c r="I6" s="15">
        <f>IFERROR((D6+E6)/(C6-G6),"")</f>
        <v/>
      </c>
      <c r="J6" s="15">
        <f>IFERROR(MAX(0,(H6+$M$2^2/(2*(C6-G6)))/(1+$M$2^2/(C6-G6))-$M$2*SQRT(H6*(1-H6)/(C6-G6)+$M$2^2/(4*(C6-G6)^2))/(1+$M$2^2/(C6-G6))),"")</f>
        <v/>
      </c>
      <c r="K6" s="15">
        <f>IFERROR(MIN(1,(H6+$M$2^2/(2*(C6-G6)))/(1+$M$2^2/(C6-G6))+$M$2*SQRT(H6*(1-H6)/(C6-G6)+$M$2^2/(4*(C6-G6)^2))/(1+$M$2^2/(C6-G6))),"")</f>
        <v/>
      </c>
    </row>
    <row r="7">
      <c r="A7" s="9" t="inlineStr">
        <is>
          <t>NL | shortened</t>
        </is>
      </c>
      <c r="B7" s="9">
        <f>COUNTIFS(key!$B$2:$B$121,A7)</f>
        <v/>
      </c>
      <c r="C7" s="9">
        <f>COUNTIFS(key!$B$2:$B$121,A7,Review!$H$2:$H$121,"&lt;&gt;")</f>
        <v/>
      </c>
      <c r="D7" s="9">
        <f>COUNTIFS(key!$B$2:$B$121,A7,Review!$H$2:$H$121,"correct")</f>
        <v/>
      </c>
      <c r="E7" s="9">
        <f>COUNTIFS(key!$B$2:$B$121,A7,Review!$H$2:$H$121,"partial")</f>
        <v/>
      </c>
      <c r="F7" s="9">
        <f>COUNTIFS(key!$B$2:$B$121,A7,Review!$H$2:$H$121,"wrong")</f>
        <v/>
      </c>
      <c r="G7" s="9">
        <f>COUNTIFS(key!$B$2:$B$121,A7,Review!$H$2:$H$121,"unclear")</f>
        <v/>
      </c>
      <c r="H7" s="15">
        <f>IFERROR(D7/(C7-G7),"")</f>
        <v/>
      </c>
      <c r="I7" s="15">
        <f>IFERROR((D7+E7)/(C7-G7),"")</f>
        <v/>
      </c>
      <c r="J7" s="15">
        <f>IFERROR(MAX(0,(H7+$M$2^2/(2*(C7-G7)))/(1+$M$2^2/(C7-G7))-$M$2*SQRT(H7*(1-H7)/(C7-G7)+$M$2^2/(4*(C7-G7)^2))/(1+$M$2^2/(C7-G7))),"")</f>
        <v/>
      </c>
      <c r="K7" s="15">
        <f>IFERROR(MIN(1,(H7+$M$2^2/(2*(C7-G7)))/(1+$M$2^2/(C7-G7))+$M$2*SQRT(H7*(1-H7)/(C7-G7)+$M$2^2/(4*(C7-G7)^2))/(1+$M$2^2/(C7-G7))),"")</f>
        <v/>
      </c>
    </row>
    <row r="8">
      <c r="A8" s="9" t="inlineStr">
        <is>
          <t>NL | fallback</t>
        </is>
      </c>
      <c r="B8" s="9">
        <f>COUNTIFS(key!$B$2:$B$121,A8)</f>
        <v/>
      </c>
      <c r="C8" s="9">
        <f>COUNTIFS(key!$B$2:$B$121,A8,Review!$H$2:$H$121,"&lt;&gt;")</f>
        <v/>
      </c>
      <c r="D8" s="9">
        <f>COUNTIFS(key!$B$2:$B$121,A8,Review!$H$2:$H$121,"correct")</f>
        <v/>
      </c>
      <c r="E8" s="9">
        <f>COUNTIFS(key!$B$2:$B$121,A8,Review!$H$2:$H$121,"partial")</f>
        <v/>
      </c>
      <c r="F8" s="9">
        <f>COUNTIFS(key!$B$2:$B$121,A8,Review!$H$2:$H$121,"wrong")</f>
        <v/>
      </c>
      <c r="G8" s="9">
        <f>COUNTIFS(key!$B$2:$B$121,A8,Review!$H$2:$H$121,"unclear")</f>
        <v/>
      </c>
      <c r="H8" s="15">
        <f>IFERROR(D8/(C8-G8),"")</f>
        <v/>
      </c>
      <c r="I8" s="15">
        <f>IFERROR((D8+E8)/(C8-G8),"")</f>
        <v/>
      </c>
      <c r="J8" s="15">
        <f>IFERROR(MAX(0,(H8+$M$2^2/(2*(C8-G8)))/(1+$M$2^2/(C8-G8))-$M$2*SQRT(H8*(1-H8)/(C8-G8)+$M$2^2/(4*(C8-G8)^2))/(1+$M$2^2/(C8-G8))),"")</f>
        <v/>
      </c>
      <c r="K8" s="15">
        <f>IFERROR(MIN(1,(H8+$M$2^2/(2*(C8-G8)))/(1+$M$2^2/(C8-G8))+$M$2*SQRT(H8*(1-H8)/(C8-G8)+$M$2^2/(4*(C8-G8)^2))/(1+$M$2^2/(C8-G8))),"")</f>
        <v/>
      </c>
    </row>
    <row r="9">
      <c r="A9" s="9" t="inlineStr">
        <is>
          <t>NL | not_actor</t>
        </is>
      </c>
      <c r="B9" s="9">
        <f>COUNTIFS(key!$B$2:$B$121,A9)</f>
        <v/>
      </c>
      <c r="C9" s="9">
        <f>COUNTIFS(key!$B$2:$B$121,A9,Review!$H$2:$H$121,"&lt;&gt;")</f>
        <v/>
      </c>
      <c r="D9" s="9">
        <f>COUNTIFS(key!$B$2:$B$121,A9,Review!$H$2:$H$121,"correct")</f>
        <v/>
      </c>
      <c r="E9" s="9">
        <f>COUNTIFS(key!$B$2:$B$121,A9,Review!$H$2:$H$121,"partial")</f>
        <v/>
      </c>
      <c r="F9" s="9">
        <f>COUNTIFS(key!$B$2:$B$121,A9,Review!$H$2:$H$121,"wrong")</f>
        <v/>
      </c>
      <c r="G9" s="9">
        <f>COUNTIFS(key!$B$2:$B$121,A9,Review!$H$2:$H$121,"unclear")</f>
        <v/>
      </c>
      <c r="H9" s="15">
        <f>IFERROR(D9/(C9-G9),"")</f>
        <v/>
      </c>
      <c r="I9" s="15">
        <f>IFERROR((D9+E9)/(C9-G9),"")</f>
        <v/>
      </c>
      <c r="J9" s="15">
        <f>IFERROR(MAX(0,(H9+$M$2^2/(2*(C9-G9)))/(1+$M$2^2/(C9-G9))-$M$2*SQRT(H9*(1-H9)/(C9-G9)+$M$2^2/(4*(C9-G9)^2))/(1+$M$2^2/(C9-G9))),"")</f>
        <v/>
      </c>
      <c r="K9" s="15">
        <f>IFERROR(MIN(1,(H9+$M$2^2/(2*(C9-G9)))/(1+$M$2^2/(C9-G9))+$M$2*SQRT(H9*(1-H9)/(C9-G9)+$M$2^2/(4*(C9-G9)^2))/(1+$M$2^2/(C9-G9))),"")</f>
        <v/>
      </c>
    </row>
    <row r="10">
      <c r="A10" s="9" t="inlineStr">
        <is>
          <t>census</t>
        </is>
      </c>
      <c r="B10" s="9">
        <f>COUNTIFS(key!$B$2:$B$121,A10)</f>
        <v/>
      </c>
      <c r="C10" s="9">
        <f>COUNTIFS(key!$B$2:$B$121,A10,Review!$H$2:$H$121,"&lt;&gt;")</f>
        <v/>
      </c>
      <c r="D10" s="9">
        <f>COUNTIFS(key!$B$2:$B$121,A10,Review!$H$2:$H$121,"correct")</f>
        <v/>
      </c>
      <c r="E10" s="9">
        <f>COUNTIFS(key!$B$2:$B$121,A10,Review!$H$2:$H$121,"partial")</f>
        <v/>
      </c>
      <c r="F10" s="9">
        <f>COUNTIFS(key!$B$2:$B$121,A10,Review!$H$2:$H$121,"wrong")</f>
        <v/>
      </c>
      <c r="G10" s="9">
        <f>COUNTIFS(key!$B$2:$B$121,A10,Review!$H$2:$H$121,"unclear")</f>
        <v/>
      </c>
      <c r="H10" s="15">
        <f>IFERROR(D10/(C10-G10),"")</f>
        <v/>
      </c>
      <c r="I10" s="15">
        <f>IFERROR((D10+E10)/(C10-G10),"")</f>
        <v/>
      </c>
      <c r="J10" s="15">
        <f>IFERROR(MAX(0,(H10+$M$2^2/(2*(C10-G10)))/(1+$M$2^2/(C10-G10))-$M$2*SQRT(H10*(1-H10)/(C10-G10)+$M$2^2/(4*(C10-G10)^2))/(1+$M$2^2/(C10-G10))),"")</f>
        <v/>
      </c>
      <c r="K10" s="15">
        <f>IFERROR(MIN(1,(H10+$M$2^2/(2*(C10-G10)))/(1+$M$2^2/(C10-G10))+$M$2*SQRT(H10*(1-H10)/(C10-G10)+$M$2^2/(4*(C10-G10)^2))/(1+$M$2^2/(C10-G10))),"")</f>
        <v/>
      </c>
    </row>
    <row r="12">
      <c r="A12" s="13" t="inlineStr">
        <is>
          <t>Per stratum, unweighted; 'unclear' is excluded. Census rows count once each here; the review step weights them by their occurrences.</t>
        </is>
      </c>
    </row>
    <row r="13">
      <c r="A13" s="13" t="inlineStr">
        <is>
          <t>Weighted figures per source and level, the EU-Dutch difference, lost actors, error kinds and inventory additions: python actor_map_review.py review --xlsx &lt;this file&gt;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2026-10-27T11:46:55Z</dcterms:created>
  <dcterms:modified xmlns:dcterms="http://purl.org/dc/terms/" xmlns:xsi="http://www.w3.org/2001/XMLSchema-instance" xsi:type="dcterms:W3CDTF">2026-10-27T11:46:55Z</dcterms:modified>
</cp:coreProperties>
</file>