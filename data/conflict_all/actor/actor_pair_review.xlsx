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28c8c9cd31f35923/0 QIST/Year 2/JIP/AI-Legislation-Analysis/data/conflict_all/actor/"/>
    </mc:Choice>
  </mc:AlternateContent>
  <xr:revisionPtr revIDLastSave="0" documentId="11_A91C288E2EA2CFD22C3F4E6120C4967F1CFF50E9" xr6:coauthVersionLast="47" xr6:coauthVersionMax="47" xr10:uidLastSave="{00000000-0000-0000-0000-000000000000}"/>
  <bookViews>
    <workbookView xWindow="-110" yWindow="-110" windowWidth="19420" windowHeight="11500" xr2:uid="{00000000-000D-0000-FFFF-FFFF00000000}"/>
  </bookViews>
  <sheets>
    <sheet name="Instructions" sheetId="1" r:id="rId1"/>
    <sheet name="Review" sheetId="2" r:id="rId2"/>
    <sheet name="key" sheetId="3" state="hidden" r:id="rId3"/>
    <sheet name="Design" sheetId="4" r:id="rId4"/>
    <sheet name="Summar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5" l="1"/>
  <c r="I9" i="5"/>
  <c r="H9" i="5"/>
  <c r="G9" i="5"/>
  <c r="F9" i="5"/>
  <c r="N9" i="5" s="1"/>
  <c r="E9" i="5"/>
  <c r="K9" i="5" s="1"/>
  <c r="D9" i="5"/>
  <c r="J8" i="5"/>
  <c r="I8" i="5"/>
  <c r="H8" i="5"/>
  <c r="G8" i="5"/>
  <c r="F8" i="5"/>
  <c r="N8" i="5" s="1"/>
  <c r="E8" i="5"/>
  <c r="K8" i="5" s="1"/>
  <c r="D8" i="5"/>
  <c r="J7" i="5"/>
  <c r="I7" i="5"/>
  <c r="H7" i="5"/>
  <c r="G7" i="5"/>
  <c r="F7" i="5"/>
  <c r="N7" i="5" s="1"/>
  <c r="E7" i="5"/>
  <c r="K7" i="5" s="1"/>
  <c r="D7" i="5"/>
  <c r="J6" i="5"/>
  <c r="I6" i="5"/>
  <c r="H6" i="5"/>
  <c r="G6" i="5"/>
  <c r="N6" i="5" s="1"/>
  <c r="F6" i="5"/>
  <c r="E6" i="5"/>
  <c r="K6" i="5" s="1"/>
  <c r="D6" i="5"/>
  <c r="J5" i="5"/>
  <c r="I5" i="5"/>
  <c r="H5" i="5"/>
  <c r="G5" i="5"/>
  <c r="F5" i="5"/>
  <c r="N5" i="5" s="1"/>
  <c r="E5" i="5"/>
  <c r="K5" i="5" s="1"/>
  <c r="D5" i="5"/>
  <c r="J4" i="5"/>
  <c r="I4" i="5"/>
  <c r="H4" i="5"/>
  <c r="G4" i="5"/>
  <c r="F4" i="5"/>
  <c r="N4" i="5" s="1"/>
  <c r="E4" i="5"/>
  <c r="K4" i="5" s="1"/>
  <c r="D4" i="5"/>
  <c r="J3" i="5"/>
  <c r="I3" i="5"/>
  <c r="H3" i="5"/>
  <c r="G3" i="5"/>
  <c r="F3" i="5"/>
  <c r="N3" i="5" s="1"/>
  <c r="E3" i="5"/>
  <c r="K3" i="5" s="1"/>
  <c r="D3" i="5"/>
  <c r="N2" i="5"/>
  <c r="K2" i="5"/>
  <c r="J2" i="5"/>
  <c r="I2" i="5"/>
  <c r="H2" i="5"/>
  <c r="G2" i="5"/>
  <c r="F2" i="5"/>
  <c r="E2" i="5"/>
  <c r="D2" i="5"/>
  <c r="C27" i="4"/>
  <c r="C26" i="4"/>
  <c r="C25" i="4"/>
  <c r="C24" i="4"/>
  <c r="C23" i="4"/>
  <c r="C22" i="4"/>
  <c r="C21" i="4"/>
  <c r="C20" i="4"/>
  <c r="C19" i="4"/>
  <c r="C18" i="4"/>
  <c r="C17" i="4"/>
  <c r="E13" i="4"/>
  <c r="C13" i="4"/>
  <c r="D12" i="4"/>
  <c r="D11" i="4"/>
  <c r="D10" i="4"/>
  <c r="D9" i="4"/>
  <c r="D8" i="4"/>
  <c r="D7" i="4"/>
  <c r="D6" i="4"/>
  <c r="D5" i="4"/>
  <c r="L9" i="5" l="1"/>
  <c r="M9" i="5"/>
  <c r="L8" i="5"/>
  <c r="M8" i="5"/>
  <c r="L7" i="5"/>
  <c r="M7" i="5"/>
  <c r="L6" i="5"/>
  <c r="M6" i="5"/>
  <c r="L5" i="5"/>
  <c r="M5" i="5"/>
  <c r="L4" i="5"/>
  <c r="M4" i="5"/>
  <c r="L3" i="5"/>
  <c r="M3" i="5"/>
  <c r="M2" i="5"/>
  <c r="L2" i="5"/>
</calcChain>
</file>

<file path=xl/sharedStrings.xml><?xml version="1.0" encoding="utf-8"?>
<sst xmlns="http://schemas.openxmlformats.org/spreadsheetml/2006/main" count="2220" uniqueCount="685">
  <si>
    <t>#</t>
  </si>
  <si>
    <t>Norm A</t>
  </si>
  <si>
    <t>Actor A</t>
  </si>
  <si>
    <t>Actor units A</t>
  </si>
  <si>
    <t>Text A</t>
  </si>
  <si>
    <t>Norm B</t>
  </si>
  <si>
    <t>Actor B</t>
  </si>
  <si>
    <t>Actor units B</t>
  </si>
  <si>
    <t>Text B</t>
  </si>
  <si>
    <t>Actor relation?</t>
  </si>
  <si>
    <t>Narrower actor?</t>
  </si>
  <si>
    <t>Note</t>
  </si>
  <si>
    <t>32024R1689:100:7:10</t>
  </si>
  <si>
    <t>De Europese Toezichthouder voor gegevensbescherming</t>
  </si>
  <si>
    <t>Europese Toezichthouder voor gegevensbescherming</t>
  </si>
  <si>
    <t>32024R1689:112:13:22</t>
  </si>
  <si>
    <t>de Commissie</t>
  </si>
  <si>
    <t>Commissie</t>
  </si>
  <si>
    <t>32024R1689:41:6:5</t>
  </si>
  <si>
    <t>De Commissie</t>
  </si>
  <si>
    <t>32016R0679:43:9:13</t>
  </si>
  <si>
    <t>32024R1689:16:whole:4</t>
  </si>
  <si>
    <t>Aanbieders van AI-systemen met een hoog risico</t>
  </si>
  <si>
    <t>Aanbieders van AI-systemen met een hoog risico:
a) zorgen ervoor dat hun AI-systemen met een hoog risico in overeenstemming zijn met de eisen van afdeling 2;
b) vermelden op het AI-systeem met een hoog risico of, wanneer dit niet mogelijk is, op de verpakking of in de bij het product gevoegde documentatie, naargelang het geval, hun naam, geregistreerde handelsnaam of geregistreerd merk en hun contactadres;
c) beschikken over een systeem voor kwaliteitsbeheer dat in overeenstemming is met artikel 17;
d) bewaren de in artikel 18 bedoelde documentatie;
e) bewaren de in artikel 19 bedoelde logs die automatisch door hun AI-systemen met een hoog risico zijn gegenereerd, wanneer zij hierover de controle hebben;
f) zorgen ervoor dat voor het AI-systeem met een hoog risico de desbetreffende in artikel 43 bedoelde conformiteitsbeoordelingsprocedure wordt uitgevoerd voordat dit systeem in de handel wordt gebracht of in gebruik wordt gesteld;
g) stellen een EU-conformiteitsverklaring op, in overeenstemming met artikel 47;
h) brengen de CE-markering aan op het AI-systeem met een hoog risico of, wanneer dit niet mogelijk is, op de verpakking of in de bij het product gevoegde documentatie, om aan te geven dat aan deze verordening is voldaan, overeenkomstig artikel 48;
i) leven de registratieverplichtingen als bedoeld in artikel 49, lid 1, na;
j) nemen de noodzakelijke corrigerende maatregelen en verstrekken de uit hoofde van artikel 20 vereiste informatie;
k) tonen op een met red</t>
  </si>
  <si>
    <t>32016R0679:8:1:1</t>
  </si>
  <si>
    <t>de persoon die de ouderlijke verantwoordelijkheid voor het kind draagt</t>
  </si>
  <si>
    <t>persoon</t>
  </si>
  <si>
    <t>Wanneer artikel 6, lid 1, punt a), van toepassing is in verband met een rechtstreeks aanbod van diensten van de informatiemaatschappij aan een kind, is de verwerking van persoonsgegevens van een kind rechtmatig wanneer het kind ten minste 16 jaar is. Wanneer het kind jonger is dan 16 jaar is zulke verwerking slechts rechtmatig indien en voor zover de toestemming of machtiging tot toestemming in dit verband wordt verleend door de persoon die de ouderlijke verantwoordelijkheid voor het kind draagt.
De lidstaten kunnen dienaangaande bij wet voorzien in een lagere leeftijd, op voorwaarde dat die leeftijd niet onder 13 jaar ligt.</t>
  </si>
  <si>
    <t>32024R1689:28:2:5</t>
  </si>
  <si>
    <t>De lidstaten</t>
  </si>
  <si>
    <t>lidstaten</t>
  </si>
  <si>
    <t>32024R1689:36:3:7</t>
  </si>
  <si>
    <t>een aangemelde instantie</t>
  </si>
  <si>
    <t>aangemelde instantie</t>
  </si>
  <si>
    <t>32016R0679:60:2:3</t>
  </si>
  <si>
    <t>De leidende toezichthoudende autoriteit</t>
  </si>
  <si>
    <t>leidende toezichthoudende autoriteit</t>
  </si>
  <si>
    <t>De leidende toezichthoudende autoriteit kan te allen tijde andere betrokken toezichthoudende autoriteiten verzoeken wederzijdse bijstand overeenkomstig artikel 61 te verlenen, en kan gezamenlijke werkzaamheden ondernemen overeenkomstig artikel 62, in het bijzonder voor het uitvoeren van onderzoeken of voor het toezicht op de uitvoering van een maatregel betreffende een in een andere lidstaat gevestigde verwerkingsverantwoordelijke of verwerker.</t>
  </si>
  <si>
    <t>32016R0679:61:4:7</t>
  </si>
  <si>
    <t>De toezichthoudende autoriteit waaraan een verzoek om bijstand is gericht</t>
  </si>
  <si>
    <t>toezichthoudende autoriteit</t>
  </si>
  <si>
    <t>32024R1689:93:3:9</t>
  </si>
  <si>
    <t>Indien de aanbieder van het AI-model voor algemene doeleinden dat een systeemrisico vormt, tijdens de in lid 2 bedoelde gestructureerde dialoog toezeggingen doet om risicobeperkende maatregelen uit te voeren om een systeemrisico op Unieniveau aan te pakken, kan de Commissie die toezeggingen bij besluit bindend maken en verklaren dat er geen verdere gronden voor actie zijn.</t>
  </si>
  <si>
    <t>32016R0679:55:2:3</t>
  </si>
  <si>
    <t>de toezichthoudende autoriteit van de lidstaat in kwestie</t>
  </si>
  <si>
    <t>toezichthoudende autoriteit van de lidstaat in kwestie</t>
  </si>
  <si>
    <t>In het geval van verwerking door overheidsinstanties of door particuliere organen die handelen op grond van artikel 6, lid 1, onder c) of e), is de toezichthoudende autoriteit van de lidstaat in kwestie competent. In dergelijke gevallen is artikel 56 niet van toepassing.</t>
  </si>
  <si>
    <t>32024R1689:101:2:5</t>
  </si>
  <si>
    <t>Alvorens het besluit op grond van lid 1 vast te stellen, deelt de Commissie haar voorlopige bevindingen mee aan de aanbieder van het AI-model voor algemene doeleinden, en stelt zij hem in de gelegenheid te worden gehoord.</t>
  </si>
  <si>
    <t>32016R0679:37:2:2</t>
  </si>
  <si>
    <t>Een concern</t>
  </si>
  <si>
    <t>concern</t>
  </si>
  <si>
    <t>Een concern kan één functionaris voor gegevensbescherming benoemen, mits de functionaris voor gegevensbescherming vanuit elke vestiging makkelijk te contacteren is.</t>
  </si>
  <si>
    <t>32024R1689:70:6:10</t>
  </si>
  <si>
    <t>de lidstaten</t>
  </si>
  <si>
    <t>32016R0679:59:whole:1</t>
  </si>
  <si>
    <t>Elke toezichthoudende autoriteit</t>
  </si>
  <si>
    <t>Elke toezichthoudende autoriteit stelt jaarlijks een verslag over haar activiteiten op, met daarin mogelijk een lijst van de soorten gemelde inbreuken en de soorten maatregelen die overeenkomstig artikel 58, lid 2, worden genomen. Die verslagen worden toegezonden aan het nationale parlement, de regering en elke andere autoriteit die daartoe in het lidstatelijke recht is aangewezen. Zij worden ter beschikking gesteld van het publiek, de Commissie en het Comité.</t>
  </si>
  <si>
    <t>32016R0679:58:1:3</t>
  </si>
  <si>
    <t>Elk toezichthoudende autoriteit</t>
  </si>
  <si>
    <t>Elk toezichthoudende autoriteit heeft alle volgende onderzoeksbevoegdheden om:
a) de verwerkingsverantwoordelijke, de verwerker en, in voorkomend geval, de vertegenwoordiger van de verwerkingsverantwoordelijke of van verwerker te gelasten alle voor de uitvoering van haar taken vereiste informatie te verstrekken;
b) onderzoeken te verrichten in de vorm van gegevensbeschermingscontroles;
c) een toetsing te verrichten van de overeenkomstig artikel 42, lid 7, afgegeven certificeringen;
d) de verwerkingsverantwoordelijke of de verwerker in kennis te stellen van een beweerde inbreuk op deze verordening;
e) van de verwerkingsverantwoordelijke en de verwerker toegang te verkrijgen tot alle persoonsgegevens en alle informatie die noodzakelijk is voor de uitvoering van haar taken; en
f) toegang te verkrijgen tot alle bedrijfsruimten van de verwerkingsverantwoordelijke en de verwerker, daaronder begrepen tot alle uitrustingen en middelen voor gegevensverwerking, in overeenstemming met het uniale of lidstatelijke procesrecht.</t>
  </si>
  <si>
    <t>32016R0679:65:6:13</t>
  </si>
  <si>
    <t>De leidende toezichthoudende autoriteit of, in voorkomend geval, de toezichthoudende autoriteit waarbij de klacht is ingediend</t>
  </si>
  <si>
    <t>leidende toezichthoudende autoriteit | toezichthoudende autoriteit</t>
  </si>
  <si>
    <t>32016R0679:58:3:20</t>
  </si>
  <si>
    <t>32016R0679:60:9:18</t>
  </si>
  <si>
    <t>32024R1689:56:3:3</t>
  </si>
  <si>
    <t>Maatschappelijke organisaties, het bedrijfsleven, de academische wereld en andere relevante belanghebbenden, zoals aanbieders verder in de AI-waardeketen en onafhankelijke deskundigen</t>
  </si>
  <si>
    <t>Maatschappelijke organisaties | relevante belanghebbenden</t>
  </si>
  <si>
    <t>32024R1689:85:whole:3</t>
  </si>
  <si>
    <t>elke natuurlijke of rechtspersoon die redenen heeft om van mening te zijn dat er inbreuk is gepleegd op de bepalingen van deze verordening</t>
  </si>
  <si>
    <t>natuurlijke of rechtspersoon</t>
  </si>
  <si>
    <t>Onverminderd andere administratieve of gerechtelijke rechtsmiddelen kan elke natuurlijke of rechtspersoon die redenen heeft om van mening te zijn dat er inbreuk is gepleegd op de bepalingen van deze verordening, klachten indienen bij de relevante markttoezichtautoriteit.
Overeenkomstig Verordening (EU) 2019/1020 worden dergelijke klachten in aanmerking genomen ter uitvoering van markttoezichtactiviteiten en worden zij behandeld in overeenstemming met de specifieke procedures die de markttoezichtautoriteiten daartoe hebben vastgesteld.</t>
  </si>
  <si>
    <t>32024R1689:20:1:2</t>
  </si>
  <si>
    <t>Aanbieders van AI-systemen met een hoog risico die van mening zijn of redenen hebben om aan te nemen dat een door hen in de handel gebracht of in gebruik gesteld AI-systeem met een hoog risico niet in overeenstemming is met deze verordening, nemen onmiddellijk de nodige corrigerende maatregelen om dat systeem naargelang het geval in overeenstemming te brengen, uit de handel te nemen, te deactiveren of terug te roepen. Zij stellen de distributeurs van het betrokken AI-systeem met een hoog risico en, indien van toepassing, de gebruiksverantwoordelijken, de gemachtigden en importeurs dienovereenkomstig in kennis.</t>
  </si>
  <si>
    <t>32024R1689:27:2:3</t>
  </si>
  <si>
    <t>de gebruiksverantwoordelijke</t>
  </si>
  <si>
    <t>gebruiksverantwoordelijke</t>
  </si>
  <si>
    <t>De verplichting als neergelegd in lid 1 is van toepassing op het eerste gebruik van een AI-systeem met een hoog risico. De gebruiksverantwoordelijke kan in soortgelijke gevallen gebruik maken van eerder uitgevoerde effectbeoordelingen op het gebied van de grondrechten of bestaande effectbeoordelingen die door de aanbieder zijn uitgevoerd. Indien de gebruiksverantwoordelijke tijdens het gebruik van het AI-systeem met een hoog risico ziet dat een van de in lid 1 vermelde elementen is gewijzigd of niet langer actueel is, neemt de gebruiksverantwoordelijke de nodige maatregelen om de informatie te actualiseren.</t>
  </si>
  <si>
    <t>32024R1689:27:3:5</t>
  </si>
  <si>
    <t>32024R1689:92:5:6</t>
  </si>
  <si>
    <t>De aanbieders van AI-modellen voor algemene doeleinden of hun vertegenwoordiger</t>
  </si>
  <si>
    <t>aanbieders van AI-modellen voor algemene doeleinden of hun vertegenwoordiger</t>
  </si>
  <si>
    <t>De aanbieders van AI-modellen voor algemene doeleinden of hun vertegenwoordiger verstrekken de gevraagde informatie. In het geval van rechtspersonen, bedrijven of firma’s of indien de aanbieder geen rechtspersoonlijkheid heeft, verlenen de personen die krachtens de wet of hun statuten gemachtigd zijn om hen te vertegenwoordigen, de gevraagde toegang namens de aanbieder van het betrokken AI-model voor algemene doeleinden.</t>
  </si>
  <si>
    <t>32024R1689:90:2:2</t>
  </si>
  <si>
    <t>Naar aanleiding van een dergelijke gekwalificeerde waarschuwing kan de Commissie via het AI-Bureau, na de AI-board in kennis gesteld te hebben, de in deze afdeling vastgelegde bevoegdheden uitoefenen om de aangelegenheid te beoordelen. Het AI-bureau stelt de AI-board in kennis van elke maatregel overeenkomstig de artikelen 91 tot en met 94.</t>
  </si>
  <si>
    <t>32016R0679:51:2:3</t>
  </si>
  <si>
    <t>de toezichthoudende autoriteiten</t>
  </si>
  <si>
    <t>toezichthoudende autoriteiten</t>
  </si>
  <si>
    <t>Elke toezichthoudende autoriteit draagt bij tot de consequente toepassing van deze verordening in de hele Unie. Daartoe werken de toezichthoudende autoriteiten onderling en met de Commissie samen overeenkomstig hoofdstuk VII.</t>
  </si>
  <si>
    <t>32024R1689:101:2:4</t>
  </si>
  <si>
    <t>32016R0679:64:4:6</t>
  </si>
  <si>
    <t>De toezichthoudende autoriteiten en de Commissie</t>
  </si>
  <si>
    <t>toezichthoudende autoriteiten en de Commissie</t>
  </si>
  <si>
    <t>32016R0679:35:2:2</t>
  </si>
  <si>
    <t>de verwerkingsverantwoordelijke</t>
  </si>
  <si>
    <t>verwerkingsverantwoordelijke</t>
  </si>
  <si>
    <t>Wanneer een functionaris voor gegevensbescherming is aangewezen, wint de verwerkingsverantwoordelijke bij het uitvoeren van een gegevensbeschermingseffectbeoordeling diens advies in.</t>
  </si>
  <si>
    <t>32016R0679:54:1:6</t>
  </si>
  <si>
    <t>Elke lidstaat</t>
  </si>
  <si>
    <t>lidstaat</t>
  </si>
  <si>
    <t>Elke lidstaat regelt al het volgende bij wet:
a) de oprichting van elke toezichthoudende autoriteit;
b) de vereiste kwalificaties en voorwaarden om als lid te worden benoemd voor elke toezichthoudende autoriteit;
c) de regels en procedures voor de benoeming van het lid of de leden van elke toezichthoudende autoriteit;
d) de ambtstermijn van het lid of de leden van elke toezichthoudende autoriteit, die ten minste vier jaar bedraagt, behoudens de eerste ambtstermijn na 24 mei 2016, die korter kan zijn wanneer dat nodig is om de onafhankelijkheid van de toezichthoudende autoriteit door middel van een in de tijd gespreide benoemingsprocedure te beschermen;
e) of het lid of de leden van elke toezichthoudende autoriteit opnieuw kan of kunnen worden benoemd en zo ja, hoe vaak;
f) de voorwaarden in verband met de plichten van het lid of de leden en de personeelsleden van elke toezichthoudende autoriteit, de verboden op met die plichten onverenigbare handelingen, werkzaamheden en voordelen tijdens en na de ambtstermijn en de regels betreffende de beëindiging van de ambtstermijn onderscheidenlijk de arbeidsverhouding.</t>
  </si>
  <si>
    <t>32016R0679:60:8:17</t>
  </si>
  <si>
    <t>de toezichthoudende autoriteit waarbij de klacht is ingediend</t>
  </si>
  <si>
    <t>Ingeval een klacht is afgewezen of verworpen, stelt de toezichthoudende autoriteit waarbij de klacht is ingediend, in afwijking van lid 7, het besluit vast en deelt zij het mee aan de klager en stelt zij de verwerkingsverantwoordelijke ervan in kennis.</t>
  </si>
  <si>
    <t>32024R1689:77:3:7</t>
  </si>
  <si>
    <t>De markttoezichtautoriteit</t>
  </si>
  <si>
    <t>markttoezichtautoriteit</t>
  </si>
  <si>
    <t>Indien de in lid 1 bedoelde documentatie ontoereikend is om vast te stellen of sprake is geweest van een inbreuk op verplichtingen krachtens het Unierecht ter bescherming van grondrechten, kunnen de in lid 1 bedoelde overheidsinstanties of -organen een met redenen omkleed verzoek bij de markttoezichtautoriteit indienen om het AI-systeem met een hoog risico met technische middelen te mogen testen. De markttoezichtautoriteit organiseert de testprocedure binnen een redelijke termijn na het verzoek en met nauwe betrokkenheid van de verzoekende overheidsinstantie of het verzoekende overheidsorgaan.</t>
  </si>
  <si>
    <t>32016R0679:83:9:10</t>
  </si>
  <si>
    <t>Die lidstaten</t>
  </si>
  <si>
    <t>Wanneer het rechtsstelsel van de lidstaat niet voorziet in administratieve geldboeten, kan dit artikel aldus worden toegepast dat geldboeten worden geïnitieerd door de bevoegde toezichthoudende autoriteit en opgelegd door bevoegde nationale gerechten, waarbij wordt gewaarborgd dat deze rechtsmiddelen doeltreffend zijn en eenzelfde effect hebben als de door toezichthoudende autoriteiten opgelegde administratieve geldboeten. De boeten zijn in elk geval doeltreffend, evenredig en afschrikkend. Die lidstaten delen de Commissie uiterlijk op 25 mei 2018 de wetgevingsbepalingen mee die zij op grond van dit lid vaststellen, alsmede onverwijld alle latere wijzigingen daarvan en alle daarop van invloed zijnde wijzigingswetgeving.</t>
  </si>
  <si>
    <t>32024R1689:5:5:10</t>
  </si>
  <si>
    <t>De betrokken lidstaten</t>
  </si>
  <si>
    <t>betrokken lidstaten</t>
  </si>
  <si>
    <t>32016R0679:30:2:3</t>
  </si>
  <si>
    <t>De verwerker, en, in voorkomend geval, de vertegenwoordiger van de verwerker</t>
  </si>
  <si>
    <t>verwerker | vertegenwoordiger van de verwerker</t>
  </si>
  <si>
    <t>De verwerker, en, in voorkomend geval, de vertegenwoordiger van de verwerker houdt een register van alle categorieën van verwerkingsactiviteiten die zij ten behoeve van een verwerkingsverantwoordelijke hebben verricht. Dit register bevat de volgende gegevens:
a) de naam en de contactgegevens van de verwerkers en van iedere verwerkingsverantwoordelijke voor rekening waarvan de verwerker handelt, en, in voorkomend geval, van de vertegenwoordiger van de verwerkingsverantwoordelijke of de verwerker en van de functionaris voor gegevensbescherming;
b) de categorieën van verwerkingen die voor rekening van iedere verwerkingsverantwoordelijke zijn uitgevoerd;
c) indien van toepassing, doorgiften van persoonsgegevens aan een derde land of een internationale organisatie, onder vermelding van dat derde land of die internationale organisatie en, in geval van de in artikel 49, lid 1, tweede alinea, bedoelde doorgiften, de documenten inzake de passende waarborgen;
d) indien mogelijk, een algemene beschrijving van de technische en organisatorische beveiligingsmaatregelen als bedoeld in artikel 32, lid 1.</t>
  </si>
  <si>
    <t>32024R1689:52:1:1</t>
  </si>
  <si>
    <t>de betrokken aanbieder</t>
  </si>
  <si>
    <t>betrokken aanbieder</t>
  </si>
  <si>
    <t>Indien een AI-model voor algemene doeleinden voldoet aan de in artikel 51, lid 1, punt a), bedoelde voorwaarde, stelt de betrokken aanbieder de Commissie daarvan onverwijld in kennis, doch in ieder geval binnen twee weken nadat aan die eis is voldaan of nadat bekend is geworden dat aan die eis zal worden voldaan. Die kennisgeving bevat de informatie die nodig is om aan te tonen dat aan de desbetreffende eis is voldaan. Als de Commissie kennis krijgt van een AI-model voor algemene doeleinden dat systeemrisico’s vertoont waarvan zij niet in kennis is gesteld, kan zij besluiten dit model aan te wijzen als een model met een systeemrisico.</t>
  </si>
  <si>
    <t>32024R1689:86:1:1</t>
  </si>
  <si>
    <t>Elke getroffen persoon</t>
  </si>
  <si>
    <t>getroffen persoon</t>
  </si>
  <si>
    <t>Elke getroffen persoon op wie een besluit van toepassing is dat door de gebruiksverantwoordelijke wordt genomen op basis van de output van een in bijlage III vermeld AI-systeem met een hoog risico, met uitzondering van systemen die in punt 2 van die bijlage zijn vermeld, en dat rechtsgevolgen heeft voor die persoon, of op deze op vergelijkbare wijze aanzienlijke invloed heeft die hij of zij als nadelige gevolgen voor zijn of haar gezondheid, veiligheid of grondrechten beschouwt, heeft het recht om van de gebruiksverantwoordelijke duidelijke, inhoudelijke uitleg te verkrijgen bij de rol van het AI-systeem in de besluitvormingsprocedure en de voornaamste elementen van het genomen besluit.</t>
  </si>
  <si>
    <t>32024R1689:56:8:18</t>
  </si>
  <si>
    <t>Het AI-bureau</t>
  </si>
  <si>
    <t>AI-bureau</t>
  </si>
  <si>
    <t>32024R1689:91:3:3</t>
  </si>
  <si>
    <t>Op een terdege gemotiveerd verzoek van het wetenschappelijk panel kan de Commissie een verzoek om informatie tot een aanbieder van een AI-model voor algemene doeleinden richten, indien de toegang tot informatie noodzakelijk en evenredig is voor de uitvoering van de taken van het wetenschappelijk panel op grond van artikel 68, lid 2.</t>
  </si>
  <si>
    <t>32024R1689:56:6:12</t>
  </si>
  <si>
    <t>32016R0679:38:3:5</t>
  </si>
  <si>
    <t>De verwerkingsverantwoordelijke en de verwerker</t>
  </si>
  <si>
    <t>verwerkingsverantwoordelijke | verwerker</t>
  </si>
  <si>
    <t>De verwerkingsverantwoordelijke en de verwerker zorgen ervoor dat de functionaris voor gegevensbescherming geen instructies ontvangt met betrekking tot de uitvoering van die taken. Hij wordt door de verwerkingsverantwoordelijke of de verwerker niet ontslagen of gestraft voor de uitvoering van zijn taken. De functionaris voor gegevensbescherming brengt rechtstreeks verslag uit aan de hoogste leidinggevende van de verwerkingsverantwoordelijke of de verwerker.</t>
  </si>
  <si>
    <t>32024R1689:65:6:5</t>
  </si>
  <si>
    <t>De permanente subgroep voor markttoezicht</t>
  </si>
  <si>
    <t>permanente subgroep voor markttoezicht</t>
  </si>
  <si>
    <t>32016R0679:40:5:8</t>
  </si>
  <si>
    <t>De in lid 2 van dit artikel bedoelde verenigingen en andere organen</t>
  </si>
  <si>
    <t>verenigingen | organen</t>
  </si>
  <si>
    <t>De in lid 2 van dit artikel bedoelde verenigingen en andere organen die voornemens zijn een gedragscode op te stellen of een bestaande gedragscode te wijzigen of uit te breiden, leggen de ontwerpgedragscode, de wijziging of uitbreiding voor aan de overeenkomstig artikel 51 bevoegde toezichthoudende autoriteit. De toezichthoudende autoriteit brengt advies uit over de vraag of de ontwerpgedragscode, de wijziging of uitbreiding strookt met deze verordening, en keurt deze ontwerpgedragscode, die wijziging of uitbreiding goed indien zij van oordeel is dat de code voldoende passende waarborgen biedt.</t>
  </si>
  <si>
    <t>32024R1689:36:7:26</t>
  </si>
  <si>
    <t>die autoriteit</t>
  </si>
  <si>
    <t>autoriteit</t>
  </si>
  <si>
    <t>32016R0679:35:4:5</t>
  </si>
  <si>
    <t>De toezichthoudende autoriteit</t>
  </si>
  <si>
    <t>De toezichthoudende autoriteit stelt een lijst op van het soort verwerkingen waarvoor een gegevensbeschermingseffectbeoordeling overeenkomstig lid 1 verplicht is, en maakt deze openbaar. De toezichthoudende autoriteit deelt die lijsten mee aan het in artikel 68 bedoelde Comité.</t>
  </si>
  <si>
    <t>32016R0679:43:1:1</t>
  </si>
  <si>
    <t>certificeringsorganen die over de passende deskundigheid met betrekking tot gegevensbescherming beschikt</t>
  </si>
  <si>
    <t>certificeringsorganen</t>
  </si>
  <si>
    <t>Onverminderd de taken en bevoegdheden van de bevoegde toezichthoudende autoriteit uit hoofde van de artikelen 57 en 58, gaan certificeringsorganen die over de passende deskundigheid met betrekking tot gegevensbescherming beschikt, wordt in voorkomend geval na kennisgeving aan de toezichthoudende autoriteit met het oog op de uitoefening van haar bevoegdheden overeenkomstig artikel 58, lid 2, punt h), over tot afgifte en verlenging van het certificaat. De lidstaten zorgen ervoor dat die certificeringsorganen worden geaccrediteerd door één van de volgende instanties:
a) de toezichthoudende autoriteit die bevoegd is overeenkomstig artikel 55 of 56;
b) de nationale accreditatie-instantie die is aangewezen in overeenstemming met Verordening (EG) nr. 765/2008 van het Europees Parlement en de Raad (20), in overeenstemming met EN-ISO/IEC 17065/2012 en met de aanvullende eisen die door de overeenkomstig artikel 55 of 56 bevoegde toezichthoudende autoriteit zijn vastgesteld.</t>
  </si>
  <si>
    <t>32016R0679:51:1:1</t>
  </si>
  <si>
    <t>Elke lidstaat bepaalt dat één of meer onafhankelijke overheidsinstanties verantwoordelijk zijn voor het toezicht op de toepassing van deze verordening, teneinde de grondrechten en fundamentele vrijheden van natuurlijke personen in verband met de verwerking van hun persoonsgegevens te beschermen en het vrije verkeer van persoonsgegevens binnen de Unie te vergemakkelijken („toezichthoudende autoriteit”).</t>
  </si>
  <si>
    <t>32016R0679:14:1:3</t>
  </si>
  <si>
    <t>Wanneer persoonsgegevens niet van de betrokkene zijn verkregen, verstrekt de verwerkingsverantwoordelijke de betrokkene de volgende informatie:
a) de identiteit en de contactgegevens van de verwerkingsverantwoordelijke en, in voorkomend geval, van de vertegenwoordiger van de verwerkingsverantwoordelijke;
b) in voorkomend geval, de contactgegevens van de functionaris voor gegevensbescherming;
c) de verwerkingsdoeleinden waarvoor de persoonsgegevens zijn bestemd, en de rechtsgrond voor de verwerking;
d) de betrokken categorieën van persoonsgegevens;
e) in voorkomend geval, de ontvangers of categorieën van ontvangers van de persoonsgegevens;
f) in voorkomend geval, dat de verwerkingsverantwoordelijke het voornemen heeft de persoonsgegevens door te geven aan een ontvanger in een derde land of aan een internationale organisatie; of er al dan niet een adequaatheidsbesluit van de Commissie bestaat; of, in het geval van de in artikel 46, artikel 47 of artikel 49, lid 1, tweede alinea, bedoelde doorgiften, welke de passende of geschikte waarborgen zijn, hoe er een kopie van kan worden verkregen of waar ze kunnen worden geraadpleegd.</t>
  </si>
  <si>
    <t>32016R0679:37:4:4</t>
  </si>
  <si>
    <t>de verwerkingsverantwoordelijke of de verwerker of verenigingen en andere organen die categorieën van verwerkingsverantwoordelijken of verwerkers vertegenwoordigen</t>
  </si>
  <si>
    <t>verwerkingsverantwoordelijke | verwerker | verenigingen | organen</t>
  </si>
  <si>
    <t>In andere dan de in lid 1 bedoelde gevallen kunnen of, indien dat Unierechtelijk of lidstaatrechtelijk is verplicht, moeten de verwerkingsverantwoordelijke of de verwerker of verenigingen en andere organen die categorieën van verwerkingsverantwoordelijken of verwerkers vertegenwoordigen, een functionaris voor gegevensbescherming aanwijzen. De functionaris voor gegevensbescherming kan optreden voor dergelijke verenigingen en andere organen die categorieën van verwerkingsverantwoordelijken of verwerkers vertegenwoordigen.</t>
  </si>
  <si>
    <t>32016R0679:43:8:12</t>
  </si>
  <si>
    <t>32016R0679:47:3:3</t>
  </si>
  <si>
    <t>De Commissie kan het model en de procedures voor de uitwisseling van informatie over bindende bedrijfsvoorschriften in de zin van dit artikel tussen verwerkingsverantwoordelijken, verwerkers en toezichthoudende autoriteiten nader bepalen. Deze uitvoeringshandelingen worden vastgesteld volgens de in artikel 93, lid 2, bedoelde onderzoeksprocedure.</t>
  </si>
  <si>
    <t>32016R0679:64:5:9</t>
  </si>
  <si>
    <t>De voorzitter van het Comité</t>
  </si>
  <si>
    <t>voorzitter van het Comité</t>
  </si>
  <si>
    <t>32016R0679:70:1:2</t>
  </si>
  <si>
    <t>Het Comité</t>
  </si>
  <si>
    <t>Comité</t>
  </si>
  <si>
    <t xml:space="preserve">Het Comité zorgt ervoor dat deze verordening consequent wordt toegepast. Daartoe doet het Comité op eigen initiatief of, waar passend, op verzoek van de Commissie met name het volgende:
a) toezien op en zorgen voor de juiste toepassing van deze verordening in de in de artikelen 64 en 65 bedoelde gevallen, onverminderd de taken van de nationale toezichthoudende autoriteiten;
b) adviseren van de Commissie over aangelegenheden in verband met de bescherming van persoonsgegevens in de Unie, waaronder alle voorgestelde wijzigingen van deze verordening;
c) adviseren van de Commissie over het mechanisme en de procedures voor de uitwisseling van informatie wat betreft bindende bedrijfsvoorschriften tussen verwerkingsverantwoordelijken, verwerkers, en toezichthoudende autoriteiten;
d) uitvaardigen van richtsnoeren, aanbevelingen en beste praktijken inzake procedures voor het wissen van links, kopieën of reproducties van persoonsgegevens uit algemeen beschikbare communicatiediensten als bedoeld in artikel 17, lid 2;
e) onderzoeken, op eigen initiatief of op verzoek van een van zijn leden dan wel op verzoek van de Commissie, van kwesties die betrekking hebben op de toepassing van deze verordening, en uitvaardigen van richtsnoeren, aanbevelingen en beste praktijken om te bevorderen dat deze verordening consequent wordt toegepast;
f) uitvaardigen van richtsnoeren, aanbevelingen en beste praktijken in overeenstemming met punt e) van dit lid ter verdere specificatie van de criteria en </t>
  </si>
  <si>
    <t>32016R0679:24:1:1</t>
  </si>
  <si>
    <t>Rekening houdend met de aard, de omvang, de context en het doel van de verwerking, alsook met de qua waarschijnlijkheid en ernst uiteenlopende risico's voor de rechten en vrijheden van natuurlijke personen, treft de verwerkingsverantwoordelijke passende technische en organisatorische maatregelen om te waarborgen en te kunnen aantonen dat de verwerking in overeenstemming met deze verordening wordt uitgevoerd. Die maatregelen worden geëvalueerd en indien nodig geactualiseerd.</t>
  </si>
  <si>
    <t>32016R0679:38:2:3</t>
  </si>
  <si>
    <t>De verwerkingsverantwoordelijke en de verwerker ondersteunen de functionaris voor gegevensbescherming bij de vervulling van de in artikel 39 bedoelde taken door hem toegang te verschaffen tot persoonsgegevens en verwerkingsactiviteiten en door hem de benodigde middelen ter beschikking te stellen voor het vervullen van deze taken en het in stand houden van zijn deskundigheid.</t>
  </si>
  <si>
    <t>32024R1689:77:3:8</t>
  </si>
  <si>
    <t>de in lid 1 bedoelde overheidsinstanties of -organen</t>
  </si>
  <si>
    <t>overheidsinstanties of -organen</t>
  </si>
  <si>
    <t>32016R0679:42:8:9</t>
  </si>
  <si>
    <t>32024R1689:17:1:1</t>
  </si>
  <si>
    <t>Aanbieders van AI-systemen met een hoog risico voorzien in een systeem voor kwaliteitsbeheer dat de naleving van deze verordening waarborgt. Dit systeem wordt op systematische en ordelijke wijze gedocumenteerd in de vorm van schriftelijke beleidslijnen, procedures en instructies en omvat ten minste de volgende aspecten:
a) een strategie voor de naleving van de regelgeving, inclusief de naleving van de conformiteitsbeoordelingsprocedures en de procedures voor het beheer van de wijzigingen van het AI-systeem met een hoog risico;
b) technieken, procedures en systematische maatregelen die moeten worden toegepast voor het ontwerp, de controle van het ontwerp en de verificatie van het ontwerp van het AI-systeem met een hoog risico;
c) technieken, procedures en systematische maatregelen die moeten worden toegepast voor de ontwikkeling, de kwaliteitscontrole en de kwaliteitsborging van het AI-systeem met een hoog risico;
d) procedures voor het inspecteren, testen en valideren die vóór, tijdens en na de ontwikkeling van het AI-systeem met een hoog risico moeten worden uitgevoerd en de regelmaat waarmee zij moeten worden uitgevoerd;
e) technische specificaties, met inbegrip van normen, die moeten worden toegepast en, wanneer de relevante geharmoniseerde normen niet volledig worden toegepast of geen betrekking hebben op alle relevante eisen van afdeling 2, de middelen die worden gebruikt om ervoor te zorgen dat het AI-systeem met een hoog risico in overeenstemming is met deze eisen</t>
  </si>
  <si>
    <t>32024R1689:55:2:2</t>
  </si>
  <si>
    <t>aanbieders</t>
  </si>
  <si>
    <t>32016R0679:26:3:3</t>
  </si>
  <si>
    <t>de betrokkene</t>
  </si>
  <si>
    <t>betrokkene</t>
  </si>
  <si>
    <t>32016R0679:77:1:1</t>
  </si>
  <si>
    <t>iedere betrokkene</t>
  </si>
  <si>
    <t>Onverminderd andere mogelijkheden van administratief beroep of een voorziening in rechte, heeft iedere betrokkene het recht een klacht in te dienen bij een toezichthoudende autoriteit, met name in de lidstaat waar hij gewoonlijk verblijft, hij zijn werkplek heeft of waar de beweerde inbreuk is begaan, indien hij van mening is dat de verwerking van hem betreffende persoonsgegevensinbreuk maakt op deze verordening.</t>
  </si>
  <si>
    <t>32024R1689:24:4:10</t>
  </si>
  <si>
    <t>Een distributeur</t>
  </si>
  <si>
    <t>distributeur</t>
  </si>
  <si>
    <t>Een distributeur die van mening is of redenen heeft om, op grond van de informatie waarover hij beschikt, aan te nemen dat een AI-systeem met een hoog risico dat hij op de markt heeft aangeboden, niet in overeenstemming is met de eisen van afdeling 2, neemt de noodzakelijke corrigerende maatregelen om dat systeem in overeenstemming te brengen met deze eisen, uit de handel te nemen of terug te roepen of zorgt ervoor dat de aanbieder, de importeur of een eventuele betrokken operator, waar passend, dergelijke corrigerende maatregelen treft. Indien het AI-systeem met een hoog risico een risico vormt in de zin van artikel 79, lid 1, stelt de distributeur de aanbieder of importeur van het systeem en de autoriteiten die bevoegd zijn voor het betreffende AI-systeem met een hoog risico hiervan onmiddellijk in kennis, waarbij hij in het bijzonder de non-conformiteit en de eventueel getroffen corrigerende maatregelen uitvoerig beschrijft.</t>
  </si>
  <si>
    <t>32024R1689:49:1:1</t>
  </si>
  <si>
    <t>de aanbieder of in voorkomend geval de gemachtigde</t>
  </si>
  <si>
    <t>aanbieder | gemachtigde</t>
  </si>
  <si>
    <t>Alvorens een in bijlage III vermeld AI-systeem met een hoog risico, met uitzondering van de in punt 2 van bijlage III vermelde AI-systemen met een hoog risico, in de handel te brengen of in gebruik te stellen, registreert de aanbieder of in voorkomend geval de gemachtigde zichzelf en zijn systeem in de in artikel 71 bedoelde EU-databank.</t>
  </si>
  <si>
    <t>32024R1689:70:9:15</t>
  </si>
  <si>
    <t>de Europese Toezichthouder voor gegevensbescherming</t>
  </si>
  <si>
    <t>32016R0679:66:4:5</t>
  </si>
  <si>
    <t>het Comité</t>
  </si>
  <si>
    <t>In afwijking van artikel 64, lid 3, en van artikel 65, lid 2, wordt een als in de leden 2 en 3 bedoeld dringend advies of dringend bindend besluit binnen twee weken met gewone meerderheid van de leden van het Comité vastgesteld.</t>
  </si>
  <si>
    <t>32024R1689:22:1:1</t>
  </si>
  <si>
    <t>Aanbieders die in derde landen zijn gevestigd</t>
  </si>
  <si>
    <t>Aanbieders</t>
  </si>
  <si>
    <t>Aanbieders die in derde landen zijn gevestigd, wijzen voordat zij hun AI-systemen met een hoog risico in de Unie in de handel brengen, middels een schriftelijke machtiging een gemachtigde aan die is gevestigd in de Unie.</t>
  </si>
  <si>
    <t>32024R1689:56:5:4</t>
  </si>
  <si>
    <t>de deelnemers aan de praktijkcodes</t>
  </si>
  <si>
    <t>deelnemers aan de praktijkcodes</t>
  </si>
  <si>
    <t>32024R1689:64:2:2</t>
  </si>
  <si>
    <t>De lidstaten faciliteren de aan het AI-bureau toevertrouwde taken, zoals weergegeven in deze verordening.</t>
  </si>
  <si>
    <t>32024R1689:75:3:4</t>
  </si>
  <si>
    <t>Markttoezichtautoriteiten</t>
  </si>
  <si>
    <t>32024R1689:8:2:4</t>
  </si>
  <si>
    <t>Indien een product een AI-systeem omvat waarop zowel de vereisten van deze verordening als die van de in bijlage I, afdeling A, vermelde harmonisatiewetgeving van de Unie van toepassing zijn, zijn aanbieders ervoor verantwoordelijk te waarborgen dat hun product volledig voldoet aan alle toepasselijke vereisten uit hoofde van de toepasselijke harmonisatiewetgeving van de Unie. Om te waarborgen dat de in lid 1 bedoelde AI-systemen met een hoog risico voldoen aan de eisen van deze afdeling en om te zorgen voor consistentie, dubbel werk te voorkomen en de extra lasten tot een minimum te beperken, hebben aanbieders de keuze om in voorkomend geval de nodige test- en rapportageprocessen en door hen verstrekte informatie en documentatie over hun product op te nemen in de reeds bestaande documentatie en procedures die vereist zijn uit hoofde van de in bijlage I, afdeling A, bedoelde harmonisatiewetgeving van de Unie.</t>
  </si>
  <si>
    <t>32024R1689:17:3:5</t>
  </si>
  <si>
    <t>Aanbieders van AI-systemen met een hoog risico die onderworpen zijn aan verplichtingen met betrekking tot kwaliteitsbeheersystemen of een gelijkwaardige functie uit hoofde van het desbetreffende sectorale Unierecht, kunnen de in lid 1 genoemde aspecten opnemen als onderdeel van de op grond van dat recht vastgestelde kwaliteitsbeheersystemen.</t>
  </si>
  <si>
    <t>32024R1689:46:5:12</t>
  </si>
  <si>
    <t>Indien binnen 15 kalenderdagen na de ontvangst van in lid 3 bedoelde kennisgeving door een lidstaat bezwaren worden geopperd tegen een door een markttoezichtautoriteit van een andere lidstaat verstrekte toelating, of wanneer de Commissie de toelating in strijd met het Unierecht acht of de conclusie van de lidstaten ten aanzien van de conformiteit van het systeem als bedoeld in lid 3 ongegrond acht, treedt de Commissie onverwijld in overleg met de relevante lidstaat. De betrokken operatoren worden geraadpleegd en hebben de mogelijkheid hun standpunten uiteen te zetten. Met het oog daarop besluit de Commissie of de toelating gerechtvaardigd is. De Commissie richt haar besluit aan de betrokken lidstaat en de relevante operatoren.</t>
  </si>
  <si>
    <t>32024R1689:92:3:4</t>
  </si>
  <si>
    <t>Voor de toepassing van lid 1 kan de Commissie verzoeken om toegang tot het betrokken AI-model voor algemene doeleinden via API’s of andere passende technische middelen en instrumenten, waaronder de broncode.</t>
  </si>
  <si>
    <t>32024R1689:65:6:7</t>
  </si>
  <si>
    <t>vertegenwoordigers van het in artikel 67 bedoelde adviesforum</t>
  </si>
  <si>
    <t>vertegenwoordigers van het adviesforum</t>
  </si>
  <si>
    <t>32016R0679:8:2:4</t>
  </si>
  <si>
    <t>Met inachtneming van de beschikbare technologie doet de verwerkingsverantwoordelijke redelijke inspanningen om in dergelijke gevallen te controleren of de persoon die de ouderlijke verantwoordelijkheid voor het kind draagt, toestemming heeft gegeven of machtiging tot toestemming heeft verleend.</t>
  </si>
  <si>
    <t>32016R0679:60:7:12</t>
  </si>
  <si>
    <t>De leidende toezichthoudende autoriteit stelt het besluit vast en deelt het mee aan de hoofdvestiging of de enige vestiging van de verwerkingsverantwoordelijke of de verwerker, naargelang het geval, en stelt de andere betrokken toezichthoudende autoriteiten, alsmede het Comité in kennis van het besluit in kwestie, voorzien van een samenvatting van de relevante feiten en gronden. De toezichthoudende autoriteit waarbij de klacht is ingediend, stelt de klager in kennis van het besluit.</t>
  </si>
  <si>
    <t>32016R0679:80:1:1</t>
  </si>
  <si>
    <t>De betrokkene</t>
  </si>
  <si>
    <t>De betrokkene heeft het recht een orgaan, organisatie of vereniging zonder winstoogmerk dat of die op geldige wijze volgens het recht van een lidstaat is opgericht, waarvan de statutaire doelstellingen het openbare belang dienen en dat of die actief is op het gebied van de bescherming van de rechten en vrijheden van de betrokkene in verband met de bescherming van diens persoonsgegevens, opdracht te geven de klacht namens hem in te dienen, namens hem de in artikelen 77, 78 en 79 bedoelde rechten uit te oefenen en namens hem het in artikel 82 bedoelde recht op schadevergoeding uit te oefenen, indien het lidstatelijke recht daarin voorziet.</t>
  </si>
  <si>
    <t>32016R0679:42:1:1</t>
  </si>
  <si>
    <t>De lidstaten, de toezichthoudende autoriteiten, het Comité en de Commissie</t>
  </si>
  <si>
    <t>lidstaten | toezichthoudende autoriteiten | Comité | Commissie</t>
  </si>
  <si>
    <t>De lidstaten, de toezichthoudende autoriteiten, het Comité en de Commissie bevorderen, met name op Unieniveau, de invoering van certificeringsmechanismen voor gegevensbescherming en gegevensbeschermingszegels en -merktekens waarmee kan worden aangetoond dat verwerkingsverantwoordelijken en verwerkers bij verwerkingen in overeenstemming met deze verordening handelen. Er wordt ook rekening gehouden met de specifieke behoeften van kleine, middelgrote en micro-ondernemingen.</t>
  </si>
  <si>
    <t>32016R0679:58:2:10</t>
  </si>
  <si>
    <t>Elk toezichthoudende autoriteit heeft alle volgende bevoegdheden tot het nemen van corrigerende maatregelen:
a) de verwerkingsverantwoordelijke of de verwerker waarschuwen dat met de voorgenomen verwerkingen waarschijnlijk inbreuk op bepalingen van deze verordening wordt gemaakt;
b) de verwerkingsverantwoordelijke of de verwerker berispen wanneer met verwerkingen inbreuk op bepalingen van deze verordening is gemaakt;
c) de verwerkingsverantwoordelijke of de verwerker gelasten de verzoeken van de betrokkene tot uitoefening van zijn rechten uit hoofde van deze verordening in te willigen;
d) de verwerkingsverantwoordelijke of de verwerker gelasten, waar passend, op een nader bepaalde manier en binnen een nader bepaalde termijn, verwerkingen in overeenstemming te brengen met de bepalingen van deze verordening;
e) de verwerkingsverantwoordelijke gelasten een inbreuk in verband met persoonsgegevens aan de betrokkene mee te delen;
f) een tijdelijke of definitieve verwerkingsbeperking, waaronder een verwerkingsverbod, opleggen;
g) het rectificeren of wissen van persoonsgegevens of het beperken van verwerking uit hoofde van de artikelen 16, 17 en 18 gelasten, alsmede de kennisgeving van dergelijke handelingen aan ontvangers aan wie de persoonsgegevens zijn verstrekt, overeenkomstig artikel 17, lid 2, en artikel 19;
h) een certificering intrekken of het certificeringsorgaan gelasten een uit hoofde van de artikelen 42 en 43 afgegeven certificering in te trekken, of het certifice</t>
  </si>
  <si>
    <t>32024R1689:45:2:8</t>
  </si>
  <si>
    <t>Elke aangemelde instantie</t>
  </si>
  <si>
    <t>Elke aangemelde instantie brengt de andere aangemelde instanties op de hoogte van:
a) door haar geweigerde, opgeschorte of ingetrokken goedkeuringen voor kwaliteitsbeheersystemen alsmede, op verzoek, van de door haar verleende goedkeuringen voor systemen voor kwaliteitsbeheer;
b) beoordelingscertificaten van technische documentatie van de Unie of aanvullingen daarop die zij heeft geweigerd, ingetrokken, opgeschort of anderszins beperkt alsmede, op verzoek, de certificaten en/of aanvullingen daarop die zij heeft uitgegeven.</t>
  </si>
  <si>
    <t>32024R1689:50:3:4</t>
  </si>
  <si>
    <t>Gebruiksverantwoordelijken van een systeem voor het herkennen van emoties of een systeem voor biometrische categorisering</t>
  </si>
  <si>
    <t>32024R1689:65:8:8</t>
  </si>
  <si>
    <t>32016R0679:45:4:3</t>
  </si>
  <si>
    <t>32016R0679:28:2:4</t>
  </si>
  <si>
    <t>De verwerker neemt geen andere verwerker in dienst zonder voorafgaande specifieke of algemene schriftelijke toestemming van de verwerkingsverantwoordelijke. In het geval van algemene schriftelijke toestemming licht de verwerker de verwerkingsverantwoordelijke in over beoogde veranderingen inzake de toevoeging of vervanging van andere verwerkers, waarbij de verwerkingsverantwoordelijke de mogelijkheid wordt geboden tegen deze veranderingen bezwaar te maken.</t>
  </si>
  <si>
    <t>32016R0679:42:6:3</t>
  </si>
  <si>
    <t>De verwerkingsverantwoordelijke of de verwerker die zijn verwerking aan het certificeringsmechanisme onderwerpt</t>
  </si>
  <si>
    <t>32016R0679:32:4:3</t>
  </si>
  <si>
    <t>iedere natuurlijke persoon die handelt onder het gezag van de verwerkingsverantwoordelijke of van de verwerker en toegang heeft tot persoonsgegevens</t>
  </si>
  <si>
    <t>natuurlijke persoon</t>
  </si>
  <si>
    <t>De verwerkingsverantwoordelijke en de verwerker treffen maatregelen om ervoor te zorgen dat iedere natuurlijke persoon die handelt onder het gezag van de verwerkingsverantwoordelijke of van de verwerker en toegang heeft tot persoonsgegevens, deze slechts in opdracht van de verwerkingsverantwoordelijke verwerkt, tenzij hij daartoe Unierechtelijk of lidstaatrechtelijk is gehouden.</t>
  </si>
  <si>
    <t>32024R1689:52:3:5</t>
  </si>
  <si>
    <t>Indien de Commissie concludeert dat de uit hoofde van lid 2 aangevoerde argumenten niet voldoende onderbouwd zijn en de desbetreffende aanbieder niet kan aantonen dat het AI-model voor algemene doeleinden vanwege zijn specifieke kenmerken geen systeemrisico’s vertoont, verwerpt zij deze argumenten en wordt het AI-model voor algemene doeleinden beschouwd als een AI-model voor algemene doeleinden met een systeemrisico.</t>
  </si>
  <si>
    <t>32016R0679:61:2:3</t>
  </si>
  <si>
    <t>32024R1689:17:2:4</t>
  </si>
  <si>
    <t>De uitvoering van de in lid 1 bedoelde aspecten is evenredig aan de omvang van de organisatie van de aanbieder. Aanbieders voldoen hoe dan ook aan de striktheid en het beschermingsniveau die nodig zijn om te garanderen dat hun AI-systemen met een hoog risico aan deze verordening voldoen.</t>
  </si>
  <si>
    <t>32024R1689:62:3:5</t>
  </si>
  <si>
    <t>32024R1689:47:4:11</t>
  </si>
  <si>
    <t>De aanbieder</t>
  </si>
  <si>
    <t>aanbieder</t>
  </si>
  <si>
    <t>Met het opstellen van de EU-conformiteitsverklaring neemt de aanbieder de verantwoordelijkheid op zich om de in afdeling 2 beschreven voorschriften na te leven. De aanbieder houdt de EU-conformiteitsverklaring voor zover dienstig up-to-date.</t>
  </si>
  <si>
    <t>32024R1689:91:5:4</t>
  </si>
  <si>
    <t>De aanbieders van het betrokken AI-model voor algemene doeleinden of hun vertegenwoordiger</t>
  </si>
  <si>
    <t>aanbieders van het betrokken AI-model voor algemene doeleinden of hun vertegenwoordiger</t>
  </si>
  <si>
    <t>32016R0679:36:1:1</t>
  </si>
  <si>
    <t>Wanneer uit een gegevensbeschermingseffectbeoordeling krachtens artikel 35 blijkt dat de verwerking een hoog risico zou opleveren indien de verwerkingsverantwoordelijke geen maatregelen neemt om het risico te beperken, raadpleegt de verwerkingsverantwoordelijke voorafgaand aan de verwerking de toezichthoudende autoriteit.</t>
  </si>
  <si>
    <t>32016R0679:47:1:1</t>
  </si>
  <si>
    <t>De bevoegde toezichthoudende autoriteit</t>
  </si>
  <si>
    <t>bevoegde toezichthoudende autoriteit</t>
  </si>
  <si>
    <t>De bevoegde toezichthoudende autoriteit keurt in overeenstemming met het in artikel 63 bedoelde coherentiemechanism bindende bedrijfsvoorschriften goed, op voorwaarde dat deze:
a) juridisch bindend zijn voor, van toepassing zijn op en worden gehandhaafd door alle betrokken leden van het concern, of de groepering van ondernemingen die gezamenlijk een economische activiteit uitoefenen, met inbegrip van hun werknemers;
b) betrokkenen uitdrukkelijk afdwingbare rechten toekennen met betrekking tot de verwerking van hun persoonsgegevens; en
c) voldoen aan de in lid 2 vastgestelde vereisten.</t>
  </si>
  <si>
    <t>32024R1689:45:1:4</t>
  </si>
  <si>
    <t>Aangemelde instanties</t>
  </si>
  <si>
    <t>Aangemelde instanties brengen de aanmeldende autoriteit op de hoogte van:
a) beoordelingscertificaten van technische documentatie van de Unie, aanvullingen op die certificaten en goedkeuringen voor systemen voor kwaliteitsbeheer afgegeven overeenkomstig de eisen van bijlage VII;
b) weigering, beperking, schorsing of intrekking van een beoordelingscertificaat technische documentatie van de Unie of een goedkeuring voor systemen voor kwaliteitsbeheer afgegeven overeenkomstig de eisen van bijlage VII;
c) omstandigheden die van invloed zijn op het toepassingsgebied van of de voorwaarden voor de aanmelding;
d) verzoeken om informatie over conformiteitsbeoordelingsactiviteiten die zij van markttoezichtautoriteiten ontvangen;
e) op verzoek, de binnen het toepassingsgebied van hun aanmelding verrichte conformiteitsbeoordelingsactiviteiten en andere activiteiten, waaronder grensoverschrijdende activiteiten en onderaanneming.</t>
  </si>
  <si>
    <t>32016R0679:40:2:4</t>
  </si>
  <si>
    <t>Verenigingen en andere organen die categorieën van verwerkingsverantwoordelijken of verwerkers vertegenwoordigen</t>
  </si>
  <si>
    <t>Verenigingen | organen</t>
  </si>
  <si>
    <t>Verenigingen en andere organen die categorieën van verwerkingsverantwoordelijken of verwerkers vertegenwoordigen, kunnen gedragscodes opstellen, of die codes wijzigen of uitbreiden, teneinde de toepassing van deze verordening nader toe te lichten, zoals met betrekking tot:
a) behoorlijke en transparante verwerking;
b) de gerechtvaardigde belangen die door verwerkingsverantwoordelijken in een specifieke context worden behartigd;
c) de verzameling van gegevens;
d) de pseudonimisering van persoonsgegevens;
e) de aan het publiek en betrokkenen verstrekte informatie;
f) de uitoefening van de rechten van betrokkenen;
g) de informatie verstrekt aan en de bescherming van kinderen en de wijze waarop de toestemming wordt verkregen van de personen die de ouderlijke verantwoordelijkheid voor kinderen dragen;
h) de maatregelen en procedures als bedoeld in de artikelen 24 en 25 en de maatregelen ter beveiliging van de verwerking als bedoeld in artikel 32;
i) de kennisgeving van inbreuken in verband met persoonsgegevens aan toezichthoudende autoriteiten en de mededeling van die inbreuken in verband met persoonsgegevens aan betrokkenen;
j) de doorgifte van persoonsgegevens aan derde landen of internationale organisaties; of
k) buitengerechtelijke procedures en andere procedures voor de beslechting van geschillen tussen verwerkingsverantwoordelijken en betrokkenen met betrekking tot verwerking, onverminderd de rechten van betrokkenen op grond van de artikelen 77 en 79.</t>
  </si>
  <si>
    <t>32024R1689:68:4:4</t>
  </si>
  <si>
    <t>Elke deskundige</t>
  </si>
  <si>
    <t>deskundige</t>
  </si>
  <si>
    <t>32016R0679:53:2:3</t>
  </si>
  <si>
    <t>Elk lid</t>
  </si>
  <si>
    <t>lid</t>
  </si>
  <si>
    <t>Elk lid beschikt over de nodige kwalificaties, ervaring en vaardigheden, met name op het gebied van de bescherming van persoonsgegevens, voor het uitvoeren van zijn taken en het uitoefenen van zijn bevoegdheden.</t>
  </si>
  <si>
    <t>32016R0679:30:5:7</t>
  </si>
  <si>
    <t>ondernemingen of organisaties</t>
  </si>
  <si>
    <t>ondernemingen | organisaties</t>
  </si>
  <si>
    <t>De in de leden 1 en 2 bedoelde verplichtingen zijn niet van toepassing op ondernemingen of organisaties die minder dan 250 personen in dienst hebben, tenzij het waarschijnlijk is dat de verwerking die zij verrichten een risico inhoudt voor de rechten en vrijheden van de betrokkenen, de verwerking niet incidenteel is, of de verwerking bijzondere categorieën van gegevens, als bedoeld in artikel 9, lid 1, of persoonsgegevens in verband met strafrechtelijke veroordelingen en strafbare feiten als bedoeld in artikel 10 betreft.</t>
  </si>
  <si>
    <t>32024R1689:24:4:9</t>
  </si>
  <si>
    <t>32016R0679:70:2:23</t>
  </si>
  <si>
    <t>32024R1689:93:2:7</t>
  </si>
  <si>
    <t>het AI-bureau</t>
  </si>
  <si>
    <t>Alvorens om een maatregel te verzoeken kan het AI-bureau een gestructureerde dialoog met de aanbieder van het AI-model voor algemene doeleinden aangaan.</t>
  </si>
  <si>
    <t>32016R0679:49:5:8</t>
  </si>
  <si>
    <t>Bij ontstentenis van een adequaatheidsbesluit kunnen in Unierechtelijke of lidstaatrechtelijke bepalingen of bepalingen om gewichtige redenen van openbaar belang uitdrukkelijk grenzen worden gesteld aan de doorgifte van specifieke categorieën van persoonsgegevens aan een derde land of een internationale organisatie. De lidstaten stellen de Commissie in kennis van dergelijke bepalingen.</t>
  </si>
  <si>
    <t>32016R0679:52:4:6</t>
  </si>
  <si>
    <t>32016R0679:57:1:1</t>
  </si>
  <si>
    <t>elke toezichthoudende autoriteit</t>
  </si>
  <si>
    <t>Onverminderd andere uit hoofde van deze verordening vastgestelde taken, verricht elke toezichthoudende autoriteit op haar grondgebied de volgende taken:
a) zij monitort en handhaaft de toepassing van deze verordening;
b) zij bevordert bij het brede publiek de bekendheid met en het inzicht in de risico's, regels, waarborgen en rechten in verband met de verwerking. Bijzondere aandacht wordt besteed aan specifiek op kinderen gerichte activiteiten;
c) zij verleent overeenkomstig het recht van de lidstaat, advies aan het nationale parlement, de regering, en andere instellingen en organen over wetgevingsinitiatieven en bestuursmaatregelen in verband met de bescherming van de rechten en vrijheden van natuurlijke personen op het gebied van verwerking;
d) zij maakt de verwerkingsverantwoordelijken en de verwerkers beter bekend met hun verplichtingen uit hoofde van deze verordening;
e) zij verstrekt desgevraagd informatie aan iedere betrokkene over de uitoefening van zijn rechten uit hoofde van deze verordening en werkt daartoe in voorkomend geval samen met de toezichthoudende autoriteiten in andere lidstaten;
f) zij behandelt klachten van betrokkenen, of van organen, organisaties of verenigingen overeenkomstig artikel 80, onderzoekt de inhoud van de klacht in de mate waarin dat gepast is en stelt de klager binnen een redelijke termijn in kennis van de vooruitgang en het resultaat van het onderzoek, met name indien verder onderzoek of coördinatie met een andere toezichthoudende a</t>
  </si>
  <si>
    <t>32024R1689:16:whole:8</t>
  </si>
  <si>
    <t>32024R1689:53:2:8</t>
  </si>
  <si>
    <t>aanbieders van AI-modellen</t>
  </si>
  <si>
    <t>De in lid 1, punten a) en b) genoemde verplichtingen gelden niet voor aanbieders van AI-modellen die worden vrijgegeven in het kader van een vrije en opensource licentie die de raadpleging, het gebruik, de wijziging en distributie van het model mogelijk maakt en waarvan de parameters, met inbegrip van de wegingen, de informatie over de modelarchitectuur en de informatie over het gebruik van het model, openbaar worden gemaakt. Deze uitzondering is niet van toepassing op AI-modellen voor algemene doeleinden met systeemrisico's.</t>
  </si>
  <si>
    <t>32016R0679:51:4:6</t>
  </si>
  <si>
    <t>Elke lidstaat stelt de Commissie uiterlijk op 25 mei 2018 in kennis van de wettelijke bepalingen die hij overeenkomstig dit hoofdstuk vaststelt, alsmede, onverwijld, van alle latere wijzigingen daarvan.</t>
  </si>
  <si>
    <t>32016R0679:60:5:9</t>
  </si>
  <si>
    <t>de leidende toezichthoudende autoriteit</t>
  </si>
  <si>
    <t>Indien de leidende toezichthoudende autoriteit voornemens is het ingediende relevante en gemotiveerde bezwaar te honoreren, legt zij de overige betrokken toezichthoudende autoriteiten te hunner beoordeling een herzien ontwerpbesluit voor. Dat herziene ontwerpbesluit wordt binnen een termijn van twee weken aan de in lid 4 bedoelde procedure onderworpen.</t>
  </si>
  <si>
    <t>32024R1689:5:5:11</t>
  </si>
  <si>
    <t>32024R1689:26:5:10</t>
  </si>
  <si>
    <t>Gebruiksverantwoordelijken monitoren de werking van het AI-systeem met een hoog risico op basis van de gebruiksaanwijzingen en stellen in voorkomend geval de aanbieders in kennis overeenkomstig artikel 72. Wanneer gebruiksverantwoordelijken redenen hebben om aan te nemen dat het gebruik overeenkomstig de gebruiksaanwijzingen ertoe kan leiden dat dat AI-systeem een risico vormt in de zin van artikel 79, lid 1, stellen zij de aanbieder of distributeur en de betreffende markttoezichtautoriteit hiervan zonder onnodige vertraging in kennis en onderbreken zij het gebruik van dat systeem. Wanneer gebruiksverantwoordelijke een ernstig incident vaststellen, stellen zij ook onmiddellijk eerst de aanbieder hiervan in kennis, en vervolgens de importeur of distributeur en de betreffende markttoezichtautoriteiten van dat incident. Wanneer de gebruiksverantwoordelijke de aanbieder niet kan bereiken, is artikel 73 mutatis mutandis van toepassing. Deze verplichting geldt niet voor gevoelige operationele gegevens van gebruiksverantwoordelijke van AI-systemen die de hoedanigheid van rechtshandhavingsinstanties hebben.
Voor gebruiksverantwoordelijke die in de hoedanigheid van financiële instellingen onderworpen zijn aan eisen met betrekking tot hun interne governance, regelingen of processen uit hoofde van het Unierecht inzake financiële diensten, wordt de monitoringsverplichting overeenkomstig de eerste alinea geacht te zijn vervuld door te voldoen aan de regels inzake interne governance, rege</t>
  </si>
  <si>
    <t>32024R1689:70:2:5</t>
  </si>
  <si>
    <t>De lidstaten verstrekken de Commissie informatie over de identiteit en de taken van de aanmeldende autoriteiten en de markttoezichtautoriteiten, alsook over eventuele latere wijzigingen daarin. De lidstaten maken uiterlijk op 2 augustus 2025 via elektronische communicatiemiddelen informatie bekend over de wijze waarop met de bevoegde autoriteiten en centrale contactpunten contact kan worden opgenomen. De lidstaten wijzen een markttoezichtautoriteit aan die optreedt als centraal contactpunt voor deze verordening en stellen de Commissie in kennis van de identiteit van het centrale contactpunt. De Commissie maakt een lijst van de centrale contactpunten openbaar.</t>
  </si>
  <si>
    <t>32024R1689:79:3:1</t>
  </si>
  <si>
    <t>de markttoezichtautoriteit</t>
  </si>
  <si>
    <t>32024R1689:100:7:9</t>
  </si>
  <si>
    <t>32016R0679:60:12:28</t>
  </si>
  <si>
    <t>De leidende toezichthoudende autoriteit en de andere betrokken toezichthoudende autoriteiten</t>
  </si>
  <si>
    <t>leidende toezichthoudende autoriteit | betrokken toezichthoudende autoriteiten</t>
  </si>
  <si>
    <t>32016R0679:64:7:12</t>
  </si>
  <si>
    <t>De in lid 1 bedoelde toezichthoudende autoriteit</t>
  </si>
  <si>
    <t>32024R1689:41:4:3</t>
  </si>
  <si>
    <t>32016R0679:61:7:11</t>
  </si>
  <si>
    <t>De toezichthoudende autoriteiten</t>
  </si>
  <si>
    <t>32024R1689:78:1:1</t>
  </si>
  <si>
    <t>De Commissie, de markttoezichtautoriteiten en de aangemelde instanties, en alle andere natuurlijke of rechtspersonen die bij de toepassing van deze verordening betrokken zijn</t>
  </si>
  <si>
    <t>Commissie | markttoezichtautoriteiten | aangemelde instanties | natuurlijke rechtspersonen</t>
  </si>
  <si>
    <t>De Commissie, de markttoezichtautoriteiten en de aangemelde instanties, en alle andere natuurlijke of rechtspersonen die bij de toepassing van deze verordening betrokken zijn, eerbiedigen overeenkomstig het Unierecht of het nationale recht de vertrouwelijke aard van informatie en gegevens die zij hebben verkregen tijdens het uitvoeren van hun taken en activiteiten, met name ter bescherming van:
a) de intellectuele-eigendomsrechten, en vertrouwelijke bedrijfsinformatie of bedrijfsgeheimen van een natuurlijke of rechtspersoon, waaronder de broncode, uitgezonderd de gevallen bedoeld in artikel 5 van Richtlijn (EU) 2016/943 van het Europees Parlement en de Raad (57);
b) de doeltreffende uitvoering van deze verordening, met name in verband met inspecties, onderzoeken of audits;
c) publieke en nationale veiligheidsbelangen;
d) het voeren van strafrechtelijke of administratieve procedures;
e) informatie die op grond van het Unierecht of het nationale recht gerubriceerd is.</t>
  </si>
  <si>
    <t>32024R1689:85:whole:2</t>
  </si>
  <si>
    <t>de relevante markttoezichtautoriteit</t>
  </si>
  <si>
    <t>relevante markttoezichtautoriteit</t>
  </si>
  <si>
    <t>32024R1689:77:1:2</t>
  </si>
  <si>
    <t>De overheidsinstantie of het overheidsorgaan in kwestie</t>
  </si>
  <si>
    <t>overheidsinstantie in kwestie | overheidsorgaan</t>
  </si>
  <si>
    <t>Nationale overheidsinstanties of -organen die de nakoming van verplichtingen krachtens Unierecht ter bescherming van grondrechten, waaronder het recht op non-discriminatie, met betrekking tot het gebruik van de in bijlage III vermelde AI-systemen met een hoog risico controleren of handhaven, zijn bevoegd om krachtens deze verordening opgestelde of bijgehouden documentatie in een toegankelijke taal en een toegankelijk formaat aan te vragen en in te zien wanneer toegang tot die documentatie nodig is voor het doeltreffend uitoefenen van de bevoegdheden onder hun mandaat binnen de grenzen van hun rechtsgebied. De overheidsinstantie of het overheidsorgaan in kwestie stelt de markttoezichtautoriteit van de betrokken lidstaat van een dergelijke aanvraag in kennis.</t>
  </si>
  <si>
    <t>32016R0679:41:4:14</t>
  </si>
  <si>
    <t>Het orgaan</t>
  </si>
  <si>
    <t>orgaan</t>
  </si>
  <si>
    <t>32024R1689:24:4:5</t>
  </si>
  <si>
    <t>de distributeur</t>
  </si>
  <si>
    <t>32024R1689:31:6:5</t>
  </si>
  <si>
    <t>32024R1689:50:2:2</t>
  </si>
  <si>
    <t>Aanbieders van AI-systemen, met inbegrip van AI-systemen voor algemene doeleinden</t>
  </si>
  <si>
    <t>Aanbieders van AI-systemen</t>
  </si>
  <si>
    <t>32016R0679:58:6:30</t>
  </si>
  <si>
    <t>32024R1689:62:3:4</t>
  </si>
  <si>
    <t>32016R0679:97:2:3</t>
  </si>
  <si>
    <t>In het kader van de in lid 1 bedoelde evaluaties en toetsingen beoordeelt de Commissie met name de toepassing en de werking van:
a) hoofdstuk V betreffende de doorgifte van persoonsgegevens aan derde landen of internationale organisaties, in het bijzonder met betrekking tot krachtens artikel 45, lid 3, van deze verordening vastgestelde besluiten en op grond van artikel 25, lid 6, van Richtlijn 95/46/EG vastgestelde besluiten;
b) hoofdstuk VII betreffende samenwerking en coherentie.</t>
  </si>
  <si>
    <t>32024R1689:64:1:1</t>
  </si>
  <si>
    <t>De Commissie ontwikkelt deskundigheid en capaciteiten op Unieniveau op het gebied van AI via het AI-bureau.</t>
  </si>
  <si>
    <t>32024R1689:71:6:8</t>
  </si>
  <si>
    <t>32024R1689:25:1:5</t>
  </si>
  <si>
    <t>een distributeur, importeur, gebruiksverantwoordelijke of derde</t>
  </si>
  <si>
    <t>distributeur | importeur | gebruiksverantwoordelijke | derde</t>
  </si>
  <si>
    <t>In de volgende omstandigheden wordt een distributeur, importeur, gebruiksverantwoordelijke of derde voor de toepassing van deze verordening beschouwd als een aanbieder van een AI-systeem met een hoog risico en is hij onderworpen aan de verplichtingen van de aanbieder uit hoofde van artikel 16:
a) hij zet zijn naam of merk op een AI-systeem met een hoog risico dat reeds in de handel is gebracht of in gebruik is gesteld, onverminderd contractuele regelingen waarin wordt bepaald dat de verplichtingen anders worden toegewezen;
b) hij brengt een substantiële wijziging aan in een AI-systeem met een hoog risico dat reeds in de handel is gebracht of reeds in gebruik is gesteld op zodanige wijze dat het systeem een AI-systeem met een hoog risico blijft op grond van artikel 6;
c) hij wijzigt het beoogde doel van een AI-systeem, met inbegrip van een AI-systeem voor algemene doeleinden, dat niet als een systeem met een hoog risico is geclassificeerd en reeds in de handel is gebracht of in gebruik is gesteld, op zodanige wijze dat het betrokken AI-systeem een AI-systeem met een hoog risico overeenkomstig artikel 6 wordt.</t>
  </si>
  <si>
    <t>32016R0679:27:3:3</t>
  </si>
  <si>
    <t>De vertegenwoordiger</t>
  </si>
  <si>
    <t>vertegenwoordiger</t>
  </si>
  <si>
    <t>De vertegenwoordiger is gevestigd in een van de lidstaten waar zich de betrokkenen bevinden wier persoonsgegevens in verband met het hun aanbieden van goederen of diensten worden verwerkt, of wier gedrag wordt geobserveerd.</t>
  </si>
  <si>
    <t>32024R1689:27:2:2</t>
  </si>
  <si>
    <t>De gebruiksverantwoordelijke</t>
  </si>
  <si>
    <t>32024R1689:93:1:5</t>
  </si>
  <si>
    <t>Indien nodig en passend kan de Commissie aanbieders erom verzoeken:
a) passende maatregelen te nemen om te voldoen aan de verplichtingen van de artikelen 53 en 54;
b) risicobeperkende maatregelen te nemen indien de overeenkomstig artikel 92 verrichte evaluatie aanleiding heeft gegeven tot ernstige en concrete aanwijzingen voor een systeemrisico op Unieniveau;
c) het op de markt aanbieden van het model te beperken, dan wel het uit de handel te nemen of terug te roepen.</t>
  </si>
  <si>
    <t>32024R1689:97:5:7</t>
  </si>
  <si>
    <t>32016R0679:69:2:2</t>
  </si>
  <si>
    <t>Onverminderd verzoeken van de Commissie als bedoeld in artikel 70, lid 1, onder b), en artikel 70, lid 2, vraagt noch aanvaardt het Comité bij de uitvoering van zijn taken of de uitoefening van zijn bevoegdheden instructies van wie dan ook.</t>
  </si>
  <si>
    <t>32024R1689:6:5:5</t>
  </si>
  <si>
    <t>32024R1689:112:3:5</t>
  </si>
  <si>
    <t>Uiterlijk op 2 augustus 2029 en vervolgens om de vier jaar dient de Commissie bij het Europees Parlement en de Raad een verslag in over de evaluatie en de toetsing van deze verordening. Het verslag bevat een beoordeling van de structuur van de handhaving en de eventuele noodzaak van een Agentschap van de Unie om vastgestelde tekortkomingen op te lossen. Op basis van de bevindingen gaat dat verslag indien passend vergezeld van een voorstel tot wijziging van deze verordening. De verslagen worden openbaar gemaakt.</t>
  </si>
  <si>
    <t>32016R0679:51:3:5</t>
  </si>
  <si>
    <t>die lidstaat</t>
  </si>
  <si>
    <t>Wanneer er in een lidstaat meer dan één toezichthoudende autoriteit is gevestigd, wijst die lidstaat de toezichthoudende autoriteit aan die die autoriteiten in het Comité moet vertegenwoordigen en stelt hij de procedure vast om ervoor te zorgen dat de andere autoriteiten de regels in verband met het in artikel 63 bedoelde coherentiemechanisme naleven.</t>
  </si>
  <si>
    <t>32016R0679:56:1:1</t>
  </si>
  <si>
    <t>de toezichthoudende autoriteit van de hoofdvestiging of de enige vestiging van de verwerkingsverantwoordelijke of verwerker</t>
  </si>
  <si>
    <t>toezichthoudende autoriteit van de hoofdvestiging</t>
  </si>
  <si>
    <t>Onverminderd artikel 55 is de toezichthoudende autoriteit van de hoofdvestiging of de enige vestiging van de verwerkingsverantwoordelijke of verwerker competent op te treden als leidende toezichthoudende autoriteit voor de grensoverschrijdende verwerking door die verwerkingsverantwoordelijke of verwerker overeenkomstig de procedure van artikel 60.</t>
  </si>
  <si>
    <t>32016R0679:35:5:6</t>
  </si>
  <si>
    <t>De toezichthoudende autoriteit kan ook een lijst opstellen en openbaar maken van het soort verwerking waarvoor geen gegevensbeschermingseffectbeoordeling is vereist. De toezichthoudende autoriteit deelt deze lijst mee aan het Comité.</t>
  </si>
  <si>
    <t>32024R1689:36:8:27</t>
  </si>
  <si>
    <t>de aanmeldende autoriteit</t>
  </si>
  <si>
    <t>aanmeldende autoriteit</t>
  </si>
  <si>
    <t>Met uitzondering van onterecht afgegeven certificaten en indien een aanwijzing is geschorst of beperkt, blijven de certificaten geldig in een van de volgende omstandigheden:
a) de aanmeldende autoriteit heeft binnen één maand na de schorsing of beperking bevestigd dat er met betrekking tot de certificaten waarop de schorsing of beperking van toepassing is, geen risico’s voor de gezondheid, veiligheid of grondrechten bestaan, en de aanmeldende autoriteit heeft voorzien in een termijn voor maatregelen om de schorsing of beperking te ondervangen, of
b) de aanmeldende autoriteit heeft bevestigd dat er geen certificaten in verband met de schorsing zullen worden afgegeven, gewijzigd, of opnieuw afgegeven gedurende de schorsing of beperking en geeft aan of de aangemelde instantie het vermogen heeft om de bestaande, voor de periode van schorsing of beperking afgegeven certificaten te blijven monitoren en daarvoor verantwoordelijk te blijven; indien de aanmeldende autoriteit vaststelt dat de aangemelde instantie niet in staat is bestaande afgegeven certificaten te ondersteunen, bevestigt de aanbieder van het systeem waarop het certificaat betrekking heeft binnen drie maanden na de schorsing of beperking aan de nationale bevoegde autoriteiten van de lidstaat waar hij zijn geregistreerde vestigingsplaats heeft via schriftelijke weg dat in plaats van de aangemelde instantie een andere gekwalificeerde aangemelde instantie tijdelijk de certificaten tijdens de periode van schorsing of bep</t>
  </si>
  <si>
    <t>32024R1689:76:3:3</t>
  </si>
  <si>
    <t>Een markttoezichtautoriteit</t>
  </si>
  <si>
    <t>32024R1689:26:5:8</t>
  </si>
  <si>
    <t>Gebruiksverantwoordelijken</t>
  </si>
  <si>
    <t>32024R1689:21:2:2</t>
  </si>
  <si>
    <t>Op een met redenen omkleed verzoek van een bevoegde autoriteit verlenen aanbieders die verzoekende bevoegde autoriteit, indien van toepassing, toegang tot de in artikel 12, lid 1, bedoelde logs die automatisch zijn gegenereerd door hun AI-systeem met een hoog risico voor zover dergelijke logs onder hun controle vallen.</t>
  </si>
  <si>
    <t>32024R1689:81:1:4</t>
  </si>
  <si>
    <t>Indien de markttoezichtautoriteit van een lidstaat binnen drie maanden na ontvangst van de in artikel 79, lid 5, bedoelde kennisgeving, of binnen dertig dagen in geval van niet-naleving van het verbod op de in artikel 5 bedoelde AI-praktijken, bezwaar maakt tegen een door een andere markttoezichtautoriteit genomen maatregel, of indien de Commissie de maatregel in strijd acht met het Unierecht, treedt de Commissie zonder onnodige vertraging in overleg met de markttoezichtautoriteit van de betrokken lidstaat en de operator(s), en evalueert zij de nationale maatregel. Op grond van de resultaten van die evaluatie besluit de Commissie binnen zes maanden, of binnen zestig dagen in geval van niet-naleving van het verbod op de in artikel 5 bedoelde AI-praktijken, met ingang van de in artikel 79, lid 5, bedoelde kennisgeving of de nationale maatregel gerechtvaardigd is, en deelt zij haar besluit aan de markttoezichtautoriteit van de betrokken lidstaat mee. De Commissie stelt ook alle andere markttoezichtautoriteiten van haar besluit in kennis.</t>
  </si>
  <si>
    <t>32016R0679:13:1:2</t>
  </si>
  <si>
    <t>Wanneer persoonsgegevens betreffende een betrokkene bij die persoon worden verzameld, verstrekt de verwerkingsverantwoordelijke de betrokkene bij de verkrijging van de persoonsgegevens al de volgende informatie:
a) de identiteit en de contactgegevens van de verwerkingsverantwoordelijke en, in voorkomend geval, van de vertegenwoordiger van de verwerkingsverantwoordelijke;
b) in voorkomend geval, de contactgegevens van de functionaris voor gegevensbescherming;
c) de verwerkingsdoeleinden waarvoor de persoonsgegevens zijn bestemd, alsook de rechtsgrond voor de verwerking;
d) de gerechtvaardigde belangen van de verwerkingsverantwoordelijke of van een derde, indien de verwerking op artikel 6, lid 1, punt f), is gebaseerd;
d) in voorkomend geval, de ontvangers of categorieën van ontvangers van de persoonsgegevens;
e) in voorkomend geval, dat de verwerkingsverantwoordelijke het voornemen heeft de persoonsgegevens door te geven aan een derde land of een internationale organisatie; of er al dan niet een adequaatheidsbesluit van de Commissie bestaat; of, in het geval van in artikel 46, artikel 47 of artikel 49, lid 1, tweede alinea, bedoelde doorgiften, welke de passende of geschikte waarborgen zijn, hoe er een kopie van kan worden verkregen of waar ze kunnen worden geraadpleegd.</t>
  </si>
  <si>
    <t>32016R0679:35:9:16</t>
  </si>
  <si>
    <t>De verwerkingsverantwoordelijke</t>
  </si>
  <si>
    <t>De verwerkingsverantwoordelijke vraagt in voorkomend geval de betrokkenen of hun vertegenwoordigers naar hun mening over de voorgenomen verwerking, met inachtneming van de bescherming van commerciële of algemene belangen of de beveiliging van verwerkingen.</t>
  </si>
  <si>
    <t>32024R1689:50:4:7</t>
  </si>
  <si>
    <t>Gebruiksverantwoordelijken van een AI-systeem dat beeld-, audio- of videocontent genereert of bewerkt die een deepfake vormt</t>
  </si>
  <si>
    <t>Gebruiksverantwoordelijken van een AI-systeem</t>
  </si>
  <si>
    <t>32024R1689:73:9:11</t>
  </si>
  <si>
    <t>aanbieders die onderworpen zijn aan rechtsinstrumenten van de Unie met meldingsverplichtingen die gelijkwaardig zijn aan die van deze verordening</t>
  </si>
  <si>
    <t>32016R0679:37:4:5</t>
  </si>
  <si>
    <t>32016R0679:41:1:1</t>
  </si>
  <si>
    <t>een orgaan</t>
  </si>
  <si>
    <t>Onverminderd de taken en bevoegdheden van de bevoegde toezichthoudende autoriteit uit hoofde van de artikelen 57 en 58, kan het op grond van artikel 40 uitgevoerde toezicht op de naleving van een gedragscode worden uitgeoefend door een orgaan dat over de passende deskundigheid met betrekking tot het onderwerp van de gedragscode beschikt en daartoe door de bevoegde toezichthoudende autoriteit is geaccrediteerd.</t>
  </si>
  <si>
    <t>32024R1689:77:4:10</t>
  </si>
  <si>
    <t>de in lid 1 van dit artikel bedoelde overheidsinstanties of -organen</t>
  </si>
  <si>
    <t>Informatie of documentatie die op grond van dit artikel door de in lid 1 van dit artikel bedoelde overheidsinstanties of -organen wordt verkregen, wordt verwerkt overeenkomstig de in artikel 78 beschreven vertrouwelijkheidsverplichtingen.</t>
  </si>
  <si>
    <t>32016R0679:75:3:2</t>
  </si>
  <si>
    <t>De personeelsleden van de Europese Toezichthouder voor gegevensbescherming die betrokken zijn bij de uitvoering van de krachtens deze verordening aan het Comité opgedragen taken</t>
  </si>
  <si>
    <t>personeelsleden van de Europese Toezichthouder voor gegevensbescherming</t>
  </si>
  <si>
    <t>32024R1689:16:whole:12</t>
  </si>
  <si>
    <t>32024R1689:26:2:2</t>
  </si>
  <si>
    <t>Gebruiksverantwoordelijken dragen het menselijk toezicht op aan natuurlijke personen die over de nodige bekwaamheid, opleiding en autoriteit beschikken en de nodige ondersteuning krijgen.</t>
  </si>
  <si>
    <t>32024R1689:23:5:5</t>
  </si>
  <si>
    <t>Importeurs</t>
  </si>
  <si>
    <t>32024R1689:77:2:3</t>
  </si>
  <si>
    <t>elke lidstaat</t>
  </si>
  <si>
    <t>Uiterlijk op 2 november 2024 stelt elke lidstaat de in lid 1 bedoelde overheidsinstanties of -organen vast en maakt de lijst openbaar. De lidstaten stellen de Commissie en de andere lidstaten in kennis van de lijst en houden deze up-to-date.</t>
  </si>
  <si>
    <t>32016R0679:36:5:11</t>
  </si>
  <si>
    <t>de verwerkingsverantwoordelijken</t>
  </si>
  <si>
    <t>verwerkingsverantwoordelijken</t>
  </si>
  <si>
    <t>32024R1689:54:1:1</t>
  </si>
  <si>
    <t>Aanbieders die in derde landen zijn gevestigd, wijzen voordat zij een AI-model voor algemene doeleinden in de Unie in de handel brengen, middels een schriftelijke machtiging een gemachtigde aan die is gevestigd in de Unie.</t>
  </si>
  <si>
    <t>32024R1689:95:3:1</t>
  </si>
  <si>
    <t>individuele aanbieders of gebruiksverantwoordelijken van AI-systemen of door organisaties die hen vertegenwoordigen, of allebei</t>
  </si>
  <si>
    <t>individuele aanbieders van AI-systemen | gebruiksverantwoordelijken | organisaties</t>
  </si>
  <si>
    <t>32016R0679:64:3:3</t>
  </si>
  <si>
    <t>32016R0679:11:2:2</t>
  </si>
  <si>
    <t>Wanneer de verwerkingsverantwoordelijke in de in lid 1 van dit artikel bedoelde gevallen kan aantonen dat hij de betrokkene niet kan identificeren, stelt hij de betrokkene daarvan indien mogelijk in kennis. In dergelijke gevallen zijn de artikelen 15 tot en met 20 niet van toepassing, behalve wanneer de betrokkene, met het oog op de uitoefening van zijn rechten uit hoofde van die artikelen, aanvullende gegevens verstrekt die het mogelijk maken hem te identificeren.</t>
  </si>
  <si>
    <t>32016R0679:52:1:1</t>
  </si>
  <si>
    <t>Elke toezichthoudende autoriteit treedt volledig onafhankelijk op bij de uitvoering van de taken en de uitoefening van de bevoegdheden die haar overeenkomstig deze verordening zijn toegewezen.</t>
  </si>
  <si>
    <t>32016R0679:35:5:8</t>
  </si>
  <si>
    <t>32016R0679:40:6:11</t>
  </si>
  <si>
    <t>de toezichthoudende autoriteit</t>
  </si>
  <si>
    <t>Wanneer de ontwerpgedragscode, de wijziging of uitbreiding wordt goedgekeurd overeenkomstig lid 5, en indien de gedragscode in kwestie geen betrekking heeft op verwerkingsactiviteiten in verschillende lidstaten, registreert de toezichthoudende autoriteit de gedragscode en maakt zij deze bekend.</t>
  </si>
  <si>
    <t>32024R1689:26:6:12</t>
  </si>
  <si>
    <t>Gebruiksverantwoordelijken die in de hoedanigheid van financiële instellingen onderworpen zijn aan eisen met betrekking tot hun interne governance, regelingen of processen uit hoofde van het Unierecht inzake financiële diensten</t>
  </si>
  <si>
    <t>Gebruiksverantwoordelijken van AI-systemen met een hoog risico bewaren de logs die automatisch worden gegenereerd door dat AI-systeem met een hoog risico voor zover dergelijke logs onder hun controle vallen gedurende een periode die passend is voor het beoogde doel van het AI-systeem met een hoog risico, of ten minste zes maanden, tenzij anders is bepaald in het toepasselijke Unie- of nationaal recht, meer in het bijzonder het Unierecht over de bescherming van persoonsgegevens.
Gebruiksverantwoordelijken die in de hoedanigheid van financiële instellingen onderworpen zijn aan eisen met betrekking tot hun interne governance, regelingen of processen uit hoofde van het Unierecht inzake financiële diensten, bewaren de logs als onderdeel van de documentatie die bewaard wordt krachtens het desbetreffende Unierecht inzake financiële diensten.</t>
  </si>
  <si>
    <t>32024R1689:49:2:2</t>
  </si>
  <si>
    <t>die aanbieder of in voorkomend geval de gemachtigde</t>
  </si>
  <si>
    <t>Alvorens een AI-systeem in de handel te brengen of in gebruik te stellen dat naar oordeel van de aanbieder geen hoog risico inhoudt volgens artikel 6, lid 3, registreert die aanbieder of in voorkomend geval de gemachtigde zichzelf en dat systeem in de in artikel 71 bedoelde EU-databank.</t>
  </si>
  <si>
    <t>32024R1689:89:1:1</t>
  </si>
  <si>
    <t>Voor de uitvoering van de taken die hem uit hoofde van deze afdeling zijn toegewezen, kan het AI-bureau de nodige maatregelen nemen de daadwerkelijke uitvoering en naleving van deze verordening, inclusief hun inachtneming van goedgekeurde praktijkcodes, door aanbieders van AI-modellen voor algemene doeleinden te monitoren.</t>
  </si>
  <si>
    <t>32024R1689:101:1:3</t>
  </si>
  <si>
    <t>De Commissie kan aanbieders van AI-modellen voor algemene doeleinden geldboeten opleggen van ten hoogste 3 % van hun jaarlijkse totale wereldwijde omzet in het voorgaande boekjaar of 15 000 000 EUR, indien dat hoger is, wanneer de Commissie vaststelt dat de aanbieder opzettelijk of uit onachtzaamheid:
a) inbreuk heeft gepleegd op de desbetreffende bepalingen van deze verordening;
b) niet heeft voldaan aan een verzoek om een document of om informatie op grond van artikel 91, of onjuiste, onvolledige of misleidende informatie heeft verstrekt;
c) een op grond van artikel 93 gevraagde maatregel niet heeft nageleefd;
d) de Commissie geen toegang tot het AI-model voor algemene doeleinden of het AI-model voor algemene doeleinden met een systeemrisico heeft gegeven voor de doeleinden van de evaluatie op grond van artikel 92.
Bij de vaststelling van het bedrag van de geldboete of de dwangsom wordt met de aard, de ernst en de duur van de inbreuk rekening gehouden, met inachtneming van de beginselen van evenredigheid en redelijkheid. De Commissie houdt ook rekening met verbintenissen die zijn aangegaan overeenkomstig artikel 93, lid 3, of die zijn aangegaan in relevante praktijkcodes overeenkomstig artikel 56.</t>
  </si>
  <si>
    <t>32016R0679:12:5:11</t>
  </si>
  <si>
    <t>32016R0679:82:1:1</t>
  </si>
  <si>
    <t>Eenieder die materiële of immateriële schade heeft geleden ten gevolge van een inbreuk op deze verordening</t>
  </si>
  <si>
    <t>Eenieder</t>
  </si>
  <si>
    <t>Eenieder die materiële of immateriële schade heeft geleden ten gevolge van een inbreuk op deze verordening, heeft het recht om van de verwerkingsverantwoordelijke of de verwerker schadevergoeding te ontvangen voor de geleden schade.</t>
  </si>
  <si>
    <t>32016R0679:60:1:1</t>
  </si>
  <si>
    <t>De leidende toezichthoudende autoriteit en de betrokken toezichthoudende autoriteiten</t>
  </si>
  <si>
    <t>De leidende toezichthoudende autoriteit werkt overeenkomstig dit artikel samen met de andere betrokken toezichthoudende autoriteiten teneinde tot een consensus proberen te komen. De leidende toezichthoudende autoriteit en de betrokken toezichthoudende autoriteiten wisselen alle relevante informatie met elkaar uit.</t>
  </si>
  <si>
    <t>32016R0679:84:2:4</t>
  </si>
  <si>
    <t>Elke lidstaat deelt de Commissie uiterlijk op 25 mei 2018 de overeenkomstig lid 1 vastgestelde wetgevingsbepalingen mee, alsook onverwijld alle latere wijzigingen daarvan.</t>
  </si>
  <si>
    <t>32024R1689:37:1:1</t>
  </si>
  <si>
    <t>De Commissie onderzoekt indien nodig alle gevallen waarin er redenen zijn om te twijfelen aan de bekwaamheid van een aangemelde instantie of te twijfelen of een aangemelde instantie nog aan de eisen van artikel 31 voldoet en haar toepasselijke verantwoordelijkheden nakomt.</t>
  </si>
  <si>
    <t>32016R0679:63:whole:1</t>
  </si>
  <si>
    <t>Teneinde bij te dragen aan de consequente toepassing van deze verordening in de gehele Unie werken de toezichthoudende autoriteiten met elkaar en waar passend samen met de Commissie in het kader van het in deze afdeling uiteengezette coherentiemechanisme.</t>
  </si>
  <si>
    <t>32024R1689:53:1:3</t>
  </si>
  <si>
    <t>Aanbieders van AI-modellen voor algemene doeleinden</t>
  </si>
  <si>
    <t>Aanbieders van AI-modellen voor algemene doeleinden moeten:
a) de technische documentatie van het model opstellen en up-to-date houden, inclusief het trainings- en testproces en de resultaten van de evaluatie ervan, die ten minste de in bijlage XI vermelde informatie moet bevatten, zodat deze op verzoek aan het AI-bureau en de nationale bevoegde autoriteiten kunnen worden verstrekt;
b) informatie en documentatie opstellen, up-to-date houden en beschikbaar stellen voor aanbieders van AI-systemen die het AI-model voor algemene doeleinden in hun AI-systemen willen integreren. Onverminderd de noodzaak om intellectuele-eigendomsrechten en vertrouwelijke bedrijfsinformatie of bedrijfsgeheimen overeenkomstig het Unierecht en het nationale recht te eerbiedigen en te beschermen, moet de informatie en documentatie:
i) aanbieders van AI-systemen inzicht geven in de capaciteiten en beperkingen van het AI-model voor algemene doeleinden en ze in staat te stellen aan hun verplichtingen uit hoofde van deze verordening te voldoen, en
ii) ten minste de in bijlage XII uiteengezette elementen bevatten;
c) beleid opstellen ter naleving van het Unierecht inzake auteursrechten en naburige rechten en dan met name ter vaststelling en naleving, onder meer door middel van geavanceerde technologieën, van een op grond van artikel 4, lid 3, van Richtlijn (EU) 2019/790 tot uitdrukking gebracht voorbehoud van rechten.
d) een voldoende gedetailleerde samenvatting opstellen en openbaar maken over de voo</t>
  </si>
  <si>
    <t>32024R1689:111:2:1</t>
  </si>
  <si>
    <t>de aanbieders en gebruiksverantwoordelijken van AI-systemen met een hoog risico die bedoeld zijn om door overheidsinstanties te worden gebruikt</t>
  </si>
  <si>
    <t>aanbieders van AI-systemen met een hoog risico | gebruiksverantwoordelijken</t>
  </si>
  <si>
    <t>32024R1689:31:6:3</t>
  </si>
  <si>
    <t>32024R1689:90:1:1</t>
  </si>
  <si>
    <t>Het wetenschappelijk panel</t>
  </si>
  <si>
    <t>wetenschappelijk panel</t>
  </si>
  <si>
    <t>Het wetenschappelijk panel kan het AI-bureau een gekwalificeerde waarschuwing geven indien het redenen heeft om te vermoeden dat:
a) een AI-model voor algemene doeleinden een concreet aanwijsbaar risico op Unieniveau vormt, of
b) een AI-model voor algemene doeleinden aan de in artikel 51 bedoelde voorwaarden beantwoordt.</t>
  </si>
  <si>
    <t>32024R1689:69:1:1</t>
  </si>
  <si>
    <t>De lidstaten kunnen een beroep doen op deskundigen van het wetenschappelijk panel ter ondersteuning van hun handhavingsactiviteiten in het kader van deze verordening.</t>
  </si>
  <si>
    <t>32016R0679:37:6:9</t>
  </si>
  <si>
    <t>De functionaris voor gegevensbescherming</t>
  </si>
  <si>
    <t>functionaris voor gegevensbescherming</t>
  </si>
  <si>
    <t>De functionaris voor gegevensbescherming kan een personeelslid van de verwerkingsverantwoordelijke of de verwerker zijn, of kan de taken op grond van een dienstverleningsovereenkomst verrichten.</t>
  </si>
  <si>
    <t>32024R1689:23:3:3</t>
  </si>
  <si>
    <t>32024R1689:36:8:28</t>
  </si>
  <si>
    <t>32024R1689:57:6:8</t>
  </si>
  <si>
    <t>De bevoegde autoriteiten</t>
  </si>
  <si>
    <t>bevoegde autoriteiten</t>
  </si>
  <si>
    <t>32016R0679:41:2:2</t>
  </si>
  <si>
    <t>Een orgaan als bedoeld in lid 1</t>
  </si>
  <si>
    <t>Een orgaan als bedoeld in lid 1 kan daartoe worden geaccrediteerd om toezicht te houden op de naleving van een gedragscode indien het:
a) ten genoegen van de bevoegde toezichthoudende autoriteit zijn onafhankelijkheid en deskundigheid met betrekking tot het onderwerp van de gedragscode heeft aangetoond;
b) procedures heeft vastgesteld op grond waarvan het kan beoordelen of de betrokken verwerkingsverantwoordelijken en verwerkers in aanmerking komen om de gedragscode toe te passen, toezicht kan houden op de naleving van de bepalingen van de gedragscode door deze laatsten en het de werking van de gedragscode op gezette tijden kan toetsen;
c) procedures en structuren heeft vastgesteld om klachten te behandelen over inbreuken op de gedragscode of over de wijze waarop daaraan uitvoering is of wordt gegeven door een verwerkingsverantwoordelijke of verwerker, en om die procedures en structuren voor betrokkenen en het publiek transparant te maken; en
d) ten genoegen van de bevoegde toezichthoudende autoriteit aantoont dat zijn taken en bevoegdheden niet tot een belangenconflict leiden.</t>
  </si>
  <si>
    <t>32024R1689:25:2:7</t>
  </si>
  <si>
    <t>Die oorspronkelijke aanbieder</t>
  </si>
  <si>
    <t>oorspronkelijke aanbieder</t>
  </si>
  <si>
    <t>Wanneer sprake is van de in lid 1 bedoelde omstandigheden, wordt de aanbieder die het AI-systeem voor het eerst in de handel heeft gebracht of in gebruik heeft gesteld, niet langer beschouwd als aanbieder van dat specifieke AI-systeem voor de toepassing van deze verordening. Die oorspronkelijke aanbieder werkt nauw samen met nieuwe aanbieders, stelt de nodige informatie beschikbaar en verstrekt de redelijkerwijs verwachte technische toegang en andere bijstand die nodig zijn om te voldoen aan de verplichtingen van deze verordening, met name wat betreft de naleving van de conformiteitsbeoordeling van AI-systemen met een hoog risico. Dit lid is niet van toepassing in gevallen waarin de oorspronkelijke aanbieder duidelijk heeft aangegeven dat zijn AI-systeem niet mag worden gewijzigd in een AI-systeem met een hoog risico en derhalve niet onder de verplichting valt om de documentatie te verstrekken.</t>
  </si>
  <si>
    <t>32024R1689:80:7:7</t>
  </si>
  <si>
    <t>de aanbieder</t>
  </si>
  <si>
    <t>32024R1689:34:2:2</t>
  </si>
  <si>
    <t>Aangemelde instanties vermijden onnodige lasten voor aanbieders bij de uitvoering van hun activiteiten en houden terdege rekening met de omvang van de aanbieder, de sector waarin hij actief is, zijn structuur en de mate van complexiteit van het betrokken AI-systeem met een hoog risico, met name om de administratieve lasten en nalevingskosten voor micro- en kleine ondernemingen in de zin van Aanbeveling 2003/361/EG tot een minimum te beperken. De aangemelde instantie eerbiedigt echter de striktheid en het beschermingsniveau die nodig zijn opdat het AI-systeem met een hoog risico voldoet aan de eisen van deze verordening.</t>
  </si>
  <si>
    <t>32024R1689:37:4:11</t>
  </si>
  <si>
    <t>Wanneer de Commissie vaststelt dat een aangemelde instantie niet of niet meer aan de aanmeldingseisen voldoet, brengt zij de aanmeldende lidstaat daarvan op de hoogte en verzoekt zij deze lidstaat de nodige corrigerende maatregelen te nemen, en zo nodig de aanmelding te schorsen of in te trekken. Indien de lidstaat niet de nodige corrigerende actie onderneemt, kan de Commissie door middel van een uitvoeringshandeling de aanwijzing schorsen, beperken of intrekken. De uitvoeringshandeling wordt vastgesteld volgens de in artikel 98, lid 2, bedoelde onderzoeksprocedure.</t>
  </si>
  <si>
    <t>32024R1689:30:5:7</t>
  </si>
  <si>
    <t>Indien er bezwaar wordt ingediend, treedt de Commissie onverwijld in overleg met de betrokken lidstaten en de conformiteitsbeoordelingsinstantie. Met het oog daarop besluit de Commissie of de toelating gerechtvaardigd is. De Commissie richt haar besluit aan de betrokken lidstaat en aan de relevante conformiteitsbeoordelingsinstantie.</t>
  </si>
  <si>
    <t>32024R1689:56:8:17</t>
  </si>
  <si>
    <t>32024R1689:54:2:2</t>
  </si>
  <si>
    <t>De aanbieder stelt zijn gemachtigde in staat de taken uit te voeren die staan gespecificeerd in het mandaat dat hij van de aanbieder heeft ontvangen.</t>
  </si>
  <si>
    <t>32024R1689:16:whole:2</t>
  </si>
  <si>
    <t>32024R1689:54:5:5</t>
  </si>
  <si>
    <t>De gemachtigde</t>
  </si>
  <si>
    <t>gemachtigde</t>
  </si>
  <si>
    <t>32024R1689:57:12:25</t>
  </si>
  <si>
    <t>de autoriteiten</t>
  </si>
  <si>
    <t>autoriteiten</t>
  </si>
  <si>
    <t>32024R1689:76:2:2</t>
  </si>
  <si>
    <t>Deze autoriteiten</t>
  </si>
  <si>
    <t>Indien AI-systemen waarop toezicht wordt uitgeoefend binnen een AI-testomgeving voor regelgeving krachtens artikel 58, onder reële omstandigheden worden getest, controleren de markttoezichtautoriteiten of artikel 60 wordt nageleefd als onderdeel van hun toezichthoudende rol voor de AI-testomgeving voor regelgeving. Deze autoriteiten kunnen, in voorkomend geval, toestaan dat de aanbieder of potentiële aanbieder in afwijking van de voorwaarden van artikel 60, lid 4, punten f) en g), onder reële omstandigheden test.</t>
  </si>
  <si>
    <t>32024R1689:65:8:9</t>
  </si>
  <si>
    <t>32024R1689:101:1:1</t>
  </si>
  <si>
    <t>32016R0679:50:whole:3</t>
  </si>
  <si>
    <t>de Commissie en de toezichthoudende autoriteiten</t>
  </si>
  <si>
    <t>Commissie | toezichthoudende autoriteiten</t>
  </si>
  <si>
    <t>Ten aanzien van derde landen en internationale organisaties nemen de Commissie en de toezichthoudende autoriteiten de nodige maatregelen om:
a) procedures voor internationale samenwerking te ontwikkelen, zodat de effectieve handhaving van de wetgeving inzake de bescherming van persoonsgegevens wordt vergemakkelijkt;
b) internationale wederzijdse bijstand te bieden bij de handhaving van de wetgeving inzake de bescherming van persoonsgegevens, onder meer door kennisgeving, doorverwijzing van klachten, bijstand bij onderzoeken en uitwisseling van informatie, voor zover er passende waarborgen voor de bescherming van persoonsgegevens en andere grondrechten en fundamentele vrijheden bestaan;
c) belanghebbenden te betrekken bij besprekingen en activiteiten om de internationale samenwerking bij de handhaving van de wetgeving inzake de bescherming van persoonsgegevens te bevorderen; en
d) de uitwisseling en het documenteren van wetgeving en praktijken inzake de bescherming van persoonsgegevens te bevorderen, onder meer betreffende jurisdictiegeschillen met derde landen.</t>
  </si>
  <si>
    <t>32024R1689:74:3:1</t>
  </si>
  <si>
    <t>32016R0679:42:7:5</t>
  </si>
  <si>
    <t>de in artikel 43 bedoelde certificerende organen of door de bevoegde toezichthoudende autoriteit</t>
  </si>
  <si>
    <t>certificerende organen | bevoegde toezichthoudende autoriteit</t>
  </si>
  <si>
    <t>32024R1689:53:5:11</t>
  </si>
  <si>
    <t>32024R1689:62:3:8</t>
  </si>
  <si>
    <t>32024R1689:36:7:23</t>
  </si>
  <si>
    <t>de aangemelde instantie</t>
  </si>
  <si>
    <t>In geval van beperking, schorsing of intrekking van een aanwijzing:
a) beoordeelt de aanmeldende autoriteit het gevolg voor de door de aangemelde instantie afgegeven certificaten;
b) dient de aanmeldende autoriteit binnen drie maanden na mededeling van de wijzigingen in de aanwijzing een verslag over haar bevindingen in bij de Commissie en de overige lidstaten;
c) schrijft de aanmeldende autoriteit voor dat de aangemelde instantie binnen een redelijke, door de autoriteit bepaalde termijn, onterecht afgegeven certificaten schorst of intrekt, zulks om de voortdurende conformiteit van de in de handel gebrachte AI-systemen met een hoog risico te waarborgen;
d) stelt de aanmeldende autoriteit de Commissie en de lidstaten in kennis van certificaten die moeten worden geschorst of ingetrokken;
e) verstrekt de aanmeldende autoriteit de nationale bevoegde autoriteiten van de lidstaat waar de aanbieder zijn geregistreerde vestigingsplaats heeft, alle relevante informatie over de certificaten waarvan zij de schorsing of intrekking heeft gelast; die autoriteit neemt de gepaste maatregelen die nodig zijn om een mogelijk risico voor de gezondheid, veiligheid of grondrechten af te wenden.</t>
  </si>
  <si>
    <t>32024R1689:82:4:4</t>
  </si>
  <si>
    <t>32016R0679:61:5:8</t>
  </si>
  <si>
    <t>De toezichthoudende autoriteit tot wie het verzoek is gericht</t>
  </si>
  <si>
    <t>32016R0679:21:1:1</t>
  </si>
  <si>
    <t>De betrokkene heeft te allen tijde het recht om vanwege met zijn specifieke situatie verband houdende redenen bezwaar te maken tegen de verwerking van hem betreffende persoonsgegevens op basis van artikel 6, lid 1, onder e) of f), van artikel 6, lid 1, met inbegrip van profilering op basis van die bepalingen. De verwerkingsverantwoordelijke staakt de verwerking van de persoonsgegevens tenzij hij dwingende gerechtvaardigde gronden voor de verwerking aanvoert die zwaarder wegen dan de belangen, rechten en vrijheden van de betrokkene of die verband houden met de instelling, uitoefening of onderbouwing van een rechtsvordering.</t>
  </si>
  <si>
    <t>32016R0679:78:1:1</t>
  </si>
  <si>
    <t>iedere natuurlijke persoon of rechtspersoon</t>
  </si>
  <si>
    <t>natuurlijke persoon | rechtspersoon</t>
  </si>
  <si>
    <t>Onverminderd andere mogelijkheden van administratief of buitengerechtelijk beroep, heeft iedere natuurlijke persoon of rechtspersoon het recht om tegen een hem betreffend juridisch bindend besluit van een toezichthoudende autoriteit een doeltreffende voorziening in rechte in te stellen.</t>
  </si>
  <si>
    <t>32016R0679:35:6:9</t>
  </si>
  <si>
    <t>de bevoegde toezichthoudende autoriteit</t>
  </si>
  <si>
    <t>Wanneer de in de leden 4 en 5 bedoelde lijsten betrekking hebben op verwerkingen met betrekking tot het aanbieden van goederen of diensten aan betrokkenen of op het observeren van hun gedrag in verschillende lidstaten, of op verwerkingen die het vrije verkeer van persoonsgegevens in de Unie wezenlijk kunnen beïnvloeden, past de bevoegde toezichthoudende autoriteit voorafgaand aan de vaststelling van die lijsten het in artikel 63 bedoelde coherentiemechanisme toe.</t>
  </si>
  <si>
    <t>32016R0679:61:6:10</t>
  </si>
  <si>
    <t>Toezichthoudende autoriteiten tot wie het verzoek is gericht</t>
  </si>
  <si>
    <t>Toezichthoudende autoriteiten</t>
  </si>
  <si>
    <t>32024R1689:74:6:5</t>
  </si>
  <si>
    <t>de relevante nationale autoriteit die verantwoordelijk is voor het financiële toezicht op die instellingen krachtens die wetgeving</t>
  </si>
  <si>
    <t>relevante nationale autoriteit</t>
  </si>
  <si>
    <t>Voor AI-systemen met een hoog risico die in de handel worden gebracht, in gebruik worden gesteld of worden gebruikt door financiële instellingen die onder het Unierecht inzake financiële diensten vallen, is de markttoezichtautoriteit voor de toepassing van deze verordening de relevante nationale autoriteit die verantwoordelijk is voor het financiële toezicht op die instellingen krachtens die wetgeving, voor zover het in de handel brengen, in gebruik stellen of gebruik van het AI-systeem rechtstreeks verband houdt met de verlening van die financiële diensten.</t>
  </si>
  <si>
    <t>32016R0679:75:2:1</t>
  </si>
  <si>
    <t>Het secretariaat</t>
  </si>
  <si>
    <t>secretariaat</t>
  </si>
  <si>
    <t>Het secretariaat verricht zijn taken uitsluitend volgens de instructies van de voorzitter van het Comité.</t>
  </si>
  <si>
    <t>32016R0679:84:2:3</t>
  </si>
  <si>
    <t>How to judge</t>
  </si>
  <si>
    <t>Each row of the Review sheet is a pair of norms, A and B. Judge only their actors: who is addressed by each norm. Use the norm texts.</t>
  </si>
  <si>
    <t xml:space="preserve">  same       both norms address the same actor (other wording counts).</t>
  </si>
  <si>
    <t xml:space="preserve">  nested     one actor is a kind or a part of the other (e.g. 'aanbieder van een AI-systeem met een hoog risico' in 'aanbieder').</t>
  </si>
  <si>
    <t xml:space="preserve">  related    different but closely related actors (two kinds of one actor), or a broad actor that may include the other.</t>
  </si>
  <si>
    <t xml:space="preserve">  different  different actors.</t>
  </si>
  <si>
    <t xml:space="preserve">  unclear    cannot tell from the texts (not counted).</t>
  </si>
  <si>
    <t>Narrower actor?   only when 'same' or 'nested': A narrower / B narrower / equal / can't say.</t>
  </si>
  <si>
    <t>Actor units show how each actor phrase was split; judge the actor as a whole. When a norm has several actors, judge the closest pair.</t>
  </si>
  <si>
    <t>Scores are in the hidden 'key' sheet: leave it alone until you are done.</t>
  </si>
  <si>
    <t>When finished, save and run: python actor_pair_review.py review --xlsx &lt;this file&gt;</t>
  </si>
  <si>
    <t>Example (format only; not part of the sample)</t>
  </si>
  <si>
    <t>Actor A: de aanbieder van een AI-systeem met een hoog risico | Actor B: aanbieders</t>
  </si>
  <si>
    <t>Actor relation? nested | Narrower actor? A narrower</t>
  </si>
  <si>
    <t>stratum</t>
  </si>
  <si>
    <t>level</t>
  </si>
  <si>
    <t>score</t>
  </si>
  <si>
    <t>relation</t>
  </si>
  <si>
    <t>detail_from</t>
  </si>
  <si>
    <t>actor_a</t>
  </si>
  <si>
    <t>actor_b</t>
  </si>
  <si>
    <t>unit_a</t>
  </si>
  <si>
    <t>unit_b</t>
  </si>
  <si>
    <t>direction</t>
  </si>
  <si>
    <t>sources</t>
  </si>
  <si>
    <t>top_same_id</t>
  </si>
  <si>
    <t>pair_id</t>
  </si>
  <si>
    <t>different | same document</t>
  </si>
  <si>
    <t>different</t>
  </si>
  <si>
    <t>scorer</t>
  </si>
  <si>
    <t>KEY:EU:europese_toezichthouder_voor_gegevensbescherming</t>
  </si>
  <si>
    <t>KEY:EU:commissie</t>
  </si>
  <si>
    <t>EU-EU</t>
  </si>
  <si>
    <t>no</t>
  </si>
  <si>
    <t>same | both exact</t>
  </si>
  <si>
    <t>same</t>
  </si>
  <si>
    <t>yes</t>
  </si>
  <si>
    <t>weak | broad covers mapped</t>
  </si>
  <si>
    <t>weak</t>
  </si>
  <si>
    <t>broad_covers</t>
  </si>
  <si>
    <t>32024R1689:aanbieder</t>
  </si>
  <si>
    <t>class:person</t>
  </si>
  <si>
    <t>KEY:EU:lidstaat</t>
  </si>
  <si>
    <t>32024R1689:aangemelde_instantie</t>
  </si>
  <si>
    <t>nested</t>
  </si>
  <si>
    <t>subtype</t>
  </si>
  <si>
    <t>KEY:32016R0679:leidende_toezichthoudende_autoriteit</t>
  </si>
  <si>
    <t>32016R0679:toezichthoudende_autoriteit</t>
  </si>
  <si>
    <t>a_narrower</t>
  </si>
  <si>
    <t>different | other documents</t>
  </si>
  <si>
    <t>32016R0679:concern</t>
  </si>
  <si>
    <t>b_narrower</t>
  </si>
  <si>
    <t>weak | both broad, same class</t>
  </si>
  <si>
    <t>broad_same_class</t>
  </si>
  <si>
    <t>relevante belanghebbenden</t>
  </si>
  <si>
    <t>weak | siblings</t>
  </si>
  <si>
    <t>sibling</t>
  </si>
  <si>
    <t>32024R1689:gebruiksverantwoordelijke</t>
  </si>
  <si>
    <t>same | shortened match</t>
  </si>
  <si>
    <t>32016R0679:verwerkingsverantwoordelijke</t>
  </si>
  <si>
    <t>32024R1689:markttoezichtautoriteit</t>
  </si>
  <si>
    <t>32016R0679:verwerker</t>
  </si>
  <si>
    <t>verwerker</t>
  </si>
  <si>
    <t>part_of</t>
  </si>
  <si>
    <t>32024R1689:aibureau</t>
  </si>
  <si>
    <t>KEY:32024R1689:permanente_subgroep_voor_markttoezicht</t>
  </si>
  <si>
    <t>class:body</t>
  </si>
  <si>
    <t>organen</t>
  </si>
  <si>
    <t>class:authority</t>
  </si>
  <si>
    <t>KEY:32016R0679:certificeringsorgaan</t>
  </si>
  <si>
    <t>KEY:32016R0679:voorzitter</t>
  </si>
  <si>
    <t>KEY:32016R0679:comite</t>
  </si>
  <si>
    <t>32016R0679:de_betrokkene</t>
  </si>
  <si>
    <t>32024R1689:distributeur</t>
  </si>
  <si>
    <t>class:party</t>
  </si>
  <si>
    <t>class:office</t>
  </si>
  <si>
    <t>organisaties</t>
  </si>
  <si>
    <t>subtype2</t>
  </si>
  <si>
    <t>markttoezichtautoriteiten</t>
  </si>
  <si>
    <t>overheidsorgaan</t>
  </si>
  <si>
    <t>32016R0679:vertegenwoordiger</t>
  </si>
  <si>
    <t>derde</t>
  </si>
  <si>
    <t>32024R1689:aanmeldende_autoriteit</t>
  </si>
  <si>
    <t>32024R1689:importeur</t>
  </si>
  <si>
    <t>individuele aanbieders van AI-systemen</t>
  </si>
  <si>
    <t>aanbieders van AI-systemen met een hoog risico</t>
  </si>
  <si>
    <t>KEY:32024R1689:wetenschappelijk_panel</t>
  </si>
  <si>
    <t>KEY:32016R0679:functionaris_voor_gegevensbescherming</t>
  </si>
  <si>
    <t>32024R1689:gemachtigde</t>
  </si>
  <si>
    <t>KEY:32016R0679:secretariaat</t>
  </si>
  <si>
    <t>Sample design</t>
  </si>
  <si>
    <t>What is validated. For each Stage A pair the actor score compares the actors of the two norms: same (1.0, same actor ID), nested (0.7, one actor is a kind or part of the other), weak (0.2, two kinds of one actor, or a broad actor that may include the other), different (-0.25, two unrelated actors from a shared document). The labeller answers the same question from the norm texts: do the two norms address the same actor?
Population. 976,662 Stage A pairs. 342,691 have a score and are sampled. 457,049 involve a norm without a usable actor and 176,922 are 'unknown' (both norms have an actor, but no relation is known); these score 0, make no claim, and are exact counts (table below). Related actors among them cannot be measured here. Note that an EU and a Dutch actor ID are never related, so EU-Dutch pairs are only ever weak (through broad classes) or unknown.
Why these strata. The strata are the score levels, split by the relation behind each pair, because each relation can fail in its own way: 'same' by exact or by shortened match; 'weak' as siblings, a broad class covering a mapped actor, or two broad actors; 'different' within one document (where a missed relation is most likely) or across documents. Nested is small and kept whole.
Why these sizes. Weak and different hold most scored pairs, so they get most judgements; same and nested are small but make the strongest claims, so they get floors. A norm appears in at most 2 sampled pairs. With this allocation the weighted agreement over all scored pairs is known to about +/-11 points at 80% agreement (+/-13 at 50%). Overall figures are weighted by N_h (the 'review' step), never by row count.
Relations. Taken from ActorScorer with the scoring run's relations and inventory.</t>
  </si>
  <si>
    <t>population N_h</t>
  </si>
  <si>
    <t>share of scored pairs</t>
  </si>
  <si>
    <t>n sampled</t>
  </si>
  <si>
    <t>why this stratum and this n</t>
  </si>
  <si>
    <t>Most same pairs: both norms map to the same ID by an exact match. Checks the mapping of the common actors.</t>
  </si>
  <si>
    <t>Same ID reached by dropping words from at least one actor: the riskier route to 'same'.</t>
  </si>
  <si>
    <t>One actor is a kind or part of the other (subtype, part_of). Also used to check the direction flag.</t>
  </si>
  <si>
    <t>Two kinds of one actor (and curated can_be_same / linked relations).</t>
  </si>
  <si>
    <t>A broad (fallback) actor whose class fits the other's mapped actor: the largest weak cell.</t>
  </si>
  <si>
    <t>Two broad actors of the same class: the weakest evidence.</t>
  </si>
  <si>
    <t>Both mapped, no relation, norms from one document: the likeliest place to miss a relation.</t>
  </si>
  <si>
    <t>Both mapped, no relation, IDs valid in a shared document but norms from different documents.</t>
  </si>
  <si>
    <t>total</t>
  </si>
  <si>
    <t>Exact counts (not sampled)</t>
  </si>
  <si>
    <t>pairs</t>
  </si>
  <si>
    <t>count</t>
  </si>
  <si>
    <t>share of Stage A</t>
  </si>
  <si>
    <t>Stage A pairs</t>
  </si>
  <si>
    <t>scored (sampled above)</t>
  </si>
  <si>
    <t>a norm without a usable actor</t>
  </si>
  <si>
    <t xml:space="preserve">   ... with a norm of status not_actor</t>
  </si>
  <si>
    <t xml:space="preserve">   ... with a norm of status missing</t>
  </si>
  <si>
    <t xml:space="preserve">   ... with a norm of status pronoun</t>
  </si>
  <si>
    <t xml:space="preserve">   ... with a norm of status no_units</t>
  </si>
  <si>
    <t>unknown: both have an actor, no relation known</t>
  </si>
  <si>
    <t xml:space="preserve">   ... EU-EU</t>
  </si>
  <si>
    <t xml:space="preserve">   ... EU-NL</t>
  </si>
  <si>
    <t xml:space="preserve">   ... NL-NL</t>
  </si>
  <si>
    <t>A pair can have two norms without an actor of different status, so the status lines overlap.</t>
  </si>
  <si>
    <t>Settings: max uses per norm 2, seed 42, check unknown 0, relations from ActorScorer</t>
  </si>
  <si>
    <t>expected label</t>
  </si>
  <si>
    <t>rows</t>
  </si>
  <si>
    <t>judged</t>
  </si>
  <si>
    <t>related</t>
  </si>
  <si>
    <t>unclear</t>
  </si>
  <si>
    <t>agreement</t>
  </si>
  <si>
    <t>agree 95% low</t>
  </si>
  <si>
    <t>agree 95% high</t>
  </si>
  <si>
    <t>share same/nested</t>
  </si>
  <si>
    <t>z</t>
  </si>
  <si>
    <t>Per stratum, unweighted. 'agreement' = share of judged pairs whose label is the one the score level claims (same, nested, related, different); unclear is excluded.</t>
  </si>
  <si>
    <t>For the unknown check, 'agreement' counts 'different' as agreeing (no overlap missed).</t>
  </si>
  <si>
    <t>Weighted figures, the overlap decision, the direction check and error kinds: python actor_pair_review.py review --xlsx &lt;this file&gt;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</si>
</sst>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name val="Arial"/>
    </font>
    <font>
      <sz val="11"/>
      <name val="Arial"/>
    </font>
    <font>
      <b/>
      <sz val="11"/>
      <color rgb="FFFFFFFF"/>
      <name val="Arial"/>
    </font>
    <font>
      <i/>
      <sz val="11"/>
      <name val="Arial"/>
    </font>
  </fonts>
  <fills count="4">
    <fill>
      <patternFill patternType="none"/>
    </fill>
    <fill>
      <patternFill patternType="gray125"/>
    </fill>
    <fill>
      <patternFill patternType="solid">
        <fgColor rgb="FF1F3864"/>
      </patternFill>
    </fill>
    <fill>
      <patternFill patternType="solid">
        <fgColor rgb="FFFFFF00"/>
      </patternFill>
    </fill>
  </fills>
  <borders count="2">
    <border>
      <left/>
      <right/>
      <top/>
      <bottom/>
      <diagonal/>
    </border>
    <border>
      <left/>
      <right/>
      <top/>
      <bottom style="thin">
        <color rgb="FFBFBFBF"/>
      </bottom>
      <diagonal/>
    </border>
  </borders>
  <cellStyleXfs count="1">
    <xf numFmtId="0" fontId="0" fillId="0" borderId="0"/>
  </cellStyleXfs>
  <cellXfs count="1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center" wrapText="1"/>
    </xf>
    <xf numFmtId="0" fontId="2" fillId="0" borderId="1" xfId="0" applyFont="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0" borderId="0" xfId="0" applyFont="1"/>
    <xf numFmtId="0" fontId="1" fillId="0" borderId="0" xfId="0" applyFont="1" applyAlignment="1">
      <alignment vertical="top"/>
    </xf>
    <xf numFmtId="0" fontId="2" fillId="0" borderId="0" xfId="0" applyFont="1" applyAlignment="1">
      <alignment vertical="top"/>
    </xf>
    <xf numFmtId="3" fontId="2" fillId="0" borderId="0" xfId="0" applyNumberFormat="1" applyFont="1" applyAlignment="1">
      <alignment vertical="top"/>
    </xf>
    <xf numFmtId="164" fontId="2" fillId="0" borderId="0" xfId="0" applyNumberFormat="1" applyFont="1" applyAlignment="1">
      <alignment vertical="top"/>
    </xf>
    <xf numFmtId="3" fontId="1" fillId="0" borderId="0" xfId="0" applyNumberFormat="1" applyFont="1" applyAlignment="1">
      <alignment vertical="top"/>
    </xf>
    <xf numFmtId="0" fontId="4" fillId="0" borderId="0" xfId="0" applyFont="1" applyAlignment="1">
      <alignment vertical="top"/>
    </xf>
    <xf numFmtId="9" fontId="2" fillId="0" borderId="0" xfId="0" applyNumberFormat="1" applyFont="1" applyAlignment="1">
      <alignment vertical="top"/>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tabSelected="1" workbookViewId="0"/>
  </sheetViews>
  <sheetFormatPr defaultRowHeight="14.5" x14ac:dyDescent="0.35"/>
  <cols>
    <col min="1" max="1" width="110" customWidth="1"/>
  </cols>
  <sheetData>
    <row r="1" spans="1:1" x14ac:dyDescent="0.35">
      <c r="A1" s="1" t="s">
        <v>550</v>
      </c>
    </row>
    <row r="2" spans="1:1" ht="28" x14ac:dyDescent="0.35">
      <c r="A2" s="2" t="s">
        <v>551</v>
      </c>
    </row>
    <row r="3" spans="1:1" x14ac:dyDescent="0.35">
      <c r="A3" s="1" t="s">
        <v>9</v>
      </c>
    </row>
    <row r="4" spans="1:1" x14ac:dyDescent="0.35">
      <c r="A4" s="2" t="s">
        <v>552</v>
      </c>
    </row>
    <row r="5" spans="1:1" ht="28" x14ac:dyDescent="0.35">
      <c r="A5" s="2" t="s">
        <v>553</v>
      </c>
    </row>
    <row r="6" spans="1:1" x14ac:dyDescent="0.35">
      <c r="A6" s="2" t="s">
        <v>554</v>
      </c>
    </row>
    <row r="7" spans="1:1" x14ac:dyDescent="0.35">
      <c r="A7" s="2" t="s">
        <v>555</v>
      </c>
    </row>
    <row r="8" spans="1:1" x14ac:dyDescent="0.35">
      <c r="A8" s="2" t="s">
        <v>556</v>
      </c>
    </row>
    <row r="9" spans="1:1" x14ac:dyDescent="0.35">
      <c r="A9" s="2" t="s">
        <v>557</v>
      </c>
    </row>
    <row r="10" spans="1:1" ht="28" x14ac:dyDescent="0.35">
      <c r="A10" s="2" t="s">
        <v>558</v>
      </c>
    </row>
    <row r="11" spans="1:1" x14ac:dyDescent="0.35">
      <c r="A11" s="2" t="s">
        <v>559</v>
      </c>
    </row>
    <row r="12" spans="1:1" x14ac:dyDescent="0.35">
      <c r="A12" s="2" t="s">
        <v>560</v>
      </c>
    </row>
    <row r="13" spans="1:1" x14ac:dyDescent="0.35">
      <c r="A13" s="2"/>
    </row>
    <row r="14" spans="1:1" x14ac:dyDescent="0.35">
      <c r="A14" s="1" t="s">
        <v>561</v>
      </c>
    </row>
    <row r="15" spans="1:1" x14ac:dyDescent="0.35">
      <c r="A15" s="2" t="s">
        <v>562</v>
      </c>
    </row>
    <row r="16" spans="1:1" x14ac:dyDescent="0.35">
      <c r="A16" s="2" t="s">
        <v>563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1"/>
  <sheetViews>
    <sheetView workbookViewId="0">
      <pane xSplit="1" ySplit="1" topLeftCell="C2" activePane="bottomRight" state="frozen"/>
      <selection pane="topRight"/>
      <selection pane="bottomLeft"/>
      <selection pane="bottomRight" activeCell="J4" sqref="J4"/>
    </sheetView>
  </sheetViews>
  <sheetFormatPr defaultRowHeight="14.5" x14ac:dyDescent="0.35"/>
  <cols>
    <col min="1" max="1" width="5" customWidth="1"/>
    <col min="2" max="2" width="22" customWidth="1"/>
    <col min="3" max="3" width="34" customWidth="1"/>
    <col min="4" max="4" width="26" customWidth="1"/>
    <col min="5" max="5" width="55" customWidth="1"/>
    <col min="6" max="6" width="22" customWidth="1"/>
    <col min="7" max="7" width="34" customWidth="1"/>
    <col min="8" max="8" width="26" customWidth="1"/>
    <col min="9" max="9" width="55" customWidth="1"/>
    <col min="10" max="11" width="14" customWidth="1"/>
    <col min="12" max="12" width="30" customWidth="1"/>
  </cols>
  <sheetData>
    <row r="1" spans="1:12" ht="28" x14ac:dyDescent="0.35">
      <c r="A1" s="3" t="s">
        <v>0</v>
      </c>
      <c r="B1" s="3" t="s">
        <v>1</v>
      </c>
      <c r="C1" s="3" t="s">
        <v>2</v>
      </c>
      <c r="D1" s="3" t="s">
        <v>3</v>
      </c>
      <c r="E1" s="3" t="s">
        <v>4</v>
      </c>
      <c r="F1" s="3" t="s">
        <v>5</v>
      </c>
      <c r="G1" s="3" t="s">
        <v>6</v>
      </c>
      <c r="H1" s="3" t="s">
        <v>7</v>
      </c>
      <c r="I1" s="3" t="s">
        <v>8</v>
      </c>
      <c r="J1" s="3" t="s">
        <v>9</v>
      </c>
      <c r="K1" s="3" t="s">
        <v>10</v>
      </c>
      <c r="L1" s="3" t="s">
        <v>11</v>
      </c>
    </row>
    <row r="2" spans="1:12" ht="28" x14ac:dyDescent="0.35">
      <c r="A2" s="4">
        <v>1</v>
      </c>
      <c r="B2" s="5" t="s">
        <v>12</v>
      </c>
      <c r="C2" s="5" t="s">
        <v>13</v>
      </c>
      <c r="D2" s="5" t="s">
        <v>14</v>
      </c>
      <c r="E2" s="5"/>
      <c r="F2" s="5" t="s">
        <v>15</v>
      </c>
      <c r="G2" s="5" t="s">
        <v>16</v>
      </c>
      <c r="H2" s="5" t="s">
        <v>17</v>
      </c>
      <c r="I2" s="5"/>
      <c r="J2" s="6"/>
      <c r="K2" s="6"/>
      <c r="L2" s="6"/>
    </row>
    <row r="3" spans="1:12" x14ac:dyDescent="0.35">
      <c r="A3" s="4">
        <v>2</v>
      </c>
      <c r="B3" s="5" t="s">
        <v>18</v>
      </c>
      <c r="C3" s="5" t="s">
        <v>19</v>
      </c>
      <c r="D3" s="5" t="s">
        <v>17</v>
      </c>
      <c r="E3" s="5"/>
      <c r="F3" s="5" t="s">
        <v>20</v>
      </c>
      <c r="G3" s="5" t="s">
        <v>19</v>
      </c>
      <c r="H3" s="5" t="s">
        <v>17</v>
      </c>
      <c r="I3" s="5"/>
      <c r="J3" s="6"/>
      <c r="K3" s="6"/>
      <c r="L3" s="6"/>
    </row>
    <row r="4" spans="1:12" ht="409.5" x14ac:dyDescent="0.35">
      <c r="A4" s="4">
        <v>3</v>
      </c>
      <c r="B4" s="5" t="s">
        <v>21</v>
      </c>
      <c r="C4" s="5" t="s">
        <v>22</v>
      </c>
      <c r="D4" s="5" t="s">
        <v>22</v>
      </c>
      <c r="E4" s="5" t="s">
        <v>23</v>
      </c>
      <c r="F4" s="5" t="s">
        <v>24</v>
      </c>
      <c r="G4" s="5" t="s">
        <v>25</v>
      </c>
      <c r="H4" s="5" t="s">
        <v>26</v>
      </c>
      <c r="I4" s="5" t="s">
        <v>27</v>
      </c>
      <c r="J4" s="6"/>
      <c r="K4" s="6"/>
      <c r="L4" s="6"/>
    </row>
    <row r="5" spans="1:12" x14ac:dyDescent="0.35">
      <c r="A5" s="4">
        <v>4</v>
      </c>
      <c r="B5" s="5" t="s">
        <v>28</v>
      </c>
      <c r="C5" s="5" t="s">
        <v>29</v>
      </c>
      <c r="D5" s="5" t="s">
        <v>30</v>
      </c>
      <c r="E5" s="5"/>
      <c r="F5" s="5" t="s">
        <v>31</v>
      </c>
      <c r="G5" s="5" t="s">
        <v>32</v>
      </c>
      <c r="H5" s="5" t="s">
        <v>33</v>
      </c>
      <c r="I5" s="5"/>
      <c r="J5" s="6"/>
      <c r="K5" s="6"/>
      <c r="L5" s="6"/>
    </row>
    <row r="6" spans="1:12" ht="112" x14ac:dyDescent="0.35">
      <c r="A6" s="4">
        <v>5</v>
      </c>
      <c r="B6" s="5" t="s">
        <v>34</v>
      </c>
      <c r="C6" s="5" t="s">
        <v>35</v>
      </c>
      <c r="D6" s="5" t="s">
        <v>36</v>
      </c>
      <c r="E6" s="5" t="s">
        <v>37</v>
      </c>
      <c r="F6" s="5" t="s">
        <v>38</v>
      </c>
      <c r="G6" s="5" t="s">
        <v>39</v>
      </c>
      <c r="H6" s="5" t="s">
        <v>40</v>
      </c>
      <c r="I6" s="5"/>
      <c r="J6" s="6"/>
      <c r="K6" s="6"/>
      <c r="L6" s="6"/>
    </row>
    <row r="7" spans="1:12" ht="98" x14ac:dyDescent="0.35">
      <c r="A7" s="4">
        <v>6</v>
      </c>
      <c r="B7" s="5" t="s">
        <v>41</v>
      </c>
      <c r="C7" s="5" t="s">
        <v>16</v>
      </c>
      <c r="D7" s="5" t="s">
        <v>17</v>
      </c>
      <c r="E7" s="5" t="s">
        <v>42</v>
      </c>
      <c r="F7" s="5" t="s">
        <v>43</v>
      </c>
      <c r="G7" s="5" t="s">
        <v>44</v>
      </c>
      <c r="H7" s="5" t="s">
        <v>45</v>
      </c>
      <c r="I7" s="5" t="s">
        <v>46</v>
      </c>
      <c r="J7" s="6"/>
      <c r="K7" s="6"/>
      <c r="L7" s="6"/>
    </row>
    <row r="8" spans="1:12" ht="56" x14ac:dyDescent="0.35">
      <c r="A8" s="4">
        <v>7</v>
      </c>
      <c r="B8" s="5" t="s">
        <v>47</v>
      </c>
      <c r="C8" s="5" t="s">
        <v>16</v>
      </c>
      <c r="D8" s="5" t="s">
        <v>17</v>
      </c>
      <c r="E8" s="5" t="s">
        <v>48</v>
      </c>
      <c r="F8" s="5" t="s">
        <v>49</v>
      </c>
      <c r="G8" s="5" t="s">
        <v>50</v>
      </c>
      <c r="H8" s="5" t="s">
        <v>51</v>
      </c>
      <c r="I8" s="5" t="s">
        <v>52</v>
      </c>
      <c r="J8" s="6"/>
      <c r="K8" s="6"/>
      <c r="L8" s="6"/>
    </row>
    <row r="9" spans="1:12" ht="112" x14ac:dyDescent="0.35">
      <c r="A9" s="4">
        <v>8</v>
      </c>
      <c r="B9" s="5" t="s">
        <v>53</v>
      </c>
      <c r="C9" s="5" t="s">
        <v>54</v>
      </c>
      <c r="D9" s="5" t="s">
        <v>30</v>
      </c>
      <c r="E9" s="5"/>
      <c r="F9" s="5" t="s">
        <v>55</v>
      </c>
      <c r="G9" s="5" t="s">
        <v>56</v>
      </c>
      <c r="H9" s="5" t="s">
        <v>40</v>
      </c>
      <c r="I9" s="5" t="s">
        <v>57</v>
      </c>
      <c r="J9" s="6"/>
      <c r="K9" s="6"/>
      <c r="L9" s="6"/>
    </row>
    <row r="10" spans="1:12" ht="392" x14ac:dyDescent="0.35">
      <c r="A10" s="4">
        <v>9</v>
      </c>
      <c r="B10" s="5" t="s">
        <v>58</v>
      </c>
      <c r="C10" s="5" t="s">
        <v>59</v>
      </c>
      <c r="D10" s="5" t="s">
        <v>40</v>
      </c>
      <c r="E10" s="5" t="s">
        <v>60</v>
      </c>
      <c r="F10" s="5" t="s">
        <v>61</v>
      </c>
      <c r="G10" s="5" t="s">
        <v>62</v>
      </c>
      <c r="H10" s="5" t="s">
        <v>63</v>
      </c>
      <c r="I10" s="5"/>
      <c r="J10" s="6"/>
      <c r="K10" s="6"/>
      <c r="L10" s="6"/>
    </row>
    <row r="11" spans="1:12" ht="28" x14ac:dyDescent="0.35">
      <c r="A11" s="4">
        <v>10</v>
      </c>
      <c r="B11" s="5" t="s">
        <v>64</v>
      </c>
      <c r="C11" s="5" t="s">
        <v>56</v>
      </c>
      <c r="D11" s="5" t="s">
        <v>40</v>
      </c>
      <c r="E11" s="5"/>
      <c r="F11" s="5" t="s">
        <v>65</v>
      </c>
      <c r="G11" s="5" t="s">
        <v>35</v>
      </c>
      <c r="H11" s="5" t="s">
        <v>36</v>
      </c>
      <c r="I11" s="5"/>
      <c r="J11" s="6"/>
      <c r="K11" s="6"/>
      <c r="L11" s="6"/>
    </row>
    <row r="12" spans="1:12" ht="154" x14ac:dyDescent="0.35">
      <c r="A12" s="4">
        <v>11</v>
      </c>
      <c r="B12" s="5" t="s">
        <v>66</v>
      </c>
      <c r="C12" s="5" t="s">
        <v>67</v>
      </c>
      <c r="D12" s="5" t="s">
        <v>68</v>
      </c>
      <c r="E12" s="5"/>
      <c r="F12" s="5" t="s">
        <v>69</v>
      </c>
      <c r="G12" s="5" t="s">
        <v>70</v>
      </c>
      <c r="H12" s="5" t="s">
        <v>71</v>
      </c>
      <c r="I12" s="5" t="s">
        <v>72</v>
      </c>
      <c r="J12" s="6"/>
      <c r="K12" s="6"/>
      <c r="L12" s="6"/>
    </row>
    <row r="13" spans="1:12" ht="168" x14ac:dyDescent="0.35">
      <c r="A13" s="4">
        <v>12</v>
      </c>
      <c r="B13" s="5" t="s">
        <v>73</v>
      </c>
      <c r="C13" s="5" t="s">
        <v>22</v>
      </c>
      <c r="D13" s="5" t="s">
        <v>22</v>
      </c>
      <c r="E13" s="5" t="s">
        <v>74</v>
      </c>
      <c r="F13" s="5" t="s">
        <v>75</v>
      </c>
      <c r="G13" s="5" t="s">
        <v>76</v>
      </c>
      <c r="H13" s="5" t="s">
        <v>77</v>
      </c>
      <c r="I13" s="5" t="s">
        <v>78</v>
      </c>
      <c r="J13" s="6"/>
      <c r="K13" s="6"/>
      <c r="L13" s="6"/>
    </row>
    <row r="14" spans="1:12" ht="112" x14ac:dyDescent="0.35">
      <c r="A14" s="4">
        <v>13</v>
      </c>
      <c r="B14" s="5" t="s">
        <v>79</v>
      </c>
      <c r="C14" s="5" t="s">
        <v>76</v>
      </c>
      <c r="D14" s="5" t="s">
        <v>77</v>
      </c>
      <c r="E14" s="5"/>
      <c r="F14" s="5" t="s">
        <v>80</v>
      </c>
      <c r="G14" s="5" t="s">
        <v>81</v>
      </c>
      <c r="H14" s="5" t="s">
        <v>82</v>
      </c>
      <c r="I14" s="5" t="s">
        <v>83</v>
      </c>
      <c r="J14" s="6"/>
      <c r="K14" s="6"/>
      <c r="L14" s="6"/>
    </row>
    <row r="15" spans="1:12" ht="98" x14ac:dyDescent="0.35">
      <c r="A15" s="4">
        <v>14</v>
      </c>
      <c r="B15" s="5" t="s">
        <v>84</v>
      </c>
      <c r="C15" s="5" t="s">
        <v>16</v>
      </c>
      <c r="D15" s="5" t="s">
        <v>17</v>
      </c>
      <c r="E15" s="5" t="s">
        <v>85</v>
      </c>
      <c r="F15" s="5" t="s">
        <v>86</v>
      </c>
      <c r="G15" s="5" t="s">
        <v>87</v>
      </c>
      <c r="H15" s="5" t="s">
        <v>88</v>
      </c>
      <c r="I15" s="5" t="s">
        <v>89</v>
      </c>
      <c r="J15" s="6"/>
      <c r="K15" s="6"/>
      <c r="L15" s="6"/>
    </row>
    <row r="16" spans="1:12" ht="56" x14ac:dyDescent="0.35">
      <c r="A16" s="4">
        <v>15</v>
      </c>
      <c r="B16" s="5" t="s">
        <v>90</v>
      </c>
      <c r="C16" s="5" t="s">
        <v>16</v>
      </c>
      <c r="D16" s="5" t="s">
        <v>17</v>
      </c>
      <c r="E16" s="5" t="s">
        <v>48</v>
      </c>
      <c r="F16" s="5" t="s">
        <v>91</v>
      </c>
      <c r="G16" s="5" t="s">
        <v>92</v>
      </c>
      <c r="H16" s="5" t="s">
        <v>93</v>
      </c>
      <c r="I16" s="5"/>
      <c r="J16" s="6"/>
      <c r="K16" s="6"/>
      <c r="L16" s="6"/>
    </row>
    <row r="17" spans="1:12" ht="98" x14ac:dyDescent="0.35">
      <c r="A17" s="4">
        <v>16</v>
      </c>
      <c r="B17" s="5" t="s">
        <v>41</v>
      </c>
      <c r="C17" s="5" t="s">
        <v>16</v>
      </c>
      <c r="D17" s="5" t="s">
        <v>17</v>
      </c>
      <c r="E17" s="5" t="s">
        <v>42</v>
      </c>
      <c r="F17" s="5" t="s">
        <v>94</v>
      </c>
      <c r="G17" s="5" t="s">
        <v>95</v>
      </c>
      <c r="H17" s="5" t="s">
        <v>96</v>
      </c>
      <c r="I17" s="5" t="s">
        <v>97</v>
      </c>
      <c r="J17" s="6"/>
      <c r="K17" s="6"/>
      <c r="L17" s="6"/>
    </row>
    <row r="18" spans="1:12" ht="364" x14ac:dyDescent="0.35">
      <c r="A18" s="4">
        <v>17</v>
      </c>
      <c r="B18" s="5" t="s">
        <v>98</v>
      </c>
      <c r="C18" s="5" t="s">
        <v>99</v>
      </c>
      <c r="D18" s="5" t="s">
        <v>100</v>
      </c>
      <c r="E18" s="5" t="s">
        <v>101</v>
      </c>
      <c r="F18" s="5" t="s">
        <v>102</v>
      </c>
      <c r="G18" s="5" t="s">
        <v>103</v>
      </c>
      <c r="H18" s="5" t="s">
        <v>40</v>
      </c>
      <c r="I18" s="5" t="s">
        <v>104</v>
      </c>
      <c r="J18" s="6"/>
      <c r="K18" s="6"/>
      <c r="L18" s="6"/>
    </row>
    <row r="19" spans="1:12" ht="182" x14ac:dyDescent="0.35">
      <c r="A19" s="4">
        <v>18</v>
      </c>
      <c r="B19" s="5" t="s">
        <v>105</v>
      </c>
      <c r="C19" s="5" t="s">
        <v>106</v>
      </c>
      <c r="D19" s="5" t="s">
        <v>107</v>
      </c>
      <c r="E19" s="5" t="s">
        <v>108</v>
      </c>
      <c r="F19" s="5" t="s">
        <v>109</v>
      </c>
      <c r="G19" s="5" t="s">
        <v>110</v>
      </c>
      <c r="H19" s="5" t="s">
        <v>30</v>
      </c>
      <c r="I19" s="5" t="s">
        <v>111</v>
      </c>
      <c r="J19" s="6"/>
      <c r="K19" s="6"/>
      <c r="L19" s="6"/>
    </row>
    <row r="20" spans="1:12" ht="364" x14ac:dyDescent="0.35">
      <c r="A20" s="4">
        <v>19</v>
      </c>
      <c r="B20" s="5" t="s">
        <v>112</v>
      </c>
      <c r="C20" s="5" t="s">
        <v>113</v>
      </c>
      <c r="D20" s="5" t="s">
        <v>114</v>
      </c>
      <c r="E20" s="5"/>
      <c r="F20" s="5" t="s">
        <v>115</v>
      </c>
      <c r="G20" s="5" t="s">
        <v>116</v>
      </c>
      <c r="H20" s="5" t="s">
        <v>117</v>
      </c>
      <c r="I20" s="5" t="s">
        <v>118</v>
      </c>
      <c r="J20" s="6"/>
      <c r="K20" s="6"/>
      <c r="L20" s="6"/>
    </row>
    <row r="21" spans="1:12" ht="182" x14ac:dyDescent="0.35">
      <c r="A21" s="4">
        <v>20</v>
      </c>
      <c r="B21" s="5" t="s">
        <v>119</v>
      </c>
      <c r="C21" s="5" t="s">
        <v>120</v>
      </c>
      <c r="D21" s="5" t="s">
        <v>121</v>
      </c>
      <c r="E21" s="5" t="s">
        <v>122</v>
      </c>
      <c r="F21" s="5" t="s">
        <v>123</v>
      </c>
      <c r="G21" s="5" t="s">
        <v>124</v>
      </c>
      <c r="H21" s="5" t="s">
        <v>125</v>
      </c>
      <c r="I21" s="5" t="s">
        <v>126</v>
      </c>
      <c r="J21" s="6"/>
      <c r="K21" s="6"/>
      <c r="L21" s="6"/>
    </row>
    <row r="22" spans="1:12" ht="98" x14ac:dyDescent="0.35">
      <c r="A22" s="4">
        <v>21</v>
      </c>
      <c r="B22" s="5" t="s">
        <v>127</v>
      </c>
      <c r="C22" s="5" t="s">
        <v>128</v>
      </c>
      <c r="D22" s="5" t="s">
        <v>129</v>
      </c>
      <c r="E22" s="5"/>
      <c r="F22" s="5" t="s">
        <v>130</v>
      </c>
      <c r="G22" s="5" t="s">
        <v>16</v>
      </c>
      <c r="H22" s="5" t="s">
        <v>17</v>
      </c>
      <c r="I22" s="5" t="s">
        <v>131</v>
      </c>
      <c r="J22" s="6"/>
      <c r="K22" s="6"/>
      <c r="L22" s="6"/>
    </row>
    <row r="23" spans="1:12" ht="112" x14ac:dyDescent="0.35">
      <c r="A23" s="4">
        <v>22</v>
      </c>
      <c r="B23" s="5" t="s">
        <v>132</v>
      </c>
      <c r="C23" s="5" t="s">
        <v>19</v>
      </c>
      <c r="D23" s="5" t="s">
        <v>17</v>
      </c>
      <c r="E23" s="5"/>
      <c r="F23" s="5" t="s">
        <v>133</v>
      </c>
      <c r="G23" s="5" t="s">
        <v>134</v>
      </c>
      <c r="H23" s="5" t="s">
        <v>135</v>
      </c>
      <c r="I23" s="5" t="s">
        <v>136</v>
      </c>
      <c r="J23" s="6"/>
      <c r="K23" s="6"/>
      <c r="L23" s="6"/>
    </row>
    <row r="24" spans="1:12" ht="154" x14ac:dyDescent="0.35">
      <c r="A24" s="4">
        <v>23</v>
      </c>
      <c r="B24" s="5" t="s">
        <v>137</v>
      </c>
      <c r="C24" s="5" t="s">
        <v>138</v>
      </c>
      <c r="D24" s="5" t="s">
        <v>139</v>
      </c>
      <c r="E24" s="5"/>
      <c r="F24" s="5" t="s">
        <v>140</v>
      </c>
      <c r="G24" s="5" t="s">
        <v>141</v>
      </c>
      <c r="H24" s="5" t="s">
        <v>142</v>
      </c>
      <c r="I24" s="5" t="s">
        <v>143</v>
      </c>
      <c r="J24" s="6"/>
      <c r="K24" s="6"/>
      <c r="L24" s="6"/>
    </row>
    <row r="25" spans="1:12" ht="84" x14ac:dyDescent="0.35">
      <c r="A25" s="4">
        <v>24</v>
      </c>
      <c r="B25" s="5" t="s">
        <v>144</v>
      </c>
      <c r="C25" s="5" t="s">
        <v>145</v>
      </c>
      <c r="D25" s="5" t="s">
        <v>146</v>
      </c>
      <c r="E25" s="5"/>
      <c r="F25" s="5" t="s">
        <v>147</v>
      </c>
      <c r="G25" s="5" t="s">
        <v>148</v>
      </c>
      <c r="H25" s="5" t="s">
        <v>40</v>
      </c>
      <c r="I25" s="5" t="s">
        <v>149</v>
      </c>
      <c r="J25" s="6"/>
      <c r="K25" s="6"/>
      <c r="L25" s="6"/>
    </row>
    <row r="26" spans="1:12" ht="280" x14ac:dyDescent="0.35">
      <c r="A26" s="4">
        <v>25</v>
      </c>
      <c r="B26" s="5" t="s">
        <v>150</v>
      </c>
      <c r="C26" s="5" t="s">
        <v>151</v>
      </c>
      <c r="D26" s="5" t="s">
        <v>152</v>
      </c>
      <c r="E26" s="5" t="s">
        <v>153</v>
      </c>
      <c r="F26" s="5" t="s">
        <v>154</v>
      </c>
      <c r="G26" s="5" t="s">
        <v>99</v>
      </c>
      <c r="H26" s="5" t="s">
        <v>100</v>
      </c>
      <c r="I26" s="5" t="s">
        <v>155</v>
      </c>
      <c r="J26" s="6"/>
      <c r="K26" s="6"/>
      <c r="L26" s="6"/>
    </row>
    <row r="27" spans="1:12" ht="406" x14ac:dyDescent="0.35">
      <c r="A27" s="4">
        <v>26</v>
      </c>
      <c r="B27" s="5" t="s">
        <v>156</v>
      </c>
      <c r="C27" s="5" t="s">
        <v>95</v>
      </c>
      <c r="D27" s="5" t="s">
        <v>96</v>
      </c>
      <c r="E27" s="5" t="s">
        <v>157</v>
      </c>
      <c r="F27" s="5" t="s">
        <v>158</v>
      </c>
      <c r="G27" s="5" t="s">
        <v>159</v>
      </c>
      <c r="H27" s="5" t="s">
        <v>160</v>
      </c>
      <c r="I27" s="5" t="s">
        <v>161</v>
      </c>
      <c r="J27" s="6"/>
      <c r="K27" s="6"/>
      <c r="L27" s="6"/>
    </row>
    <row r="28" spans="1:12" ht="98" x14ac:dyDescent="0.35">
      <c r="A28" s="4">
        <v>27</v>
      </c>
      <c r="B28" s="5" t="s">
        <v>162</v>
      </c>
      <c r="C28" s="5" t="s">
        <v>19</v>
      </c>
      <c r="D28" s="5" t="s">
        <v>17</v>
      </c>
      <c r="E28" s="5"/>
      <c r="F28" s="5" t="s">
        <v>163</v>
      </c>
      <c r="G28" s="5" t="s">
        <v>19</v>
      </c>
      <c r="H28" s="5" t="s">
        <v>17</v>
      </c>
      <c r="I28" s="5" t="s">
        <v>164</v>
      </c>
      <c r="J28" s="6"/>
      <c r="K28" s="6"/>
      <c r="L28" s="6"/>
    </row>
    <row r="29" spans="1:12" ht="409.5" x14ac:dyDescent="0.35">
      <c r="A29" s="4">
        <v>28</v>
      </c>
      <c r="B29" s="5" t="s">
        <v>165</v>
      </c>
      <c r="C29" s="5" t="s">
        <v>166</v>
      </c>
      <c r="D29" s="5" t="s">
        <v>167</v>
      </c>
      <c r="E29" s="5"/>
      <c r="F29" s="5" t="s">
        <v>168</v>
      </c>
      <c r="G29" s="5" t="s">
        <v>169</v>
      </c>
      <c r="H29" s="5" t="s">
        <v>170</v>
      </c>
      <c r="I29" s="5" t="s">
        <v>171</v>
      </c>
      <c r="J29" s="6"/>
      <c r="K29" s="6"/>
      <c r="L29" s="6"/>
    </row>
    <row r="30" spans="1:12" ht="126" x14ac:dyDescent="0.35">
      <c r="A30" s="4">
        <v>29</v>
      </c>
      <c r="B30" s="5" t="s">
        <v>172</v>
      </c>
      <c r="C30" s="5" t="s">
        <v>95</v>
      </c>
      <c r="D30" s="5" t="s">
        <v>96</v>
      </c>
      <c r="E30" s="5" t="s">
        <v>173</v>
      </c>
      <c r="F30" s="5" t="s">
        <v>174</v>
      </c>
      <c r="G30" s="5" t="s">
        <v>134</v>
      </c>
      <c r="H30" s="5" t="s">
        <v>135</v>
      </c>
      <c r="I30" s="5" t="s">
        <v>175</v>
      </c>
      <c r="J30" s="6"/>
      <c r="K30" s="6"/>
      <c r="L30" s="6"/>
    </row>
    <row r="31" spans="1:12" ht="154" x14ac:dyDescent="0.35">
      <c r="A31" s="4">
        <v>30</v>
      </c>
      <c r="B31" s="5" t="s">
        <v>176</v>
      </c>
      <c r="C31" s="5" t="s">
        <v>177</v>
      </c>
      <c r="D31" s="5" t="s">
        <v>178</v>
      </c>
      <c r="E31" s="5" t="s">
        <v>108</v>
      </c>
      <c r="F31" s="5" t="s">
        <v>179</v>
      </c>
      <c r="G31" s="5" t="s">
        <v>169</v>
      </c>
      <c r="H31" s="5" t="s">
        <v>170</v>
      </c>
      <c r="I31" s="5"/>
      <c r="J31" s="6"/>
      <c r="K31" s="6"/>
      <c r="L31" s="6"/>
    </row>
    <row r="32" spans="1:12" ht="409.5" x14ac:dyDescent="0.35">
      <c r="A32" s="4">
        <v>31</v>
      </c>
      <c r="B32" s="5" t="s">
        <v>180</v>
      </c>
      <c r="C32" s="5" t="s">
        <v>22</v>
      </c>
      <c r="D32" s="5" t="s">
        <v>22</v>
      </c>
      <c r="E32" s="5" t="s">
        <v>181</v>
      </c>
      <c r="F32" s="5" t="s">
        <v>182</v>
      </c>
      <c r="G32" s="5" t="s">
        <v>183</v>
      </c>
      <c r="H32" s="5" t="s">
        <v>183</v>
      </c>
      <c r="I32" s="5"/>
      <c r="J32" s="6"/>
      <c r="K32" s="6"/>
      <c r="L32" s="6"/>
    </row>
    <row r="33" spans="1:12" ht="112" x14ac:dyDescent="0.35">
      <c r="A33" s="4">
        <v>32</v>
      </c>
      <c r="B33" s="5" t="s">
        <v>184</v>
      </c>
      <c r="C33" s="5" t="s">
        <v>185</v>
      </c>
      <c r="D33" s="5" t="s">
        <v>186</v>
      </c>
      <c r="E33" s="5"/>
      <c r="F33" s="5" t="s">
        <v>187</v>
      </c>
      <c r="G33" s="5" t="s">
        <v>188</v>
      </c>
      <c r="H33" s="5" t="s">
        <v>186</v>
      </c>
      <c r="I33" s="5" t="s">
        <v>189</v>
      </c>
      <c r="J33" s="6"/>
      <c r="K33" s="6"/>
      <c r="L33" s="6"/>
    </row>
    <row r="34" spans="1:12" ht="224" x14ac:dyDescent="0.35">
      <c r="A34" s="4">
        <v>33</v>
      </c>
      <c r="B34" s="5" t="s">
        <v>190</v>
      </c>
      <c r="C34" s="5" t="s">
        <v>191</v>
      </c>
      <c r="D34" s="5" t="s">
        <v>192</v>
      </c>
      <c r="E34" s="5" t="s">
        <v>193</v>
      </c>
      <c r="F34" s="5" t="s">
        <v>194</v>
      </c>
      <c r="G34" s="5" t="s">
        <v>195</v>
      </c>
      <c r="H34" s="5" t="s">
        <v>196</v>
      </c>
      <c r="I34" s="5" t="s">
        <v>197</v>
      </c>
      <c r="J34" s="6"/>
      <c r="K34" s="6"/>
      <c r="L34" s="6"/>
    </row>
    <row r="35" spans="1:12" ht="56" x14ac:dyDescent="0.35">
      <c r="A35" s="4">
        <v>34</v>
      </c>
      <c r="B35" s="5" t="s">
        <v>198</v>
      </c>
      <c r="C35" s="5" t="s">
        <v>199</v>
      </c>
      <c r="D35" s="5" t="s">
        <v>14</v>
      </c>
      <c r="E35" s="5"/>
      <c r="F35" s="5" t="s">
        <v>200</v>
      </c>
      <c r="G35" s="5" t="s">
        <v>201</v>
      </c>
      <c r="H35" s="5" t="s">
        <v>170</v>
      </c>
      <c r="I35" s="5" t="s">
        <v>202</v>
      </c>
      <c r="J35" s="6"/>
      <c r="K35" s="6"/>
      <c r="L35" s="6"/>
    </row>
    <row r="36" spans="1:12" ht="56" x14ac:dyDescent="0.35">
      <c r="A36" s="4">
        <v>35</v>
      </c>
      <c r="B36" s="5" t="s">
        <v>203</v>
      </c>
      <c r="C36" s="5" t="s">
        <v>204</v>
      </c>
      <c r="D36" s="5" t="s">
        <v>205</v>
      </c>
      <c r="E36" s="5" t="s">
        <v>206</v>
      </c>
      <c r="F36" s="5" t="s">
        <v>207</v>
      </c>
      <c r="G36" s="5" t="s">
        <v>208</v>
      </c>
      <c r="H36" s="5" t="s">
        <v>209</v>
      </c>
      <c r="I36" s="5"/>
      <c r="J36" s="6"/>
      <c r="K36" s="6"/>
      <c r="L36" s="6"/>
    </row>
    <row r="37" spans="1:12" ht="28" x14ac:dyDescent="0.35">
      <c r="A37" s="4">
        <v>36</v>
      </c>
      <c r="B37" s="5" t="s">
        <v>210</v>
      </c>
      <c r="C37" s="5" t="s">
        <v>29</v>
      </c>
      <c r="D37" s="5" t="s">
        <v>30</v>
      </c>
      <c r="E37" s="5" t="s">
        <v>211</v>
      </c>
      <c r="F37" s="5" t="s">
        <v>212</v>
      </c>
      <c r="G37" s="5" t="s">
        <v>213</v>
      </c>
      <c r="H37" s="5" t="s">
        <v>213</v>
      </c>
      <c r="I37" s="5"/>
      <c r="J37" s="6"/>
      <c r="K37" s="6"/>
      <c r="L37" s="6"/>
    </row>
    <row r="38" spans="1:12" ht="238" x14ac:dyDescent="0.35">
      <c r="A38" s="4">
        <v>37</v>
      </c>
      <c r="B38" s="5" t="s">
        <v>214</v>
      </c>
      <c r="C38" s="5" t="s">
        <v>183</v>
      </c>
      <c r="D38" s="5" t="s">
        <v>183</v>
      </c>
      <c r="E38" s="5" t="s">
        <v>215</v>
      </c>
      <c r="F38" s="5" t="s">
        <v>216</v>
      </c>
      <c r="G38" s="5" t="s">
        <v>22</v>
      </c>
      <c r="H38" s="5" t="s">
        <v>22</v>
      </c>
      <c r="I38" s="5" t="s">
        <v>217</v>
      </c>
      <c r="J38" s="6"/>
      <c r="K38" s="6"/>
      <c r="L38" s="6"/>
    </row>
    <row r="39" spans="1:12" ht="182" x14ac:dyDescent="0.35">
      <c r="A39" s="4">
        <v>38</v>
      </c>
      <c r="B39" s="5" t="s">
        <v>218</v>
      </c>
      <c r="C39" s="5" t="s">
        <v>16</v>
      </c>
      <c r="D39" s="5" t="s">
        <v>17</v>
      </c>
      <c r="E39" s="5" t="s">
        <v>219</v>
      </c>
      <c r="F39" s="5" t="s">
        <v>220</v>
      </c>
      <c r="G39" s="5" t="s">
        <v>16</v>
      </c>
      <c r="H39" s="5" t="s">
        <v>17</v>
      </c>
      <c r="I39" s="5" t="s">
        <v>221</v>
      </c>
      <c r="J39" s="6"/>
      <c r="K39" s="6"/>
      <c r="L39" s="6"/>
    </row>
    <row r="40" spans="1:12" ht="84" x14ac:dyDescent="0.35">
      <c r="A40" s="4">
        <v>39</v>
      </c>
      <c r="B40" s="5" t="s">
        <v>222</v>
      </c>
      <c r="C40" s="5" t="s">
        <v>223</v>
      </c>
      <c r="D40" s="5" t="s">
        <v>224</v>
      </c>
      <c r="E40" s="5"/>
      <c r="F40" s="5" t="s">
        <v>225</v>
      </c>
      <c r="G40" s="5" t="s">
        <v>95</v>
      </c>
      <c r="H40" s="5" t="s">
        <v>96</v>
      </c>
      <c r="I40" s="5" t="s">
        <v>226</v>
      </c>
      <c r="J40" s="6"/>
      <c r="K40" s="6"/>
      <c r="L40" s="6"/>
    </row>
    <row r="41" spans="1:12" ht="168" x14ac:dyDescent="0.35">
      <c r="A41" s="4">
        <v>40</v>
      </c>
      <c r="B41" s="5" t="s">
        <v>227</v>
      </c>
      <c r="C41" s="5" t="s">
        <v>35</v>
      </c>
      <c r="D41" s="5" t="s">
        <v>36</v>
      </c>
      <c r="E41" s="5" t="s">
        <v>228</v>
      </c>
      <c r="F41" s="5" t="s">
        <v>229</v>
      </c>
      <c r="G41" s="5" t="s">
        <v>230</v>
      </c>
      <c r="H41" s="5" t="s">
        <v>186</v>
      </c>
      <c r="I41" s="5" t="s">
        <v>231</v>
      </c>
      <c r="J41" s="6"/>
      <c r="K41" s="6"/>
      <c r="L41" s="6"/>
    </row>
    <row r="42" spans="1:12" ht="409.5" x14ac:dyDescent="0.35">
      <c r="A42" s="4">
        <v>41</v>
      </c>
      <c r="B42" s="5" t="s">
        <v>232</v>
      </c>
      <c r="C42" s="5" t="s">
        <v>233</v>
      </c>
      <c r="D42" s="5" t="s">
        <v>234</v>
      </c>
      <c r="E42" s="5" t="s">
        <v>235</v>
      </c>
      <c r="F42" s="5" t="s">
        <v>236</v>
      </c>
      <c r="G42" s="5" t="s">
        <v>59</v>
      </c>
      <c r="H42" s="5" t="s">
        <v>40</v>
      </c>
      <c r="I42" s="5" t="s">
        <v>237</v>
      </c>
      <c r="J42" s="6"/>
      <c r="K42" s="6"/>
      <c r="L42" s="6"/>
    </row>
    <row r="43" spans="1:12" ht="182" x14ac:dyDescent="0.35">
      <c r="A43" s="4">
        <v>42</v>
      </c>
      <c r="B43" s="5" t="s">
        <v>238</v>
      </c>
      <c r="C43" s="5" t="s">
        <v>239</v>
      </c>
      <c r="D43" s="5" t="s">
        <v>33</v>
      </c>
      <c r="E43" s="5" t="s">
        <v>240</v>
      </c>
      <c r="F43" s="5" t="s">
        <v>241</v>
      </c>
      <c r="G43" s="5" t="s">
        <v>242</v>
      </c>
      <c r="H43" s="5" t="s">
        <v>242</v>
      </c>
      <c r="I43" s="5"/>
      <c r="J43" s="6"/>
      <c r="K43" s="6"/>
      <c r="L43" s="6"/>
    </row>
    <row r="44" spans="1:12" x14ac:dyDescent="0.35">
      <c r="A44" s="4">
        <v>43</v>
      </c>
      <c r="B44" s="5" t="s">
        <v>243</v>
      </c>
      <c r="C44" s="5" t="s">
        <v>128</v>
      </c>
      <c r="D44" s="5" t="s">
        <v>129</v>
      </c>
      <c r="E44" s="5"/>
      <c r="F44" s="5" t="s">
        <v>244</v>
      </c>
      <c r="G44" s="5" t="s">
        <v>19</v>
      </c>
      <c r="H44" s="5" t="s">
        <v>17</v>
      </c>
      <c r="I44" s="5"/>
      <c r="J44" s="6"/>
      <c r="K44" s="6"/>
      <c r="L44" s="6"/>
    </row>
    <row r="45" spans="1:12" ht="126" x14ac:dyDescent="0.35">
      <c r="A45" s="4">
        <v>44</v>
      </c>
      <c r="B45" s="5" t="s">
        <v>245</v>
      </c>
      <c r="C45" s="5" t="s">
        <v>95</v>
      </c>
      <c r="D45" s="5" t="s">
        <v>96</v>
      </c>
      <c r="E45" s="5" t="s">
        <v>246</v>
      </c>
      <c r="F45" s="5" t="s">
        <v>247</v>
      </c>
      <c r="G45" s="5" t="s">
        <v>248</v>
      </c>
      <c r="H45" s="5" t="s">
        <v>135</v>
      </c>
      <c r="I45" s="5"/>
      <c r="J45" s="6"/>
      <c r="K45" s="6"/>
      <c r="L45" s="6"/>
    </row>
    <row r="46" spans="1:12" ht="182" x14ac:dyDescent="0.35">
      <c r="A46" s="4">
        <v>45</v>
      </c>
      <c r="B46" s="5" t="s">
        <v>123</v>
      </c>
      <c r="C46" s="5" t="s">
        <v>124</v>
      </c>
      <c r="D46" s="5" t="s">
        <v>125</v>
      </c>
      <c r="E46" s="5" t="s">
        <v>126</v>
      </c>
      <c r="F46" s="5" t="s">
        <v>249</v>
      </c>
      <c r="G46" s="5" t="s">
        <v>250</v>
      </c>
      <c r="H46" s="5" t="s">
        <v>251</v>
      </c>
      <c r="I46" s="5" t="s">
        <v>252</v>
      </c>
      <c r="J46" s="6"/>
      <c r="K46" s="6"/>
      <c r="L46" s="6"/>
    </row>
    <row r="47" spans="1:12" ht="112" x14ac:dyDescent="0.35">
      <c r="A47" s="4">
        <v>46</v>
      </c>
      <c r="B47" s="5" t="s">
        <v>253</v>
      </c>
      <c r="C47" s="5" t="s">
        <v>16</v>
      </c>
      <c r="D47" s="5" t="s">
        <v>17</v>
      </c>
      <c r="E47" s="5" t="s">
        <v>254</v>
      </c>
      <c r="F47" s="5" t="s">
        <v>255</v>
      </c>
      <c r="G47" s="5" t="s">
        <v>56</v>
      </c>
      <c r="H47" s="5" t="s">
        <v>40</v>
      </c>
      <c r="I47" s="5"/>
      <c r="J47" s="6"/>
      <c r="K47" s="6"/>
      <c r="L47" s="6"/>
    </row>
    <row r="48" spans="1:12" ht="84" x14ac:dyDescent="0.35">
      <c r="A48" s="4">
        <v>47</v>
      </c>
      <c r="B48" s="5" t="s">
        <v>256</v>
      </c>
      <c r="C48" s="5" t="s">
        <v>205</v>
      </c>
      <c r="D48" s="5" t="s">
        <v>205</v>
      </c>
      <c r="E48" s="5" t="s">
        <v>257</v>
      </c>
      <c r="F48" s="5" t="s">
        <v>258</v>
      </c>
      <c r="G48" s="5" t="s">
        <v>128</v>
      </c>
      <c r="H48" s="5" t="s">
        <v>129</v>
      </c>
      <c r="I48" s="5"/>
      <c r="J48" s="6"/>
      <c r="K48" s="6"/>
      <c r="L48" s="6"/>
    </row>
    <row r="49" spans="1:12" ht="70" x14ac:dyDescent="0.35">
      <c r="A49" s="4">
        <v>48</v>
      </c>
      <c r="B49" s="5" t="s">
        <v>259</v>
      </c>
      <c r="C49" s="5" t="s">
        <v>260</v>
      </c>
      <c r="D49" s="5" t="s">
        <v>261</v>
      </c>
      <c r="E49" s="5" t="s">
        <v>262</v>
      </c>
      <c r="F49" s="5" t="s">
        <v>263</v>
      </c>
      <c r="G49" s="5" t="s">
        <v>264</v>
      </c>
      <c r="H49" s="5" t="s">
        <v>265</v>
      </c>
      <c r="I49" s="5"/>
      <c r="J49" s="6"/>
      <c r="K49" s="6"/>
      <c r="L49" s="6"/>
    </row>
    <row r="50" spans="1:12" ht="224" x14ac:dyDescent="0.35">
      <c r="A50" s="4">
        <v>49</v>
      </c>
      <c r="B50" s="5" t="s">
        <v>266</v>
      </c>
      <c r="C50" s="5" t="s">
        <v>95</v>
      </c>
      <c r="D50" s="5" t="s">
        <v>96</v>
      </c>
      <c r="E50" s="5" t="s">
        <v>267</v>
      </c>
      <c r="F50" s="5" t="s">
        <v>268</v>
      </c>
      <c r="G50" s="5" t="s">
        <v>269</v>
      </c>
      <c r="H50" s="5" t="s">
        <v>270</v>
      </c>
      <c r="I50" s="5" t="s">
        <v>271</v>
      </c>
      <c r="J50" s="6"/>
      <c r="K50" s="6"/>
      <c r="L50" s="6"/>
    </row>
    <row r="51" spans="1:12" ht="409.5" x14ac:dyDescent="0.35">
      <c r="A51" s="4">
        <v>50</v>
      </c>
      <c r="B51" s="5" t="s">
        <v>272</v>
      </c>
      <c r="C51" s="5" t="s">
        <v>273</v>
      </c>
      <c r="D51" s="5" t="s">
        <v>273</v>
      </c>
      <c r="E51" s="5" t="s">
        <v>274</v>
      </c>
      <c r="F51" s="5" t="s">
        <v>275</v>
      </c>
      <c r="G51" s="5" t="s">
        <v>276</v>
      </c>
      <c r="H51" s="5" t="s">
        <v>277</v>
      </c>
      <c r="I51" s="5" t="s">
        <v>278</v>
      </c>
      <c r="J51" s="6"/>
      <c r="K51" s="6"/>
      <c r="L51" s="6"/>
    </row>
    <row r="52" spans="1:12" ht="56" x14ac:dyDescent="0.35">
      <c r="A52" s="4">
        <v>51</v>
      </c>
      <c r="B52" s="5" t="s">
        <v>279</v>
      </c>
      <c r="C52" s="5" t="s">
        <v>280</v>
      </c>
      <c r="D52" s="5" t="s">
        <v>281</v>
      </c>
      <c r="E52" s="5"/>
      <c r="F52" s="5" t="s">
        <v>282</v>
      </c>
      <c r="G52" s="5" t="s">
        <v>283</v>
      </c>
      <c r="H52" s="5" t="s">
        <v>284</v>
      </c>
      <c r="I52" s="5" t="s">
        <v>285</v>
      </c>
      <c r="J52" s="6"/>
      <c r="K52" s="6"/>
      <c r="L52" s="6"/>
    </row>
    <row r="53" spans="1:12" ht="238" x14ac:dyDescent="0.35">
      <c r="A53" s="4">
        <v>52</v>
      </c>
      <c r="B53" s="5" t="s">
        <v>214</v>
      </c>
      <c r="C53" s="5" t="s">
        <v>183</v>
      </c>
      <c r="D53" s="5" t="s">
        <v>183</v>
      </c>
      <c r="E53" s="5" t="s">
        <v>215</v>
      </c>
      <c r="F53" s="5" t="s">
        <v>286</v>
      </c>
      <c r="G53" s="5" t="s">
        <v>287</v>
      </c>
      <c r="H53" s="5" t="s">
        <v>288</v>
      </c>
      <c r="I53" s="5" t="s">
        <v>289</v>
      </c>
      <c r="J53" s="6"/>
      <c r="K53" s="6"/>
      <c r="L53" s="6"/>
    </row>
    <row r="54" spans="1:12" ht="224" x14ac:dyDescent="0.35">
      <c r="A54" s="4">
        <v>53</v>
      </c>
      <c r="B54" s="5" t="s">
        <v>290</v>
      </c>
      <c r="C54" s="5" t="s">
        <v>191</v>
      </c>
      <c r="D54" s="5" t="s">
        <v>192</v>
      </c>
      <c r="E54" s="5" t="s">
        <v>193</v>
      </c>
      <c r="F54" s="5" t="s">
        <v>291</v>
      </c>
      <c r="G54" s="5" t="s">
        <v>16</v>
      </c>
      <c r="H54" s="5" t="s">
        <v>17</v>
      </c>
      <c r="I54" s="5"/>
      <c r="J54" s="6"/>
      <c r="K54" s="6"/>
      <c r="L54" s="6"/>
    </row>
    <row r="55" spans="1:12" ht="98" x14ac:dyDescent="0.35">
      <c r="A55" s="4">
        <v>54</v>
      </c>
      <c r="B55" s="5" t="s">
        <v>292</v>
      </c>
      <c r="C55" s="5" t="s">
        <v>293</v>
      </c>
      <c r="D55" s="5" t="s">
        <v>129</v>
      </c>
      <c r="E55" s="5" t="s">
        <v>294</v>
      </c>
      <c r="F55" s="5" t="s">
        <v>295</v>
      </c>
      <c r="G55" s="5" t="s">
        <v>29</v>
      </c>
      <c r="H55" s="5" t="s">
        <v>30</v>
      </c>
      <c r="I55" s="5" t="s">
        <v>296</v>
      </c>
      <c r="J55" s="6"/>
      <c r="K55" s="6"/>
      <c r="L55" s="6"/>
    </row>
    <row r="56" spans="1:12" ht="409.5" x14ac:dyDescent="0.35">
      <c r="A56" s="4">
        <v>55</v>
      </c>
      <c r="B56" s="5" t="s">
        <v>297</v>
      </c>
      <c r="C56" s="5" t="s">
        <v>99</v>
      </c>
      <c r="D56" s="5" t="s">
        <v>100</v>
      </c>
      <c r="E56" s="5"/>
      <c r="F56" s="5" t="s">
        <v>298</v>
      </c>
      <c r="G56" s="5" t="s">
        <v>299</v>
      </c>
      <c r="H56" s="5" t="s">
        <v>40</v>
      </c>
      <c r="I56" s="5" t="s">
        <v>300</v>
      </c>
      <c r="J56" s="6"/>
      <c r="K56" s="6"/>
      <c r="L56" s="6"/>
    </row>
    <row r="57" spans="1:12" ht="409.5" x14ac:dyDescent="0.35">
      <c r="A57" s="4">
        <v>56</v>
      </c>
      <c r="B57" s="5" t="s">
        <v>301</v>
      </c>
      <c r="C57" s="5" t="s">
        <v>22</v>
      </c>
      <c r="D57" s="5" t="s">
        <v>22</v>
      </c>
      <c r="E57" s="5" t="s">
        <v>23</v>
      </c>
      <c r="F57" s="5" t="s">
        <v>302</v>
      </c>
      <c r="G57" s="5" t="s">
        <v>303</v>
      </c>
      <c r="H57" s="5" t="s">
        <v>303</v>
      </c>
      <c r="I57" s="5" t="s">
        <v>304</v>
      </c>
      <c r="J57" s="6"/>
      <c r="K57" s="6"/>
      <c r="L57" s="6"/>
    </row>
    <row r="58" spans="1:12" ht="98" x14ac:dyDescent="0.35">
      <c r="A58" s="4">
        <v>57</v>
      </c>
      <c r="B58" s="5" t="s">
        <v>305</v>
      </c>
      <c r="C58" s="5" t="s">
        <v>99</v>
      </c>
      <c r="D58" s="5" t="s">
        <v>100</v>
      </c>
      <c r="E58" s="5" t="s">
        <v>306</v>
      </c>
      <c r="F58" s="5" t="s">
        <v>307</v>
      </c>
      <c r="G58" s="5" t="s">
        <v>308</v>
      </c>
      <c r="H58" s="5" t="s">
        <v>36</v>
      </c>
      <c r="I58" s="5" t="s">
        <v>309</v>
      </c>
      <c r="J58" s="6"/>
      <c r="K58" s="6"/>
      <c r="L58" s="6"/>
    </row>
    <row r="59" spans="1:12" ht="392" x14ac:dyDescent="0.35">
      <c r="A59" s="4">
        <v>58</v>
      </c>
      <c r="B59" s="5" t="s">
        <v>310</v>
      </c>
      <c r="C59" s="5" t="s">
        <v>29</v>
      </c>
      <c r="D59" s="5" t="s">
        <v>30</v>
      </c>
      <c r="E59" s="5"/>
      <c r="F59" s="5" t="s">
        <v>311</v>
      </c>
      <c r="G59" s="5" t="s">
        <v>76</v>
      </c>
      <c r="H59" s="5" t="s">
        <v>77</v>
      </c>
      <c r="I59" s="5" t="s">
        <v>312</v>
      </c>
      <c r="J59" s="6"/>
      <c r="K59" s="6"/>
      <c r="L59" s="6"/>
    </row>
    <row r="60" spans="1:12" ht="168" x14ac:dyDescent="0.35">
      <c r="A60" s="4">
        <v>59</v>
      </c>
      <c r="B60" s="5" t="s">
        <v>243</v>
      </c>
      <c r="C60" s="5" t="s">
        <v>128</v>
      </c>
      <c r="D60" s="5" t="s">
        <v>129</v>
      </c>
      <c r="E60" s="5"/>
      <c r="F60" s="5" t="s">
        <v>313</v>
      </c>
      <c r="G60" s="5" t="s">
        <v>19</v>
      </c>
      <c r="H60" s="5" t="s">
        <v>17</v>
      </c>
      <c r="I60" s="5" t="s">
        <v>314</v>
      </c>
      <c r="J60" s="6"/>
      <c r="K60" s="6"/>
      <c r="L60" s="6"/>
    </row>
    <row r="61" spans="1:12" ht="28" x14ac:dyDescent="0.35">
      <c r="A61" s="4">
        <v>60</v>
      </c>
      <c r="B61" s="5" t="s">
        <v>315</v>
      </c>
      <c r="C61" s="5" t="s">
        <v>316</v>
      </c>
      <c r="D61" s="5" t="s">
        <v>107</v>
      </c>
      <c r="E61" s="5"/>
      <c r="F61" s="5" t="s">
        <v>317</v>
      </c>
      <c r="G61" s="5" t="s">
        <v>13</v>
      </c>
      <c r="H61" s="5" t="s">
        <v>14</v>
      </c>
      <c r="I61" s="5"/>
      <c r="J61" s="6"/>
      <c r="K61" s="6"/>
      <c r="L61" s="6"/>
    </row>
    <row r="62" spans="1:12" ht="56" x14ac:dyDescent="0.35">
      <c r="A62" s="4">
        <v>61</v>
      </c>
      <c r="B62" s="5" t="s">
        <v>318</v>
      </c>
      <c r="C62" s="5" t="s">
        <v>319</v>
      </c>
      <c r="D62" s="5" t="s">
        <v>320</v>
      </c>
      <c r="E62" s="5"/>
      <c r="F62" s="5" t="s">
        <v>321</v>
      </c>
      <c r="G62" s="5" t="s">
        <v>322</v>
      </c>
      <c r="H62" s="5" t="s">
        <v>40</v>
      </c>
      <c r="I62" s="5"/>
      <c r="J62" s="6"/>
      <c r="K62" s="6"/>
      <c r="L62" s="6"/>
    </row>
    <row r="63" spans="1:12" ht="28" x14ac:dyDescent="0.35">
      <c r="A63" s="4">
        <v>62</v>
      </c>
      <c r="B63" s="5" t="s">
        <v>323</v>
      </c>
      <c r="C63" s="5" t="s">
        <v>16</v>
      </c>
      <c r="D63" s="5" t="s">
        <v>17</v>
      </c>
      <c r="E63" s="5"/>
      <c r="F63" s="5" t="s">
        <v>324</v>
      </c>
      <c r="G63" s="5" t="s">
        <v>325</v>
      </c>
      <c r="H63" s="5" t="s">
        <v>88</v>
      </c>
      <c r="I63" s="5"/>
      <c r="J63" s="6"/>
      <c r="K63" s="6"/>
      <c r="L63" s="6"/>
    </row>
    <row r="64" spans="1:12" ht="336" x14ac:dyDescent="0.35">
      <c r="A64" s="4">
        <v>63</v>
      </c>
      <c r="B64" s="5" t="s">
        <v>326</v>
      </c>
      <c r="C64" s="5" t="s">
        <v>327</v>
      </c>
      <c r="D64" s="5" t="s">
        <v>328</v>
      </c>
      <c r="E64" s="5" t="s">
        <v>329</v>
      </c>
      <c r="F64" s="5" t="s">
        <v>330</v>
      </c>
      <c r="G64" s="5" t="s">
        <v>331</v>
      </c>
      <c r="H64" s="5" t="s">
        <v>332</v>
      </c>
      <c r="I64" s="5" t="s">
        <v>72</v>
      </c>
      <c r="J64" s="6"/>
      <c r="K64" s="6"/>
      <c r="L64" s="6"/>
    </row>
    <row r="65" spans="1:12" ht="196" x14ac:dyDescent="0.35">
      <c r="A65" s="4">
        <v>64</v>
      </c>
      <c r="B65" s="5" t="s">
        <v>333</v>
      </c>
      <c r="C65" s="5" t="s">
        <v>334</v>
      </c>
      <c r="D65" s="5" t="s">
        <v>335</v>
      </c>
      <c r="E65" s="5" t="s">
        <v>336</v>
      </c>
      <c r="F65" s="5" t="s">
        <v>337</v>
      </c>
      <c r="G65" s="5" t="s">
        <v>338</v>
      </c>
      <c r="H65" s="5" t="s">
        <v>339</v>
      </c>
      <c r="I65" s="5"/>
      <c r="J65" s="6"/>
      <c r="K65" s="6"/>
      <c r="L65" s="6"/>
    </row>
    <row r="66" spans="1:12" ht="224" x14ac:dyDescent="0.35">
      <c r="A66" s="4">
        <v>65</v>
      </c>
      <c r="B66" s="5" t="s">
        <v>340</v>
      </c>
      <c r="C66" s="5" t="s">
        <v>341</v>
      </c>
      <c r="D66" s="5" t="s">
        <v>192</v>
      </c>
      <c r="E66" s="5" t="s">
        <v>193</v>
      </c>
      <c r="F66" s="5" t="s">
        <v>342</v>
      </c>
      <c r="G66" s="5" t="s">
        <v>273</v>
      </c>
      <c r="H66" s="5" t="s">
        <v>273</v>
      </c>
      <c r="I66" s="5"/>
      <c r="J66" s="6"/>
      <c r="K66" s="6"/>
      <c r="L66" s="6"/>
    </row>
    <row r="67" spans="1:12" ht="42" x14ac:dyDescent="0.35">
      <c r="A67" s="4">
        <v>66</v>
      </c>
      <c r="B67" s="5" t="s">
        <v>343</v>
      </c>
      <c r="C67" s="5" t="s">
        <v>344</v>
      </c>
      <c r="D67" s="5" t="s">
        <v>345</v>
      </c>
      <c r="E67" s="5"/>
      <c r="F67" s="5" t="s">
        <v>346</v>
      </c>
      <c r="G67" s="5" t="s">
        <v>99</v>
      </c>
      <c r="H67" s="5" t="s">
        <v>100</v>
      </c>
      <c r="I67" s="5"/>
      <c r="J67" s="6"/>
      <c r="K67" s="6"/>
      <c r="L67" s="6"/>
    </row>
    <row r="68" spans="1:12" ht="168" x14ac:dyDescent="0.35">
      <c r="A68" s="4">
        <v>67</v>
      </c>
      <c r="B68" s="5" t="s">
        <v>347</v>
      </c>
      <c r="C68" s="5" t="s">
        <v>128</v>
      </c>
      <c r="D68" s="5" t="s">
        <v>129</v>
      </c>
      <c r="E68" s="5"/>
      <c r="F68" s="5" t="s">
        <v>348</v>
      </c>
      <c r="G68" s="5" t="s">
        <v>16</v>
      </c>
      <c r="H68" s="5" t="s">
        <v>17</v>
      </c>
      <c r="I68" s="5" t="s">
        <v>349</v>
      </c>
      <c r="J68" s="6"/>
      <c r="K68" s="6"/>
      <c r="L68" s="6"/>
    </row>
    <row r="69" spans="1:12" ht="28" x14ac:dyDescent="0.35">
      <c r="A69" s="4">
        <v>68</v>
      </c>
      <c r="B69" s="5" t="s">
        <v>350</v>
      </c>
      <c r="C69" s="5" t="s">
        <v>19</v>
      </c>
      <c r="D69" s="5" t="s">
        <v>17</v>
      </c>
      <c r="E69" s="5" t="s">
        <v>351</v>
      </c>
      <c r="F69" s="5" t="s">
        <v>352</v>
      </c>
      <c r="G69" s="5" t="s">
        <v>19</v>
      </c>
      <c r="H69" s="5" t="s">
        <v>17</v>
      </c>
      <c r="I69" s="5"/>
      <c r="J69" s="6"/>
      <c r="K69" s="6"/>
      <c r="L69" s="6"/>
    </row>
    <row r="70" spans="1:12" ht="336" x14ac:dyDescent="0.35">
      <c r="A70" s="4">
        <v>69</v>
      </c>
      <c r="B70" s="5" t="s">
        <v>353</v>
      </c>
      <c r="C70" s="5" t="s">
        <v>354</v>
      </c>
      <c r="D70" s="5" t="s">
        <v>355</v>
      </c>
      <c r="E70" s="5" t="s">
        <v>356</v>
      </c>
      <c r="F70" s="5" t="s">
        <v>357</v>
      </c>
      <c r="G70" s="5" t="s">
        <v>358</v>
      </c>
      <c r="H70" s="5" t="s">
        <v>359</v>
      </c>
      <c r="I70" s="5" t="s">
        <v>360</v>
      </c>
      <c r="J70" s="6"/>
      <c r="K70" s="6"/>
      <c r="L70" s="6"/>
    </row>
    <row r="71" spans="1:12" ht="182" x14ac:dyDescent="0.35">
      <c r="A71" s="4">
        <v>70</v>
      </c>
      <c r="B71" s="5" t="s">
        <v>361</v>
      </c>
      <c r="C71" s="5" t="s">
        <v>362</v>
      </c>
      <c r="D71" s="5" t="s">
        <v>77</v>
      </c>
      <c r="E71" s="5" t="s">
        <v>78</v>
      </c>
      <c r="F71" s="5" t="s">
        <v>363</v>
      </c>
      <c r="G71" s="5" t="s">
        <v>183</v>
      </c>
      <c r="H71" s="5" t="s">
        <v>183</v>
      </c>
      <c r="I71" s="5" t="s">
        <v>364</v>
      </c>
      <c r="J71" s="6"/>
      <c r="K71" s="6"/>
      <c r="L71" s="6"/>
    </row>
    <row r="72" spans="1:12" ht="154" x14ac:dyDescent="0.35">
      <c r="A72" s="4">
        <v>71</v>
      </c>
      <c r="B72" s="5" t="s">
        <v>347</v>
      </c>
      <c r="C72" s="5" t="s">
        <v>128</v>
      </c>
      <c r="D72" s="5" t="s">
        <v>129</v>
      </c>
      <c r="E72" s="5"/>
      <c r="F72" s="5" t="s">
        <v>140</v>
      </c>
      <c r="G72" s="5" t="s">
        <v>141</v>
      </c>
      <c r="H72" s="5" t="s">
        <v>142</v>
      </c>
      <c r="I72" s="5" t="s">
        <v>143</v>
      </c>
      <c r="J72" s="6"/>
      <c r="K72" s="6"/>
      <c r="L72" s="6"/>
    </row>
    <row r="73" spans="1:12" ht="70" x14ac:dyDescent="0.35">
      <c r="A73" s="4">
        <v>72</v>
      </c>
      <c r="B73" s="5" t="s">
        <v>365</v>
      </c>
      <c r="C73" s="5" t="s">
        <v>16</v>
      </c>
      <c r="D73" s="5" t="s">
        <v>17</v>
      </c>
      <c r="E73" s="5"/>
      <c r="F73" s="5" t="s">
        <v>366</v>
      </c>
      <c r="G73" s="5" t="s">
        <v>201</v>
      </c>
      <c r="H73" s="5" t="s">
        <v>170</v>
      </c>
      <c r="I73" s="5" t="s">
        <v>367</v>
      </c>
      <c r="J73" s="6"/>
      <c r="K73" s="6"/>
      <c r="L73" s="6"/>
    </row>
    <row r="74" spans="1:12" ht="140" x14ac:dyDescent="0.35">
      <c r="A74" s="4">
        <v>73</v>
      </c>
      <c r="B74" s="5" t="s">
        <v>368</v>
      </c>
      <c r="C74" s="5" t="s">
        <v>19</v>
      </c>
      <c r="D74" s="5" t="s">
        <v>17</v>
      </c>
      <c r="E74" s="5"/>
      <c r="F74" s="5" t="s">
        <v>369</v>
      </c>
      <c r="G74" s="5" t="s">
        <v>16</v>
      </c>
      <c r="H74" s="5" t="s">
        <v>17</v>
      </c>
      <c r="I74" s="5" t="s">
        <v>370</v>
      </c>
      <c r="J74" s="6"/>
      <c r="K74" s="6"/>
      <c r="L74" s="6"/>
    </row>
    <row r="75" spans="1:12" ht="98" x14ac:dyDescent="0.35">
      <c r="A75" s="4">
        <v>74</v>
      </c>
      <c r="B75" s="5" t="s">
        <v>371</v>
      </c>
      <c r="C75" s="5" t="s">
        <v>372</v>
      </c>
      <c r="D75" s="5" t="s">
        <v>100</v>
      </c>
      <c r="E75" s="5" t="s">
        <v>373</v>
      </c>
      <c r="F75" s="5" t="s">
        <v>374</v>
      </c>
      <c r="G75" s="5" t="s">
        <v>375</v>
      </c>
      <c r="H75" s="5" t="s">
        <v>376</v>
      </c>
      <c r="I75" s="5" t="s">
        <v>377</v>
      </c>
      <c r="J75" s="6"/>
      <c r="K75" s="6"/>
      <c r="L75" s="6"/>
    </row>
    <row r="76" spans="1:12" ht="70" x14ac:dyDescent="0.35">
      <c r="A76" s="4">
        <v>75</v>
      </c>
      <c r="B76" s="5" t="s">
        <v>378</v>
      </c>
      <c r="C76" s="5" t="s">
        <v>148</v>
      </c>
      <c r="D76" s="5" t="s">
        <v>40</v>
      </c>
      <c r="E76" s="5" t="s">
        <v>379</v>
      </c>
      <c r="F76" s="5" t="s">
        <v>65</v>
      </c>
      <c r="G76" s="5" t="s">
        <v>35</v>
      </c>
      <c r="H76" s="5" t="s">
        <v>36</v>
      </c>
      <c r="I76" s="5"/>
      <c r="J76" s="6"/>
      <c r="K76" s="6"/>
      <c r="L76" s="6"/>
    </row>
    <row r="77" spans="1:12" ht="406" x14ac:dyDescent="0.35">
      <c r="A77" s="4">
        <v>76</v>
      </c>
      <c r="B77" s="5" t="s">
        <v>380</v>
      </c>
      <c r="C77" s="5" t="s">
        <v>381</v>
      </c>
      <c r="D77" s="5" t="s">
        <v>382</v>
      </c>
      <c r="E77" s="5" t="s">
        <v>383</v>
      </c>
      <c r="F77" s="5" t="s">
        <v>384</v>
      </c>
      <c r="G77" s="5" t="s">
        <v>385</v>
      </c>
      <c r="H77" s="5" t="s">
        <v>107</v>
      </c>
      <c r="I77" s="5"/>
      <c r="J77" s="6"/>
      <c r="K77" s="6"/>
      <c r="L77" s="6"/>
    </row>
    <row r="78" spans="1:12" ht="154" x14ac:dyDescent="0.35">
      <c r="A78" s="4">
        <v>77</v>
      </c>
      <c r="B78" s="5" t="s">
        <v>69</v>
      </c>
      <c r="C78" s="5" t="s">
        <v>70</v>
      </c>
      <c r="D78" s="5" t="s">
        <v>71</v>
      </c>
      <c r="E78" s="5" t="s">
        <v>72</v>
      </c>
      <c r="F78" s="5" t="s">
        <v>249</v>
      </c>
      <c r="G78" s="5" t="s">
        <v>250</v>
      </c>
      <c r="H78" s="5" t="s">
        <v>251</v>
      </c>
      <c r="I78" s="5" t="s">
        <v>252</v>
      </c>
      <c r="J78" s="6"/>
      <c r="K78" s="6"/>
      <c r="L78" s="6"/>
    </row>
    <row r="79" spans="1:12" ht="392" x14ac:dyDescent="0.35">
      <c r="A79" s="4">
        <v>78</v>
      </c>
      <c r="B79" s="5" t="s">
        <v>190</v>
      </c>
      <c r="C79" s="5" t="s">
        <v>191</v>
      </c>
      <c r="D79" s="5" t="s">
        <v>192</v>
      </c>
      <c r="E79" s="5" t="s">
        <v>193</v>
      </c>
      <c r="F79" s="5" t="s">
        <v>386</v>
      </c>
      <c r="G79" s="5" t="s">
        <v>387</v>
      </c>
      <c r="H79" s="5" t="s">
        <v>387</v>
      </c>
      <c r="I79" s="5" t="s">
        <v>312</v>
      </c>
      <c r="J79" s="6"/>
      <c r="K79" s="6"/>
      <c r="L79" s="6"/>
    </row>
    <row r="80" spans="1:12" ht="266" x14ac:dyDescent="0.35">
      <c r="A80" s="4">
        <v>79</v>
      </c>
      <c r="B80" s="5" t="s">
        <v>388</v>
      </c>
      <c r="C80" s="5" t="s">
        <v>183</v>
      </c>
      <c r="D80" s="5" t="s">
        <v>183</v>
      </c>
      <c r="E80" s="5" t="s">
        <v>389</v>
      </c>
      <c r="F80" s="5" t="s">
        <v>390</v>
      </c>
      <c r="G80" s="5" t="s">
        <v>16</v>
      </c>
      <c r="H80" s="5" t="s">
        <v>17</v>
      </c>
      <c r="I80" s="5" t="s">
        <v>391</v>
      </c>
      <c r="J80" s="6"/>
      <c r="K80" s="6"/>
      <c r="L80" s="6"/>
    </row>
    <row r="81" spans="1:12" ht="409.5" x14ac:dyDescent="0.35">
      <c r="A81" s="4">
        <v>80</v>
      </c>
      <c r="B81" s="5" t="s">
        <v>392</v>
      </c>
      <c r="C81" s="5" t="s">
        <v>95</v>
      </c>
      <c r="D81" s="5" t="s">
        <v>96</v>
      </c>
      <c r="E81" s="5" t="s">
        <v>393</v>
      </c>
      <c r="F81" s="5" t="s">
        <v>394</v>
      </c>
      <c r="G81" s="5" t="s">
        <v>395</v>
      </c>
      <c r="H81" s="5" t="s">
        <v>96</v>
      </c>
      <c r="I81" s="5" t="s">
        <v>396</v>
      </c>
      <c r="J81" s="6"/>
      <c r="K81" s="6"/>
      <c r="L81" s="6"/>
    </row>
    <row r="82" spans="1:12" ht="70" x14ac:dyDescent="0.35">
      <c r="A82" s="4">
        <v>81</v>
      </c>
      <c r="B82" s="5" t="s">
        <v>397</v>
      </c>
      <c r="C82" s="5" t="s">
        <v>398</v>
      </c>
      <c r="D82" s="5" t="s">
        <v>399</v>
      </c>
      <c r="E82" s="5"/>
      <c r="F82" s="5" t="s">
        <v>400</v>
      </c>
      <c r="G82" s="5" t="s">
        <v>401</v>
      </c>
      <c r="H82" s="5" t="s">
        <v>183</v>
      </c>
      <c r="I82" s="5"/>
      <c r="J82" s="6"/>
      <c r="K82" s="6"/>
      <c r="L82" s="6"/>
    </row>
    <row r="83" spans="1:12" ht="154" x14ac:dyDescent="0.35">
      <c r="A83" s="4">
        <v>82</v>
      </c>
      <c r="B83" s="5" t="s">
        <v>402</v>
      </c>
      <c r="C83" s="5" t="s">
        <v>159</v>
      </c>
      <c r="D83" s="5" t="s">
        <v>160</v>
      </c>
      <c r="E83" s="5" t="s">
        <v>161</v>
      </c>
      <c r="F83" s="5" t="s">
        <v>403</v>
      </c>
      <c r="G83" s="5" t="s">
        <v>404</v>
      </c>
      <c r="H83" s="5" t="s">
        <v>339</v>
      </c>
      <c r="I83" s="5" t="s">
        <v>405</v>
      </c>
      <c r="J83" s="6"/>
      <c r="K83" s="6"/>
      <c r="L83" s="6"/>
    </row>
    <row r="84" spans="1:12" ht="112" x14ac:dyDescent="0.35">
      <c r="A84" s="4">
        <v>83</v>
      </c>
      <c r="B84" s="5" t="s">
        <v>406</v>
      </c>
      <c r="C84" s="5" t="s">
        <v>407</v>
      </c>
      <c r="D84" s="5" t="s">
        <v>178</v>
      </c>
      <c r="E84" s="5" t="s">
        <v>408</v>
      </c>
      <c r="F84" s="5" t="s">
        <v>403</v>
      </c>
      <c r="G84" s="5" t="s">
        <v>404</v>
      </c>
      <c r="H84" s="5" t="s">
        <v>339</v>
      </c>
      <c r="I84" s="5" t="s">
        <v>405</v>
      </c>
      <c r="J84" s="6"/>
      <c r="K84" s="6"/>
      <c r="L84" s="6"/>
    </row>
    <row r="85" spans="1:12" ht="84" x14ac:dyDescent="0.35">
      <c r="A85" s="4">
        <v>84</v>
      </c>
      <c r="B85" s="5" t="s">
        <v>279</v>
      </c>
      <c r="C85" s="5" t="s">
        <v>280</v>
      </c>
      <c r="D85" s="5" t="s">
        <v>281</v>
      </c>
      <c r="E85" s="5"/>
      <c r="F85" s="5" t="s">
        <v>409</v>
      </c>
      <c r="G85" s="5" t="s">
        <v>410</v>
      </c>
      <c r="H85" s="5" t="s">
        <v>411</v>
      </c>
      <c r="I85" s="5"/>
      <c r="J85" s="6"/>
      <c r="K85" s="6"/>
      <c r="L85" s="6"/>
    </row>
    <row r="86" spans="1:12" ht="409.5" x14ac:dyDescent="0.35">
      <c r="A86" s="4">
        <v>85</v>
      </c>
      <c r="B86" s="5" t="s">
        <v>412</v>
      </c>
      <c r="C86" s="5" t="s">
        <v>22</v>
      </c>
      <c r="D86" s="5" t="s">
        <v>22</v>
      </c>
      <c r="E86" s="5" t="s">
        <v>23</v>
      </c>
      <c r="F86" s="5" t="s">
        <v>413</v>
      </c>
      <c r="G86" s="5" t="s">
        <v>387</v>
      </c>
      <c r="H86" s="5" t="s">
        <v>387</v>
      </c>
      <c r="I86" s="5" t="s">
        <v>414</v>
      </c>
      <c r="J86" s="6"/>
      <c r="K86" s="6"/>
      <c r="L86" s="6"/>
    </row>
    <row r="87" spans="1:12" ht="84" x14ac:dyDescent="0.35">
      <c r="A87" s="4">
        <v>86</v>
      </c>
      <c r="B87" s="5" t="s">
        <v>388</v>
      </c>
      <c r="C87" s="5" t="s">
        <v>183</v>
      </c>
      <c r="D87" s="5" t="s">
        <v>183</v>
      </c>
      <c r="E87" s="5" t="s">
        <v>389</v>
      </c>
      <c r="F87" s="5" t="s">
        <v>415</v>
      </c>
      <c r="G87" s="5" t="s">
        <v>416</v>
      </c>
      <c r="H87" s="5" t="s">
        <v>416</v>
      </c>
      <c r="I87" s="5"/>
      <c r="J87" s="6"/>
      <c r="K87" s="6"/>
      <c r="L87" s="6"/>
    </row>
    <row r="88" spans="1:12" ht="70" x14ac:dyDescent="0.35">
      <c r="A88" s="4">
        <v>87</v>
      </c>
      <c r="B88" s="5" t="s">
        <v>417</v>
      </c>
      <c r="C88" s="5" t="s">
        <v>418</v>
      </c>
      <c r="D88" s="5" t="s">
        <v>100</v>
      </c>
      <c r="E88" s="5" t="s">
        <v>419</v>
      </c>
      <c r="F88" s="5" t="s">
        <v>420</v>
      </c>
      <c r="G88" s="5" t="s">
        <v>421</v>
      </c>
      <c r="H88" s="5" t="s">
        <v>422</v>
      </c>
      <c r="I88" s="5"/>
      <c r="J88" s="6"/>
      <c r="K88" s="6"/>
      <c r="L88" s="6"/>
    </row>
    <row r="89" spans="1:12" ht="56" x14ac:dyDescent="0.35">
      <c r="A89" s="4">
        <v>88</v>
      </c>
      <c r="B89" s="5" t="s">
        <v>423</v>
      </c>
      <c r="C89" s="5" t="s">
        <v>204</v>
      </c>
      <c r="D89" s="5" t="s">
        <v>205</v>
      </c>
      <c r="E89" s="5" t="s">
        <v>424</v>
      </c>
      <c r="F89" s="5" t="s">
        <v>425</v>
      </c>
      <c r="G89" s="5" t="s">
        <v>426</v>
      </c>
      <c r="H89" s="5" t="s">
        <v>427</v>
      </c>
      <c r="I89" s="5"/>
      <c r="J89" s="6"/>
      <c r="K89" s="6"/>
      <c r="L89" s="6"/>
    </row>
    <row r="90" spans="1:12" ht="56" x14ac:dyDescent="0.35">
      <c r="A90" s="4">
        <v>89</v>
      </c>
      <c r="B90" s="5" t="s">
        <v>406</v>
      </c>
      <c r="C90" s="5" t="s">
        <v>407</v>
      </c>
      <c r="D90" s="5" t="s">
        <v>178</v>
      </c>
      <c r="E90" s="5" t="s">
        <v>408</v>
      </c>
      <c r="F90" s="5" t="s">
        <v>428</v>
      </c>
      <c r="G90" s="5" t="s">
        <v>169</v>
      </c>
      <c r="H90" s="5" t="s">
        <v>170</v>
      </c>
      <c r="I90" s="5"/>
      <c r="J90" s="6"/>
      <c r="K90" s="6"/>
      <c r="L90" s="6"/>
    </row>
    <row r="91" spans="1:12" ht="126" x14ac:dyDescent="0.35">
      <c r="A91" s="4">
        <v>90</v>
      </c>
      <c r="B91" s="5" t="s">
        <v>429</v>
      </c>
      <c r="C91" s="5" t="s">
        <v>95</v>
      </c>
      <c r="D91" s="5" t="s">
        <v>96</v>
      </c>
      <c r="E91" s="5" t="s">
        <v>430</v>
      </c>
      <c r="F91" s="5" t="s">
        <v>431</v>
      </c>
      <c r="G91" s="5" t="s">
        <v>56</v>
      </c>
      <c r="H91" s="5" t="s">
        <v>40</v>
      </c>
      <c r="I91" s="5" t="s">
        <v>432</v>
      </c>
      <c r="J91" s="6"/>
      <c r="K91" s="6"/>
      <c r="L91" s="6"/>
    </row>
    <row r="92" spans="1:12" ht="84" x14ac:dyDescent="0.35">
      <c r="A92" s="4">
        <v>91</v>
      </c>
      <c r="B92" s="5" t="s">
        <v>433</v>
      </c>
      <c r="C92" s="5" t="s">
        <v>148</v>
      </c>
      <c r="D92" s="5" t="s">
        <v>40</v>
      </c>
      <c r="E92" s="5" t="s">
        <v>379</v>
      </c>
      <c r="F92" s="5" t="s">
        <v>434</v>
      </c>
      <c r="G92" s="5" t="s">
        <v>435</v>
      </c>
      <c r="H92" s="5" t="s">
        <v>40</v>
      </c>
      <c r="I92" s="5" t="s">
        <v>436</v>
      </c>
      <c r="J92" s="6"/>
      <c r="K92" s="6"/>
      <c r="L92" s="6"/>
    </row>
    <row r="93" spans="1:12" ht="238" x14ac:dyDescent="0.35">
      <c r="A93" s="4">
        <v>92</v>
      </c>
      <c r="B93" s="5" t="s">
        <v>437</v>
      </c>
      <c r="C93" s="5" t="s">
        <v>438</v>
      </c>
      <c r="D93" s="5" t="s">
        <v>387</v>
      </c>
      <c r="E93" s="5" t="s">
        <v>439</v>
      </c>
      <c r="F93" s="5" t="s">
        <v>440</v>
      </c>
      <c r="G93" s="5" t="s">
        <v>441</v>
      </c>
      <c r="H93" s="5" t="s">
        <v>196</v>
      </c>
      <c r="I93" s="5" t="s">
        <v>442</v>
      </c>
      <c r="J93" s="6"/>
      <c r="K93" s="6"/>
      <c r="L93" s="6"/>
    </row>
    <row r="94" spans="1:12" ht="406" x14ac:dyDescent="0.35">
      <c r="A94" s="4">
        <v>93</v>
      </c>
      <c r="B94" s="5" t="s">
        <v>443</v>
      </c>
      <c r="C94" s="5" t="s">
        <v>293</v>
      </c>
      <c r="D94" s="5" t="s">
        <v>129</v>
      </c>
      <c r="E94" s="5" t="s">
        <v>444</v>
      </c>
      <c r="F94" s="5" t="s">
        <v>445</v>
      </c>
      <c r="G94" s="5" t="s">
        <v>19</v>
      </c>
      <c r="H94" s="5" t="s">
        <v>17</v>
      </c>
      <c r="I94" s="5" t="s">
        <v>446</v>
      </c>
      <c r="J94" s="6"/>
      <c r="K94" s="6"/>
      <c r="L94" s="6"/>
    </row>
    <row r="95" spans="1:12" ht="70" x14ac:dyDescent="0.35">
      <c r="A95" s="4">
        <v>94</v>
      </c>
      <c r="B95" s="5" t="s">
        <v>447</v>
      </c>
      <c r="C95" s="5" t="s">
        <v>95</v>
      </c>
      <c r="D95" s="5" t="s">
        <v>96</v>
      </c>
      <c r="E95" s="5"/>
      <c r="F95" s="5" t="s">
        <v>448</v>
      </c>
      <c r="G95" s="5" t="s">
        <v>449</v>
      </c>
      <c r="H95" s="5" t="s">
        <v>450</v>
      </c>
      <c r="I95" s="5" t="s">
        <v>451</v>
      </c>
      <c r="J95" s="6"/>
      <c r="K95" s="6"/>
      <c r="L95" s="6"/>
    </row>
    <row r="96" spans="1:12" ht="84" x14ac:dyDescent="0.35">
      <c r="A96" s="4">
        <v>95</v>
      </c>
      <c r="B96" s="5" t="s">
        <v>452</v>
      </c>
      <c r="C96" s="5" t="s">
        <v>453</v>
      </c>
      <c r="D96" s="5" t="s">
        <v>320</v>
      </c>
      <c r="E96" s="5" t="s">
        <v>454</v>
      </c>
      <c r="F96" s="5" t="s">
        <v>455</v>
      </c>
      <c r="G96" s="5" t="s">
        <v>99</v>
      </c>
      <c r="H96" s="5" t="s">
        <v>100</v>
      </c>
      <c r="I96" s="5" t="s">
        <v>456</v>
      </c>
      <c r="J96" s="6"/>
      <c r="K96" s="6"/>
      <c r="L96" s="6"/>
    </row>
    <row r="97" spans="1:12" ht="70" x14ac:dyDescent="0.35">
      <c r="A97" s="4">
        <v>96</v>
      </c>
      <c r="B97" s="5" t="s">
        <v>457</v>
      </c>
      <c r="C97" s="5" t="s">
        <v>19</v>
      </c>
      <c r="D97" s="5" t="s">
        <v>17</v>
      </c>
      <c r="E97" s="5" t="s">
        <v>458</v>
      </c>
      <c r="F97" s="5" t="s">
        <v>459</v>
      </c>
      <c r="G97" s="5" t="s">
        <v>87</v>
      </c>
      <c r="H97" s="5" t="s">
        <v>88</v>
      </c>
      <c r="I97" s="5" t="s">
        <v>460</v>
      </c>
      <c r="J97" s="6"/>
      <c r="K97" s="6"/>
      <c r="L97" s="6"/>
    </row>
    <row r="98" spans="1:12" ht="409.5" x14ac:dyDescent="0.35">
      <c r="A98" s="4">
        <v>97</v>
      </c>
      <c r="B98" s="5" t="s">
        <v>461</v>
      </c>
      <c r="C98" s="5" t="s">
        <v>462</v>
      </c>
      <c r="D98" s="5" t="s">
        <v>462</v>
      </c>
      <c r="E98" s="5" t="s">
        <v>463</v>
      </c>
      <c r="F98" s="5" t="s">
        <v>464</v>
      </c>
      <c r="G98" s="5" t="s">
        <v>465</v>
      </c>
      <c r="H98" s="5" t="s">
        <v>466</v>
      </c>
      <c r="I98" s="5"/>
      <c r="J98" s="6"/>
      <c r="K98" s="6"/>
      <c r="L98" s="6"/>
    </row>
    <row r="99" spans="1:12" ht="126" x14ac:dyDescent="0.35">
      <c r="A99" s="4">
        <v>98</v>
      </c>
      <c r="B99" s="5" t="s">
        <v>467</v>
      </c>
      <c r="C99" s="5" t="s">
        <v>273</v>
      </c>
      <c r="D99" s="5" t="s">
        <v>273</v>
      </c>
      <c r="E99" s="5"/>
      <c r="F99" s="5" t="s">
        <v>468</v>
      </c>
      <c r="G99" s="5" t="s">
        <v>469</v>
      </c>
      <c r="H99" s="5" t="s">
        <v>470</v>
      </c>
      <c r="I99" s="5" t="s">
        <v>471</v>
      </c>
      <c r="J99" s="6"/>
      <c r="K99" s="6"/>
      <c r="L99" s="6"/>
    </row>
    <row r="100" spans="1:12" ht="406" x14ac:dyDescent="0.35">
      <c r="A100" s="4">
        <v>99</v>
      </c>
      <c r="B100" s="5" t="s">
        <v>445</v>
      </c>
      <c r="C100" s="5" t="s">
        <v>19</v>
      </c>
      <c r="D100" s="5" t="s">
        <v>17</v>
      </c>
      <c r="E100" s="5" t="s">
        <v>446</v>
      </c>
      <c r="F100" s="5" t="s">
        <v>162</v>
      </c>
      <c r="G100" s="5" t="s">
        <v>19</v>
      </c>
      <c r="H100" s="5" t="s">
        <v>17</v>
      </c>
      <c r="I100" s="5"/>
      <c r="J100" s="6"/>
      <c r="K100" s="6"/>
      <c r="L100" s="6"/>
    </row>
    <row r="101" spans="1:12" ht="56" x14ac:dyDescent="0.35">
      <c r="A101" s="4">
        <v>100</v>
      </c>
      <c r="B101" s="5" t="s">
        <v>472</v>
      </c>
      <c r="C101" s="5" t="s">
        <v>29</v>
      </c>
      <c r="D101" s="5" t="s">
        <v>30</v>
      </c>
      <c r="E101" s="5" t="s">
        <v>473</v>
      </c>
      <c r="F101" s="5" t="s">
        <v>474</v>
      </c>
      <c r="G101" s="5" t="s">
        <v>475</v>
      </c>
      <c r="H101" s="5" t="s">
        <v>476</v>
      </c>
      <c r="I101" s="5" t="s">
        <v>477</v>
      </c>
      <c r="J101" s="6"/>
      <c r="K101" s="6"/>
      <c r="L101" s="6"/>
    </row>
    <row r="102" spans="1:12" ht="140" x14ac:dyDescent="0.35">
      <c r="A102" s="4">
        <v>101</v>
      </c>
      <c r="B102" s="5" t="s">
        <v>478</v>
      </c>
      <c r="C102" s="5" t="s">
        <v>416</v>
      </c>
      <c r="D102" s="5" t="s">
        <v>416</v>
      </c>
      <c r="E102" s="5"/>
      <c r="F102" s="5" t="s">
        <v>286</v>
      </c>
      <c r="G102" s="5" t="s">
        <v>287</v>
      </c>
      <c r="H102" s="5" t="s">
        <v>288</v>
      </c>
      <c r="I102" s="5" t="s">
        <v>289</v>
      </c>
      <c r="J102" s="6"/>
      <c r="K102" s="6"/>
      <c r="L102" s="6"/>
    </row>
    <row r="103" spans="1:12" ht="406" x14ac:dyDescent="0.35">
      <c r="A103" s="4">
        <v>102</v>
      </c>
      <c r="B103" s="5" t="s">
        <v>479</v>
      </c>
      <c r="C103" s="5" t="s">
        <v>381</v>
      </c>
      <c r="D103" s="5" t="s">
        <v>382</v>
      </c>
      <c r="E103" s="5" t="s">
        <v>383</v>
      </c>
      <c r="F103" s="5" t="s">
        <v>480</v>
      </c>
      <c r="G103" s="5" t="s">
        <v>481</v>
      </c>
      <c r="H103" s="5" t="s">
        <v>482</v>
      </c>
      <c r="I103" s="5"/>
      <c r="J103" s="6"/>
      <c r="K103" s="6"/>
      <c r="L103" s="6"/>
    </row>
    <row r="104" spans="1:12" ht="364" x14ac:dyDescent="0.35">
      <c r="A104" s="4">
        <v>103</v>
      </c>
      <c r="B104" s="5" t="s">
        <v>333</v>
      </c>
      <c r="C104" s="5" t="s">
        <v>334</v>
      </c>
      <c r="D104" s="5" t="s">
        <v>335</v>
      </c>
      <c r="E104" s="5" t="s">
        <v>336</v>
      </c>
      <c r="F104" s="5" t="s">
        <v>483</v>
      </c>
      <c r="G104" s="5" t="s">
        <v>484</v>
      </c>
      <c r="H104" s="5" t="s">
        <v>339</v>
      </c>
      <c r="I104" s="5" t="s">
        <v>485</v>
      </c>
      <c r="J104" s="6"/>
      <c r="K104" s="6"/>
      <c r="L104" s="6"/>
    </row>
    <row r="105" spans="1:12" ht="224" x14ac:dyDescent="0.35">
      <c r="A105" s="4">
        <v>104</v>
      </c>
      <c r="B105" s="5" t="s">
        <v>486</v>
      </c>
      <c r="C105" s="5" t="s">
        <v>487</v>
      </c>
      <c r="D105" s="5" t="s">
        <v>488</v>
      </c>
      <c r="E105" s="5" t="s">
        <v>489</v>
      </c>
      <c r="F105" s="5" t="s">
        <v>490</v>
      </c>
      <c r="G105" s="5" t="s">
        <v>491</v>
      </c>
      <c r="H105" s="5" t="s">
        <v>261</v>
      </c>
      <c r="I105" s="5"/>
      <c r="J105" s="6"/>
      <c r="K105" s="6"/>
      <c r="L105" s="6"/>
    </row>
    <row r="106" spans="1:12" ht="168" x14ac:dyDescent="0.35">
      <c r="A106" s="4">
        <v>105</v>
      </c>
      <c r="B106" s="5" t="s">
        <v>492</v>
      </c>
      <c r="C106" s="5" t="s">
        <v>273</v>
      </c>
      <c r="D106" s="5" t="s">
        <v>273</v>
      </c>
      <c r="E106" s="5" t="s">
        <v>493</v>
      </c>
      <c r="F106" s="5" t="s">
        <v>494</v>
      </c>
      <c r="G106" s="5" t="s">
        <v>16</v>
      </c>
      <c r="H106" s="5" t="s">
        <v>17</v>
      </c>
      <c r="I106" s="5" t="s">
        <v>495</v>
      </c>
      <c r="J106" s="6"/>
      <c r="K106" s="6"/>
      <c r="L106" s="6"/>
    </row>
    <row r="107" spans="1:12" ht="84" x14ac:dyDescent="0.35">
      <c r="A107" s="4">
        <v>106</v>
      </c>
      <c r="B107" s="5" t="s">
        <v>496</v>
      </c>
      <c r="C107" s="5" t="s">
        <v>19</v>
      </c>
      <c r="D107" s="5" t="s">
        <v>17</v>
      </c>
      <c r="E107" s="5" t="s">
        <v>497</v>
      </c>
      <c r="F107" s="5" t="s">
        <v>498</v>
      </c>
      <c r="G107" s="5" t="s">
        <v>128</v>
      </c>
      <c r="H107" s="5" t="s">
        <v>129</v>
      </c>
      <c r="I107" s="5"/>
      <c r="J107" s="6"/>
      <c r="K107" s="6"/>
      <c r="L107" s="6"/>
    </row>
    <row r="108" spans="1:12" ht="392" x14ac:dyDescent="0.35">
      <c r="A108" s="4">
        <v>107</v>
      </c>
      <c r="B108" s="5" t="s">
        <v>386</v>
      </c>
      <c r="C108" s="5" t="s">
        <v>387</v>
      </c>
      <c r="D108" s="5" t="s">
        <v>387</v>
      </c>
      <c r="E108" s="5" t="s">
        <v>312</v>
      </c>
      <c r="F108" s="5" t="s">
        <v>499</v>
      </c>
      <c r="G108" s="5" t="s">
        <v>260</v>
      </c>
      <c r="H108" s="5" t="s">
        <v>261</v>
      </c>
      <c r="I108" s="5" t="s">
        <v>500</v>
      </c>
      <c r="J108" s="6"/>
      <c r="K108" s="6"/>
      <c r="L108" s="6"/>
    </row>
    <row r="109" spans="1:12" ht="409.5" x14ac:dyDescent="0.35">
      <c r="A109" s="4">
        <v>108</v>
      </c>
      <c r="B109" s="5" t="s">
        <v>501</v>
      </c>
      <c r="C109" s="5" t="s">
        <v>22</v>
      </c>
      <c r="D109" s="5" t="s">
        <v>22</v>
      </c>
      <c r="E109" s="5" t="s">
        <v>23</v>
      </c>
      <c r="F109" s="5" t="s">
        <v>502</v>
      </c>
      <c r="G109" s="5" t="s">
        <v>503</v>
      </c>
      <c r="H109" s="5" t="s">
        <v>504</v>
      </c>
      <c r="I109" s="5"/>
      <c r="J109" s="6"/>
      <c r="K109" s="6"/>
      <c r="L109" s="6"/>
    </row>
    <row r="110" spans="1:12" ht="140" x14ac:dyDescent="0.35">
      <c r="A110" s="4">
        <v>109</v>
      </c>
      <c r="B110" s="5" t="s">
        <v>505</v>
      </c>
      <c r="C110" s="5" t="s">
        <v>506</v>
      </c>
      <c r="D110" s="5" t="s">
        <v>507</v>
      </c>
      <c r="E110" s="5"/>
      <c r="F110" s="5" t="s">
        <v>508</v>
      </c>
      <c r="G110" s="5" t="s">
        <v>509</v>
      </c>
      <c r="H110" s="5" t="s">
        <v>507</v>
      </c>
      <c r="I110" s="5" t="s">
        <v>510</v>
      </c>
      <c r="J110" s="6"/>
      <c r="K110" s="6"/>
      <c r="L110" s="6"/>
    </row>
    <row r="111" spans="1:12" ht="406" x14ac:dyDescent="0.35">
      <c r="A111" s="4">
        <v>110</v>
      </c>
      <c r="B111" s="5" t="s">
        <v>511</v>
      </c>
      <c r="C111" s="5" t="s">
        <v>128</v>
      </c>
      <c r="D111" s="5" t="s">
        <v>129</v>
      </c>
      <c r="E111" s="5"/>
      <c r="F111" s="5" t="s">
        <v>512</v>
      </c>
      <c r="G111" s="5" t="s">
        <v>19</v>
      </c>
      <c r="H111" s="5" t="s">
        <v>17</v>
      </c>
      <c r="I111" s="5" t="s">
        <v>446</v>
      </c>
      <c r="J111" s="6"/>
      <c r="K111" s="6"/>
      <c r="L111" s="6"/>
    </row>
    <row r="112" spans="1:12" ht="364" x14ac:dyDescent="0.35">
      <c r="A112" s="4">
        <v>111</v>
      </c>
      <c r="B112" s="5" t="s">
        <v>147</v>
      </c>
      <c r="C112" s="5" t="s">
        <v>148</v>
      </c>
      <c r="D112" s="5" t="s">
        <v>40</v>
      </c>
      <c r="E112" s="5" t="s">
        <v>149</v>
      </c>
      <c r="F112" s="5" t="s">
        <v>513</v>
      </c>
      <c r="G112" s="5" t="s">
        <v>514</v>
      </c>
      <c r="H112" s="5" t="s">
        <v>515</v>
      </c>
      <c r="I112" s="5" t="s">
        <v>516</v>
      </c>
      <c r="J112" s="6"/>
      <c r="K112" s="6"/>
      <c r="L112" s="6"/>
    </row>
    <row r="113" spans="1:12" ht="56" x14ac:dyDescent="0.35">
      <c r="A113" s="4">
        <v>112</v>
      </c>
      <c r="B113" s="5" t="s">
        <v>517</v>
      </c>
      <c r="C113" s="5" t="s">
        <v>54</v>
      </c>
      <c r="D113" s="5" t="s">
        <v>30</v>
      </c>
      <c r="E113" s="5"/>
      <c r="F113" s="5" t="s">
        <v>518</v>
      </c>
      <c r="G113" s="5" t="s">
        <v>519</v>
      </c>
      <c r="H113" s="5" t="s">
        <v>520</v>
      </c>
      <c r="I113" s="5"/>
      <c r="J113" s="6"/>
      <c r="K113" s="6"/>
      <c r="L113" s="6"/>
    </row>
    <row r="114" spans="1:12" x14ac:dyDescent="0.35">
      <c r="A114" s="4">
        <v>113</v>
      </c>
      <c r="B114" s="5" t="s">
        <v>521</v>
      </c>
      <c r="C114" s="5" t="s">
        <v>16</v>
      </c>
      <c r="D114" s="5" t="s">
        <v>17</v>
      </c>
      <c r="E114" s="5"/>
      <c r="F114" s="5" t="s">
        <v>522</v>
      </c>
      <c r="G114" s="5" t="s">
        <v>128</v>
      </c>
      <c r="H114" s="5" t="s">
        <v>129</v>
      </c>
      <c r="I114" s="5"/>
      <c r="J114" s="6"/>
      <c r="K114" s="6"/>
      <c r="L114" s="6"/>
    </row>
    <row r="115" spans="1:12" ht="392" x14ac:dyDescent="0.35">
      <c r="A115" s="4">
        <v>114</v>
      </c>
      <c r="B115" s="5" t="s">
        <v>523</v>
      </c>
      <c r="C115" s="5" t="s">
        <v>524</v>
      </c>
      <c r="D115" s="5" t="s">
        <v>33</v>
      </c>
      <c r="E115" s="5" t="s">
        <v>525</v>
      </c>
      <c r="F115" s="5" t="s">
        <v>526</v>
      </c>
      <c r="G115" s="5" t="s">
        <v>19</v>
      </c>
      <c r="H115" s="5" t="s">
        <v>17</v>
      </c>
      <c r="I115" s="5"/>
      <c r="J115" s="6"/>
      <c r="K115" s="6"/>
      <c r="L115" s="6"/>
    </row>
    <row r="116" spans="1:12" ht="28" x14ac:dyDescent="0.35">
      <c r="A116" s="4">
        <v>115</v>
      </c>
      <c r="B116" s="5" t="s">
        <v>179</v>
      </c>
      <c r="C116" s="5" t="s">
        <v>169</v>
      </c>
      <c r="D116" s="5" t="s">
        <v>170</v>
      </c>
      <c r="E116" s="5"/>
      <c r="F116" s="5" t="s">
        <v>527</v>
      </c>
      <c r="G116" s="5" t="s">
        <v>528</v>
      </c>
      <c r="H116" s="5" t="s">
        <v>40</v>
      </c>
      <c r="I116" s="5"/>
      <c r="J116" s="6"/>
      <c r="K116" s="6"/>
      <c r="L116" s="6"/>
    </row>
    <row r="117" spans="1:12" ht="154" x14ac:dyDescent="0.35">
      <c r="A117" s="4">
        <v>116</v>
      </c>
      <c r="B117" s="5" t="s">
        <v>529</v>
      </c>
      <c r="C117" s="5" t="s">
        <v>230</v>
      </c>
      <c r="D117" s="5" t="s">
        <v>186</v>
      </c>
      <c r="E117" s="5" t="s">
        <v>530</v>
      </c>
      <c r="F117" s="5" t="s">
        <v>531</v>
      </c>
      <c r="G117" s="5" t="s">
        <v>532</v>
      </c>
      <c r="H117" s="5" t="s">
        <v>533</v>
      </c>
      <c r="I117" s="5" t="s">
        <v>534</v>
      </c>
      <c r="J117" s="6"/>
      <c r="K117" s="6"/>
      <c r="L117" s="6"/>
    </row>
    <row r="118" spans="1:12" ht="126" x14ac:dyDescent="0.35">
      <c r="A118" s="4">
        <v>117</v>
      </c>
      <c r="B118" s="5" t="s">
        <v>535</v>
      </c>
      <c r="C118" s="5" t="s">
        <v>536</v>
      </c>
      <c r="D118" s="5" t="s">
        <v>270</v>
      </c>
      <c r="E118" s="5" t="s">
        <v>537</v>
      </c>
      <c r="F118" s="5" t="s">
        <v>538</v>
      </c>
      <c r="G118" s="5" t="s">
        <v>539</v>
      </c>
      <c r="H118" s="5" t="s">
        <v>540</v>
      </c>
      <c r="I118" s="5"/>
      <c r="J118" s="6"/>
      <c r="K118" s="6"/>
      <c r="L118" s="6"/>
    </row>
    <row r="119" spans="1:12" ht="140" x14ac:dyDescent="0.35">
      <c r="A119" s="4">
        <v>118</v>
      </c>
      <c r="B119" s="5" t="s">
        <v>541</v>
      </c>
      <c r="C119" s="5" t="s">
        <v>542</v>
      </c>
      <c r="D119" s="5" t="s">
        <v>543</v>
      </c>
      <c r="E119" s="5" t="s">
        <v>544</v>
      </c>
      <c r="F119" s="5" t="s">
        <v>55</v>
      </c>
      <c r="G119" s="5" t="s">
        <v>56</v>
      </c>
      <c r="H119" s="5" t="s">
        <v>40</v>
      </c>
      <c r="I119" s="5" t="s">
        <v>57</v>
      </c>
      <c r="J119" s="6"/>
      <c r="K119" s="6"/>
      <c r="L119" s="6"/>
    </row>
    <row r="120" spans="1:12" ht="112" x14ac:dyDescent="0.35">
      <c r="A120" s="4">
        <v>119</v>
      </c>
      <c r="B120" s="5" t="s">
        <v>144</v>
      </c>
      <c r="C120" s="5" t="s">
        <v>145</v>
      </c>
      <c r="D120" s="5" t="s">
        <v>146</v>
      </c>
      <c r="E120" s="5"/>
      <c r="F120" s="5" t="s">
        <v>34</v>
      </c>
      <c r="G120" s="5" t="s">
        <v>35</v>
      </c>
      <c r="H120" s="5" t="s">
        <v>36</v>
      </c>
      <c r="I120" s="5" t="s">
        <v>37</v>
      </c>
      <c r="J120" s="6"/>
      <c r="K120" s="6"/>
      <c r="L120" s="6"/>
    </row>
    <row r="121" spans="1:12" ht="42" x14ac:dyDescent="0.35">
      <c r="A121" s="4">
        <v>120</v>
      </c>
      <c r="B121" s="5" t="s">
        <v>545</v>
      </c>
      <c r="C121" s="5" t="s">
        <v>546</v>
      </c>
      <c r="D121" s="5" t="s">
        <v>547</v>
      </c>
      <c r="E121" s="5" t="s">
        <v>548</v>
      </c>
      <c r="F121" s="5" t="s">
        <v>549</v>
      </c>
      <c r="G121" s="5" t="s">
        <v>99</v>
      </c>
      <c r="H121" s="5" t="s">
        <v>100</v>
      </c>
      <c r="I121" s="5" t="s">
        <v>456</v>
      </c>
      <c r="J121" s="6"/>
      <c r="K121" s="6"/>
      <c r="L121" s="6"/>
    </row>
  </sheetData>
  <dataValidations count="2">
    <dataValidation type="list" allowBlank="1" sqref="J2:J121" xr:uid="{00000000-0002-0000-0100-000000000000}">
      <formula1>"same,nested,related,different,unclear"</formula1>
    </dataValidation>
    <dataValidation type="list" allowBlank="1" sqref="K2:K121" xr:uid="{00000000-0002-0000-0100-000001000000}">
      <formula1>"A narrower,B narrower,equal,can't say"</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1"/>
  <sheetViews>
    <sheetView workbookViewId="0"/>
  </sheetViews>
  <sheetFormatPr defaultRowHeight="14.5" x14ac:dyDescent="0.35"/>
  <sheetData>
    <row r="1" spans="1:14" x14ac:dyDescent="0.35">
      <c r="A1" s="7" t="s">
        <v>0</v>
      </c>
      <c r="B1" s="7" t="s">
        <v>564</v>
      </c>
      <c r="C1" s="7" t="s">
        <v>565</v>
      </c>
      <c r="D1" s="7" t="s">
        <v>566</v>
      </c>
      <c r="E1" s="7" t="s">
        <v>567</v>
      </c>
      <c r="F1" s="7" t="s">
        <v>568</v>
      </c>
      <c r="G1" s="7" t="s">
        <v>569</v>
      </c>
      <c r="H1" s="7" t="s">
        <v>570</v>
      </c>
      <c r="I1" s="7" t="s">
        <v>571</v>
      </c>
      <c r="J1" s="7" t="s">
        <v>572</v>
      </c>
      <c r="K1" s="7" t="s">
        <v>573</v>
      </c>
      <c r="L1" s="7" t="s">
        <v>574</v>
      </c>
      <c r="M1" s="7" t="s">
        <v>575</v>
      </c>
      <c r="N1" s="7" t="s">
        <v>576</v>
      </c>
    </row>
    <row r="2" spans="1:14" x14ac:dyDescent="0.35">
      <c r="A2" s="7">
        <v>1</v>
      </c>
      <c r="B2" s="7" t="s">
        <v>577</v>
      </c>
      <c r="C2" s="7" t="s">
        <v>578</v>
      </c>
      <c r="D2" s="7">
        <v>-0.25</v>
      </c>
      <c r="E2" s="7" t="s">
        <v>578</v>
      </c>
      <c r="F2" s="7" t="s">
        <v>579</v>
      </c>
      <c r="G2" s="7" t="s">
        <v>580</v>
      </c>
      <c r="H2" s="7" t="s">
        <v>581</v>
      </c>
      <c r="I2" s="7" t="s">
        <v>14</v>
      </c>
      <c r="J2" s="7" t="s">
        <v>17</v>
      </c>
      <c r="K2" s="7"/>
      <c r="L2" s="7" t="s">
        <v>582</v>
      </c>
      <c r="M2" s="7" t="s">
        <v>583</v>
      </c>
      <c r="N2" s="7">
        <v>766577</v>
      </c>
    </row>
    <row r="3" spans="1:14" x14ac:dyDescent="0.35">
      <c r="A3" s="7">
        <v>2</v>
      </c>
      <c r="B3" s="7" t="s">
        <v>584</v>
      </c>
      <c r="C3" s="7" t="s">
        <v>585</v>
      </c>
      <c r="D3" s="7">
        <v>1</v>
      </c>
      <c r="E3" s="7" t="s">
        <v>585</v>
      </c>
      <c r="F3" s="7" t="s">
        <v>579</v>
      </c>
      <c r="G3" s="7" t="s">
        <v>581</v>
      </c>
      <c r="H3" s="7" t="s">
        <v>581</v>
      </c>
      <c r="I3" s="7" t="s">
        <v>17</v>
      </c>
      <c r="J3" s="7" t="s">
        <v>17</v>
      </c>
      <c r="K3" s="7"/>
      <c r="L3" s="7" t="s">
        <v>582</v>
      </c>
      <c r="M3" s="7" t="s">
        <v>586</v>
      </c>
      <c r="N3" s="7">
        <v>366329</v>
      </c>
    </row>
    <row r="4" spans="1:14" x14ac:dyDescent="0.35">
      <c r="A4" s="7">
        <v>3</v>
      </c>
      <c r="B4" s="7" t="s">
        <v>587</v>
      </c>
      <c r="C4" s="7" t="s">
        <v>588</v>
      </c>
      <c r="D4" s="7">
        <v>0.2</v>
      </c>
      <c r="E4" s="7" t="s">
        <v>589</v>
      </c>
      <c r="F4" s="7" t="s">
        <v>579</v>
      </c>
      <c r="G4" s="7" t="s">
        <v>590</v>
      </c>
      <c r="H4" s="7" t="s">
        <v>591</v>
      </c>
      <c r="I4" s="7" t="s">
        <v>22</v>
      </c>
      <c r="J4" s="7" t="s">
        <v>26</v>
      </c>
      <c r="K4" s="7"/>
      <c r="L4" s="7" t="s">
        <v>582</v>
      </c>
      <c r="M4" s="7" t="s">
        <v>586</v>
      </c>
      <c r="N4" s="7">
        <v>123498</v>
      </c>
    </row>
    <row r="5" spans="1:14" x14ac:dyDescent="0.35">
      <c r="A5" s="7">
        <v>4</v>
      </c>
      <c r="B5" s="7" t="s">
        <v>577</v>
      </c>
      <c r="C5" s="7" t="s">
        <v>578</v>
      </c>
      <c r="D5" s="7">
        <v>-0.25</v>
      </c>
      <c r="E5" s="7" t="s">
        <v>578</v>
      </c>
      <c r="F5" s="7" t="s">
        <v>579</v>
      </c>
      <c r="G5" s="7" t="s">
        <v>592</v>
      </c>
      <c r="H5" s="7" t="s">
        <v>593</v>
      </c>
      <c r="I5" s="7" t="s">
        <v>30</v>
      </c>
      <c r="J5" s="7" t="s">
        <v>33</v>
      </c>
      <c r="K5" s="7"/>
      <c r="L5" s="7" t="s">
        <v>582</v>
      </c>
      <c r="M5" s="7" t="s">
        <v>583</v>
      </c>
      <c r="N5" s="7">
        <v>247369</v>
      </c>
    </row>
    <row r="6" spans="1:14" x14ac:dyDescent="0.35">
      <c r="A6" s="7">
        <v>5</v>
      </c>
      <c r="B6" s="7" t="s">
        <v>594</v>
      </c>
      <c r="C6" s="7" t="s">
        <v>594</v>
      </c>
      <c r="D6" s="7">
        <v>0.7</v>
      </c>
      <c r="E6" s="7" t="s">
        <v>595</v>
      </c>
      <c r="F6" s="7" t="s">
        <v>579</v>
      </c>
      <c r="G6" s="7" t="s">
        <v>596</v>
      </c>
      <c r="H6" s="7" t="s">
        <v>597</v>
      </c>
      <c r="I6" s="7" t="s">
        <v>36</v>
      </c>
      <c r="J6" s="7" t="s">
        <v>40</v>
      </c>
      <c r="K6" s="7" t="s">
        <v>598</v>
      </c>
      <c r="L6" s="7" t="s">
        <v>582</v>
      </c>
      <c r="M6" s="7" t="s">
        <v>583</v>
      </c>
      <c r="N6" s="7">
        <v>967725</v>
      </c>
    </row>
    <row r="7" spans="1:14" x14ac:dyDescent="0.35">
      <c r="A7" s="7">
        <v>6</v>
      </c>
      <c r="B7" s="7" t="s">
        <v>599</v>
      </c>
      <c r="C7" s="7" t="s">
        <v>578</v>
      </c>
      <c r="D7" s="7">
        <v>-0.25</v>
      </c>
      <c r="E7" s="7" t="s">
        <v>578</v>
      </c>
      <c r="F7" s="7" t="s">
        <v>579</v>
      </c>
      <c r="G7" s="7" t="s">
        <v>581</v>
      </c>
      <c r="H7" s="7" t="s">
        <v>597</v>
      </c>
      <c r="I7" s="7" t="s">
        <v>17</v>
      </c>
      <c r="J7" s="7" t="s">
        <v>45</v>
      </c>
      <c r="K7" s="7"/>
      <c r="L7" s="7" t="s">
        <v>582</v>
      </c>
      <c r="M7" s="7" t="s">
        <v>586</v>
      </c>
      <c r="N7" s="7">
        <v>741343</v>
      </c>
    </row>
    <row r="8" spans="1:14" x14ac:dyDescent="0.35">
      <c r="A8" s="7">
        <v>7</v>
      </c>
      <c r="B8" s="7" t="s">
        <v>599</v>
      </c>
      <c r="C8" s="7" t="s">
        <v>578</v>
      </c>
      <c r="D8" s="7">
        <v>-0.25</v>
      </c>
      <c r="E8" s="7" t="s">
        <v>578</v>
      </c>
      <c r="F8" s="7" t="s">
        <v>579</v>
      </c>
      <c r="G8" s="7" t="s">
        <v>581</v>
      </c>
      <c r="H8" s="7" t="s">
        <v>600</v>
      </c>
      <c r="I8" s="7" t="s">
        <v>17</v>
      </c>
      <c r="J8" s="7" t="s">
        <v>51</v>
      </c>
      <c r="K8" s="7"/>
      <c r="L8" s="7" t="s">
        <v>582</v>
      </c>
      <c r="M8" s="7" t="s">
        <v>586</v>
      </c>
      <c r="N8" s="7">
        <v>770107</v>
      </c>
    </row>
    <row r="9" spans="1:14" x14ac:dyDescent="0.35">
      <c r="A9" s="7">
        <v>8</v>
      </c>
      <c r="B9" s="7" t="s">
        <v>594</v>
      </c>
      <c r="C9" s="7" t="s">
        <v>594</v>
      </c>
      <c r="D9" s="7">
        <v>0.7</v>
      </c>
      <c r="E9" s="7" t="s">
        <v>595</v>
      </c>
      <c r="F9" s="7" t="s">
        <v>579</v>
      </c>
      <c r="G9" s="7" t="s">
        <v>592</v>
      </c>
      <c r="H9" s="7" t="s">
        <v>597</v>
      </c>
      <c r="I9" s="7" t="s">
        <v>30</v>
      </c>
      <c r="J9" s="7" t="s">
        <v>40</v>
      </c>
      <c r="K9" s="7" t="s">
        <v>601</v>
      </c>
      <c r="L9" s="7" t="s">
        <v>582</v>
      </c>
      <c r="M9" s="7" t="s">
        <v>583</v>
      </c>
      <c r="N9" s="7">
        <v>621160</v>
      </c>
    </row>
    <row r="10" spans="1:14" x14ac:dyDescent="0.35">
      <c r="A10" s="7">
        <v>9</v>
      </c>
      <c r="B10" s="7" t="s">
        <v>584</v>
      </c>
      <c r="C10" s="7" t="s">
        <v>585</v>
      </c>
      <c r="D10" s="7">
        <v>1</v>
      </c>
      <c r="E10" s="7" t="s">
        <v>585</v>
      </c>
      <c r="F10" s="7" t="s">
        <v>579</v>
      </c>
      <c r="G10" s="7" t="s">
        <v>597</v>
      </c>
      <c r="H10" s="7" t="s">
        <v>597</v>
      </c>
      <c r="I10" s="7" t="s">
        <v>40</v>
      </c>
      <c r="J10" s="7" t="s">
        <v>40</v>
      </c>
      <c r="K10" s="7"/>
      <c r="L10" s="7" t="s">
        <v>582</v>
      </c>
      <c r="M10" s="7" t="s">
        <v>586</v>
      </c>
      <c r="N10" s="7">
        <v>959785</v>
      </c>
    </row>
    <row r="11" spans="1:14" x14ac:dyDescent="0.35">
      <c r="A11" s="7">
        <v>10</v>
      </c>
      <c r="B11" s="7" t="s">
        <v>594</v>
      </c>
      <c r="C11" s="7" t="s">
        <v>594</v>
      </c>
      <c r="D11" s="7">
        <v>0.7</v>
      </c>
      <c r="E11" s="7" t="s">
        <v>595</v>
      </c>
      <c r="F11" s="7" t="s">
        <v>579</v>
      </c>
      <c r="G11" s="7" t="s">
        <v>597</v>
      </c>
      <c r="H11" s="7" t="s">
        <v>596</v>
      </c>
      <c r="I11" s="7" t="s">
        <v>40</v>
      </c>
      <c r="J11" s="7" t="s">
        <v>36</v>
      </c>
      <c r="K11" s="7" t="s">
        <v>601</v>
      </c>
      <c r="L11" s="7" t="s">
        <v>582</v>
      </c>
      <c r="M11" s="7" t="s">
        <v>586</v>
      </c>
      <c r="N11" s="7">
        <v>963972</v>
      </c>
    </row>
    <row r="12" spans="1:14" x14ac:dyDescent="0.35">
      <c r="A12" s="7">
        <v>11</v>
      </c>
      <c r="B12" s="7" t="s">
        <v>602</v>
      </c>
      <c r="C12" s="7" t="s">
        <v>588</v>
      </c>
      <c r="D12" s="7">
        <v>0.2</v>
      </c>
      <c r="E12" s="7" t="s">
        <v>603</v>
      </c>
      <c r="F12" s="7" t="s">
        <v>579</v>
      </c>
      <c r="G12" s="7" t="s">
        <v>591</v>
      </c>
      <c r="H12" s="7" t="s">
        <v>591</v>
      </c>
      <c r="I12" s="7" t="s">
        <v>604</v>
      </c>
      <c r="J12" s="7" t="s">
        <v>71</v>
      </c>
      <c r="K12" s="7"/>
      <c r="L12" s="7" t="s">
        <v>582</v>
      </c>
      <c r="M12" s="7" t="s">
        <v>583</v>
      </c>
      <c r="N12" s="7">
        <v>497085</v>
      </c>
    </row>
    <row r="13" spans="1:14" x14ac:dyDescent="0.35">
      <c r="A13" s="7">
        <v>12</v>
      </c>
      <c r="B13" s="7" t="s">
        <v>605</v>
      </c>
      <c r="C13" s="7" t="s">
        <v>588</v>
      </c>
      <c r="D13" s="7">
        <v>0.2</v>
      </c>
      <c r="E13" s="7" t="s">
        <v>606</v>
      </c>
      <c r="F13" s="7" t="s">
        <v>579</v>
      </c>
      <c r="G13" s="7" t="s">
        <v>590</v>
      </c>
      <c r="H13" s="7" t="s">
        <v>607</v>
      </c>
      <c r="I13" s="7" t="s">
        <v>22</v>
      </c>
      <c r="J13" s="7" t="s">
        <v>77</v>
      </c>
      <c r="K13" s="7"/>
      <c r="L13" s="7" t="s">
        <v>582</v>
      </c>
      <c r="M13" s="7" t="s">
        <v>586</v>
      </c>
      <c r="N13" s="7">
        <v>152953</v>
      </c>
    </row>
    <row r="14" spans="1:14" x14ac:dyDescent="0.35">
      <c r="A14" s="7">
        <v>13</v>
      </c>
      <c r="B14" s="7" t="s">
        <v>605</v>
      </c>
      <c r="C14" s="7" t="s">
        <v>588</v>
      </c>
      <c r="D14" s="7">
        <v>0.2</v>
      </c>
      <c r="E14" s="7" t="s">
        <v>606</v>
      </c>
      <c r="F14" s="7" t="s">
        <v>579</v>
      </c>
      <c r="G14" s="7" t="s">
        <v>607</v>
      </c>
      <c r="H14" s="7" t="s">
        <v>590</v>
      </c>
      <c r="I14" s="7" t="s">
        <v>77</v>
      </c>
      <c r="J14" s="7" t="s">
        <v>82</v>
      </c>
      <c r="K14" s="7"/>
      <c r="L14" s="7" t="s">
        <v>582</v>
      </c>
      <c r="M14" s="7" t="s">
        <v>583</v>
      </c>
      <c r="N14" s="7">
        <v>238015</v>
      </c>
    </row>
    <row r="15" spans="1:14" x14ac:dyDescent="0.35">
      <c r="A15" s="7">
        <v>14</v>
      </c>
      <c r="B15" s="7" t="s">
        <v>599</v>
      </c>
      <c r="C15" s="7" t="s">
        <v>578</v>
      </c>
      <c r="D15" s="7">
        <v>-0.25</v>
      </c>
      <c r="E15" s="7" t="s">
        <v>578</v>
      </c>
      <c r="F15" s="7" t="s">
        <v>579</v>
      </c>
      <c r="G15" s="7" t="s">
        <v>581</v>
      </c>
      <c r="H15" s="7" t="s">
        <v>597</v>
      </c>
      <c r="I15" s="7" t="s">
        <v>17</v>
      </c>
      <c r="J15" s="7" t="s">
        <v>88</v>
      </c>
      <c r="K15" s="7"/>
      <c r="L15" s="7" t="s">
        <v>582</v>
      </c>
      <c r="M15" s="7" t="s">
        <v>586</v>
      </c>
      <c r="N15" s="7">
        <v>721056</v>
      </c>
    </row>
    <row r="16" spans="1:14" x14ac:dyDescent="0.35">
      <c r="A16" s="7">
        <v>15</v>
      </c>
      <c r="B16" s="7" t="s">
        <v>608</v>
      </c>
      <c r="C16" s="7" t="s">
        <v>585</v>
      </c>
      <c r="D16" s="7">
        <v>1</v>
      </c>
      <c r="E16" s="7" t="s">
        <v>585</v>
      </c>
      <c r="F16" s="7" t="s">
        <v>579</v>
      </c>
      <c r="G16" s="7" t="s">
        <v>581</v>
      </c>
      <c r="H16" s="7" t="s">
        <v>581</v>
      </c>
      <c r="I16" s="7" t="s">
        <v>17</v>
      </c>
      <c r="J16" s="7" t="s">
        <v>93</v>
      </c>
      <c r="K16" s="7"/>
      <c r="L16" s="7" t="s">
        <v>582</v>
      </c>
      <c r="M16" s="7" t="s">
        <v>586</v>
      </c>
      <c r="N16" s="7">
        <v>769729</v>
      </c>
    </row>
    <row r="17" spans="1:14" x14ac:dyDescent="0.35">
      <c r="A17" s="7">
        <v>16</v>
      </c>
      <c r="B17" s="7" t="s">
        <v>599</v>
      </c>
      <c r="C17" s="7" t="s">
        <v>578</v>
      </c>
      <c r="D17" s="7">
        <v>-0.25</v>
      </c>
      <c r="E17" s="7" t="s">
        <v>578</v>
      </c>
      <c r="F17" s="7" t="s">
        <v>579</v>
      </c>
      <c r="G17" s="7" t="s">
        <v>581</v>
      </c>
      <c r="H17" s="7" t="s">
        <v>609</v>
      </c>
      <c r="I17" s="7" t="s">
        <v>17</v>
      </c>
      <c r="J17" s="7" t="s">
        <v>96</v>
      </c>
      <c r="K17" s="7"/>
      <c r="L17" s="7" t="s">
        <v>582</v>
      </c>
      <c r="M17" s="7" t="s">
        <v>586</v>
      </c>
      <c r="N17" s="7">
        <v>741161</v>
      </c>
    </row>
    <row r="18" spans="1:14" x14ac:dyDescent="0.35">
      <c r="A18" s="7">
        <v>17</v>
      </c>
      <c r="B18" s="7" t="s">
        <v>594</v>
      </c>
      <c r="C18" s="7" t="s">
        <v>594</v>
      </c>
      <c r="D18" s="7">
        <v>0.7</v>
      </c>
      <c r="E18" s="7" t="s">
        <v>595</v>
      </c>
      <c r="F18" s="7" t="s">
        <v>579</v>
      </c>
      <c r="G18" s="7" t="s">
        <v>592</v>
      </c>
      <c r="H18" s="7" t="s">
        <v>597</v>
      </c>
      <c r="I18" s="7" t="s">
        <v>100</v>
      </c>
      <c r="J18" s="7" t="s">
        <v>40</v>
      </c>
      <c r="K18" s="7" t="s">
        <v>601</v>
      </c>
      <c r="L18" s="7" t="s">
        <v>582</v>
      </c>
      <c r="M18" s="7" t="s">
        <v>583</v>
      </c>
      <c r="N18" s="7">
        <v>944927</v>
      </c>
    </row>
    <row r="19" spans="1:14" x14ac:dyDescent="0.35">
      <c r="A19" s="7">
        <v>18</v>
      </c>
      <c r="B19" s="7" t="s">
        <v>599</v>
      </c>
      <c r="C19" s="7" t="s">
        <v>578</v>
      </c>
      <c r="D19" s="7">
        <v>-0.25</v>
      </c>
      <c r="E19" s="7" t="s">
        <v>578</v>
      </c>
      <c r="F19" s="7" t="s">
        <v>579</v>
      </c>
      <c r="G19" s="7" t="s">
        <v>610</v>
      </c>
      <c r="H19" s="7" t="s">
        <v>592</v>
      </c>
      <c r="I19" s="7" t="s">
        <v>107</v>
      </c>
      <c r="J19" s="7" t="s">
        <v>30</v>
      </c>
      <c r="K19" s="7"/>
      <c r="L19" s="7" t="s">
        <v>582</v>
      </c>
      <c r="M19" s="7" t="s">
        <v>583</v>
      </c>
      <c r="N19" s="7">
        <v>676091</v>
      </c>
    </row>
    <row r="20" spans="1:14" x14ac:dyDescent="0.35">
      <c r="A20" s="7">
        <v>19</v>
      </c>
      <c r="B20" s="7" t="s">
        <v>599</v>
      </c>
      <c r="C20" s="7" t="s">
        <v>578</v>
      </c>
      <c r="D20" s="7">
        <v>-0.25</v>
      </c>
      <c r="E20" s="7" t="s">
        <v>578</v>
      </c>
      <c r="F20" s="7" t="s">
        <v>579</v>
      </c>
      <c r="G20" s="7" t="s">
        <v>592</v>
      </c>
      <c r="H20" s="7" t="s">
        <v>611</v>
      </c>
      <c r="I20" s="7" t="s">
        <v>114</v>
      </c>
      <c r="J20" s="7" t="s">
        <v>612</v>
      </c>
      <c r="K20" s="7"/>
      <c r="L20" s="7" t="s">
        <v>582</v>
      </c>
      <c r="M20" s="7" t="s">
        <v>583</v>
      </c>
      <c r="N20" s="7">
        <v>16333</v>
      </c>
    </row>
    <row r="21" spans="1:14" x14ac:dyDescent="0.35">
      <c r="A21" s="7">
        <v>20</v>
      </c>
      <c r="B21" s="7" t="s">
        <v>587</v>
      </c>
      <c r="C21" s="7" t="s">
        <v>588</v>
      </c>
      <c r="D21" s="7">
        <v>0.2</v>
      </c>
      <c r="E21" s="7" t="s">
        <v>589</v>
      </c>
      <c r="F21" s="7" t="s">
        <v>579</v>
      </c>
      <c r="G21" s="7" t="s">
        <v>590</v>
      </c>
      <c r="H21" s="7" t="s">
        <v>591</v>
      </c>
      <c r="I21" s="7" t="s">
        <v>121</v>
      </c>
      <c r="J21" s="7" t="s">
        <v>125</v>
      </c>
      <c r="K21" s="7"/>
      <c r="L21" s="7" t="s">
        <v>582</v>
      </c>
      <c r="M21" s="7" t="s">
        <v>586</v>
      </c>
      <c r="N21" s="7">
        <v>461631</v>
      </c>
    </row>
    <row r="22" spans="1:14" x14ac:dyDescent="0.35">
      <c r="A22" s="7">
        <v>21</v>
      </c>
      <c r="B22" s="7" t="s">
        <v>594</v>
      </c>
      <c r="C22" s="7" t="s">
        <v>594</v>
      </c>
      <c r="D22" s="7">
        <v>0.7</v>
      </c>
      <c r="E22" s="7" t="s">
        <v>613</v>
      </c>
      <c r="F22" s="7" t="s">
        <v>579</v>
      </c>
      <c r="G22" s="7" t="s">
        <v>614</v>
      </c>
      <c r="H22" s="7" t="s">
        <v>581</v>
      </c>
      <c r="I22" s="7" t="s">
        <v>129</v>
      </c>
      <c r="J22" s="7" t="s">
        <v>17</v>
      </c>
      <c r="K22" s="7" t="s">
        <v>598</v>
      </c>
      <c r="L22" s="7" t="s">
        <v>582</v>
      </c>
      <c r="M22" s="7" t="s">
        <v>583</v>
      </c>
      <c r="N22" s="7">
        <v>511922</v>
      </c>
    </row>
    <row r="23" spans="1:14" x14ac:dyDescent="0.35">
      <c r="A23" s="7">
        <v>22</v>
      </c>
      <c r="B23" s="7" t="s">
        <v>599</v>
      </c>
      <c r="C23" s="7" t="s">
        <v>578</v>
      </c>
      <c r="D23" s="7">
        <v>-0.25</v>
      </c>
      <c r="E23" s="7" t="s">
        <v>578</v>
      </c>
      <c r="F23" s="7" t="s">
        <v>579</v>
      </c>
      <c r="G23" s="7" t="s">
        <v>581</v>
      </c>
      <c r="H23" s="7" t="s">
        <v>609</v>
      </c>
      <c r="I23" s="7" t="s">
        <v>17</v>
      </c>
      <c r="J23" s="7" t="s">
        <v>96</v>
      </c>
      <c r="K23" s="7"/>
      <c r="L23" s="7" t="s">
        <v>582</v>
      </c>
      <c r="M23" s="7" t="s">
        <v>586</v>
      </c>
      <c r="N23" s="7">
        <v>506308</v>
      </c>
    </row>
    <row r="24" spans="1:14" x14ac:dyDescent="0.35">
      <c r="A24" s="7">
        <v>23</v>
      </c>
      <c r="B24" s="7" t="s">
        <v>587</v>
      </c>
      <c r="C24" s="7" t="s">
        <v>588</v>
      </c>
      <c r="D24" s="7">
        <v>0.2</v>
      </c>
      <c r="E24" s="7" t="s">
        <v>589</v>
      </c>
      <c r="F24" s="7" t="s">
        <v>579</v>
      </c>
      <c r="G24" s="7" t="s">
        <v>615</v>
      </c>
      <c r="H24" s="7" t="s">
        <v>616</v>
      </c>
      <c r="I24" s="7" t="s">
        <v>139</v>
      </c>
      <c r="J24" s="7" t="s">
        <v>617</v>
      </c>
      <c r="K24" s="7"/>
      <c r="L24" s="7" t="s">
        <v>582</v>
      </c>
      <c r="M24" s="7" t="s">
        <v>583</v>
      </c>
      <c r="N24" s="7">
        <v>587472</v>
      </c>
    </row>
    <row r="25" spans="1:14" x14ac:dyDescent="0.35">
      <c r="A25" s="7">
        <v>24</v>
      </c>
      <c r="B25" s="7" t="s">
        <v>587</v>
      </c>
      <c r="C25" s="7" t="s">
        <v>588</v>
      </c>
      <c r="D25" s="7">
        <v>0.2</v>
      </c>
      <c r="E25" s="7" t="s">
        <v>589</v>
      </c>
      <c r="F25" s="7" t="s">
        <v>579</v>
      </c>
      <c r="G25" s="7" t="s">
        <v>618</v>
      </c>
      <c r="H25" s="7" t="s">
        <v>597</v>
      </c>
      <c r="I25" s="7" t="s">
        <v>146</v>
      </c>
      <c r="J25" s="7" t="s">
        <v>40</v>
      </c>
      <c r="K25" s="7"/>
      <c r="L25" s="7" t="s">
        <v>582</v>
      </c>
      <c r="M25" s="7" t="s">
        <v>583</v>
      </c>
      <c r="N25" s="7">
        <v>336774</v>
      </c>
    </row>
    <row r="26" spans="1:14" x14ac:dyDescent="0.35">
      <c r="A26" s="7">
        <v>25</v>
      </c>
      <c r="B26" s="7" t="s">
        <v>577</v>
      </c>
      <c r="C26" s="7" t="s">
        <v>578</v>
      </c>
      <c r="D26" s="7">
        <v>-0.25</v>
      </c>
      <c r="E26" s="7" t="s">
        <v>578</v>
      </c>
      <c r="F26" s="7" t="s">
        <v>579</v>
      </c>
      <c r="G26" s="7" t="s">
        <v>619</v>
      </c>
      <c r="H26" s="7" t="s">
        <v>592</v>
      </c>
      <c r="I26" s="7" t="s">
        <v>152</v>
      </c>
      <c r="J26" s="7" t="s">
        <v>100</v>
      </c>
      <c r="K26" s="7"/>
      <c r="L26" s="7" t="s">
        <v>582</v>
      </c>
      <c r="M26" s="7" t="s">
        <v>583</v>
      </c>
      <c r="N26" s="7">
        <v>918316</v>
      </c>
    </row>
    <row r="27" spans="1:14" x14ac:dyDescent="0.35">
      <c r="A27" s="7">
        <v>26</v>
      </c>
      <c r="B27" s="7" t="s">
        <v>584</v>
      </c>
      <c r="C27" s="7" t="s">
        <v>585</v>
      </c>
      <c r="D27" s="7">
        <v>1</v>
      </c>
      <c r="E27" s="7" t="s">
        <v>585</v>
      </c>
      <c r="F27" s="7" t="s">
        <v>579</v>
      </c>
      <c r="G27" s="7" t="s">
        <v>609</v>
      </c>
      <c r="H27" s="7" t="s">
        <v>609</v>
      </c>
      <c r="I27" s="7" t="s">
        <v>96</v>
      </c>
      <c r="J27" s="7" t="s">
        <v>96</v>
      </c>
      <c r="K27" s="7"/>
      <c r="L27" s="7" t="s">
        <v>582</v>
      </c>
      <c r="M27" s="7" t="s">
        <v>583</v>
      </c>
      <c r="N27" s="7">
        <v>822067</v>
      </c>
    </row>
    <row r="28" spans="1:14" x14ac:dyDescent="0.35">
      <c r="A28" s="7">
        <v>27</v>
      </c>
      <c r="B28" s="7" t="s">
        <v>584</v>
      </c>
      <c r="C28" s="7" t="s">
        <v>585</v>
      </c>
      <c r="D28" s="7">
        <v>1</v>
      </c>
      <c r="E28" s="7" t="s">
        <v>585</v>
      </c>
      <c r="F28" s="7" t="s">
        <v>579</v>
      </c>
      <c r="G28" s="7" t="s">
        <v>581</v>
      </c>
      <c r="H28" s="7" t="s">
        <v>581</v>
      </c>
      <c r="I28" s="7" t="s">
        <v>17</v>
      </c>
      <c r="J28" s="7" t="s">
        <v>17</v>
      </c>
      <c r="K28" s="7"/>
      <c r="L28" s="7" t="s">
        <v>582</v>
      </c>
      <c r="M28" s="7" t="s">
        <v>586</v>
      </c>
      <c r="N28" s="7">
        <v>922489</v>
      </c>
    </row>
    <row r="29" spans="1:14" x14ac:dyDescent="0.35">
      <c r="A29" s="7">
        <v>28</v>
      </c>
      <c r="B29" s="7" t="s">
        <v>594</v>
      </c>
      <c r="C29" s="7" t="s">
        <v>594</v>
      </c>
      <c r="D29" s="7">
        <v>0.7</v>
      </c>
      <c r="E29" s="7" t="s">
        <v>613</v>
      </c>
      <c r="F29" s="7" t="s">
        <v>579</v>
      </c>
      <c r="G29" s="7" t="s">
        <v>620</v>
      </c>
      <c r="H29" s="7" t="s">
        <v>621</v>
      </c>
      <c r="I29" s="7" t="s">
        <v>167</v>
      </c>
      <c r="J29" s="7" t="s">
        <v>170</v>
      </c>
      <c r="K29" s="7" t="s">
        <v>598</v>
      </c>
      <c r="L29" s="7" t="s">
        <v>582</v>
      </c>
      <c r="M29" s="7" t="s">
        <v>583</v>
      </c>
      <c r="N29" s="7">
        <v>979523</v>
      </c>
    </row>
    <row r="30" spans="1:14" x14ac:dyDescent="0.35">
      <c r="A30" s="7">
        <v>29</v>
      </c>
      <c r="B30" s="7" t="s">
        <v>584</v>
      </c>
      <c r="C30" s="7" t="s">
        <v>585</v>
      </c>
      <c r="D30" s="7">
        <v>1</v>
      </c>
      <c r="E30" s="7" t="s">
        <v>585</v>
      </c>
      <c r="F30" s="7" t="s">
        <v>579</v>
      </c>
      <c r="G30" s="7" t="s">
        <v>609</v>
      </c>
      <c r="H30" s="7" t="s">
        <v>609</v>
      </c>
      <c r="I30" s="7" t="s">
        <v>96</v>
      </c>
      <c r="J30" s="7" t="s">
        <v>96</v>
      </c>
      <c r="K30" s="7"/>
      <c r="L30" s="7" t="s">
        <v>582</v>
      </c>
      <c r="M30" s="7" t="s">
        <v>583</v>
      </c>
      <c r="N30" s="7">
        <v>847367</v>
      </c>
    </row>
    <row r="31" spans="1:14" x14ac:dyDescent="0.35">
      <c r="A31" s="7">
        <v>30</v>
      </c>
      <c r="B31" s="7" t="s">
        <v>587</v>
      </c>
      <c r="C31" s="7" t="s">
        <v>588</v>
      </c>
      <c r="D31" s="7">
        <v>0.2</v>
      </c>
      <c r="E31" s="7" t="s">
        <v>589</v>
      </c>
      <c r="F31" s="7" t="s">
        <v>579</v>
      </c>
      <c r="G31" s="7" t="s">
        <v>616</v>
      </c>
      <c r="H31" s="7" t="s">
        <v>621</v>
      </c>
      <c r="I31" s="7" t="s">
        <v>178</v>
      </c>
      <c r="J31" s="7" t="s">
        <v>170</v>
      </c>
      <c r="K31" s="7"/>
      <c r="L31" s="7" t="s">
        <v>582</v>
      </c>
      <c r="M31" s="7" t="s">
        <v>583</v>
      </c>
      <c r="N31" s="7">
        <v>676546</v>
      </c>
    </row>
    <row r="32" spans="1:14" x14ac:dyDescent="0.35">
      <c r="A32" s="7">
        <v>31</v>
      </c>
      <c r="B32" s="7" t="s">
        <v>608</v>
      </c>
      <c r="C32" s="7" t="s">
        <v>585</v>
      </c>
      <c r="D32" s="7">
        <v>1</v>
      </c>
      <c r="E32" s="7" t="s">
        <v>585</v>
      </c>
      <c r="F32" s="7" t="s">
        <v>579</v>
      </c>
      <c r="G32" s="7" t="s">
        <v>590</v>
      </c>
      <c r="H32" s="7" t="s">
        <v>590</v>
      </c>
      <c r="I32" s="7" t="s">
        <v>22</v>
      </c>
      <c r="J32" s="7" t="s">
        <v>183</v>
      </c>
      <c r="K32" s="7"/>
      <c r="L32" s="7" t="s">
        <v>582</v>
      </c>
      <c r="M32" s="7" t="s">
        <v>586</v>
      </c>
      <c r="N32" s="7">
        <v>134947</v>
      </c>
    </row>
    <row r="33" spans="1:14" x14ac:dyDescent="0.35">
      <c r="A33" s="7">
        <v>32</v>
      </c>
      <c r="B33" s="7" t="s">
        <v>584</v>
      </c>
      <c r="C33" s="7" t="s">
        <v>585</v>
      </c>
      <c r="D33" s="7">
        <v>1</v>
      </c>
      <c r="E33" s="7" t="s">
        <v>585</v>
      </c>
      <c r="F33" s="7" t="s">
        <v>579</v>
      </c>
      <c r="G33" s="7" t="s">
        <v>622</v>
      </c>
      <c r="H33" s="7" t="s">
        <v>622</v>
      </c>
      <c r="I33" s="7" t="s">
        <v>186</v>
      </c>
      <c r="J33" s="7" t="s">
        <v>186</v>
      </c>
      <c r="K33" s="7"/>
      <c r="L33" s="7" t="s">
        <v>582</v>
      </c>
      <c r="M33" s="7" t="s">
        <v>583</v>
      </c>
      <c r="N33" s="7">
        <v>854665</v>
      </c>
    </row>
    <row r="34" spans="1:14" x14ac:dyDescent="0.35">
      <c r="A34" s="7">
        <v>33</v>
      </c>
      <c r="B34" s="7" t="s">
        <v>605</v>
      </c>
      <c r="C34" s="7" t="s">
        <v>588</v>
      </c>
      <c r="D34" s="7">
        <v>0.2</v>
      </c>
      <c r="E34" s="7" t="s">
        <v>606</v>
      </c>
      <c r="F34" s="7" t="s">
        <v>579</v>
      </c>
      <c r="G34" s="7" t="s">
        <v>623</v>
      </c>
      <c r="H34" s="7" t="s">
        <v>590</v>
      </c>
      <c r="I34" s="7" t="s">
        <v>192</v>
      </c>
      <c r="J34" s="7" t="s">
        <v>261</v>
      </c>
      <c r="K34" s="7"/>
      <c r="L34" s="7" t="s">
        <v>582</v>
      </c>
      <c r="M34" s="7" t="s">
        <v>583</v>
      </c>
      <c r="N34" s="7">
        <v>182660</v>
      </c>
    </row>
    <row r="35" spans="1:14" x14ac:dyDescent="0.35">
      <c r="A35" s="7">
        <v>34</v>
      </c>
      <c r="B35" s="7" t="s">
        <v>599</v>
      </c>
      <c r="C35" s="7" t="s">
        <v>578</v>
      </c>
      <c r="D35" s="7">
        <v>-0.25</v>
      </c>
      <c r="E35" s="7" t="s">
        <v>578</v>
      </c>
      <c r="F35" s="7" t="s">
        <v>579</v>
      </c>
      <c r="G35" s="7" t="s">
        <v>580</v>
      </c>
      <c r="H35" s="7" t="s">
        <v>621</v>
      </c>
      <c r="I35" s="7" t="s">
        <v>14</v>
      </c>
      <c r="J35" s="7" t="s">
        <v>170</v>
      </c>
      <c r="K35" s="7"/>
      <c r="L35" s="7" t="s">
        <v>582</v>
      </c>
      <c r="M35" s="7" t="s">
        <v>583</v>
      </c>
      <c r="N35" s="7">
        <v>625552</v>
      </c>
    </row>
    <row r="36" spans="1:14" x14ac:dyDescent="0.35">
      <c r="A36" s="7">
        <v>35</v>
      </c>
      <c r="B36" s="7" t="s">
        <v>587</v>
      </c>
      <c r="C36" s="7" t="s">
        <v>588</v>
      </c>
      <c r="D36" s="7">
        <v>0.2</v>
      </c>
      <c r="E36" s="7" t="s">
        <v>589</v>
      </c>
      <c r="F36" s="7" t="s">
        <v>579</v>
      </c>
      <c r="G36" s="7" t="s">
        <v>590</v>
      </c>
      <c r="H36" s="7" t="s">
        <v>624</v>
      </c>
      <c r="I36" s="7" t="s">
        <v>205</v>
      </c>
      <c r="J36" s="7" t="s">
        <v>209</v>
      </c>
      <c r="K36" s="7"/>
      <c r="L36" s="7" t="s">
        <v>582</v>
      </c>
      <c r="M36" s="7" t="s">
        <v>586</v>
      </c>
      <c r="N36" s="7">
        <v>158363</v>
      </c>
    </row>
    <row r="37" spans="1:14" x14ac:dyDescent="0.35">
      <c r="A37" s="7">
        <v>36</v>
      </c>
      <c r="B37" s="7" t="s">
        <v>577</v>
      </c>
      <c r="C37" s="7" t="s">
        <v>578</v>
      </c>
      <c r="D37" s="7">
        <v>-0.25</v>
      </c>
      <c r="E37" s="7" t="s">
        <v>578</v>
      </c>
      <c r="F37" s="7" t="s">
        <v>579</v>
      </c>
      <c r="G37" s="7" t="s">
        <v>592</v>
      </c>
      <c r="H37" s="7" t="s">
        <v>610</v>
      </c>
      <c r="I37" s="7" t="s">
        <v>30</v>
      </c>
      <c r="J37" s="7" t="s">
        <v>213</v>
      </c>
      <c r="K37" s="7"/>
      <c r="L37" s="7" t="s">
        <v>582</v>
      </c>
      <c r="M37" s="7" t="s">
        <v>583</v>
      </c>
      <c r="N37" s="7">
        <v>582566</v>
      </c>
    </row>
    <row r="38" spans="1:14" x14ac:dyDescent="0.35">
      <c r="A38" s="7">
        <v>37</v>
      </c>
      <c r="B38" s="7" t="s">
        <v>608</v>
      </c>
      <c r="C38" s="7" t="s">
        <v>585</v>
      </c>
      <c r="D38" s="7">
        <v>1</v>
      </c>
      <c r="E38" s="7" t="s">
        <v>585</v>
      </c>
      <c r="F38" s="7" t="s">
        <v>579</v>
      </c>
      <c r="G38" s="7" t="s">
        <v>590</v>
      </c>
      <c r="H38" s="7" t="s">
        <v>590</v>
      </c>
      <c r="I38" s="7" t="s">
        <v>183</v>
      </c>
      <c r="J38" s="7" t="s">
        <v>22</v>
      </c>
      <c r="K38" s="7"/>
      <c r="L38" s="7" t="s">
        <v>582</v>
      </c>
      <c r="M38" s="7" t="s">
        <v>586</v>
      </c>
      <c r="N38" s="7">
        <v>44662</v>
      </c>
    </row>
    <row r="39" spans="1:14" x14ac:dyDescent="0.35">
      <c r="A39" s="7">
        <v>38</v>
      </c>
      <c r="B39" s="7" t="s">
        <v>584</v>
      </c>
      <c r="C39" s="7" t="s">
        <v>585</v>
      </c>
      <c r="D39" s="7">
        <v>1</v>
      </c>
      <c r="E39" s="7" t="s">
        <v>585</v>
      </c>
      <c r="F39" s="7" t="s">
        <v>579</v>
      </c>
      <c r="G39" s="7" t="s">
        <v>581</v>
      </c>
      <c r="H39" s="7" t="s">
        <v>581</v>
      </c>
      <c r="I39" s="7" t="s">
        <v>17</v>
      </c>
      <c r="J39" s="7" t="s">
        <v>17</v>
      </c>
      <c r="K39" s="7"/>
      <c r="L39" s="7" t="s">
        <v>582</v>
      </c>
      <c r="M39" s="7" t="s">
        <v>586</v>
      </c>
      <c r="N39" s="7">
        <v>415344</v>
      </c>
    </row>
    <row r="40" spans="1:14" x14ac:dyDescent="0.35">
      <c r="A40" s="7">
        <v>39</v>
      </c>
      <c r="B40" s="7" t="s">
        <v>587</v>
      </c>
      <c r="C40" s="7" t="s">
        <v>588</v>
      </c>
      <c r="D40" s="7">
        <v>0.2</v>
      </c>
      <c r="E40" s="7" t="s">
        <v>589</v>
      </c>
      <c r="F40" s="7" t="s">
        <v>579</v>
      </c>
      <c r="G40" s="7" t="s">
        <v>624</v>
      </c>
      <c r="H40" s="7" t="s">
        <v>609</v>
      </c>
      <c r="I40" s="7" t="s">
        <v>224</v>
      </c>
      <c r="J40" s="7" t="s">
        <v>96</v>
      </c>
      <c r="K40" s="7"/>
      <c r="L40" s="7" t="s">
        <v>582</v>
      </c>
      <c r="M40" s="7" t="s">
        <v>583</v>
      </c>
      <c r="N40" s="7">
        <v>589071</v>
      </c>
    </row>
    <row r="41" spans="1:14" x14ac:dyDescent="0.35">
      <c r="A41" s="7">
        <v>40</v>
      </c>
      <c r="B41" s="7" t="s">
        <v>577</v>
      </c>
      <c r="C41" s="7" t="s">
        <v>578</v>
      </c>
      <c r="D41" s="7">
        <v>-0.25</v>
      </c>
      <c r="E41" s="7" t="s">
        <v>578</v>
      </c>
      <c r="F41" s="7" t="s">
        <v>579</v>
      </c>
      <c r="G41" s="7" t="s">
        <v>596</v>
      </c>
      <c r="H41" s="7" t="s">
        <v>622</v>
      </c>
      <c r="I41" s="7" t="s">
        <v>36</v>
      </c>
      <c r="J41" s="7" t="s">
        <v>186</v>
      </c>
      <c r="K41" s="7"/>
      <c r="L41" s="7" t="s">
        <v>582</v>
      </c>
      <c r="M41" s="7" t="s">
        <v>583</v>
      </c>
      <c r="N41" s="7">
        <v>969838</v>
      </c>
    </row>
    <row r="42" spans="1:14" x14ac:dyDescent="0.35">
      <c r="A42" s="7">
        <v>41</v>
      </c>
      <c r="B42" s="7" t="s">
        <v>584</v>
      </c>
      <c r="C42" s="7" t="s">
        <v>585</v>
      </c>
      <c r="D42" s="7">
        <v>1</v>
      </c>
      <c r="E42" s="7" t="s">
        <v>585</v>
      </c>
      <c r="F42" s="7" t="s">
        <v>579</v>
      </c>
      <c r="G42" s="7" t="s">
        <v>597</v>
      </c>
      <c r="H42" s="7" t="s">
        <v>597</v>
      </c>
      <c r="I42" s="7" t="s">
        <v>88</v>
      </c>
      <c r="J42" s="7" t="s">
        <v>40</v>
      </c>
      <c r="K42" s="7"/>
      <c r="L42" s="7" t="s">
        <v>582</v>
      </c>
      <c r="M42" s="7" t="s">
        <v>586</v>
      </c>
      <c r="N42" s="7">
        <v>914882</v>
      </c>
    </row>
    <row r="43" spans="1:14" x14ac:dyDescent="0.35">
      <c r="A43" s="7">
        <v>42</v>
      </c>
      <c r="B43" s="7" t="s">
        <v>577</v>
      </c>
      <c r="C43" s="7" t="s">
        <v>578</v>
      </c>
      <c r="D43" s="7">
        <v>-0.25</v>
      </c>
      <c r="E43" s="7" t="s">
        <v>578</v>
      </c>
      <c r="F43" s="7" t="s">
        <v>579</v>
      </c>
      <c r="G43" s="7" t="s">
        <v>593</v>
      </c>
      <c r="H43" s="7" t="s">
        <v>607</v>
      </c>
      <c r="I43" s="7" t="s">
        <v>33</v>
      </c>
      <c r="J43" s="7" t="s">
        <v>242</v>
      </c>
      <c r="K43" s="7"/>
      <c r="L43" s="7" t="s">
        <v>582</v>
      </c>
      <c r="M43" s="7" t="s">
        <v>583</v>
      </c>
      <c r="N43" s="7">
        <v>396614</v>
      </c>
    </row>
    <row r="44" spans="1:14" x14ac:dyDescent="0.35">
      <c r="A44" s="7">
        <v>43</v>
      </c>
      <c r="B44" s="7" t="s">
        <v>594</v>
      </c>
      <c r="C44" s="7" t="s">
        <v>594</v>
      </c>
      <c r="D44" s="7">
        <v>0.7</v>
      </c>
      <c r="E44" s="7" t="s">
        <v>613</v>
      </c>
      <c r="F44" s="7" t="s">
        <v>579</v>
      </c>
      <c r="G44" s="7" t="s">
        <v>614</v>
      </c>
      <c r="H44" s="7" t="s">
        <v>581</v>
      </c>
      <c r="I44" s="7" t="s">
        <v>129</v>
      </c>
      <c r="J44" s="7" t="s">
        <v>17</v>
      </c>
      <c r="K44" s="7" t="s">
        <v>598</v>
      </c>
      <c r="L44" s="7" t="s">
        <v>582</v>
      </c>
      <c r="M44" s="7" t="s">
        <v>583</v>
      </c>
      <c r="N44" s="7">
        <v>590222</v>
      </c>
    </row>
    <row r="45" spans="1:14" x14ac:dyDescent="0.35">
      <c r="A45" s="7">
        <v>44</v>
      </c>
      <c r="B45" s="7" t="s">
        <v>584</v>
      </c>
      <c r="C45" s="7" t="s">
        <v>585</v>
      </c>
      <c r="D45" s="7">
        <v>1</v>
      </c>
      <c r="E45" s="7" t="s">
        <v>585</v>
      </c>
      <c r="F45" s="7" t="s">
        <v>579</v>
      </c>
      <c r="G45" s="7" t="s">
        <v>609</v>
      </c>
      <c r="H45" s="7" t="s">
        <v>609</v>
      </c>
      <c r="I45" s="7" t="s">
        <v>96</v>
      </c>
      <c r="J45" s="7" t="s">
        <v>96</v>
      </c>
      <c r="K45" s="7"/>
      <c r="L45" s="7" t="s">
        <v>582</v>
      </c>
      <c r="M45" s="7" t="s">
        <v>583</v>
      </c>
      <c r="N45" s="7">
        <v>858529</v>
      </c>
    </row>
    <row r="46" spans="1:14" x14ac:dyDescent="0.35">
      <c r="A46" s="7">
        <v>45</v>
      </c>
      <c r="B46" s="7" t="s">
        <v>602</v>
      </c>
      <c r="C46" s="7" t="s">
        <v>588</v>
      </c>
      <c r="D46" s="7">
        <v>0.2</v>
      </c>
      <c r="E46" s="7" t="s">
        <v>603</v>
      </c>
      <c r="F46" s="7" t="s">
        <v>579</v>
      </c>
      <c r="G46" s="7" t="s">
        <v>591</v>
      </c>
      <c r="H46" s="7" t="s">
        <v>591</v>
      </c>
      <c r="I46" s="7" t="s">
        <v>125</v>
      </c>
      <c r="J46" s="7" t="s">
        <v>251</v>
      </c>
      <c r="K46" s="7"/>
      <c r="L46" s="7" t="s">
        <v>582</v>
      </c>
      <c r="M46" s="7" t="s">
        <v>583</v>
      </c>
      <c r="N46" s="7">
        <v>713466</v>
      </c>
    </row>
    <row r="47" spans="1:14" x14ac:dyDescent="0.35">
      <c r="A47" s="7">
        <v>46</v>
      </c>
      <c r="B47" s="7" t="s">
        <v>599</v>
      </c>
      <c r="C47" s="7" t="s">
        <v>578</v>
      </c>
      <c r="D47" s="7">
        <v>-0.25</v>
      </c>
      <c r="E47" s="7" t="s">
        <v>578</v>
      </c>
      <c r="F47" s="7" t="s">
        <v>579</v>
      </c>
      <c r="G47" s="7" t="s">
        <v>581</v>
      </c>
      <c r="H47" s="7" t="s">
        <v>597</v>
      </c>
      <c r="I47" s="7" t="s">
        <v>17</v>
      </c>
      <c r="J47" s="7" t="s">
        <v>40</v>
      </c>
      <c r="K47" s="7"/>
      <c r="L47" s="7" t="s">
        <v>582</v>
      </c>
      <c r="M47" s="7" t="s">
        <v>586</v>
      </c>
      <c r="N47" s="7">
        <v>466295</v>
      </c>
    </row>
    <row r="48" spans="1:14" x14ac:dyDescent="0.35">
      <c r="A48" s="7">
        <v>47</v>
      </c>
      <c r="B48" s="7" t="s">
        <v>577</v>
      </c>
      <c r="C48" s="7" t="s">
        <v>578</v>
      </c>
      <c r="D48" s="7">
        <v>-0.25</v>
      </c>
      <c r="E48" s="7" t="s">
        <v>578</v>
      </c>
      <c r="F48" s="7" t="s">
        <v>579</v>
      </c>
      <c r="G48" s="7" t="s">
        <v>590</v>
      </c>
      <c r="H48" s="7" t="s">
        <v>614</v>
      </c>
      <c r="I48" s="7" t="s">
        <v>205</v>
      </c>
      <c r="J48" s="7" t="s">
        <v>129</v>
      </c>
      <c r="K48" s="7"/>
      <c r="L48" s="7" t="s">
        <v>582</v>
      </c>
      <c r="M48" s="7" t="s">
        <v>586</v>
      </c>
      <c r="N48" s="7">
        <v>138961</v>
      </c>
    </row>
    <row r="49" spans="1:14" x14ac:dyDescent="0.35">
      <c r="A49" s="7">
        <v>48</v>
      </c>
      <c r="B49" s="7" t="s">
        <v>608</v>
      </c>
      <c r="C49" s="7" t="s">
        <v>585</v>
      </c>
      <c r="D49" s="7">
        <v>1</v>
      </c>
      <c r="E49" s="7" t="s">
        <v>585</v>
      </c>
      <c r="F49" s="7" t="s">
        <v>579</v>
      </c>
      <c r="G49" s="7" t="s">
        <v>590</v>
      </c>
      <c r="H49" s="7" t="s">
        <v>590</v>
      </c>
      <c r="I49" s="7" t="s">
        <v>261</v>
      </c>
      <c r="J49" s="7" t="s">
        <v>265</v>
      </c>
      <c r="K49" s="7"/>
      <c r="L49" s="7" t="s">
        <v>582</v>
      </c>
      <c r="M49" s="7" t="s">
        <v>586</v>
      </c>
      <c r="N49" s="7">
        <v>429222</v>
      </c>
    </row>
    <row r="50" spans="1:14" x14ac:dyDescent="0.35">
      <c r="A50" s="7">
        <v>49</v>
      </c>
      <c r="B50" s="7" t="s">
        <v>577</v>
      </c>
      <c r="C50" s="7" t="s">
        <v>578</v>
      </c>
      <c r="D50" s="7">
        <v>-0.25</v>
      </c>
      <c r="E50" s="7" t="s">
        <v>578</v>
      </c>
      <c r="F50" s="7" t="s">
        <v>579</v>
      </c>
      <c r="G50" s="7" t="s">
        <v>609</v>
      </c>
      <c r="H50" s="7" t="s">
        <v>597</v>
      </c>
      <c r="I50" s="7" t="s">
        <v>96</v>
      </c>
      <c r="J50" s="7" t="s">
        <v>270</v>
      </c>
      <c r="K50" s="7"/>
      <c r="L50" s="7" t="s">
        <v>582</v>
      </c>
      <c r="M50" s="7" t="s">
        <v>583</v>
      </c>
      <c r="N50" s="7">
        <v>882302</v>
      </c>
    </row>
    <row r="51" spans="1:14" x14ac:dyDescent="0.35">
      <c r="A51" s="7">
        <v>50</v>
      </c>
      <c r="B51" s="7" t="s">
        <v>587</v>
      </c>
      <c r="C51" s="7" t="s">
        <v>588</v>
      </c>
      <c r="D51" s="7">
        <v>0.2</v>
      </c>
      <c r="E51" s="7" t="s">
        <v>589</v>
      </c>
      <c r="F51" s="7" t="s">
        <v>579</v>
      </c>
      <c r="G51" s="7" t="s">
        <v>593</v>
      </c>
      <c r="H51" s="7" t="s">
        <v>616</v>
      </c>
      <c r="I51" s="7" t="s">
        <v>273</v>
      </c>
      <c r="J51" s="7" t="s">
        <v>617</v>
      </c>
      <c r="K51" s="7"/>
      <c r="L51" s="7" t="s">
        <v>582</v>
      </c>
      <c r="M51" s="7" t="s">
        <v>583</v>
      </c>
      <c r="N51" s="7">
        <v>392858</v>
      </c>
    </row>
    <row r="52" spans="1:14" x14ac:dyDescent="0.35">
      <c r="A52" s="7">
        <v>51</v>
      </c>
      <c r="B52" s="7" t="s">
        <v>602</v>
      </c>
      <c r="C52" s="7" t="s">
        <v>588</v>
      </c>
      <c r="D52" s="7">
        <v>0.2</v>
      </c>
      <c r="E52" s="7" t="s">
        <v>603</v>
      </c>
      <c r="F52" s="7" t="s">
        <v>579</v>
      </c>
      <c r="G52" s="7" t="s">
        <v>625</v>
      </c>
      <c r="H52" s="7" t="s">
        <v>625</v>
      </c>
      <c r="I52" s="7" t="s">
        <v>281</v>
      </c>
      <c r="J52" s="7" t="s">
        <v>284</v>
      </c>
      <c r="K52" s="7"/>
      <c r="L52" s="7" t="s">
        <v>582</v>
      </c>
      <c r="M52" s="7" t="s">
        <v>583</v>
      </c>
      <c r="N52" s="7">
        <v>607144</v>
      </c>
    </row>
    <row r="53" spans="1:14" x14ac:dyDescent="0.35">
      <c r="A53" s="7">
        <v>52</v>
      </c>
      <c r="B53" s="7" t="s">
        <v>587</v>
      </c>
      <c r="C53" s="7" t="s">
        <v>588</v>
      </c>
      <c r="D53" s="7">
        <v>0.2</v>
      </c>
      <c r="E53" s="7" t="s">
        <v>589</v>
      </c>
      <c r="F53" s="7" t="s">
        <v>579</v>
      </c>
      <c r="G53" s="7" t="s">
        <v>590</v>
      </c>
      <c r="H53" s="7" t="s">
        <v>624</v>
      </c>
      <c r="I53" s="7" t="s">
        <v>183</v>
      </c>
      <c r="J53" s="7" t="s">
        <v>626</v>
      </c>
      <c r="K53" s="7"/>
      <c r="L53" s="7" t="s">
        <v>582</v>
      </c>
      <c r="M53" s="7" t="s">
        <v>586</v>
      </c>
      <c r="N53" s="7">
        <v>45464</v>
      </c>
    </row>
    <row r="54" spans="1:14" x14ac:dyDescent="0.35">
      <c r="A54" s="7">
        <v>53</v>
      </c>
      <c r="B54" s="7" t="s">
        <v>599</v>
      </c>
      <c r="C54" s="7" t="s">
        <v>578</v>
      </c>
      <c r="D54" s="7">
        <v>-0.25</v>
      </c>
      <c r="E54" s="7" t="s">
        <v>578</v>
      </c>
      <c r="F54" s="7" t="s">
        <v>579</v>
      </c>
      <c r="G54" s="7" t="s">
        <v>623</v>
      </c>
      <c r="H54" s="7" t="s">
        <v>581</v>
      </c>
      <c r="I54" s="7" t="s">
        <v>192</v>
      </c>
      <c r="J54" s="7" t="s">
        <v>17</v>
      </c>
      <c r="K54" s="7"/>
      <c r="L54" s="7" t="s">
        <v>582</v>
      </c>
      <c r="M54" s="7" t="s">
        <v>583</v>
      </c>
      <c r="N54" s="7">
        <v>182338</v>
      </c>
    </row>
    <row r="55" spans="1:14" x14ac:dyDescent="0.35">
      <c r="A55" s="7">
        <v>54</v>
      </c>
      <c r="B55" s="7" t="s">
        <v>599</v>
      </c>
      <c r="C55" s="7" t="s">
        <v>578</v>
      </c>
      <c r="D55" s="7">
        <v>-0.25</v>
      </c>
      <c r="E55" s="7" t="s">
        <v>578</v>
      </c>
      <c r="F55" s="7" t="s">
        <v>579</v>
      </c>
      <c r="G55" s="7" t="s">
        <v>614</v>
      </c>
      <c r="H55" s="7" t="s">
        <v>592</v>
      </c>
      <c r="I55" s="7" t="s">
        <v>129</v>
      </c>
      <c r="J55" s="7" t="s">
        <v>30</v>
      </c>
      <c r="K55" s="7"/>
      <c r="L55" s="7" t="s">
        <v>582</v>
      </c>
      <c r="M55" s="7" t="s">
        <v>583</v>
      </c>
      <c r="N55" s="7">
        <v>739883</v>
      </c>
    </row>
    <row r="56" spans="1:14" x14ac:dyDescent="0.35">
      <c r="A56" s="7">
        <v>55</v>
      </c>
      <c r="B56" s="7" t="s">
        <v>594</v>
      </c>
      <c r="C56" s="7" t="s">
        <v>594</v>
      </c>
      <c r="D56" s="7">
        <v>0.7</v>
      </c>
      <c r="E56" s="7" t="s">
        <v>595</v>
      </c>
      <c r="F56" s="7" t="s">
        <v>579</v>
      </c>
      <c r="G56" s="7" t="s">
        <v>592</v>
      </c>
      <c r="H56" s="7" t="s">
        <v>597</v>
      </c>
      <c r="I56" s="7" t="s">
        <v>100</v>
      </c>
      <c r="J56" s="7" t="s">
        <v>40</v>
      </c>
      <c r="K56" s="7" t="s">
        <v>601</v>
      </c>
      <c r="L56" s="7" t="s">
        <v>582</v>
      </c>
      <c r="M56" s="7" t="s">
        <v>583</v>
      </c>
      <c r="N56" s="7">
        <v>940397</v>
      </c>
    </row>
    <row r="57" spans="1:14" x14ac:dyDescent="0.35">
      <c r="A57" s="7">
        <v>56</v>
      </c>
      <c r="B57" s="7" t="s">
        <v>608</v>
      </c>
      <c r="C57" s="7" t="s">
        <v>585</v>
      </c>
      <c r="D57" s="7">
        <v>1</v>
      </c>
      <c r="E57" s="7" t="s">
        <v>585</v>
      </c>
      <c r="F57" s="7" t="s">
        <v>579</v>
      </c>
      <c r="G57" s="7" t="s">
        <v>590</v>
      </c>
      <c r="H57" s="7" t="s">
        <v>590</v>
      </c>
      <c r="I57" s="7" t="s">
        <v>22</v>
      </c>
      <c r="J57" s="7" t="s">
        <v>303</v>
      </c>
      <c r="K57" s="7"/>
      <c r="L57" s="7" t="s">
        <v>582</v>
      </c>
      <c r="M57" s="7" t="s">
        <v>586</v>
      </c>
      <c r="N57" s="7">
        <v>128374</v>
      </c>
    </row>
    <row r="58" spans="1:14" x14ac:dyDescent="0.35">
      <c r="A58" s="7">
        <v>57</v>
      </c>
      <c r="B58" s="7" t="s">
        <v>594</v>
      </c>
      <c r="C58" s="7" t="s">
        <v>594</v>
      </c>
      <c r="D58" s="7">
        <v>0.7</v>
      </c>
      <c r="E58" s="7" t="s">
        <v>627</v>
      </c>
      <c r="F58" s="7" t="s">
        <v>579</v>
      </c>
      <c r="G58" s="7" t="s">
        <v>592</v>
      </c>
      <c r="H58" s="7" t="s">
        <v>596</v>
      </c>
      <c r="I58" s="7" t="s">
        <v>100</v>
      </c>
      <c r="J58" s="7" t="s">
        <v>36</v>
      </c>
      <c r="K58" s="7" t="s">
        <v>601</v>
      </c>
      <c r="L58" s="7" t="s">
        <v>582</v>
      </c>
      <c r="M58" s="7" t="s">
        <v>583</v>
      </c>
      <c r="N58" s="7">
        <v>938178</v>
      </c>
    </row>
    <row r="59" spans="1:14" x14ac:dyDescent="0.35">
      <c r="A59" s="7">
        <v>58</v>
      </c>
      <c r="B59" s="7" t="s">
        <v>577</v>
      </c>
      <c r="C59" s="7" t="s">
        <v>578</v>
      </c>
      <c r="D59" s="7">
        <v>-0.25</v>
      </c>
      <c r="E59" s="7" t="s">
        <v>578</v>
      </c>
      <c r="F59" s="7" t="s">
        <v>579</v>
      </c>
      <c r="G59" s="7" t="s">
        <v>592</v>
      </c>
      <c r="H59" s="7" t="s">
        <v>607</v>
      </c>
      <c r="I59" s="7" t="s">
        <v>30</v>
      </c>
      <c r="J59" s="7" t="s">
        <v>77</v>
      </c>
      <c r="K59" s="7"/>
      <c r="L59" s="7" t="s">
        <v>582</v>
      </c>
      <c r="M59" s="7" t="s">
        <v>583</v>
      </c>
      <c r="N59" s="7">
        <v>16993</v>
      </c>
    </row>
    <row r="60" spans="1:14" x14ac:dyDescent="0.35">
      <c r="A60" s="7">
        <v>59</v>
      </c>
      <c r="B60" s="7" t="s">
        <v>594</v>
      </c>
      <c r="C60" s="7" t="s">
        <v>594</v>
      </c>
      <c r="D60" s="7">
        <v>0.7</v>
      </c>
      <c r="E60" s="7" t="s">
        <v>613</v>
      </c>
      <c r="F60" s="7" t="s">
        <v>579</v>
      </c>
      <c r="G60" s="7" t="s">
        <v>614</v>
      </c>
      <c r="H60" s="7" t="s">
        <v>581</v>
      </c>
      <c r="I60" s="7" t="s">
        <v>129</v>
      </c>
      <c r="J60" s="7" t="s">
        <v>17</v>
      </c>
      <c r="K60" s="7" t="s">
        <v>598</v>
      </c>
      <c r="L60" s="7" t="s">
        <v>582</v>
      </c>
      <c r="M60" s="7" t="s">
        <v>583</v>
      </c>
      <c r="N60" s="7">
        <v>589723</v>
      </c>
    </row>
    <row r="61" spans="1:14" x14ac:dyDescent="0.35">
      <c r="A61" s="7">
        <v>60</v>
      </c>
      <c r="B61" s="7" t="s">
        <v>577</v>
      </c>
      <c r="C61" s="7" t="s">
        <v>578</v>
      </c>
      <c r="D61" s="7">
        <v>-0.25</v>
      </c>
      <c r="E61" s="7" t="s">
        <v>578</v>
      </c>
      <c r="F61" s="7" t="s">
        <v>579</v>
      </c>
      <c r="G61" s="7" t="s">
        <v>610</v>
      </c>
      <c r="H61" s="7" t="s">
        <v>580</v>
      </c>
      <c r="I61" s="7" t="s">
        <v>107</v>
      </c>
      <c r="J61" s="7" t="s">
        <v>14</v>
      </c>
      <c r="K61" s="7"/>
      <c r="L61" s="7" t="s">
        <v>582</v>
      </c>
      <c r="M61" s="7" t="s">
        <v>583</v>
      </c>
      <c r="N61" s="7">
        <v>682592</v>
      </c>
    </row>
    <row r="62" spans="1:14" x14ac:dyDescent="0.35">
      <c r="A62" s="7">
        <v>61</v>
      </c>
      <c r="B62" s="7" t="s">
        <v>594</v>
      </c>
      <c r="C62" s="7" t="s">
        <v>594</v>
      </c>
      <c r="D62" s="7">
        <v>0.7</v>
      </c>
      <c r="E62" s="7" t="s">
        <v>595</v>
      </c>
      <c r="F62" s="7" t="s">
        <v>579</v>
      </c>
      <c r="G62" s="7" t="s">
        <v>596</v>
      </c>
      <c r="H62" s="7" t="s">
        <v>597</v>
      </c>
      <c r="I62" s="7" t="s">
        <v>36</v>
      </c>
      <c r="J62" s="7" t="s">
        <v>40</v>
      </c>
      <c r="K62" s="7" t="s">
        <v>598</v>
      </c>
      <c r="L62" s="7" t="s">
        <v>582</v>
      </c>
      <c r="M62" s="7" t="s">
        <v>583</v>
      </c>
      <c r="N62" s="7">
        <v>973081</v>
      </c>
    </row>
    <row r="63" spans="1:14" x14ac:dyDescent="0.35">
      <c r="A63" s="7">
        <v>62</v>
      </c>
      <c r="B63" s="7" t="s">
        <v>599</v>
      </c>
      <c r="C63" s="7" t="s">
        <v>578</v>
      </c>
      <c r="D63" s="7">
        <v>-0.25</v>
      </c>
      <c r="E63" s="7" t="s">
        <v>578</v>
      </c>
      <c r="F63" s="7" t="s">
        <v>579</v>
      </c>
      <c r="G63" s="7" t="s">
        <v>581</v>
      </c>
      <c r="H63" s="7" t="s">
        <v>597</v>
      </c>
      <c r="I63" s="7" t="s">
        <v>17</v>
      </c>
      <c r="J63" s="7" t="s">
        <v>88</v>
      </c>
      <c r="K63" s="7"/>
      <c r="L63" s="7" t="s">
        <v>582</v>
      </c>
      <c r="M63" s="7" t="s">
        <v>586</v>
      </c>
      <c r="N63" s="7">
        <v>364273</v>
      </c>
    </row>
    <row r="64" spans="1:14" x14ac:dyDescent="0.35">
      <c r="A64" s="7">
        <v>63</v>
      </c>
      <c r="B64" s="7" t="s">
        <v>608</v>
      </c>
      <c r="C64" s="7" t="s">
        <v>585</v>
      </c>
      <c r="D64" s="7">
        <v>1</v>
      </c>
      <c r="E64" s="7" t="s">
        <v>585</v>
      </c>
      <c r="F64" s="7" t="s">
        <v>579</v>
      </c>
      <c r="G64" s="7" t="s">
        <v>610</v>
      </c>
      <c r="H64" s="7" t="s">
        <v>610</v>
      </c>
      <c r="I64" s="7" t="s">
        <v>628</v>
      </c>
      <c r="J64" s="7" t="s">
        <v>332</v>
      </c>
      <c r="K64" s="7"/>
      <c r="L64" s="7" t="s">
        <v>582</v>
      </c>
      <c r="M64" s="7" t="s">
        <v>583</v>
      </c>
      <c r="N64" s="7">
        <v>678566</v>
      </c>
    </row>
    <row r="65" spans="1:14" x14ac:dyDescent="0.35">
      <c r="A65" s="7">
        <v>64</v>
      </c>
      <c r="B65" s="7" t="s">
        <v>602</v>
      </c>
      <c r="C65" s="7" t="s">
        <v>588</v>
      </c>
      <c r="D65" s="7">
        <v>0.2</v>
      </c>
      <c r="E65" s="7" t="s">
        <v>603</v>
      </c>
      <c r="F65" s="7" t="s">
        <v>579</v>
      </c>
      <c r="G65" s="7" t="s">
        <v>616</v>
      </c>
      <c r="H65" s="7" t="s">
        <v>616</v>
      </c>
      <c r="I65" s="7" t="s">
        <v>629</v>
      </c>
      <c r="J65" s="7" t="s">
        <v>339</v>
      </c>
      <c r="K65" s="7"/>
      <c r="L65" s="7" t="s">
        <v>582</v>
      </c>
      <c r="M65" s="7" t="s">
        <v>583</v>
      </c>
      <c r="N65" s="7">
        <v>671745</v>
      </c>
    </row>
    <row r="66" spans="1:14" x14ac:dyDescent="0.35">
      <c r="A66" s="7">
        <v>65</v>
      </c>
      <c r="B66" s="7" t="s">
        <v>577</v>
      </c>
      <c r="C66" s="7" t="s">
        <v>578</v>
      </c>
      <c r="D66" s="7">
        <v>-0.25</v>
      </c>
      <c r="E66" s="7" t="s">
        <v>578</v>
      </c>
      <c r="F66" s="7" t="s">
        <v>579</v>
      </c>
      <c r="G66" s="7" t="s">
        <v>623</v>
      </c>
      <c r="H66" s="7" t="s">
        <v>593</v>
      </c>
      <c r="I66" s="7" t="s">
        <v>192</v>
      </c>
      <c r="J66" s="7" t="s">
        <v>273</v>
      </c>
      <c r="K66" s="7"/>
      <c r="L66" s="7" t="s">
        <v>582</v>
      </c>
      <c r="M66" s="7" t="s">
        <v>583</v>
      </c>
      <c r="N66" s="7">
        <v>176144</v>
      </c>
    </row>
    <row r="67" spans="1:14" x14ac:dyDescent="0.35">
      <c r="A67" s="7">
        <v>66</v>
      </c>
      <c r="B67" s="7" t="s">
        <v>599</v>
      </c>
      <c r="C67" s="7" t="s">
        <v>578</v>
      </c>
      <c r="D67" s="7">
        <v>-0.25</v>
      </c>
      <c r="E67" s="7" t="s">
        <v>578</v>
      </c>
      <c r="F67" s="7" t="s">
        <v>579</v>
      </c>
      <c r="G67" s="7" t="s">
        <v>590</v>
      </c>
      <c r="H67" s="7" t="s">
        <v>592</v>
      </c>
      <c r="I67" s="7" t="s">
        <v>345</v>
      </c>
      <c r="J67" s="7" t="s">
        <v>100</v>
      </c>
      <c r="K67" s="7"/>
      <c r="L67" s="7" t="s">
        <v>582</v>
      </c>
      <c r="M67" s="7" t="s">
        <v>586</v>
      </c>
      <c r="N67" s="7">
        <v>446577</v>
      </c>
    </row>
    <row r="68" spans="1:14" x14ac:dyDescent="0.35">
      <c r="A68" s="7">
        <v>67</v>
      </c>
      <c r="B68" s="7" t="s">
        <v>594</v>
      </c>
      <c r="C68" s="7" t="s">
        <v>594</v>
      </c>
      <c r="D68" s="7">
        <v>0.7</v>
      </c>
      <c r="E68" s="7" t="s">
        <v>613</v>
      </c>
      <c r="F68" s="7" t="s">
        <v>579</v>
      </c>
      <c r="G68" s="7" t="s">
        <v>614</v>
      </c>
      <c r="H68" s="7" t="s">
        <v>581</v>
      </c>
      <c r="I68" s="7" t="s">
        <v>129</v>
      </c>
      <c r="J68" s="7" t="s">
        <v>17</v>
      </c>
      <c r="K68" s="7" t="s">
        <v>598</v>
      </c>
      <c r="L68" s="7" t="s">
        <v>582</v>
      </c>
      <c r="M68" s="7" t="s">
        <v>583</v>
      </c>
      <c r="N68" s="7">
        <v>577012</v>
      </c>
    </row>
    <row r="69" spans="1:14" x14ac:dyDescent="0.35">
      <c r="A69" s="7">
        <v>68</v>
      </c>
      <c r="B69" s="7" t="s">
        <v>584</v>
      </c>
      <c r="C69" s="7" t="s">
        <v>585</v>
      </c>
      <c r="D69" s="7">
        <v>1</v>
      </c>
      <c r="E69" s="7" t="s">
        <v>585</v>
      </c>
      <c r="F69" s="7" t="s">
        <v>579</v>
      </c>
      <c r="G69" s="7" t="s">
        <v>581</v>
      </c>
      <c r="H69" s="7" t="s">
        <v>581</v>
      </c>
      <c r="I69" s="7" t="s">
        <v>17</v>
      </c>
      <c r="J69" s="7" t="s">
        <v>17</v>
      </c>
      <c r="K69" s="7"/>
      <c r="L69" s="7" t="s">
        <v>582</v>
      </c>
      <c r="M69" s="7" t="s">
        <v>586</v>
      </c>
      <c r="N69" s="7">
        <v>581623</v>
      </c>
    </row>
    <row r="70" spans="1:14" x14ac:dyDescent="0.35">
      <c r="A70" s="7">
        <v>69</v>
      </c>
      <c r="B70" s="7" t="s">
        <v>587</v>
      </c>
      <c r="C70" s="7" t="s">
        <v>588</v>
      </c>
      <c r="D70" s="7">
        <v>0.2</v>
      </c>
      <c r="E70" s="7" t="s">
        <v>589</v>
      </c>
      <c r="F70" s="7" t="s">
        <v>579</v>
      </c>
      <c r="G70" s="7" t="s">
        <v>624</v>
      </c>
      <c r="H70" s="7" t="s">
        <v>630</v>
      </c>
      <c r="I70" s="7" t="s">
        <v>631</v>
      </c>
      <c r="J70" s="7" t="s">
        <v>359</v>
      </c>
      <c r="K70" s="7"/>
      <c r="L70" s="7" t="s">
        <v>582</v>
      </c>
      <c r="M70" s="7" t="s">
        <v>583</v>
      </c>
      <c r="N70" s="7">
        <v>192075</v>
      </c>
    </row>
    <row r="71" spans="1:14" x14ac:dyDescent="0.35">
      <c r="A71" s="7">
        <v>70</v>
      </c>
      <c r="B71" s="7" t="s">
        <v>605</v>
      </c>
      <c r="C71" s="7" t="s">
        <v>588</v>
      </c>
      <c r="D71" s="7">
        <v>0.2</v>
      </c>
      <c r="E71" s="7" t="s">
        <v>606</v>
      </c>
      <c r="F71" s="7" t="s">
        <v>579</v>
      </c>
      <c r="G71" s="7" t="s">
        <v>607</v>
      </c>
      <c r="H71" s="7" t="s">
        <v>590</v>
      </c>
      <c r="I71" s="7" t="s">
        <v>77</v>
      </c>
      <c r="J71" s="7" t="s">
        <v>183</v>
      </c>
      <c r="K71" s="7"/>
      <c r="L71" s="7" t="s">
        <v>582</v>
      </c>
      <c r="M71" s="7" t="s">
        <v>583</v>
      </c>
      <c r="N71" s="7">
        <v>234334</v>
      </c>
    </row>
    <row r="72" spans="1:14" x14ac:dyDescent="0.35">
      <c r="A72" s="7">
        <v>71</v>
      </c>
      <c r="B72" s="7" t="s">
        <v>587</v>
      </c>
      <c r="C72" s="7" t="s">
        <v>588</v>
      </c>
      <c r="D72" s="7">
        <v>0.2</v>
      </c>
      <c r="E72" s="7" t="s">
        <v>589</v>
      </c>
      <c r="F72" s="7" t="s">
        <v>579</v>
      </c>
      <c r="G72" s="7" t="s">
        <v>614</v>
      </c>
      <c r="H72" s="7" t="s">
        <v>616</v>
      </c>
      <c r="I72" s="7" t="s">
        <v>129</v>
      </c>
      <c r="J72" s="7" t="s">
        <v>617</v>
      </c>
      <c r="K72" s="7"/>
      <c r="L72" s="7" t="s">
        <v>582</v>
      </c>
      <c r="M72" s="7" t="s">
        <v>583</v>
      </c>
      <c r="N72" s="7">
        <v>576594</v>
      </c>
    </row>
    <row r="73" spans="1:14" x14ac:dyDescent="0.35">
      <c r="A73" s="7">
        <v>72</v>
      </c>
      <c r="B73" s="7" t="s">
        <v>599</v>
      </c>
      <c r="C73" s="7" t="s">
        <v>578</v>
      </c>
      <c r="D73" s="7">
        <v>-0.25</v>
      </c>
      <c r="E73" s="7" t="s">
        <v>578</v>
      </c>
      <c r="F73" s="7" t="s">
        <v>579</v>
      </c>
      <c r="G73" s="7" t="s">
        <v>581</v>
      </c>
      <c r="H73" s="7" t="s">
        <v>621</v>
      </c>
      <c r="I73" s="7" t="s">
        <v>17</v>
      </c>
      <c r="J73" s="7" t="s">
        <v>170</v>
      </c>
      <c r="K73" s="7"/>
      <c r="L73" s="7" t="s">
        <v>582</v>
      </c>
      <c r="M73" s="7" t="s">
        <v>586</v>
      </c>
      <c r="N73" s="7">
        <v>751356</v>
      </c>
    </row>
    <row r="74" spans="1:14" x14ac:dyDescent="0.35">
      <c r="A74" s="7">
        <v>73</v>
      </c>
      <c r="B74" s="7" t="s">
        <v>584</v>
      </c>
      <c r="C74" s="7" t="s">
        <v>585</v>
      </c>
      <c r="D74" s="7">
        <v>1</v>
      </c>
      <c r="E74" s="7" t="s">
        <v>585</v>
      </c>
      <c r="F74" s="7" t="s">
        <v>579</v>
      </c>
      <c r="G74" s="7" t="s">
        <v>581</v>
      </c>
      <c r="H74" s="7" t="s">
        <v>581</v>
      </c>
      <c r="I74" s="7" t="s">
        <v>17</v>
      </c>
      <c r="J74" s="7" t="s">
        <v>17</v>
      </c>
      <c r="K74" s="7"/>
      <c r="L74" s="7" t="s">
        <v>582</v>
      </c>
      <c r="M74" s="7" t="s">
        <v>586</v>
      </c>
      <c r="N74" s="7">
        <v>32883</v>
      </c>
    </row>
    <row r="75" spans="1:14" x14ac:dyDescent="0.35">
      <c r="A75" s="7">
        <v>74</v>
      </c>
      <c r="B75" s="7" t="s">
        <v>594</v>
      </c>
      <c r="C75" s="7" t="s">
        <v>594</v>
      </c>
      <c r="D75" s="7">
        <v>0.7</v>
      </c>
      <c r="E75" s="7" t="s">
        <v>595</v>
      </c>
      <c r="F75" s="7" t="s">
        <v>579</v>
      </c>
      <c r="G75" s="7" t="s">
        <v>592</v>
      </c>
      <c r="H75" s="7" t="s">
        <v>597</v>
      </c>
      <c r="I75" s="7" t="s">
        <v>100</v>
      </c>
      <c r="J75" s="7" t="s">
        <v>376</v>
      </c>
      <c r="K75" s="7" t="s">
        <v>601</v>
      </c>
      <c r="L75" s="7" t="s">
        <v>582</v>
      </c>
      <c r="M75" s="7" t="s">
        <v>583</v>
      </c>
      <c r="N75" s="7">
        <v>937763</v>
      </c>
    </row>
    <row r="76" spans="1:14" x14ac:dyDescent="0.35">
      <c r="A76" s="7">
        <v>75</v>
      </c>
      <c r="B76" s="7" t="s">
        <v>594</v>
      </c>
      <c r="C76" s="7" t="s">
        <v>594</v>
      </c>
      <c r="D76" s="7">
        <v>0.7</v>
      </c>
      <c r="E76" s="7" t="s">
        <v>595</v>
      </c>
      <c r="F76" s="7" t="s">
        <v>579</v>
      </c>
      <c r="G76" s="7" t="s">
        <v>597</v>
      </c>
      <c r="H76" s="7" t="s">
        <v>596</v>
      </c>
      <c r="I76" s="7" t="s">
        <v>40</v>
      </c>
      <c r="J76" s="7" t="s">
        <v>36</v>
      </c>
      <c r="K76" s="7" t="s">
        <v>601</v>
      </c>
      <c r="L76" s="7" t="s">
        <v>582</v>
      </c>
      <c r="M76" s="7" t="s">
        <v>586</v>
      </c>
      <c r="N76" s="7">
        <v>876247</v>
      </c>
    </row>
    <row r="77" spans="1:14" x14ac:dyDescent="0.35">
      <c r="A77" s="7">
        <v>76</v>
      </c>
      <c r="B77" s="7" t="s">
        <v>605</v>
      </c>
      <c r="C77" s="7" t="s">
        <v>588</v>
      </c>
      <c r="D77" s="7">
        <v>0.2</v>
      </c>
      <c r="E77" s="7" t="s">
        <v>606</v>
      </c>
      <c r="F77" s="7" t="s">
        <v>579</v>
      </c>
      <c r="G77" s="7" t="s">
        <v>632</v>
      </c>
      <c r="H77" s="7" t="s">
        <v>610</v>
      </c>
      <c r="I77" s="7" t="s">
        <v>382</v>
      </c>
      <c r="J77" s="7" t="s">
        <v>107</v>
      </c>
      <c r="K77" s="7"/>
      <c r="L77" s="7" t="s">
        <v>582</v>
      </c>
      <c r="M77" s="7" t="s">
        <v>583</v>
      </c>
      <c r="N77" s="7">
        <v>337595</v>
      </c>
    </row>
    <row r="78" spans="1:14" x14ac:dyDescent="0.35">
      <c r="A78" s="7">
        <v>77</v>
      </c>
      <c r="B78" s="7" t="s">
        <v>602</v>
      </c>
      <c r="C78" s="7" t="s">
        <v>588</v>
      </c>
      <c r="D78" s="7">
        <v>0.2</v>
      </c>
      <c r="E78" s="7" t="s">
        <v>603</v>
      </c>
      <c r="F78" s="7" t="s">
        <v>579</v>
      </c>
      <c r="G78" s="7" t="s">
        <v>591</v>
      </c>
      <c r="H78" s="7" t="s">
        <v>591</v>
      </c>
      <c r="I78" s="7" t="s">
        <v>71</v>
      </c>
      <c r="J78" s="7" t="s">
        <v>251</v>
      </c>
      <c r="K78" s="7"/>
      <c r="L78" s="7" t="s">
        <v>582</v>
      </c>
      <c r="M78" s="7" t="s">
        <v>583</v>
      </c>
      <c r="N78" s="7">
        <v>712718</v>
      </c>
    </row>
    <row r="79" spans="1:14" x14ac:dyDescent="0.35">
      <c r="A79" s="7">
        <v>78</v>
      </c>
      <c r="B79" s="7" t="s">
        <v>605</v>
      </c>
      <c r="C79" s="7" t="s">
        <v>588</v>
      </c>
      <c r="D79" s="7">
        <v>0.2</v>
      </c>
      <c r="E79" s="7" t="s">
        <v>606</v>
      </c>
      <c r="F79" s="7" t="s">
        <v>579</v>
      </c>
      <c r="G79" s="7" t="s">
        <v>623</v>
      </c>
      <c r="H79" s="7" t="s">
        <v>607</v>
      </c>
      <c r="I79" s="7" t="s">
        <v>192</v>
      </c>
      <c r="J79" s="7" t="s">
        <v>387</v>
      </c>
      <c r="K79" s="7"/>
      <c r="L79" s="7" t="s">
        <v>582</v>
      </c>
      <c r="M79" s="7" t="s">
        <v>583</v>
      </c>
      <c r="N79" s="7">
        <v>182469</v>
      </c>
    </row>
    <row r="80" spans="1:14" x14ac:dyDescent="0.35">
      <c r="A80" s="7">
        <v>79</v>
      </c>
      <c r="B80" s="7" t="s">
        <v>577</v>
      </c>
      <c r="C80" s="7" t="s">
        <v>578</v>
      </c>
      <c r="D80" s="7">
        <v>-0.25</v>
      </c>
      <c r="E80" s="7" t="s">
        <v>578</v>
      </c>
      <c r="F80" s="7" t="s">
        <v>579</v>
      </c>
      <c r="G80" s="7" t="s">
        <v>590</v>
      </c>
      <c r="H80" s="7" t="s">
        <v>581</v>
      </c>
      <c r="I80" s="7" t="s">
        <v>183</v>
      </c>
      <c r="J80" s="7" t="s">
        <v>17</v>
      </c>
      <c r="K80" s="7"/>
      <c r="L80" s="7" t="s">
        <v>582</v>
      </c>
      <c r="M80" s="7" t="s">
        <v>586</v>
      </c>
      <c r="N80" s="7">
        <v>156004</v>
      </c>
    </row>
    <row r="81" spans="1:14" x14ac:dyDescent="0.35">
      <c r="A81" s="7">
        <v>80</v>
      </c>
      <c r="B81" s="7" t="s">
        <v>584</v>
      </c>
      <c r="C81" s="7" t="s">
        <v>585</v>
      </c>
      <c r="D81" s="7">
        <v>1</v>
      </c>
      <c r="E81" s="7" t="s">
        <v>585</v>
      </c>
      <c r="F81" s="7" t="s">
        <v>579</v>
      </c>
      <c r="G81" s="7" t="s">
        <v>609</v>
      </c>
      <c r="H81" s="7" t="s">
        <v>609</v>
      </c>
      <c r="I81" s="7" t="s">
        <v>96</v>
      </c>
      <c r="J81" s="7" t="s">
        <v>96</v>
      </c>
      <c r="K81" s="7"/>
      <c r="L81" s="7" t="s">
        <v>582</v>
      </c>
      <c r="M81" s="7" t="s">
        <v>583</v>
      </c>
      <c r="N81" s="7">
        <v>816155</v>
      </c>
    </row>
    <row r="82" spans="1:14" x14ac:dyDescent="0.35">
      <c r="A82" s="7">
        <v>81</v>
      </c>
      <c r="B82" s="7" t="s">
        <v>605</v>
      </c>
      <c r="C82" s="7" t="s">
        <v>588</v>
      </c>
      <c r="D82" s="7">
        <v>0.2</v>
      </c>
      <c r="E82" s="7" t="s">
        <v>606</v>
      </c>
      <c r="F82" s="7" t="s">
        <v>579</v>
      </c>
      <c r="G82" s="7" t="s">
        <v>607</v>
      </c>
      <c r="H82" s="7" t="s">
        <v>590</v>
      </c>
      <c r="I82" s="7" t="s">
        <v>399</v>
      </c>
      <c r="J82" s="7" t="s">
        <v>183</v>
      </c>
      <c r="K82" s="7"/>
      <c r="L82" s="7" t="s">
        <v>582</v>
      </c>
      <c r="M82" s="7" t="s">
        <v>583</v>
      </c>
      <c r="N82" s="7">
        <v>451191</v>
      </c>
    </row>
    <row r="83" spans="1:14" x14ac:dyDescent="0.35">
      <c r="A83" s="7">
        <v>82</v>
      </c>
      <c r="B83" s="7" t="s">
        <v>602</v>
      </c>
      <c r="C83" s="7" t="s">
        <v>588</v>
      </c>
      <c r="D83" s="7">
        <v>0.2</v>
      </c>
      <c r="E83" s="7" t="s">
        <v>603</v>
      </c>
      <c r="F83" s="7" t="s">
        <v>579</v>
      </c>
      <c r="G83" s="7" t="s">
        <v>616</v>
      </c>
      <c r="H83" s="7" t="s">
        <v>616</v>
      </c>
      <c r="I83" s="7" t="s">
        <v>617</v>
      </c>
      <c r="J83" s="7" t="s">
        <v>339</v>
      </c>
      <c r="K83" s="7"/>
      <c r="L83" s="7" t="s">
        <v>582</v>
      </c>
      <c r="M83" s="7" t="s">
        <v>583</v>
      </c>
      <c r="N83" s="7">
        <v>889193</v>
      </c>
    </row>
    <row r="84" spans="1:14" x14ac:dyDescent="0.35">
      <c r="A84" s="7">
        <v>83</v>
      </c>
      <c r="B84" s="7" t="s">
        <v>602</v>
      </c>
      <c r="C84" s="7" t="s">
        <v>588</v>
      </c>
      <c r="D84" s="7">
        <v>0.2</v>
      </c>
      <c r="E84" s="7" t="s">
        <v>603</v>
      </c>
      <c r="F84" s="7" t="s">
        <v>579</v>
      </c>
      <c r="G84" s="7" t="s">
        <v>616</v>
      </c>
      <c r="H84" s="7" t="s">
        <v>616</v>
      </c>
      <c r="I84" s="7" t="s">
        <v>178</v>
      </c>
      <c r="J84" s="7" t="s">
        <v>339</v>
      </c>
      <c r="K84" s="7"/>
      <c r="L84" s="7" t="s">
        <v>582</v>
      </c>
      <c r="M84" s="7" t="s">
        <v>583</v>
      </c>
      <c r="N84" s="7">
        <v>678112</v>
      </c>
    </row>
    <row r="85" spans="1:14" x14ac:dyDescent="0.35">
      <c r="A85" s="7">
        <v>84</v>
      </c>
      <c r="B85" s="7" t="s">
        <v>602</v>
      </c>
      <c r="C85" s="7" t="s">
        <v>588</v>
      </c>
      <c r="D85" s="7">
        <v>0.2</v>
      </c>
      <c r="E85" s="7" t="s">
        <v>603</v>
      </c>
      <c r="F85" s="7" t="s">
        <v>579</v>
      </c>
      <c r="G85" s="7" t="s">
        <v>625</v>
      </c>
      <c r="H85" s="7" t="s">
        <v>625</v>
      </c>
      <c r="I85" s="7" t="s">
        <v>281</v>
      </c>
      <c r="J85" s="7" t="s">
        <v>411</v>
      </c>
      <c r="K85" s="7"/>
      <c r="L85" s="7" t="s">
        <v>582</v>
      </c>
      <c r="M85" s="7" t="s">
        <v>583</v>
      </c>
      <c r="N85" s="7">
        <v>607375</v>
      </c>
    </row>
    <row r="86" spans="1:14" x14ac:dyDescent="0.35">
      <c r="A86" s="7">
        <v>85</v>
      </c>
      <c r="B86" s="7" t="s">
        <v>605</v>
      </c>
      <c r="C86" s="7" t="s">
        <v>588</v>
      </c>
      <c r="D86" s="7">
        <v>0.2</v>
      </c>
      <c r="E86" s="7" t="s">
        <v>606</v>
      </c>
      <c r="F86" s="7" t="s">
        <v>579</v>
      </c>
      <c r="G86" s="7" t="s">
        <v>590</v>
      </c>
      <c r="H86" s="7" t="s">
        <v>607</v>
      </c>
      <c r="I86" s="7" t="s">
        <v>22</v>
      </c>
      <c r="J86" s="7" t="s">
        <v>387</v>
      </c>
      <c r="K86" s="7"/>
      <c r="L86" s="7" t="s">
        <v>582</v>
      </c>
      <c r="M86" s="7" t="s">
        <v>586</v>
      </c>
      <c r="N86" s="7">
        <v>133386</v>
      </c>
    </row>
    <row r="87" spans="1:14" x14ac:dyDescent="0.35">
      <c r="A87" s="7">
        <v>86</v>
      </c>
      <c r="B87" s="7" t="s">
        <v>605</v>
      </c>
      <c r="C87" s="7" t="s">
        <v>588</v>
      </c>
      <c r="D87" s="7">
        <v>0.2</v>
      </c>
      <c r="E87" s="7" t="s">
        <v>606</v>
      </c>
      <c r="F87" s="7" t="s">
        <v>579</v>
      </c>
      <c r="G87" s="7" t="s">
        <v>590</v>
      </c>
      <c r="H87" s="7" t="s">
        <v>633</v>
      </c>
      <c r="I87" s="7" t="s">
        <v>183</v>
      </c>
      <c r="J87" s="7" t="s">
        <v>416</v>
      </c>
      <c r="K87" s="7"/>
      <c r="L87" s="7" t="s">
        <v>582</v>
      </c>
      <c r="M87" s="7" t="s">
        <v>586</v>
      </c>
      <c r="N87" s="7">
        <v>155489</v>
      </c>
    </row>
    <row r="88" spans="1:14" x14ac:dyDescent="0.35">
      <c r="A88" s="7">
        <v>87</v>
      </c>
      <c r="B88" s="7" t="s">
        <v>599</v>
      </c>
      <c r="C88" s="7" t="s">
        <v>578</v>
      </c>
      <c r="D88" s="7">
        <v>-0.25</v>
      </c>
      <c r="E88" s="7" t="s">
        <v>578</v>
      </c>
      <c r="F88" s="7" t="s">
        <v>579</v>
      </c>
      <c r="G88" s="7" t="s">
        <v>592</v>
      </c>
      <c r="H88" s="7" t="s">
        <v>609</v>
      </c>
      <c r="I88" s="7" t="s">
        <v>100</v>
      </c>
      <c r="J88" s="7" t="s">
        <v>422</v>
      </c>
      <c r="K88" s="7"/>
      <c r="L88" s="7" t="s">
        <v>582</v>
      </c>
      <c r="M88" s="7" t="s">
        <v>583</v>
      </c>
      <c r="N88" s="7">
        <v>672483</v>
      </c>
    </row>
    <row r="89" spans="1:14" x14ac:dyDescent="0.35">
      <c r="A89" s="7">
        <v>88</v>
      </c>
      <c r="B89" s="7" t="s">
        <v>608</v>
      </c>
      <c r="C89" s="7" t="s">
        <v>585</v>
      </c>
      <c r="D89" s="7">
        <v>1</v>
      </c>
      <c r="E89" s="7" t="s">
        <v>585</v>
      </c>
      <c r="F89" s="7" t="s">
        <v>579</v>
      </c>
      <c r="G89" s="7" t="s">
        <v>590</v>
      </c>
      <c r="H89" s="7" t="s">
        <v>590</v>
      </c>
      <c r="I89" s="7" t="s">
        <v>205</v>
      </c>
      <c r="J89" s="7" t="s">
        <v>634</v>
      </c>
      <c r="K89" s="7"/>
      <c r="L89" s="7" t="s">
        <v>582</v>
      </c>
      <c r="M89" s="7" t="s">
        <v>586</v>
      </c>
      <c r="N89" s="7">
        <v>484099</v>
      </c>
    </row>
    <row r="90" spans="1:14" x14ac:dyDescent="0.35">
      <c r="A90" s="7">
        <v>89</v>
      </c>
      <c r="B90" s="7" t="s">
        <v>587</v>
      </c>
      <c r="C90" s="7" t="s">
        <v>588</v>
      </c>
      <c r="D90" s="7">
        <v>0.2</v>
      </c>
      <c r="E90" s="7" t="s">
        <v>589</v>
      </c>
      <c r="F90" s="7" t="s">
        <v>579</v>
      </c>
      <c r="G90" s="7" t="s">
        <v>616</v>
      </c>
      <c r="H90" s="7" t="s">
        <v>621</v>
      </c>
      <c r="I90" s="7" t="s">
        <v>178</v>
      </c>
      <c r="J90" s="7" t="s">
        <v>170</v>
      </c>
      <c r="K90" s="7"/>
      <c r="L90" s="7" t="s">
        <v>582</v>
      </c>
      <c r="M90" s="7" t="s">
        <v>583</v>
      </c>
      <c r="N90" s="7">
        <v>678351</v>
      </c>
    </row>
    <row r="91" spans="1:14" x14ac:dyDescent="0.35">
      <c r="A91" s="7">
        <v>90</v>
      </c>
      <c r="B91" s="7" t="s">
        <v>577</v>
      </c>
      <c r="C91" s="7" t="s">
        <v>578</v>
      </c>
      <c r="D91" s="7">
        <v>-0.25</v>
      </c>
      <c r="E91" s="7" t="s">
        <v>578</v>
      </c>
      <c r="F91" s="7" t="s">
        <v>579</v>
      </c>
      <c r="G91" s="7" t="s">
        <v>609</v>
      </c>
      <c r="H91" s="7" t="s">
        <v>597</v>
      </c>
      <c r="I91" s="7" t="s">
        <v>96</v>
      </c>
      <c r="J91" s="7" t="s">
        <v>40</v>
      </c>
      <c r="K91" s="7"/>
      <c r="L91" s="7" t="s">
        <v>582</v>
      </c>
      <c r="M91" s="7" t="s">
        <v>583</v>
      </c>
      <c r="N91" s="7">
        <v>804823</v>
      </c>
    </row>
    <row r="92" spans="1:14" x14ac:dyDescent="0.35">
      <c r="A92" s="7">
        <v>91</v>
      </c>
      <c r="B92" s="7" t="s">
        <v>584</v>
      </c>
      <c r="C92" s="7" t="s">
        <v>585</v>
      </c>
      <c r="D92" s="7">
        <v>1</v>
      </c>
      <c r="E92" s="7" t="s">
        <v>585</v>
      </c>
      <c r="F92" s="7" t="s">
        <v>579</v>
      </c>
      <c r="G92" s="7" t="s">
        <v>597</v>
      </c>
      <c r="H92" s="7" t="s">
        <v>597</v>
      </c>
      <c r="I92" s="7" t="s">
        <v>40</v>
      </c>
      <c r="J92" s="7" t="s">
        <v>40</v>
      </c>
      <c r="K92" s="7"/>
      <c r="L92" s="7" t="s">
        <v>582</v>
      </c>
      <c r="M92" s="7" t="s">
        <v>586</v>
      </c>
      <c r="N92" s="7">
        <v>877004</v>
      </c>
    </row>
    <row r="93" spans="1:14" x14ac:dyDescent="0.35">
      <c r="A93" s="7">
        <v>92</v>
      </c>
      <c r="B93" s="7" t="s">
        <v>605</v>
      </c>
      <c r="C93" s="7" t="s">
        <v>588</v>
      </c>
      <c r="D93" s="7">
        <v>0.2</v>
      </c>
      <c r="E93" s="7" t="s">
        <v>606</v>
      </c>
      <c r="F93" s="7" t="s">
        <v>579</v>
      </c>
      <c r="G93" s="7" t="s">
        <v>607</v>
      </c>
      <c r="H93" s="7" t="s">
        <v>590</v>
      </c>
      <c r="I93" s="7" t="s">
        <v>387</v>
      </c>
      <c r="J93" s="7" t="s">
        <v>261</v>
      </c>
      <c r="K93" s="7"/>
      <c r="L93" s="7" t="s">
        <v>582</v>
      </c>
      <c r="M93" s="7" t="s">
        <v>583</v>
      </c>
      <c r="N93" s="7">
        <v>220386</v>
      </c>
    </row>
    <row r="94" spans="1:14" x14ac:dyDescent="0.35">
      <c r="A94" s="7">
        <v>93</v>
      </c>
      <c r="B94" s="7" t="s">
        <v>594</v>
      </c>
      <c r="C94" s="7" t="s">
        <v>594</v>
      </c>
      <c r="D94" s="7">
        <v>0.7</v>
      </c>
      <c r="E94" s="7" t="s">
        <v>613</v>
      </c>
      <c r="F94" s="7" t="s">
        <v>579</v>
      </c>
      <c r="G94" s="7" t="s">
        <v>614</v>
      </c>
      <c r="H94" s="7" t="s">
        <v>581</v>
      </c>
      <c r="I94" s="7" t="s">
        <v>129</v>
      </c>
      <c r="J94" s="7" t="s">
        <v>17</v>
      </c>
      <c r="K94" s="7" t="s">
        <v>598</v>
      </c>
      <c r="L94" s="7" t="s">
        <v>582</v>
      </c>
      <c r="M94" s="7" t="s">
        <v>583</v>
      </c>
      <c r="N94" s="7">
        <v>717021</v>
      </c>
    </row>
    <row r="95" spans="1:14" x14ac:dyDescent="0.35">
      <c r="A95" s="7">
        <v>94</v>
      </c>
      <c r="B95" s="7" t="s">
        <v>587</v>
      </c>
      <c r="C95" s="7" t="s">
        <v>588</v>
      </c>
      <c r="D95" s="7">
        <v>0.2</v>
      </c>
      <c r="E95" s="7" t="s">
        <v>589</v>
      </c>
      <c r="F95" s="7" t="s">
        <v>579</v>
      </c>
      <c r="G95" s="7" t="s">
        <v>609</v>
      </c>
      <c r="H95" s="7" t="s">
        <v>591</v>
      </c>
      <c r="I95" s="7" t="s">
        <v>96</v>
      </c>
      <c r="J95" s="7" t="s">
        <v>450</v>
      </c>
      <c r="K95" s="7"/>
      <c r="L95" s="7" t="s">
        <v>582</v>
      </c>
      <c r="M95" s="7" t="s">
        <v>583</v>
      </c>
      <c r="N95" s="7">
        <v>812380</v>
      </c>
    </row>
    <row r="96" spans="1:14" x14ac:dyDescent="0.35">
      <c r="A96" s="7">
        <v>95</v>
      </c>
      <c r="B96" s="7" t="s">
        <v>594</v>
      </c>
      <c r="C96" s="7" t="s">
        <v>594</v>
      </c>
      <c r="D96" s="7">
        <v>0.7</v>
      </c>
      <c r="E96" s="7" t="s">
        <v>627</v>
      </c>
      <c r="F96" s="7" t="s">
        <v>579</v>
      </c>
      <c r="G96" s="7" t="s">
        <v>596</v>
      </c>
      <c r="H96" s="7" t="s">
        <v>592</v>
      </c>
      <c r="I96" s="7" t="s">
        <v>36</v>
      </c>
      <c r="J96" s="7" t="s">
        <v>100</v>
      </c>
      <c r="K96" s="7" t="s">
        <v>598</v>
      </c>
      <c r="L96" s="7" t="s">
        <v>582</v>
      </c>
      <c r="M96" s="7" t="s">
        <v>583</v>
      </c>
      <c r="N96" s="7">
        <v>967429</v>
      </c>
    </row>
    <row r="97" spans="1:14" x14ac:dyDescent="0.35">
      <c r="A97" s="7">
        <v>96</v>
      </c>
      <c r="B97" s="7" t="s">
        <v>599</v>
      </c>
      <c r="C97" s="7" t="s">
        <v>578</v>
      </c>
      <c r="D97" s="7">
        <v>-0.25</v>
      </c>
      <c r="E97" s="7" t="s">
        <v>578</v>
      </c>
      <c r="F97" s="7" t="s">
        <v>579</v>
      </c>
      <c r="G97" s="7" t="s">
        <v>581</v>
      </c>
      <c r="H97" s="7" t="s">
        <v>597</v>
      </c>
      <c r="I97" s="7" t="s">
        <v>17</v>
      </c>
      <c r="J97" s="7" t="s">
        <v>88</v>
      </c>
      <c r="K97" s="7"/>
      <c r="L97" s="7" t="s">
        <v>582</v>
      </c>
      <c r="M97" s="7" t="s">
        <v>586</v>
      </c>
      <c r="N97" s="7">
        <v>345078</v>
      </c>
    </row>
    <row r="98" spans="1:14" x14ac:dyDescent="0.35">
      <c r="A98" s="7">
        <v>97</v>
      </c>
      <c r="B98" s="7" t="s">
        <v>608</v>
      </c>
      <c r="C98" s="7" t="s">
        <v>585</v>
      </c>
      <c r="D98" s="7">
        <v>1</v>
      </c>
      <c r="E98" s="7" t="s">
        <v>585</v>
      </c>
      <c r="F98" s="7" t="s">
        <v>579</v>
      </c>
      <c r="G98" s="7" t="s">
        <v>590</v>
      </c>
      <c r="H98" s="7" t="s">
        <v>590</v>
      </c>
      <c r="I98" s="7" t="s">
        <v>462</v>
      </c>
      <c r="J98" s="7" t="s">
        <v>635</v>
      </c>
      <c r="K98" s="7"/>
      <c r="L98" s="7" t="s">
        <v>582</v>
      </c>
      <c r="M98" s="7" t="s">
        <v>586</v>
      </c>
      <c r="N98" s="7">
        <v>472992</v>
      </c>
    </row>
    <row r="99" spans="1:14" x14ac:dyDescent="0.35">
      <c r="A99" s="7">
        <v>98</v>
      </c>
      <c r="B99" s="7" t="s">
        <v>577</v>
      </c>
      <c r="C99" s="7" t="s">
        <v>578</v>
      </c>
      <c r="D99" s="7">
        <v>-0.25</v>
      </c>
      <c r="E99" s="7" t="s">
        <v>578</v>
      </c>
      <c r="F99" s="7" t="s">
        <v>579</v>
      </c>
      <c r="G99" s="7" t="s">
        <v>593</v>
      </c>
      <c r="H99" s="7" t="s">
        <v>636</v>
      </c>
      <c r="I99" s="7" t="s">
        <v>273</v>
      </c>
      <c r="J99" s="7" t="s">
        <v>470</v>
      </c>
      <c r="K99" s="7"/>
      <c r="L99" s="7" t="s">
        <v>582</v>
      </c>
      <c r="M99" s="7" t="s">
        <v>583</v>
      </c>
      <c r="N99" s="7">
        <v>274404</v>
      </c>
    </row>
    <row r="100" spans="1:14" x14ac:dyDescent="0.35">
      <c r="A100" s="7">
        <v>99</v>
      </c>
      <c r="B100" s="7" t="s">
        <v>584</v>
      </c>
      <c r="C100" s="7" t="s">
        <v>585</v>
      </c>
      <c r="D100" s="7">
        <v>1</v>
      </c>
      <c r="E100" s="7" t="s">
        <v>585</v>
      </c>
      <c r="F100" s="7" t="s">
        <v>579</v>
      </c>
      <c r="G100" s="7" t="s">
        <v>581</v>
      </c>
      <c r="H100" s="7" t="s">
        <v>581</v>
      </c>
      <c r="I100" s="7" t="s">
        <v>17</v>
      </c>
      <c r="J100" s="7" t="s">
        <v>17</v>
      </c>
      <c r="K100" s="7"/>
      <c r="L100" s="7" t="s">
        <v>582</v>
      </c>
      <c r="M100" s="7" t="s">
        <v>586</v>
      </c>
      <c r="N100" s="7">
        <v>768853</v>
      </c>
    </row>
    <row r="101" spans="1:14" x14ac:dyDescent="0.35">
      <c r="A101" s="7">
        <v>100</v>
      </c>
      <c r="B101" s="7" t="s">
        <v>599</v>
      </c>
      <c r="C101" s="7" t="s">
        <v>578</v>
      </c>
      <c r="D101" s="7">
        <v>-0.25</v>
      </c>
      <c r="E101" s="7" t="s">
        <v>578</v>
      </c>
      <c r="F101" s="7" t="s">
        <v>579</v>
      </c>
      <c r="G101" s="7" t="s">
        <v>592</v>
      </c>
      <c r="H101" s="7" t="s">
        <v>637</v>
      </c>
      <c r="I101" s="7" t="s">
        <v>30</v>
      </c>
      <c r="J101" s="7" t="s">
        <v>476</v>
      </c>
      <c r="K101" s="7"/>
      <c r="L101" s="7" t="s">
        <v>582</v>
      </c>
      <c r="M101" s="7" t="s">
        <v>583</v>
      </c>
      <c r="N101" s="7">
        <v>608766</v>
      </c>
    </row>
    <row r="102" spans="1:14" x14ac:dyDescent="0.35">
      <c r="A102" s="7">
        <v>101</v>
      </c>
      <c r="B102" s="7" t="s">
        <v>587</v>
      </c>
      <c r="C102" s="7" t="s">
        <v>588</v>
      </c>
      <c r="D102" s="7">
        <v>0.2</v>
      </c>
      <c r="E102" s="7" t="s">
        <v>589</v>
      </c>
      <c r="F102" s="7" t="s">
        <v>579</v>
      </c>
      <c r="G102" s="7" t="s">
        <v>633</v>
      </c>
      <c r="H102" s="7" t="s">
        <v>624</v>
      </c>
      <c r="I102" s="7" t="s">
        <v>416</v>
      </c>
      <c r="J102" s="7" t="s">
        <v>626</v>
      </c>
      <c r="K102" s="7"/>
      <c r="L102" s="7" t="s">
        <v>582</v>
      </c>
      <c r="M102" s="7" t="s">
        <v>583</v>
      </c>
      <c r="N102" s="7">
        <v>166585</v>
      </c>
    </row>
    <row r="103" spans="1:14" x14ac:dyDescent="0.35">
      <c r="A103" s="7">
        <v>102</v>
      </c>
      <c r="B103" s="7" t="s">
        <v>587</v>
      </c>
      <c r="C103" s="7" t="s">
        <v>588</v>
      </c>
      <c r="D103" s="7">
        <v>0.2</v>
      </c>
      <c r="E103" s="7" t="s">
        <v>589</v>
      </c>
      <c r="F103" s="7" t="s">
        <v>579</v>
      </c>
      <c r="G103" s="7" t="s">
        <v>632</v>
      </c>
      <c r="H103" s="7" t="s">
        <v>618</v>
      </c>
      <c r="I103" s="7" t="s">
        <v>382</v>
      </c>
      <c r="J103" s="7" t="s">
        <v>482</v>
      </c>
      <c r="K103" s="7"/>
      <c r="L103" s="7" t="s">
        <v>582</v>
      </c>
      <c r="M103" s="7" t="s">
        <v>583</v>
      </c>
      <c r="N103" s="7">
        <v>338579</v>
      </c>
    </row>
    <row r="104" spans="1:14" x14ac:dyDescent="0.35">
      <c r="A104" s="7">
        <v>103</v>
      </c>
      <c r="B104" s="7" t="s">
        <v>602</v>
      </c>
      <c r="C104" s="7" t="s">
        <v>588</v>
      </c>
      <c r="D104" s="7">
        <v>0.2</v>
      </c>
      <c r="E104" s="7" t="s">
        <v>603</v>
      </c>
      <c r="F104" s="7" t="s">
        <v>579</v>
      </c>
      <c r="G104" s="7" t="s">
        <v>616</v>
      </c>
      <c r="H104" s="7" t="s">
        <v>616</v>
      </c>
      <c r="I104" s="7" t="s">
        <v>629</v>
      </c>
      <c r="J104" s="7" t="s">
        <v>339</v>
      </c>
      <c r="K104" s="7"/>
      <c r="L104" s="7" t="s">
        <v>582</v>
      </c>
      <c r="M104" s="7" t="s">
        <v>583</v>
      </c>
      <c r="N104" s="7">
        <v>671733</v>
      </c>
    </row>
    <row r="105" spans="1:14" x14ac:dyDescent="0.35">
      <c r="A105" s="7">
        <v>104</v>
      </c>
      <c r="B105" s="7" t="s">
        <v>608</v>
      </c>
      <c r="C105" s="7" t="s">
        <v>585</v>
      </c>
      <c r="D105" s="7">
        <v>1</v>
      </c>
      <c r="E105" s="7" t="s">
        <v>585</v>
      </c>
      <c r="F105" s="7" t="s">
        <v>579</v>
      </c>
      <c r="G105" s="7" t="s">
        <v>590</v>
      </c>
      <c r="H105" s="7" t="s">
        <v>590</v>
      </c>
      <c r="I105" s="7" t="s">
        <v>488</v>
      </c>
      <c r="J105" s="7" t="s">
        <v>261</v>
      </c>
      <c r="K105" s="7"/>
      <c r="L105" s="7" t="s">
        <v>582</v>
      </c>
      <c r="M105" s="7" t="s">
        <v>586</v>
      </c>
      <c r="N105" s="7">
        <v>194354</v>
      </c>
    </row>
    <row r="106" spans="1:14" x14ac:dyDescent="0.35">
      <c r="A106" s="7">
        <v>105</v>
      </c>
      <c r="B106" s="7" t="s">
        <v>577</v>
      </c>
      <c r="C106" s="7" t="s">
        <v>578</v>
      </c>
      <c r="D106" s="7">
        <v>-0.25</v>
      </c>
      <c r="E106" s="7" t="s">
        <v>578</v>
      </c>
      <c r="F106" s="7" t="s">
        <v>579</v>
      </c>
      <c r="G106" s="7" t="s">
        <v>593</v>
      </c>
      <c r="H106" s="7" t="s">
        <v>581</v>
      </c>
      <c r="I106" s="7" t="s">
        <v>273</v>
      </c>
      <c r="J106" s="7" t="s">
        <v>17</v>
      </c>
      <c r="K106" s="7"/>
      <c r="L106" s="7" t="s">
        <v>582</v>
      </c>
      <c r="M106" s="7" t="s">
        <v>583</v>
      </c>
      <c r="N106" s="7">
        <v>297784</v>
      </c>
    </row>
    <row r="107" spans="1:14" x14ac:dyDescent="0.35">
      <c r="A107" s="7">
        <v>106</v>
      </c>
      <c r="B107" s="7" t="s">
        <v>594</v>
      </c>
      <c r="C107" s="7" t="s">
        <v>594</v>
      </c>
      <c r="D107" s="7">
        <v>0.7</v>
      </c>
      <c r="E107" s="7" t="s">
        <v>613</v>
      </c>
      <c r="F107" s="7" t="s">
        <v>579</v>
      </c>
      <c r="G107" s="7" t="s">
        <v>581</v>
      </c>
      <c r="H107" s="7" t="s">
        <v>614</v>
      </c>
      <c r="I107" s="7" t="s">
        <v>17</v>
      </c>
      <c r="J107" s="7" t="s">
        <v>129</v>
      </c>
      <c r="K107" s="7" t="s">
        <v>601</v>
      </c>
      <c r="L107" s="7" t="s">
        <v>582</v>
      </c>
      <c r="M107" s="7" t="s">
        <v>586</v>
      </c>
      <c r="N107" s="7">
        <v>270561</v>
      </c>
    </row>
    <row r="108" spans="1:14" x14ac:dyDescent="0.35">
      <c r="A108" s="7">
        <v>107</v>
      </c>
      <c r="B108" s="7" t="s">
        <v>605</v>
      </c>
      <c r="C108" s="7" t="s">
        <v>588</v>
      </c>
      <c r="D108" s="7">
        <v>0.2</v>
      </c>
      <c r="E108" s="7" t="s">
        <v>606</v>
      </c>
      <c r="F108" s="7" t="s">
        <v>579</v>
      </c>
      <c r="G108" s="7" t="s">
        <v>607</v>
      </c>
      <c r="H108" s="7" t="s">
        <v>590</v>
      </c>
      <c r="I108" s="7" t="s">
        <v>387</v>
      </c>
      <c r="J108" s="7" t="s">
        <v>261</v>
      </c>
      <c r="K108" s="7"/>
      <c r="L108" s="7" t="s">
        <v>582</v>
      </c>
      <c r="M108" s="7" t="s">
        <v>583</v>
      </c>
      <c r="N108" s="7">
        <v>215455</v>
      </c>
    </row>
    <row r="109" spans="1:14" x14ac:dyDescent="0.35">
      <c r="A109" s="7">
        <v>108</v>
      </c>
      <c r="B109" s="7" t="s">
        <v>605</v>
      </c>
      <c r="C109" s="7" t="s">
        <v>588</v>
      </c>
      <c r="D109" s="7">
        <v>0.2</v>
      </c>
      <c r="E109" s="7" t="s">
        <v>606</v>
      </c>
      <c r="F109" s="7" t="s">
        <v>579</v>
      </c>
      <c r="G109" s="7" t="s">
        <v>590</v>
      </c>
      <c r="H109" s="7" t="s">
        <v>638</v>
      </c>
      <c r="I109" s="7" t="s">
        <v>22</v>
      </c>
      <c r="J109" s="7" t="s">
        <v>504</v>
      </c>
      <c r="K109" s="7"/>
      <c r="L109" s="7" t="s">
        <v>582</v>
      </c>
      <c r="M109" s="7" t="s">
        <v>586</v>
      </c>
      <c r="N109" s="7">
        <v>120479</v>
      </c>
    </row>
    <row r="110" spans="1:14" x14ac:dyDescent="0.35">
      <c r="A110" s="7">
        <v>109</v>
      </c>
      <c r="B110" s="7" t="s">
        <v>602</v>
      </c>
      <c r="C110" s="7" t="s">
        <v>588</v>
      </c>
      <c r="D110" s="7">
        <v>0.2</v>
      </c>
      <c r="E110" s="7" t="s">
        <v>603</v>
      </c>
      <c r="F110" s="7" t="s">
        <v>579</v>
      </c>
      <c r="G110" s="7" t="s">
        <v>618</v>
      </c>
      <c r="H110" s="7" t="s">
        <v>618</v>
      </c>
      <c r="I110" s="7" t="s">
        <v>507</v>
      </c>
      <c r="J110" s="7" t="s">
        <v>507</v>
      </c>
      <c r="K110" s="7"/>
      <c r="L110" s="7" t="s">
        <v>582</v>
      </c>
      <c r="M110" s="7" t="s">
        <v>583</v>
      </c>
      <c r="N110" s="7">
        <v>539858</v>
      </c>
    </row>
    <row r="111" spans="1:14" x14ac:dyDescent="0.35">
      <c r="A111" s="7">
        <v>110</v>
      </c>
      <c r="B111" s="7" t="s">
        <v>594</v>
      </c>
      <c r="C111" s="7" t="s">
        <v>594</v>
      </c>
      <c r="D111" s="7">
        <v>0.7</v>
      </c>
      <c r="E111" s="7" t="s">
        <v>613</v>
      </c>
      <c r="F111" s="7" t="s">
        <v>579</v>
      </c>
      <c r="G111" s="7" t="s">
        <v>614</v>
      </c>
      <c r="H111" s="7" t="s">
        <v>581</v>
      </c>
      <c r="I111" s="7" t="s">
        <v>129</v>
      </c>
      <c r="J111" s="7" t="s">
        <v>17</v>
      </c>
      <c r="K111" s="7" t="s">
        <v>598</v>
      </c>
      <c r="L111" s="7" t="s">
        <v>582</v>
      </c>
      <c r="M111" s="7" t="s">
        <v>583</v>
      </c>
      <c r="N111" s="7">
        <v>590816</v>
      </c>
    </row>
    <row r="112" spans="1:14" x14ac:dyDescent="0.35">
      <c r="A112" s="7">
        <v>111</v>
      </c>
      <c r="B112" s="7" t="s">
        <v>584</v>
      </c>
      <c r="C112" s="7" t="s">
        <v>585</v>
      </c>
      <c r="D112" s="7">
        <v>1</v>
      </c>
      <c r="E112" s="7" t="s">
        <v>585</v>
      </c>
      <c r="F112" s="7" t="s">
        <v>579</v>
      </c>
      <c r="G112" s="7" t="s">
        <v>597</v>
      </c>
      <c r="H112" s="7" t="s">
        <v>597</v>
      </c>
      <c r="I112" s="7" t="s">
        <v>40</v>
      </c>
      <c r="J112" s="7" t="s">
        <v>88</v>
      </c>
      <c r="K112" s="7"/>
      <c r="L112" s="7" t="s">
        <v>582</v>
      </c>
      <c r="M112" s="7" t="s">
        <v>586</v>
      </c>
      <c r="N112" s="7">
        <v>875633</v>
      </c>
    </row>
    <row r="113" spans="1:14" x14ac:dyDescent="0.35">
      <c r="A113" s="7">
        <v>112</v>
      </c>
      <c r="B113" s="7" t="s">
        <v>594</v>
      </c>
      <c r="C113" s="7" t="s">
        <v>594</v>
      </c>
      <c r="D113" s="7">
        <v>0.7</v>
      </c>
      <c r="E113" s="7" t="s">
        <v>595</v>
      </c>
      <c r="F113" s="7" t="s">
        <v>579</v>
      </c>
      <c r="G113" s="7" t="s">
        <v>592</v>
      </c>
      <c r="H113" s="7" t="s">
        <v>597</v>
      </c>
      <c r="I113" s="7" t="s">
        <v>30</v>
      </c>
      <c r="J113" s="7" t="s">
        <v>270</v>
      </c>
      <c r="K113" s="7" t="s">
        <v>601</v>
      </c>
      <c r="L113" s="7" t="s">
        <v>582</v>
      </c>
      <c r="M113" s="7" t="s">
        <v>583</v>
      </c>
      <c r="N113" s="7">
        <v>649746</v>
      </c>
    </row>
    <row r="114" spans="1:14" x14ac:dyDescent="0.35">
      <c r="A114" s="7">
        <v>113</v>
      </c>
      <c r="B114" s="7" t="s">
        <v>594</v>
      </c>
      <c r="C114" s="7" t="s">
        <v>594</v>
      </c>
      <c r="D114" s="7">
        <v>0.7</v>
      </c>
      <c r="E114" s="7" t="s">
        <v>613</v>
      </c>
      <c r="F114" s="7" t="s">
        <v>579</v>
      </c>
      <c r="G114" s="7" t="s">
        <v>581</v>
      </c>
      <c r="H114" s="7" t="s">
        <v>614</v>
      </c>
      <c r="I114" s="7" t="s">
        <v>17</v>
      </c>
      <c r="J114" s="7" t="s">
        <v>129</v>
      </c>
      <c r="K114" s="7" t="s">
        <v>601</v>
      </c>
      <c r="L114" s="7" t="s">
        <v>582</v>
      </c>
      <c r="M114" s="7" t="s">
        <v>586</v>
      </c>
      <c r="N114" s="7">
        <v>480869</v>
      </c>
    </row>
    <row r="115" spans="1:14" x14ac:dyDescent="0.35">
      <c r="A115" s="7">
        <v>114</v>
      </c>
      <c r="B115" s="7" t="s">
        <v>577</v>
      </c>
      <c r="C115" s="7" t="s">
        <v>578</v>
      </c>
      <c r="D115" s="7">
        <v>-0.25</v>
      </c>
      <c r="E115" s="7" t="s">
        <v>578</v>
      </c>
      <c r="F115" s="7" t="s">
        <v>579</v>
      </c>
      <c r="G115" s="7" t="s">
        <v>593</v>
      </c>
      <c r="H115" s="7" t="s">
        <v>581</v>
      </c>
      <c r="I115" s="7" t="s">
        <v>33</v>
      </c>
      <c r="J115" s="7" t="s">
        <v>17</v>
      </c>
      <c r="K115" s="7"/>
      <c r="L115" s="7" t="s">
        <v>582</v>
      </c>
      <c r="M115" s="7" t="s">
        <v>583</v>
      </c>
      <c r="N115" s="7">
        <v>333058</v>
      </c>
    </row>
    <row r="116" spans="1:14" x14ac:dyDescent="0.35">
      <c r="A116" s="7">
        <v>115</v>
      </c>
      <c r="B116" s="7" t="s">
        <v>577</v>
      </c>
      <c r="C116" s="7" t="s">
        <v>578</v>
      </c>
      <c r="D116" s="7">
        <v>-0.25</v>
      </c>
      <c r="E116" s="7" t="s">
        <v>578</v>
      </c>
      <c r="F116" s="7" t="s">
        <v>579</v>
      </c>
      <c r="G116" s="7" t="s">
        <v>621</v>
      </c>
      <c r="H116" s="7" t="s">
        <v>597</v>
      </c>
      <c r="I116" s="7" t="s">
        <v>170</v>
      </c>
      <c r="J116" s="7" t="s">
        <v>40</v>
      </c>
      <c r="K116" s="7"/>
      <c r="L116" s="7" t="s">
        <v>582</v>
      </c>
      <c r="M116" s="7" t="s">
        <v>583</v>
      </c>
      <c r="N116" s="7">
        <v>918073</v>
      </c>
    </row>
    <row r="117" spans="1:14" x14ac:dyDescent="0.35">
      <c r="A117" s="7">
        <v>116</v>
      </c>
      <c r="B117" s="7" t="s">
        <v>587</v>
      </c>
      <c r="C117" s="7" t="s">
        <v>588</v>
      </c>
      <c r="D117" s="7">
        <v>0.2</v>
      </c>
      <c r="E117" s="7" t="s">
        <v>589</v>
      </c>
      <c r="F117" s="7" t="s">
        <v>579</v>
      </c>
      <c r="G117" s="7" t="s">
        <v>622</v>
      </c>
      <c r="H117" s="7" t="s">
        <v>591</v>
      </c>
      <c r="I117" s="7" t="s">
        <v>186</v>
      </c>
      <c r="J117" s="7" t="s">
        <v>251</v>
      </c>
      <c r="K117" s="7"/>
      <c r="L117" s="7" t="s">
        <v>582</v>
      </c>
      <c r="M117" s="7" t="s">
        <v>583</v>
      </c>
      <c r="N117" s="7">
        <v>842292</v>
      </c>
    </row>
    <row r="118" spans="1:14" x14ac:dyDescent="0.35">
      <c r="A118" s="7">
        <v>117</v>
      </c>
      <c r="B118" s="7" t="s">
        <v>608</v>
      </c>
      <c r="C118" s="7" t="s">
        <v>585</v>
      </c>
      <c r="D118" s="7">
        <v>1</v>
      </c>
      <c r="E118" s="7" t="s">
        <v>585</v>
      </c>
      <c r="F118" s="7" t="s">
        <v>579</v>
      </c>
      <c r="G118" s="7" t="s">
        <v>597</v>
      </c>
      <c r="H118" s="7" t="s">
        <v>597</v>
      </c>
      <c r="I118" s="7" t="s">
        <v>270</v>
      </c>
      <c r="J118" s="7" t="s">
        <v>540</v>
      </c>
      <c r="K118" s="7"/>
      <c r="L118" s="7" t="s">
        <v>582</v>
      </c>
      <c r="M118" s="7" t="s">
        <v>586</v>
      </c>
      <c r="N118" s="7">
        <v>877713</v>
      </c>
    </row>
    <row r="119" spans="1:14" x14ac:dyDescent="0.35">
      <c r="A119" s="7">
        <v>118</v>
      </c>
      <c r="B119" s="7" t="s">
        <v>587</v>
      </c>
      <c r="C119" s="7" t="s">
        <v>588</v>
      </c>
      <c r="D119" s="7">
        <v>0.2</v>
      </c>
      <c r="E119" s="7" t="s">
        <v>589</v>
      </c>
      <c r="F119" s="7" t="s">
        <v>579</v>
      </c>
      <c r="G119" s="7" t="s">
        <v>618</v>
      </c>
      <c r="H119" s="7" t="s">
        <v>597</v>
      </c>
      <c r="I119" s="7" t="s">
        <v>543</v>
      </c>
      <c r="J119" s="7" t="s">
        <v>40</v>
      </c>
      <c r="K119" s="7"/>
      <c r="L119" s="7" t="s">
        <v>582</v>
      </c>
      <c r="M119" s="7" t="s">
        <v>583</v>
      </c>
      <c r="N119" s="7">
        <v>653213</v>
      </c>
    </row>
    <row r="120" spans="1:14" x14ac:dyDescent="0.35">
      <c r="A120" s="7">
        <v>119</v>
      </c>
      <c r="B120" s="7" t="s">
        <v>587</v>
      </c>
      <c r="C120" s="7" t="s">
        <v>588</v>
      </c>
      <c r="D120" s="7">
        <v>0.2</v>
      </c>
      <c r="E120" s="7" t="s">
        <v>589</v>
      </c>
      <c r="F120" s="7" t="s">
        <v>579</v>
      </c>
      <c r="G120" s="7" t="s">
        <v>618</v>
      </c>
      <c r="H120" s="7" t="s">
        <v>596</v>
      </c>
      <c r="I120" s="7" t="s">
        <v>146</v>
      </c>
      <c r="J120" s="7" t="s">
        <v>36</v>
      </c>
      <c r="K120" s="7"/>
      <c r="L120" s="7" t="s">
        <v>582</v>
      </c>
      <c r="M120" s="7" t="s">
        <v>583</v>
      </c>
      <c r="N120" s="7">
        <v>337033</v>
      </c>
    </row>
    <row r="121" spans="1:14" x14ac:dyDescent="0.35">
      <c r="A121" s="7">
        <v>120</v>
      </c>
      <c r="B121" s="7" t="s">
        <v>577</v>
      </c>
      <c r="C121" s="7" t="s">
        <v>578</v>
      </c>
      <c r="D121" s="7">
        <v>-0.25</v>
      </c>
      <c r="E121" s="7" t="s">
        <v>578</v>
      </c>
      <c r="F121" s="7" t="s">
        <v>579</v>
      </c>
      <c r="G121" s="7" t="s">
        <v>639</v>
      </c>
      <c r="H121" s="7" t="s">
        <v>592</v>
      </c>
      <c r="I121" s="7" t="s">
        <v>547</v>
      </c>
      <c r="J121" s="7" t="s">
        <v>100</v>
      </c>
      <c r="K121" s="7"/>
      <c r="L121" s="7" t="s">
        <v>582</v>
      </c>
      <c r="M121" s="7" t="s">
        <v>583</v>
      </c>
      <c r="N121" s="7">
        <v>989390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workbookViewId="0"/>
  </sheetViews>
  <sheetFormatPr defaultRowHeight="14.5" x14ac:dyDescent="0.35"/>
  <cols>
    <col min="1" max="1" width="44" customWidth="1"/>
    <col min="2" max="2" width="12" customWidth="1"/>
    <col min="3" max="3" width="14" customWidth="1"/>
    <col min="4" max="4" width="12" customWidth="1"/>
    <col min="5" max="5" width="10" customWidth="1"/>
    <col min="6" max="6" width="70" customWidth="1"/>
  </cols>
  <sheetData>
    <row r="1" spans="1:6" x14ac:dyDescent="0.35">
      <c r="A1" s="8" t="s">
        <v>640</v>
      </c>
    </row>
    <row r="2" spans="1:6" ht="400" customHeight="1" x14ac:dyDescent="0.35">
      <c r="A2" s="15" t="s">
        <v>641</v>
      </c>
      <c r="B2" s="16"/>
      <c r="C2" s="16"/>
      <c r="D2" s="16"/>
      <c r="E2" s="16"/>
      <c r="F2" s="16"/>
    </row>
    <row r="4" spans="1:6" ht="42" x14ac:dyDescent="0.35">
      <c r="A4" s="3" t="s">
        <v>564</v>
      </c>
      <c r="B4" s="3" t="s">
        <v>565</v>
      </c>
      <c r="C4" s="3" t="s">
        <v>642</v>
      </c>
      <c r="D4" s="3" t="s">
        <v>643</v>
      </c>
      <c r="E4" s="3" t="s">
        <v>644</v>
      </c>
      <c r="F4" s="3" t="s">
        <v>645</v>
      </c>
    </row>
    <row r="5" spans="1:6" ht="28" x14ac:dyDescent="0.35">
      <c r="A5" s="9" t="s">
        <v>584</v>
      </c>
      <c r="B5" s="9" t="s">
        <v>585</v>
      </c>
      <c r="C5" s="10">
        <v>29995</v>
      </c>
      <c r="D5" s="11">
        <f t="shared" ref="D5:D12" si="0">IFERROR(C5/SUM($C$5:$C$12),0)</f>
        <v>8.7527831194866512E-2</v>
      </c>
      <c r="E5" s="9">
        <v>15</v>
      </c>
      <c r="F5" s="2" t="s">
        <v>646</v>
      </c>
    </row>
    <row r="6" spans="1:6" ht="28" x14ac:dyDescent="0.35">
      <c r="A6" s="9" t="s">
        <v>608</v>
      </c>
      <c r="B6" s="9" t="s">
        <v>585</v>
      </c>
      <c r="C6" s="10">
        <v>7259</v>
      </c>
      <c r="D6" s="11">
        <f t="shared" si="0"/>
        <v>2.1182347946108886E-2</v>
      </c>
      <c r="E6" s="9">
        <v>10</v>
      </c>
      <c r="F6" s="2" t="s">
        <v>647</v>
      </c>
    </row>
    <row r="7" spans="1:6" ht="28" x14ac:dyDescent="0.35">
      <c r="A7" s="9" t="s">
        <v>594</v>
      </c>
      <c r="B7" s="9" t="s">
        <v>594</v>
      </c>
      <c r="C7" s="10">
        <v>23095</v>
      </c>
      <c r="D7" s="11">
        <f t="shared" si="0"/>
        <v>6.7393074227219268E-2</v>
      </c>
      <c r="E7" s="9">
        <v>20</v>
      </c>
      <c r="F7" s="2" t="s">
        <v>648</v>
      </c>
    </row>
    <row r="8" spans="1:6" x14ac:dyDescent="0.35">
      <c r="A8" s="9" t="s">
        <v>605</v>
      </c>
      <c r="B8" s="9" t="s">
        <v>588</v>
      </c>
      <c r="C8" s="10">
        <v>7421</v>
      </c>
      <c r="D8" s="11">
        <f t="shared" si="0"/>
        <v>2.1655077022740603E-2</v>
      </c>
      <c r="E8" s="9">
        <v>12</v>
      </c>
      <c r="F8" s="2" t="s">
        <v>649</v>
      </c>
    </row>
    <row r="9" spans="1:6" ht="28" x14ac:dyDescent="0.35">
      <c r="A9" s="9" t="s">
        <v>587</v>
      </c>
      <c r="B9" s="9" t="s">
        <v>588</v>
      </c>
      <c r="C9" s="10">
        <v>12829</v>
      </c>
      <c r="D9" s="11">
        <f t="shared" si="0"/>
        <v>3.7436057556224117E-2</v>
      </c>
      <c r="E9" s="9">
        <v>18</v>
      </c>
      <c r="F9" s="2" t="s">
        <v>650</v>
      </c>
    </row>
    <row r="10" spans="1:6" x14ac:dyDescent="0.35">
      <c r="A10" s="9" t="s">
        <v>602</v>
      </c>
      <c r="B10" s="9" t="s">
        <v>588</v>
      </c>
      <c r="C10" s="10">
        <v>398</v>
      </c>
      <c r="D10" s="11">
        <f t="shared" si="0"/>
        <v>1.1613961265396523E-3</v>
      </c>
      <c r="E10" s="9">
        <v>10</v>
      </c>
      <c r="F10" s="2" t="s">
        <v>651</v>
      </c>
    </row>
    <row r="11" spans="1:6" ht="28" x14ac:dyDescent="0.35">
      <c r="A11" s="9" t="s">
        <v>577</v>
      </c>
      <c r="B11" s="9" t="s">
        <v>578</v>
      </c>
      <c r="C11" s="10">
        <v>172024</v>
      </c>
      <c r="D11" s="11">
        <f t="shared" si="0"/>
        <v>0.50197991776848527</v>
      </c>
      <c r="E11" s="9">
        <v>18</v>
      </c>
      <c r="F11" s="2" t="s">
        <v>652</v>
      </c>
    </row>
    <row r="12" spans="1:6" ht="28" x14ac:dyDescent="0.35">
      <c r="A12" s="9" t="s">
        <v>599</v>
      </c>
      <c r="B12" s="9" t="s">
        <v>578</v>
      </c>
      <c r="C12" s="10">
        <v>89670</v>
      </c>
      <c r="D12" s="11">
        <f t="shared" si="0"/>
        <v>0.26166429815781567</v>
      </c>
      <c r="E12" s="9">
        <v>17</v>
      </c>
      <c r="F12" s="2" t="s">
        <v>653</v>
      </c>
    </row>
    <row r="13" spans="1:6" x14ac:dyDescent="0.35">
      <c r="A13" s="8" t="s">
        <v>654</v>
      </c>
      <c r="C13" s="12">
        <f>SUM(C5:C12)</f>
        <v>342691</v>
      </c>
      <c r="E13" s="8">
        <f>SUM(E5:E12)</f>
        <v>120</v>
      </c>
    </row>
    <row r="15" spans="1:6" x14ac:dyDescent="0.35">
      <c r="A15" s="8" t="s">
        <v>655</v>
      </c>
    </row>
    <row r="16" spans="1:6" ht="28" x14ac:dyDescent="0.35">
      <c r="A16" s="3" t="s">
        <v>656</v>
      </c>
      <c r="B16" s="3" t="s">
        <v>657</v>
      </c>
      <c r="C16" s="3" t="s">
        <v>658</v>
      </c>
    </row>
    <row r="17" spans="1:3" x14ac:dyDescent="0.35">
      <c r="A17" s="9" t="s">
        <v>659</v>
      </c>
      <c r="B17" s="10">
        <v>976662</v>
      </c>
      <c r="C17" s="11">
        <f t="shared" ref="C17:C27" si="1">B17/$B$17</f>
        <v>1</v>
      </c>
    </row>
    <row r="18" spans="1:3" x14ac:dyDescent="0.35">
      <c r="A18" s="9" t="s">
        <v>660</v>
      </c>
      <c r="B18" s="10">
        <v>342691</v>
      </c>
      <c r="C18" s="11">
        <f t="shared" si="1"/>
        <v>0.35087983355551872</v>
      </c>
    </row>
    <row r="19" spans="1:3" x14ac:dyDescent="0.35">
      <c r="A19" s="9" t="s">
        <v>661</v>
      </c>
      <c r="B19" s="10">
        <v>457049</v>
      </c>
      <c r="C19" s="11">
        <f t="shared" si="1"/>
        <v>0.4679704954221624</v>
      </c>
    </row>
    <row r="20" spans="1:3" x14ac:dyDescent="0.35">
      <c r="A20" s="9" t="s">
        <v>662</v>
      </c>
      <c r="B20" s="10">
        <v>167622</v>
      </c>
      <c r="C20" s="11">
        <f t="shared" si="1"/>
        <v>0.17162744122326865</v>
      </c>
    </row>
    <row r="21" spans="1:3" x14ac:dyDescent="0.35">
      <c r="A21" s="9" t="s">
        <v>663</v>
      </c>
      <c r="B21" s="10">
        <v>230907</v>
      </c>
      <c r="C21" s="11">
        <f t="shared" si="1"/>
        <v>0.23642467916228951</v>
      </c>
    </row>
    <row r="22" spans="1:3" x14ac:dyDescent="0.35">
      <c r="A22" s="9" t="s">
        <v>664</v>
      </c>
      <c r="B22" s="10">
        <v>99859</v>
      </c>
      <c r="C22" s="11">
        <f t="shared" si="1"/>
        <v>0.10224519844122122</v>
      </c>
    </row>
    <row r="23" spans="1:3" x14ac:dyDescent="0.35">
      <c r="A23" s="9" t="s">
        <v>665</v>
      </c>
      <c r="B23" s="10">
        <v>4053</v>
      </c>
      <c r="C23" s="11">
        <f t="shared" si="1"/>
        <v>4.1498491801667311E-3</v>
      </c>
    </row>
    <row r="24" spans="1:3" x14ac:dyDescent="0.35">
      <c r="A24" s="9" t="s">
        <v>666</v>
      </c>
      <c r="B24" s="10">
        <v>176922</v>
      </c>
      <c r="C24" s="11">
        <f t="shared" si="1"/>
        <v>0.18114967102231888</v>
      </c>
    </row>
    <row r="25" spans="1:3" x14ac:dyDescent="0.35">
      <c r="A25" s="9" t="s">
        <v>667</v>
      </c>
      <c r="B25" s="10">
        <v>176922</v>
      </c>
      <c r="C25" s="11">
        <f t="shared" si="1"/>
        <v>0.18114967102231888</v>
      </c>
    </row>
    <row r="26" spans="1:3" x14ac:dyDescent="0.35">
      <c r="A26" s="9" t="s">
        <v>668</v>
      </c>
      <c r="B26" s="10">
        <v>0</v>
      </c>
      <c r="C26" s="11">
        <f t="shared" si="1"/>
        <v>0</v>
      </c>
    </row>
    <row r="27" spans="1:3" x14ac:dyDescent="0.35">
      <c r="A27" s="9" t="s">
        <v>669</v>
      </c>
      <c r="B27" s="10">
        <v>0</v>
      </c>
      <c r="C27" s="11">
        <f t="shared" si="1"/>
        <v>0</v>
      </c>
    </row>
    <row r="28" spans="1:3" x14ac:dyDescent="0.35">
      <c r="A28" s="13" t="s">
        <v>670</v>
      </c>
    </row>
    <row r="29" spans="1:3" x14ac:dyDescent="0.35">
      <c r="A29" s="13" t="s">
        <v>671</v>
      </c>
    </row>
  </sheetData>
  <mergeCells count="1">
    <mergeCell ref="A2:F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3"/>
  <sheetViews>
    <sheetView workbookViewId="0"/>
  </sheetViews>
  <sheetFormatPr defaultRowHeight="14.5" x14ac:dyDescent="0.35"/>
  <cols>
    <col min="1" max="1" width="34" customWidth="1"/>
    <col min="2" max="2" width="12" customWidth="1"/>
    <col min="3" max="3" width="13" customWidth="1"/>
    <col min="4" max="4" width="6" customWidth="1"/>
    <col min="5" max="7" width="7" customWidth="1"/>
    <col min="8" max="8" width="8" customWidth="1"/>
    <col min="9" max="9" width="9" customWidth="1"/>
    <col min="10" max="10" width="8" customWidth="1"/>
    <col min="11" max="11" width="10" customWidth="1"/>
    <col min="12" max="13" width="12" customWidth="1"/>
    <col min="14" max="14" width="13" customWidth="1"/>
  </cols>
  <sheetData>
    <row r="1" spans="1:17" ht="28" x14ac:dyDescent="0.35">
      <c r="A1" s="3" t="s">
        <v>564</v>
      </c>
      <c r="B1" s="3" t="s">
        <v>672</v>
      </c>
      <c r="C1" s="3" t="s">
        <v>642</v>
      </c>
      <c r="D1" s="3" t="s">
        <v>673</v>
      </c>
      <c r="E1" s="3" t="s">
        <v>674</v>
      </c>
      <c r="F1" s="3" t="s">
        <v>585</v>
      </c>
      <c r="G1" s="3" t="s">
        <v>594</v>
      </c>
      <c r="H1" s="3" t="s">
        <v>675</v>
      </c>
      <c r="I1" s="3" t="s">
        <v>578</v>
      </c>
      <c r="J1" s="3" t="s">
        <v>676</v>
      </c>
      <c r="K1" s="3" t="s">
        <v>677</v>
      </c>
      <c r="L1" s="3" t="s">
        <v>678</v>
      </c>
      <c r="M1" s="3" t="s">
        <v>679</v>
      </c>
      <c r="N1" s="3" t="s">
        <v>680</v>
      </c>
      <c r="Q1" t="s">
        <v>681</v>
      </c>
    </row>
    <row r="2" spans="1:17" x14ac:dyDescent="0.35">
      <c r="A2" s="9" t="s">
        <v>584</v>
      </c>
      <c r="B2" s="9" t="s">
        <v>585</v>
      </c>
      <c r="C2" s="10">
        <v>29995</v>
      </c>
      <c r="D2" s="9">
        <f>COUNTIFS(key!$B$2:$B$121,A2)</f>
        <v>15</v>
      </c>
      <c r="E2" s="9">
        <f>COUNTIFS(key!$B$2:$B$121,A2,Review!$J$2:$J$121,"&lt;&gt;")</f>
        <v>0</v>
      </c>
      <c r="F2" s="9">
        <f>COUNTIFS(key!$B$2:$B$121,A2,Review!$J$2:$J$121,"same")</f>
        <v>0</v>
      </c>
      <c r="G2" s="9">
        <f>COUNTIFS(key!$B$2:$B$121,A2,Review!$J$2:$J$121,"nested")</f>
        <v>0</v>
      </c>
      <c r="H2" s="9">
        <f>COUNTIFS(key!$B$2:$B$121,A2,Review!$J$2:$J$121,"related")</f>
        <v>0</v>
      </c>
      <c r="I2" s="9">
        <f>COUNTIFS(key!$B$2:$B$121,A2,Review!$J$2:$J$121,"different")</f>
        <v>0</v>
      </c>
      <c r="J2" s="9">
        <f>COUNTIFS(key!$B$2:$B$121,A2,Review!$J$2:$J$121,"unclear")</f>
        <v>0</v>
      </c>
      <c r="K2" s="14" t="str">
        <f>IFERROR(COUNTIFS(key!$B$2:$B$121,A2,Review!$J$2:$J$121,B2)/(E2-J2),"")</f>
        <v/>
      </c>
      <c r="L2" s="14" t="str">
        <f t="shared" ref="L2:L9" si="0">IFERROR(MAX(0,(K2+$Q$2^2/(2*(E2-J2)))/(1+$Q$2^2/(E2-J2))-$Q$2*SQRT(K2*(1-K2)/(E2-J2)+$Q$2^2/(4*(E2-J2)^2))/(1+$Q$2^2/(E2-J2))),"")</f>
        <v/>
      </c>
      <c r="M2" s="14" t="str">
        <f t="shared" ref="M2:M9" si="1">IFERROR(MIN(1,(K2+$Q$2^2/(2*(E2-J2)))/(1+$Q$2^2/(E2-J2))+$Q$2*SQRT(K2*(1-K2)/(E2-J2)+$Q$2^2/(4*(E2-J2)^2))/(1+$Q$2^2/(E2-J2))),"")</f>
        <v/>
      </c>
      <c r="N2" s="14" t="str">
        <f t="shared" ref="N2:N9" si="2">IFERROR((F2+G2)/(E2-J2),"")</f>
        <v/>
      </c>
      <c r="Q2">
        <v>1.96</v>
      </c>
    </row>
    <row r="3" spans="1:17" x14ac:dyDescent="0.35">
      <c r="A3" s="9" t="s">
        <v>608</v>
      </c>
      <c r="B3" s="9" t="s">
        <v>585</v>
      </c>
      <c r="C3" s="10">
        <v>7259</v>
      </c>
      <c r="D3" s="9">
        <f>COUNTIFS(key!$B$2:$B$121,A3)</f>
        <v>10</v>
      </c>
      <c r="E3" s="9">
        <f>COUNTIFS(key!$B$2:$B$121,A3,Review!$J$2:$J$121,"&lt;&gt;")</f>
        <v>0</v>
      </c>
      <c r="F3" s="9">
        <f>COUNTIFS(key!$B$2:$B$121,A3,Review!$J$2:$J$121,"same")</f>
        <v>0</v>
      </c>
      <c r="G3" s="9">
        <f>COUNTIFS(key!$B$2:$B$121,A3,Review!$J$2:$J$121,"nested")</f>
        <v>0</v>
      </c>
      <c r="H3" s="9">
        <f>COUNTIFS(key!$B$2:$B$121,A3,Review!$J$2:$J$121,"related")</f>
        <v>0</v>
      </c>
      <c r="I3" s="9">
        <f>COUNTIFS(key!$B$2:$B$121,A3,Review!$J$2:$J$121,"different")</f>
        <v>0</v>
      </c>
      <c r="J3" s="9">
        <f>COUNTIFS(key!$B$2:$B$121,A3,Review!$J$2:$J$121,"unclear")</f>
        <v>0</v>
      </c>
      <c r="K3" s="14" t="str">
        <f>IFERROR(COUNTIFS(key!$B$2:$B$121,A3,Review!$J$2:$J$121,B3)/(E3-J3),"")</f>
        <v/>
      </c>
      <c r="L3" s="14" t="str">
        <f t="shared" si="0"/>
        <v/>
      </c>
      <c r="M3" s="14" t="str">
        <f t="shared" si="1"/>
        <v/>
      </c>
      <c r="N3" s="14" t="str">
        <f t="shared" si="2"/>
        <v/>
      </c>
    </row>
    <row r="4" spans="1:17" x14ac:dyDescent="0.35">
      <c r="A4" s="9" t="s">
        <v>594</v>
      </c>
      <c r="B4" s="9" t="s">
        <v>594</v>
      </c>
      <c r="C4" s="10">
        <v>23095</v>
      </c>
      <c r="D4" s="9">
        <f>COUNTIFS(key!$B$2:$B$121,A4)</f>
        <v>20</v>
      </c>
      <c r="E4" s="9">
        <f>COUNTIFS(key!$B$2:$B$121,A4,Review!$J$2:$J$121,"&lt;&gt;")</f>
        <v>0</v>
      </c>
      <c r="F4" s="9">
        <f>COUNTIFS(key!$B$2:$B$121,A4,Review!$J$2:$J$121,"same")</f>
        <v>0</v>
      </c>
      <c r="G4" s="9">
        <f>COUNTIFS(key!$B$2:$B$121,A4,Review!$J$2:$J$121,"nested")</f>
        <v>0</v>
      </c>
      <c r="H4" s="9">
        <f>COUNTIFS(key!$B$2:$B$121,A4,Review!$J$2:$J$121,"related")</f>
        <v>0</v>
      </c>
      <c r="I4" s="9">
        <f>COUNTIFS(key!$B$2:$B$121,A4,Review!$J$2:$J$121,"different")</f>
        <v>0</v>
      </c>
      <c r="J4" s="9">
        <f>COUNTIFS(key!$B$2:$B$121,A4,Review!$J$2:$J$121,"unclear")</f>
        <v>0</v>
      </c>
      <c r="K4" s="14" t="str">
        <f>IFERROR(COUNTIFS(key!$B$2:$B$121,A4,Review!$J$2:$J$121,B4)/(E4-J4),"")</f>
        <v/>
      </c>
      <c r="L4" s="14" t="str">
        <f t="shared" si="0"/>
        <v/>
      </c>
      <c r="M4" s="14" t="str">
        <f t="shared" si="1"/>
        <v/>
      </c>
      <c r="N4" s="14" t="str">
        <f t="shared" si="2"/>
        <v/>
      </c>
    </row>
    <row r="5" spans="1:17" x14ac:dyDescent="0.35">
      <c r="A5" s="9" t="s">
        <v>605</v>
      </c>
      <c r="B5" s="9" t="s">
        <v>675</v>
      </c>
      <c r="C5" s="10">
        <v>7421</v>
      </c>
      <c r="D5" s="9">
        <f>COUNTIFS(key!$B$2:$B$121,A5)</f>
        <v>12</v>
      </c>
      <c r="E5" s="9">
        <f>COUNTIFS(key!$B$2:$B$121,A5,Review!$J$2:$J$121,"&lt;&gt;")</f>
        <v>0</v>
      </c>
      <c r="F5" s="9">
        <f>COUNTIFS(key!$B$2:$B$121,A5,Review!$J$2:$J$121,"same")</f>
        <v>0</v>
      </c>
      <c r="G5" s="9">
        <f>COUNTIFS(key!$B$2:$B$121,A5,Review!$J$2:$J$121,"nested")</f>
        <v>0</v>
      </c>
      <c r="H5" s="9">
        <f>COUNTIFS(key!$B$2:$B$121,A5,Review!$J$2:$J$121,"related")</f>
        <v>0</v>
      </c>
      <c r="I5" s="9">
        <f>COUNTIFS(key!$B$2:$B$121,A5,Review!$J$2:$J$121,"different")</f>
        <v>0</v>
      </c>
      <c r="J5" s="9">
        <f>COUNTIFS(key!$B$2:$B$121,A5,Review!$J$2:$J$121,"unclear")</f>
        <v>0</v>
      </c>
      <c r="K5" s="14" t="str">
        <f>IFERROR(COUNTIFS(key!$B$2:$B$121,A5,Review!$J$2:$J$121,B5)/(E5-J5),"")</f>
        <v/>
      </c>
      <c r="L5" s="14" t="str">
        <f t="shared" si="0"/>
        <v/>
      </c>
      <c r="M5" s="14" t="str">
        <f t="shared" si="1"/>
        <v/>
      </c>
      <c r="N5" s="14" t="str">
        <f t="shared" si="2"/>
        <v/>
      </c>
    </row>
    <row r="6" spans="1:17" x14ac:dyDescent="0.35">
      <c r="A6" s="9" t="s">
        <v>587</v>
      </c>
      <c r="B6" s="9" t="s">
        <v>675</v>
      </c>
      <c r="C6" s="10">
        <v>12829</v>
      </c>
      <c r="D6" s="9">
        <f>COUNTIFS(key!$B$2:$B$121,A6)</f>
        <v>18</v>
      </c>
      <c r="E6" s="9">
        <f>COUNTIFS(key!$B$2:$B$121,A6,Review!$J$2:$J$121,"&lt;&gt;")</f>
        <v>0</v>
      </c>
      <c r="F6" s="9">
        <f>COUNTIFS(key!$B$2:$B$121,A6,Review!$J$2:$J$121,"same")</f>
        <v>0</v>
      </c>
      <c r="G6" s="9">
        <f>COUNTIFS(key!$B$2:$B$121,A6,Review!$J$2:$J$121,"nested")</f>
        <v>0</v>
      </c>
      <c r="H6" s="9">
        <f>COUNTIFS(key!$B$2:$B$121,A6,Review!$J$2:$J$121,"related")</f>
        <v>0</v>
      </c>
      <c r="I6" s="9">
        <f>COUNTIFS(key!$B$2:$B$121,A6,Review!$J$2:$J$121,"different")</f>
        <v>0</v>
      </c>
      <c r="J6" s="9">
        <f>COUNTIFS(key!$B$2:$B$121,A6,Review!$J$2:$J$121,"unclear")</f>
        <v>0</v>
      </c>
      <c r="K6" s="14" t="str">
        <f>IFERROR(COUNTIFS(key!$B$2:$B$121,A6,Review!$J$2:$J$121,B6)/(E6-J6),"")</f>
        <v/>
      </c>
      <c r="L6" s="14" t="str">
        <f t="shared" si="0"/>
        <v/>
      </c>
      <c r="M6" s="14" t="str">
        <f t="shared" si="1"/>
        <v/>
      </c>
      <c r="N6" s="14" t="str">
        <f t="shared" si="2"/>
        <v/>
      </c>
    </row>
    <row r="7" spans="1:17" x14ac:dyDescent="0.35">
      <c r="A7" s="9" t="s">
        <v>602</v>
      </c>
      <c r="B7" s="9" t="s">
        <v>675</v>
      </c>
      <c r="C7" s="10">
        <v>398</v>
      </c>
      <c r="D7" s="9">
        <f>COUNTIFS(key!$B$2:$B$121,A7)</f>
        <v>10</v>
      </c>
      <c r="E7" s="9">
        <f>COUNTIFS(key!$B$2:$B$121,A7,Review!$J$2:$J$121,"&lt;&gt;")</f>
        <v>0</v>
      </c>
      <c r="F7" s="9">
        <f>COUNTIFS(key!$B$2:$B$121,A7,Review!$J$2:$J$121,"same")</f>
        <v>0</v>
      </c>
      <c r="G7" s="9">
        <f>COUNTIFS(key!$B$2:$B$121,A7,Review!$J$2:$J$121,"nested")</f>
        <v>0</v>
      </c>
      <c r="H7" s="9">
        <f>COUNTIFS(key!$B$2:$B$121,A7,Review!$J$2:$J$121,"related")</f>
        <v>0</v>
      </c>
      <c r="I7" s="9">
        <f>COUNTIFS(key!$B$2:$B$121,A7,Review!$J$2:$J$121,"different")</f>
        <v>0</v>
      </c>
      <c r="J7" s="9">
        <f>COUNTIFS(key!$B$2:$B$121,A7,Review!$J$2:$J$121,"unclear")</f>
        <v>0</v>
      </c>
      <c r="K7" s="14" t="str">
        <f>IFERROR(COUNTIFS(key!$B$2:$B$121,A7,Review!$J$2:$J$121,B7)/(E7-J7),"")</f>
        <v/>
      </c>
      <c r="L7" s="14" t="str">
        <f t="shared" si="0"/>
        <v/>
      </c>
      <c r="M7" s="14" t="str">
        <f t="shared" si="1"/>
        <v/>
      </c>
      <c r="N7" s="14" t="str">
        <f t="shared" si="2"/>
        <v/>
      </c>
    </row>
    <row r="8" spans="1:17" x14ac:dyDescent="0.35">
      <c r="A8" s="9" t="s">
        <v>577</v>
      </c>
      <c r="B8" s="9" t="s">
        <v>578</v>
      </c>
      <c r="C8" s="10">
        <v>172024</v>
      </c>
      <c r="D8" s="9">
        <f>COUNTIFS(key!$B$2:$B$121,A8)</f>
        <v>18</v>
      </c>
      <c r="E8" s="9">
        <f>COUNTIFS(key!$B$2:$B$121,A8,Review!$J$2:$J$121,"&lt;&gt;")</f>
        <v>0</v>
      </c>
      <c r="F8" s="9">
        <f>COUNTIFS(key!$B$2:$B$121,A8,Review!$J$2:$J$121,"same")</f>
        <v>0</v>
      </c>
      <c r="G8" s="9">
        <f>COUNTIFS(key!$B$2:$B$121,A8,Review!$J$2:$J$121,"nested")</f>
        <v>0</v>
      </c>
      <c r="H8" s="9">
        <f>COUNTIFS(key!$B$2:$B$121,A8,Review!$J$2:$J$121,"related")</f>
        <v>0</v>
      </c>
      <c r="I8" s="9">
        <f>COUNTIFS(key!$B$2:$B$121,A8,Review!$J$2:$J$121,"different")</f>
        <v>0</v>
      </c>
      <c r="J8" s="9">
        <f>COUNTIFS(key!$B$2:$B$121,A8,Review!$J$2:$J$121,"unclear")</f>
        <v>0</v>
      </c>
      <c r="K8" s="14" t="str">
        <f>IFERROR(COUNTIFS(key!$B$2:$B$121,A8,Review!$J$2:$J$121,B8)/(E8-J8),"")</f>
        <v/>
      </c>
      <c r="L8" s="14" t="str">
        <f t="shared" si="0"/>
        <v/>
      </c>
      <c r="M8" s="14" t="str">
        <f t="shared" si="1"/>
        <v/>
      </c>
      <c r="N8" s="14" t="str">
        <f t="shared" si="2"/>
        <v/>
      </c>
    </row>
    <row r="9" spans="1:17" x14ac:dyDescent="0.35">
      <c r="A9" s="9" t="s">
        <v>599</v>
      </c>
      <c r="B9" s="9" t="s">
        <v>578</v>
      </c>
      <c r="C9" s="10">
        <v>89670</v>
      </c>
      <c r="D9" s="9">
        <f>COUNTIFS(key!$B$2:$B$121,A9)</f>
        <v>17</v>
      </c>
      <c r="E9" s="9">
        <f>COUNTIFS(key!$B$2:$B$121,A9,Review!$J$2:$J$121,"&lt;&gt;")</f>
        <v>0</v>
      </c>
      <c r="F9" s="9">
        <f>COUNTIFS(key!$B$2:$B$121,A9,Review!$J$2:$J$121,"same")</f>
        <v>0</v>
      </c>
      <c r="G9" s="9">
        <f>COUNTIFS(key!$B$2:$B$121,A9,Review!$J$2:$J$121,"nested")</f>
        <v>0</v>
      </c>
      <c r="H9" s="9">
        <f>COUNTIFS(key!$B$2:$B$121,A9,Review!$J$2:$J$121,"related")</f>
        <v>0</v>
      </c>
      <c r="I9" s="9">
        <f>COUNTIFS(key!$B$2:$B$121,A9,Review!$J$2:$J$121,"different")</f>
        <v>0</v>
      </c>
      <c r="J9" s="9">
        <f>COUNTIFS(key!$B$2:$B$121,A9,Review!$J$2:$J$121,"unclear")</f>
        <v>0</v>
      </c>
      <c r="K9" s="14" t="str">
        <f>IFERROR(COUNTIFS(key!$B$2:$B$121,A9,Review!$J$2:$J$121,B9)/(E9-J9),"")</f>
        <v/>
      </c>
      <c r="L9" s="14" t="str">
        <f t="shared" si="0"/>
        <v/>
      </c>
      <c r="M9" s="14" t="str">
        <f t="shared" si="1"/>
        <v/>
      </c>
      <c r="N9" s="14" t="str">
        <f t="shared" si="2"/>
        <v/>
      </c>
    </row>
    <row r="11" spans="1:17" x14ac:dyDescent="0.35">
      <c r="A11" s="13" t="s">
        <v>682</v>
      </c>
    </row>
    <row r="12" spans="1:17" x14ac:dyDescent="0.35">
      <c r="A12" s="13" t="s">
        <v>683</v>
      </c>
    </row>
    <row r="13" spans="1:17" x14ac:dyDescent="0.35">
      <c r="A13" s="13" t="s">
        <v>684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Review</vt:lpstr>
      <vt:lpstr>key</vt:lpstr>
      <vt:lpstr>Design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Tiago Silva</cp:lastModifiedBy>
  <dcterms:created xsi:type="dcterms:W3CDTF">2026-10-27T11:19:06Z</dcterms:created>
  <dcterms:modified xsi:type="dcterms:W3CDTF">2026-10-27T11:19:37Z</dcterms:modified>
</cp:coreProperties>
</file>