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8c8c9cd31f35923/0 QIST/Year 2/JIP/AI-Legislation-Analysis/data/conflict_all/object/"/>
    </mc:Choice>
  </mc:AlternateContent>
  <xr:revisionPtr revIDLastSave="0" documentId="11_F9EC748A61B83B083969EE8C550A60757A6A4267" xr6:coauthVersionLast="47" xr6:coauthVersionMax="47" xr10:uidLastSave="{00000000-0000-0000-0000-000000000000}"/>
  <bookViews>
    <workbookView xWindow="-110" yWindow="-110" windowWidth="19420" windowHeight="11500" activeTab="1" xr2:uid="{00000000-000D-0000-FFFF-FFFF00000000}"/>
  </bookViews>
  <sheets>
    <sheet name="Instructions" sheetId="1" r:id="rId1"/>
    <sheet name="Review" sheetId="2" r:id="rId2"/>
    <sheet name="key" sheetId="3" state="hidden" r:id="rId3"/>
    <sheet name="levels" sheetId="4" state="hidden" r:id="rId4"/>
    <sheet name="Design" sheetId="5" r:id="rId5"/>
    <sheet name="Summary"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6" l="1"/>
  <c r="G9" i="6"/>
  <c r="F9" i="6"/>
  <c r="E9" i="6"/>
  <c r="D9" i="6"/>
  <c r="C9" i="6"/>
  <c r="H8" i="6"/>
  <c r="G8" i="6"/>
  <c r="F8" i="6"/>
  <c r="E8" i="6"/>
  <c r="D8" i="6"/>
  <c r="C8" i="6"/>
  <c r="H7" i="6"/>
  <c r="G7" i="6"/>
  <c r="F7" i="6"/>
  <c r="E7" i="6"/>
  <c r="D7" i="6"/>
  <c r="C7" i="6"/>
  <c r="H6" i="6"/>
  <c r="G6" i="6"/>
  <c r="F6" i="6"/>
  <c r="E6" i="6"/>
  <c r="D6" i="6"/>
  <c r="C6" i="6"/>
  <c r="H5" i="6"/>
  <c r="G5" i="6"/>
  <c r="F5" i="6"/>
  <c r="E5" i="6"/>
  <c r="D5" i="6"/>
  <c r="C5" i="6"/>
  <c r="H4" i="6"/>
  <c r="G4" i="6"/>
  <c r="F4" i="6"/>
  <c r="E4" i="6"/>
  <c r="D4" i="6"/>
  <c r="C4" i="6"/>
  <c r="H3" i="6"/>
  <c r="G3" i="6"/>
  <c r="F3" i="6"/>
  <c r="E3" i="6"/>
  <c r="D3" i="6"/>
  <c r="C3" i="6"/>
  <c r="H2" i="6"/>
  <c r="G2" i="6"/>
  <c r="F2" i="6"/>
  <c r="E2" i="6"/>
  <c r="D2" i="6"/>
  <c r="C2" i="6"/>
  <c r="C20" i="5"/>
  <c r="C19" i="5"/>
  <c r="C18" i="5"/>
  <c r="C17" i="5"/>
  <c r="F13" i="5"/>
  <c r="D13" i="5"/>
  <c r="E12" i="5"/>
  <c r="E11" i="5"/>
  <c r="E10" i="5"/>
  <c r="E9" i="5"/>
  <c r="E8" i="5"/>
  <c r="E7" i="5"/>
  <c r="E6" i="5"/>
  <c r="E5" i="5"/>
  <c r="J9" i="6" l="1"/>
  <c r="I9" i="6"/>
  <c r="J8" i="6"/>
  <c r="I8" i="6"/>
  <c r="I7" i="6"/>
  <c r="J7" i="6"/>
  <c r="J6" i="6"/>
  <c r="I6" i="6"/>
  <c r="J5" i="6"/>
  <c r="I5" i="6"/>
  <c r="J4" i="6"/>
  <c r="I4" i="6"/>
  <c r="J3" i="6"/>
  <c r="I3" i="6"/>
  <c r="J2" i="6"/>
  <c r="I2" i="6"/>
  <c r="K9" i="6" l="1"/>
  <c r="L9" i="6"/>
  <c r="K8" i="6"/>
  <c r="L8" i="6"/>
  <c r="K7" i="6"/>
  <c r="L7" i="6"/>
  <c r="K6" i="6"/>
  <c r="L6" i="6"/>
  <c r="K5" i="6"/>
  <c r="L5" i="6"/>
  <c r="K4" i="6"/>
  <c r="L4" i="6"/>
  <c r="K3" i="6"/>
  <c r="L3" i="6"/>
  <c r="K2" i="6"/>
  <c r="L2" i="6"/>
</calcChain>
</file>

<file path=xl/sharedStrings.xml><?xml version="1.0" encoding="utf-8"?>
<sst xmlns="http://schemas.openxmlformats.org/spreadsheetml/2006/main" count="1876" uniqueCount="727">
  <si>
    <t>#</t>
  </si>
  <si>
    <t>Norm A</t>
  </si>
  <si>
    <t>Object A</t>
  </si>
  <si>
    <t>Units A</t>
  </si>
  <si>
    <t>Norm B</t>
  </si>
  <si>
    <t>Object B</t>
  </si>
  <si>
    <t>Units B</t>
  </si>
  <si>
    <t>Same thing?</t>
  </si>
  <si>
    <t>Broader?</t>
  </si>
  <si>
    <t>Note</t>
  </si>
  <si>
    <t>32016R0679:35:7:14</t>
  </si>
  <si>
    <t>de beoogde maatregelen om de risico's aan te pakken, waaronder waarborgen, veiligheidsmaatregelen en mechanismen om de bescherming van persoonsgegevens te garanderen en om aan te tonen dat aan deze verordening is voldaan, met inachtneming van de rechten en gerechtvaardigde belangen van de betrokkenen en andere personen in kwestie</t>
  </si>
  <si>
    <t>beoogde maatregelen om de risico's aan te pakken, waaronder waarborgen, veiligheidsmaatregelen en mechanismen om de bescherming van persoonsgegevens te garanderen en om aan te tonen dat aan deze verordening is voldaan, met inachtneming van de rechten en gerechtvaardigde belangen van de betrokkenen en andere personen in kwestie</t>
  </si>
  <si>
    <t>32024R1689:82:1:1</t>
  </si>
  <si>
    <t>alle passende maatregelen</t>
  </si>
  <si>
    <t>passende maatregelen</t>
  </si>
  <si>
    <t>32024R1689:57:6:8</t>
  </si>
  <si>
    <t>begeleiding, toezicht en ondersteuning</t>
  </si>
  <si>
    <t>begeleiding | toezicht | ondersteuning</t>
  </si>
  <si>
    <t>32024R1689:74:11:10</t>
  </si>
  <si>
    <t>coördinerende ondersteuning van gezamenlijke onderzoeken</t>
  </si>
  <si>
    <t>32016R0679:35:8:15</t>
  </si>
  <si>
    <t>de naleving van de in artikel 40 bedoelde goedgekeurde gedragscodes</t>
  </si>
  <si>
    <t>goedgekeurde gedragscodes</t>
  </si>
  <si>
    <t>32016R0679:41:2:6</t>
  </si>
  <si>
    <t>op de naleving van de bepalingen van de gedragscode door deze laatsten</t>
  </si>
  <si>
    <t>bepalingen van de gedragscode door deze laatsten</t>
  </si>
  <si>
    <t>32024R1689:16:whole:12</t>
  </si>
  <si>
    <t>het AI-systeem met een hoog risico</t>
  </si>
  <si>
    <t>AI-systeem met een hoog risico</t>
  </si>
  <si>
    <t>32024R1689:5:2:2</t>
  </si>
  <si>
    <t>Het gebruik van systemen voor biometrische identificatie op afstand in real time in openbare ruimten met het oog op de rechtshandhaving</t>
  </si>
  <si>
    <t>systemen voor biometrische identificatie op afstand in real time in openbare ruimten met het oog op de rechtshandhaving</t>
  </si>
  <si>
    <t>32016R0679:11:2:2</t>
  </si>
  <si>
    <t>de betrokkene</t>
  </si>
  <si>
    <t>betrokkene</t>
  </si>
  <si>
    <t>32016R0679:49:1:2</t>
  </si>
  <si>
    <t>32016R0679:9:1:1</t>
  </si>
  <si>
    <t>Verwerking van persoonsgegevens waaruit ras of etnische afkomst, politieke opvattingen, religieuze of levensbeschouwelijke overtuigingen, of het lidmaatschap van een vakbond blijken, en verwerking van genetische gegevens, biometrische gegevens met het oog op de unieke identificatie van een persoon, of gegevens over gezondheid, of gegevens met betrekking tot iemands seksueel gedrag of seksuele gerichtheid</t>
  </si>
  <si>
    <t>Verwerking van persoonsgegevens waaruit ras of etnische afkomst, politieke opvattingen, religieuze of levensbeschouwelijke overtuigingen, of het lidmaatschap van een vakbond blijkenmet betrekking tot iemands seksueel gedrag of seksuele gerichtheid | verwerking van genetische gegevens, biometrische gegevens met het oog op de unieke identificatie van een persoon | gegevens over gezondheid, of gegevens</t>
  </si>
  <si>
    <t>32024R1689:112:8:16</t>
  </si>
  <si>
    <t>informatie</t>
  </si>
  <si>
    <t>32024R1689:11:1:9</t>
  </si>
  <si>
    <t>over de noodzakelijke, op heldere en begrijpelijke wijze gestelde informatie</t>
  </si>
  <si>
    <t>noodzakelijke, op heldere en begrijpelijke wijze gestelde informatie</t>
  </si>
  <si>
    <t>32016R0679:44:whole:2</t>
  </si>
  <si>
    <t>Alle bepalingen van dit hoofdstuk</t>
  </si>
  <si>
    <t>bepalingen</t>
  </si>
  <si>
    <t>32016R0679:6:3:5</t>
  </si>
  <si>
    <t>specifieke bepalingen</t>
  </si>
  <si>
    <t>32024R1689:26:5:9</t>
  </si>
  <si>
    <t>de monitoringsverplichting overeenkomstig de eerste alinea</t>
  </si>
  <si>
    <t>monitoringsverplichting</t>
  </si>
  <si>
    <t>32024R1689:57:1:4</t>
  </si>
  <si>
    <t>de verplichting uit hoofde van de eerste alinea</t>
  </si>
  <si>
    <t>verplichting</t>
  </si>
  <si>
    <t>32016R0679:24:1:1</t>
  </si>
  <si>
    <t>passende technische en organisatorische maatregelen</t>
  </si>
  <si>
    <t>32024R1689:93:1:1</t>
  </si>
  <si>
    <t>32016R0679:58:6:30</t>
  </si>
  <si>
    <t>dat zijn toezichthoudende autoriteit, naast de in lid 1, 2 en 3 bedoelde bevoegdheden bijkomende bevoegdheden heeft</t>
  </si>
  <si>
    <t>toezichthoudende autoriteit, naast de bevoegdheden bijkomende bevoegdheden heeft</t>
  </si>
  <si>
    <t>32024R1689:74:5:4</t>
  </si>
  <si>
    <t>de in artikel 14, lid 4, punten d) en j), van die verordening bedoelde bevoegdheden</t>
  </si>
  <si>
    <t>bevoegdheden</t>
  </si>
  <si>
    <t>32016R0679:40:8:15</t>
  </si>
  <si>
    <t>zijn advies</t>
  </si>
  <si>
    <t>advies</t>
  </si>
  <si>
    <t>32024R1689:84:2:2</t>
  </si>
  <si>
    <t>onafhankelijk technisch of wetenschappelijk advies</t>
  </si>
  <si>
    <t>32016R0679:13:1:1</t>
  </si>
  <si>
    <t>de volgende informatie</t>
  </si>
  <si>
    <t>32024R1689:77:4:10</t>
  </si>
  <si>
    <t>Informatie of documentatie die op grond van dit artikel door de in lid 1 van dit artikel bedoelde overheidsinstanties of -organen wordt verkregen</t>
  </si>
  <si>
    <t>Informatie of documentatie die overheidsinstanties of -organen wordt verkregen</t>
  </si>
  <si>
    <t>32016R0679:86:whole:1</t>
  </si>
  <si>
    <t>Persoonsgegevens in officiële documenten</t>
  </si>
  <si>
    <t>32024R1689:29:4:5</t>
  </si>
  <si>
    <t>alle documenten en certificaten met betrekking tot die aanwijzingen</t>
  </si>
  <si>
    <t>documenten met betrekking tot die aanwijzingen | certificaten</t>
  </si>
  <si>
    <t>32016R0679:41:2:8</t>
  </si>
  <si>
    <t>procedures en structuren</t>
  </si>
  <si>
    <t>procedures | structuren</t>
  </si>
  <si>
    <t>32016R0679:54:1:4</t>
  </si>
  <si>
    <t>de regels en procedures voor de benoeming van het lid of de leden van elke toezichthoudende autoriteit</t>
  </si>
  <si>
    <t>regels voor de benoeming of de leden van elke toezichthoudende autoriteit | procedures</t>
  </si>
  <si>
    <t>32016R0679:25:2:2</t>
  </si>
  <si>
    <t>32016R0679:62:7:12</t>
  </si>
  <si>
    <t>een voorlopige maatregel</t>
  </si>
  <si>
    <t>voorlopige maatregel</t>
  </si>
  <si>
    <t>32016R0679:25:2:4</t>
  </si>
  <si>
    <t>persoonsgegevens</t>
  </si>
  <si>
    <t>32016R0679:58:1:4</t>
  </si>
  <si>
    <t>alle persoonsgegevens en alle informatie die noodzakelijk is voor de uitvoering van haar taken</t>
  </si>
  <si>
    <t>persoonsgegevens en alle informatie die noodzakelijk is voor de uitvoering van haar taken</t>
  </si>
  <si>
    <t>32016R0679:39:1:5</t>
  </si>
  <si>
    <t>naleving van deze verordening, van andere Unierechtelijke of lidstaatrechtelijke gegevensbeschermingsbepalingen en van het beleid van de verwerkingsverantwoordelijke of de verwerker met betrekking tot de bescherming van persoonsgegevens, met inbegrip van de toewijzing van verantwoordelijkheden, bewustmaking en opleiding van het bij de verwerking betrokken personeel en de betreffende audits</t>
  </si>
  <si>
    <t>Unierechtelijke of lidstaatrechtelijke gegevensbeschermingsbepalingen en van het beleid van de verwerkingsverantwoordelijke of de verwerker met betrekking tot de bescherming van persoonsgegevens, met inbegrip van de toewijzing van verantwoordelijkheden, bewustmaking en opleiding van het bij de verwerking betrokken personeel en de betreffende audits</t>
  </si>
  <si>
    <t>32016R0679:60:8:17</t>
  </si>
  <si>
    <t>de verwerkingsverantwoordelijke</t>
  </si>
  <si>
    <t>verwerkingsverantwoordelijke</t>
  </si>
  <si>
    <t>32016R0679:58:2:17</t>
  </si>
  <si>
    <t>de opschorting van gegevensstromen</t>
  </si>
  <si>
    <t>opschorting van gegevensstromen</t>
  </si>
  <si>
    <t>32024R1689:60:8:3</t>
  </si>
  <si>
    <t>de opschorting of beëindiging van het testen onder reële omstandigheden en van de eindresultaten</t>
  </si>
  <si>
    <t>opschorting van het testen onder reële omstandigheden | beëindiging | van de eindresultaten</t>
  </si>
  <si>
    <t>32016R0679:38:1:1</t>
  </si>
  <si>
    <t>dat de functionaris voor gegevensbescherming naar behoren en tijdig wordt betrokken bij alle aangelegenheden die verband houden met de bescherming van persoonsgegevens</t>
  </si>
  <si>
    <t>functionaris voor gegevensbescherming naar behoren en tijdig wordt betrokken bij alle aangelegenheden die verband houden met de bescherming van persoonsgegevens</t>
  </si>
  <si>
    <t>32016R0679:70:1:21</t>
  </si>
  <si>
    <t>de uitwisseling van kennis en documentatie over de wetgeving en de praktijk op het gebied van gegevensbescherming met voor gegevensbescherming bevoegde toezichthoudende autoriteiten van de hele wereld</t>
  </si>
  <si>
    <t>uitwisseling van kennis en documentatie over de wetgeving en de praktijk op het gebied van gegevensbescherming met voor gegevensbescherming bevoegde toezichthoudende autoriteiten van de hele wereld</t>
  </si>
  <si>
    <t>32016R0679:85:3:4</t>
  </si>
  <si>
    <t>alle latere wijzigingen daarvan</t>
  </si>
  <si>
    <t>latere wijzigingen</t>
  </si>
  <si>
    <t>32016R0679:90:2:3</t>
  </si>
  <si>
    <t>alle wijzigingen daarvan</t>
  </si>
  <si>
    <t>wijzigingen</t>
  </si>
  <si>
    <t>32024R1689:25:4:12</t>
  </si>
  <si>
    <t>de nodige informatie, capaciteiten, technische toegang en andere bijstand</t>
  </si>
  <si>
    <t>nodige informatie | capaciteiten | technische toegang | bijstand</t>
  </si>
  <si>
    <t>32024R1689:45:1:3</t>
  </si>
  <si>
    <t>omstandigheden die van invloed zijn op het toepassingsgebied van of de voorwaarden voor de aanmelding</t>
  </si>
  <si>
    <t>32016R0679:37:3:3</t>
  </si>
  <si>
    <t>één functionaris voor gegevensbescherming</t>
  </si>
  <si>
    <t>32016R0679:49:2:4</t>
  </si>
  <si>
    <t>alle persoonsgegevens of volledige categorieën van persoonsgegevens die in het register zijn opgeslagen</t>
  </si>
  <si>
    <t>persoonsgegevens of volledige categorieën van persoonsgegevens die in het register zijn opgeslagen</t>
  </si>
  <si>
    <t>32024R1689:55:3:5</t>
  </si>
  <si>
    <t>Informatie of documentatie</t>
  </si>
  <si>
    <t>Informatie | documentatie</t>
  </si>
  <si>
    <t>32016R0679:35:5:8</t>
  </si>
  <si>
    <t>deze lijst</t>
  </si>
  <si>
    <t>lijst</t>
  </si>
  <si>
    <t>32016R0679:57:1:18</t>
  </si>
  <si>
    <t>32024R1689:11:3:12</t>
  </si>
  <si>
    <t>gedelegeerde handelingen</t>
  </si>
  <si>
    <t>32024R1689:72:1:1</t>
  </si>
  <si>
    <t>een systeem voor monitoring na het in de handel brengen</t>
  </si>
  <si>
    <t>systeem voor monitoring na het in de handel brengen</t>
  </si>
  <si>
    <t>32016R0679:38:6:10</t>
  </si>
  <si>
    <t>andere taken en plichten</t>
  </si>
  <si>
    <t>taken | plichten</t>
  </si>
  <si>
    <t>32024R1689:50:4:8</t>
  </si>
  <si>
    <t>deze verplichting</t>
  </si>
  <si>
    <t>32024R1689:43:3:3</t>
  </si>
  <si>
    <t>de conformiteit van de AI-systemen met een hoog risico met de in afdeling 2 beschreven voorschriften</t>
  </si>
  <si>
    <t>conformiteit van de AI-systemen met een hoog risico met de voorschriften</t>
  </si>
  <si>
    <t>32024R1689:83:1:1</t>
  </si>
  <si>
    <t>deze non-conformiteit</t>
  </si>
  <si>
    <t>non-conformiteit</t>
  </si>
  <si>
    <t>32016R0679:40:6:11</t>
  </si>
  <si>
    <t>de gedragscode</t>
  </si>
  <si>
    <t>gedragscode</t>
  </si>
  <si>
    <t>32016R0679:41:2:7</t>
  </si>
  <si>
    <t>de werking van de gedragscode</t>
  </si>
  <si>
    <t>werking van de gedragscode</t>
  </si>
  <si>
    <t>32016R0679:47:3:3</t>
  </si>
  <si>
    <t>het model en de procedures voor de uitwisseling van informatie over bindende bedrijfsvoorschriften in de zin van dit artikel</t>
  </si>
  <si>
    <t>model | procedures voor de uitwisseling van informatie over bindende bedrijfsvoorschriften</t>
  </si>
  <si>
    <t>32024R1689:100:7:10</t>
  </si>
  <si>
    <t>alle geschil- of gerechtelijke procedures</t>
  </si>
  <si>
    <t>geschil- of gerechtelijke procedures</t>
  </si>
  <si>
    <t>32016R0679:12:3:5</t>
  </si>
  <si>
    <t>de informatie</t>
  </si>
  <si>
    <t>32016R0679:42:6:3</t>
  </si>
  <si>
    <t>de voor de uitvoering van de certificeringsprocedure noodzakelijke informatie</t>
  </si>
  <si>
    <t>voor de uitvoering van de certificeringsprocedure noodzakelijke informatie</t>
  </si>
  <si>
    <t>32024R1689:47:3:9</t>
  </si>
  <si>
    <t>alle informatie die vereist is voor de identificatie van de harmonisatiewetgeving van de Unie waarop de verklaring betrekking heeft</t>
  </si>
  <si>
    <t>informatie die vereist is voor de identificatie van de harmonisatiewetgeving van de Unie waarop de verklaring betrekking heeft</t>
  </si>
  <si>
    <t>32024R1689:5:2:5</t>
  </si>
  <si>
    <t>Het gebruik van het systeem voor biometrische identificatie op afstand in real time in openbare ruimten</t>
  </si>
  <si>
    <t>systeem voor biometrische identificatie op afstand in real time in openbare ruimten</t>
  </si>
  <si>
    <t>32016R0679:47:1:1</t>
  </si>
  <si>
    <t>bindende bedrijfsvoorschriften</t>
  </si>
  <si>
    <t>32016R0679:91:1:1</t>
  </si>
  <si>
    <t>die regels</t>
  </si>
  <si>
    <t>regels</t>
  </si>
  <si>
    <t>32016R0679:54:1:5</t>
  </si>
  <si>
    <t>de ambtstermijn van het lid of de leden van elke toezichthoudende autoriteit</t>
  </si>
  <si>
    <t>ambtstermijn | leden van elke toezichthoudende autoriteit</t>
  </si>
  <si>
    <t>32016R0679:64:3:4</t>
  </si>
  <si>
    <t>Die termijn</t>
  </si>
  <si>
    <t>termijn</t>
  </si>
  <si>
    <t>32016R0679:51:3:4</t>
  </si>
  <si>
    <t>de toezichthoudende autoriteit</t>
  </si>
  <si>
    <t>toezichthoudende autoriteit</t>
  </si>
  <si>
    <t>32016R0679:62:2:2</t>
  </si>
  <si>
    <t>het verzoek van een toezichthoudende autoriteit om te mogen deelnemen</t>
  </si>
  <si>
    <t>verzoek van een toezichthoudende autoriteit om te mogen deelnemen</t>
  </si>
  <si>
    <t>32024R1689:100:4:4</t>
  </si>
  <si>
    <t>de instelling, het orgaan of de instantie van de Unie ten aanzien waarvan hij een procedure voert</t>
  </si>
  <si>
    <t>instelling, het orgaan of de instantie van de Unie ten aanzien waarvan hij een procedure voert</t>
  </si>
  <si>
    <t>32024R1689:56:6:7</t>
  </si>
  <si>
    <t>of de deelnemers de doelstellingen van de praktijkcodes verwezenlijken en bijdragen aan de correcte toepassing van deze verordening</t>
  </si>
  <si>
    <t>of de deelnemers de doelstellingen van de praktijkcodes verwezenlijken en bijdragen aan de correcte toepassing</t>
  </si>
  <si>
    <t>32024R1689:57:3:6</t>
  </si>
  <si>
    <t>een AI-testomgeving voor regelgeving</t>
  </si>
  <si>
    <t>AI-testomgeving voor regelgeving</t>
  </si>
  <si>
    <t>32024R1689:59:1:5</t>
  </si>
  <si>
    <t>in een functioneel gescheiden, geïsoleerde en beschermde omgeving voor dataverwerking</t>
  </si>
  <si>
    <t>functioneel gescheiden, geïsoleerde en beschermde omgeving voor dataverwerking</t>
  </si>
  <si>
    <t>32016R0679:58:2:14</t>
  </si>
  <si>
    <t>het rectificeren of wissen van persoonsgegevens of het beperken van verwerking uit hoofde van de artikelen 16, 17 en 18</t>
  </si>
  <si>
    <t>rectificeren of wissen van persoonsgegevens of het beperken van verwerking</t>
  </si>
  <si>
    <t>32016R0679:6:3:1</t>
  </si>
  <si>
    <t>De rechtsgrond voor de in lid 1, punten c) en e), bedoelde verwerking</t>
  </si>
  <si>
    <t>rechtsgrond voor de verwerking</t>
  </si>
  <si>
    <t>32016R0679:70:1:13</t>
  </si>
  <si>
    <t>de in artikel 43, lid 3, bedoelde vereisten</t>
  </si>
  <si>
    <t>vereisten</t>
  </si>
  <si>
    <t>32024R1689:8:2:3</t>
  </si>
  <si>
    <t>dat hun product volledig voldoet aan alle toepasselijke vereisten uit hoofde van de toepasselijke harmonisatiewetgeving van de Unie</t>
  </si>
  <si>
    <t>product volledig voldoet aan alle toepasselijke vereisten uit hoofde van de toepasselijke harmonisatiewetgeving van de Unie</t>
  </si>
  <si>
    <t>32016R0679:60:9:21</t>
  </si>
  <si>
    <t>het besluit</t>
  </si>
  <si>
    <t>besluit</t>
  </si>
  <si>
    <t>32016R0679:70:1:22</t>
  </si>
  <si>
    <t>een openbaar elektronisch register van besluiten van toezichthoudende autoriteiten en gerechten</t>
  </si>
  <si>
    <t>openbaar elektronisch register van besluiten van toezichthoudende autoriteiten en gerechten</t>
  </si>
  <si>
    <t>32016R0679:40:11:17</t>
  </si>
  <si>
    <t>alle goedgekeurde gedragscodes, wijzigingen en uitbreidingen</t>
  </si>
  <si>
    <t>goedgekeurde gedragscodes | wijzigingen | uitbreidingen</t>
  </si>
  <si>
    <t>32024R1689:43:4:7</t>
  </si>
  <si>
    <t>substantiële wijziging</t>
  </si>
  <si>
    <t>32016R0679:41:1:1</t>
  </si>
  <si>
    <t>het op grond van artikel 40 uitgevoerde toezicht op de naleving van een gedragscode</t>
  </si>
  <si>
    <t>uitgevoerde toezicht op de naleving van een gedragscode</t>
  </si>
  <si>
    <t>32016R0679:57:1:22</t>
  </si>
  <si>
    <t>gedragscodes</t>
  </si>
  <si>
    <t>32016R0679:50:whole:5</t>
  </si>
  <si>
    <t>de internationale samenwerking bij de handhaving van de wetgeving inzake de bescherming van persoonsgegevens</t>
  </si>
  <si>
    <t>internationale samenwerking bij de handhaving van de wetgeving inzake de bescherming van persoonsgegevens</t>
  </si>
  <si>
    <t>32016R0679:52:4:6</t>
  </si>
  <si>
    <t>dat elke toezichthoudende autoriteit beschikt over de personele, technische en financiële middelen, en de bedrijfsruimten en infrastructuur die nodig zijn voor het effectief uitvoeren van haar taken en uitoefenen van haar bevoegdheden, waaronder die in het kader van wederzijdse bijstand, samenwerking en deelname aan het Comité</t>
  </si>
  <si>
    <t>toezichthoudende autoriteit beschikt over de personele, technische en financiële middelen, en de bedrijfsruimten en infrastructuur die nodig zijn voor het effectief uitvoeren van haar taken en uitoefenen van haar bevoegdheden, waaronder die in het kader van wederzijdse bijstand, samenwerking en deelname aan het Comité</t>
  </si>
  <si>
    <t>32016R0679:33:5:6</t>
  </si>
  <si>
    <t>32024R1689:73:8:9</t>
  </si>
  <si>
    <t>32024R1689:82:4:6</t>
  </si>
  <si>
    <t>andere passende maatregelen</t>
  </si>
  <si>
    <t>32016R0679:35:7:12</t>
  </si>
  <si>
    <t>een beoordeling van de noodzaak en de evenredigheid van de verwerkingen met betrekking tot de doeleinden</t>
  </si>
  <si>
    <t>beoordeling van de noodzaak | evenredigheid van de verwerkingen met betrekking tot de doeleinden</t>
  </si>
  <si>
    <t>32016R0679:82:2:3</t>
  </si>
  <si>
    <t>de schade die door verwerking is veroorzaakt</t>
  </si>
  <si>
    <t>schade die door verwerking is veroorzaakt</t>
  </si>
  <si>
    <t>32016R0679:42:7:6</t>
  </si>
  <si>
    <t>Het certificaat</t>
  </si>
  <si>
    <t>certificaat</t>
  </si>
  <si>
    <t>32024R1689:44:1:1</t>
  </si>
  <si>
    <t>certificaten</t>
  </si>
  <si>
    <t>32016R0679:35:2:2</t>
  </si>
  <si>
    <t>diens advies</t>
  </si>
  <si>
    <t>32016R0679:64:3:3</t>
  </si>
  <si>
    <t>een advies</t>
  </si>
  <si>
    <t>32024R1689:56:3:3</t>
  </si>
  <si>
    <t>het proces</t>
  </si>
  <si>
    <t>proces</t>
  </si>
  <si>
    <t>32024R1689:57:11:19</t>
  </si>
  <si>
    <t>het testproces of de deelname aan de testomgeving</t>
  </si>
  <si>
    <t>testproces | deelname aan de testomgeving</t>
  </si>
  <si>
    <t>32016R0679:90:1:1</t>
  </si>
  <si>
    <t>specifieke regels</t>
  </si>
  <si>
    <t>32016R0679:21:1:1</t>
  </si>
  <si>
    <t>de verwerking van hem betreffende persoonsgegevens</t>
  </si>
  <si>
    <t>verwerking van hem betreffende persoonsgegevens</t>
  </si>
  <si>
    <t>32016R0679:37:1:1</t>
  </si>
  <si>
    <t>een functionaris voor gegevensbescherming</t>
  </si>
  <si>
    <t>functionaris voor gegevensbescherming</t>
  </si>
  <si>
    <t>32016R0679:58:3:25</t>
  </si>
  <si>
    <t>de in artikel 28, lid 8, en artikel 46, lid 2, punt d), bedoelde standaardbepalingen inzake gegevensbescherming</t>
  </si>
  <si>
    <t>standaardbepalingen inzake gegevensbescherming</t>
  </si>
  <si>
    <t>32024R1689:36:7:24</t>
  </si>
  <si>
    <t>de Commissie en de lidstaten</t>
  </si>
  <si>
    <t>Commissie | lidstaten</t>
  </si>
  <si>
    <t>32024R1689:88:2:3</t>
  </si>
  <si>
    <t>de Commissie</t>
  </si>
  <si>
    <t>Commissie</t>
  </si>
  <si>
    <t>32016R0679:28:9:11</t>
  </si>
  <si>
    <t>De in de leden 3 en 4 bedoelde overeenkomst of andere rechtshandeling</t>
  </si>
  <si>
    <t>overeenkomst | rechtshandeling</t>
  </si>
  <si>
    <t>32024R1689:92:6:8</t>
  </si>
  <si>
    <t>uitvoeringshandelingen</t>
  </si>
  <si>
    <t>32024R1689:45:2:7</t>
  </si>
  <si>
    <t>door haar geweigerde, opgeschorte of ingetrokken goedkeuringen voor kwaliteitsbeheersystemen</t>
  </si>
  <si>
    <t>32024R1689:49:2:2</t>
  </si>
  <si>
    <t>zichzelf en dat systeem</t>
  </si>
  <si>
    <t>32024R1689:25:2:6</t>
  </si>
  <si>
    <t>aanbieder van dat specifieke AI-systeem</t>
  </si>
  <si>
    <t>32024R1689:57:7:11</t>
  </si>
  <si>
    <t>aanbieders en potentiële aanbieders die deelnemen aan de AI-testomgeving voor regelgeving</t>
  </si>
  <si>
    <t>32024R1689:50:7:14</t>
  </si>
  <si>
    <t>een uitvoeringshandeling</t>
  </si>
  <si>
    <t>uitvoeringshandeling</t>
  </si>
  <si>
    <t>32024R1689:72:3:3</t>
  </si>
  <si>
    <t>32016R0679:40:7:14</t>
  </si>
  <si>
    <t>32024R1689:75:3:1</t>
  </si>
  <si>
    <t>een met redenen omkleed verzoek</t>
  </si>
  <si>
    <t>met redenen omkleed verzoek</t>
  </si>
  <si>
    <t>32016R0679:57:1:21</t>
  </si>
  <si>
    <t>32016R0679:58:3:20</t>
  </si>
  <si>
    <t>32016R0679:78:3:3</t>
  </si>
  <si>
    <t>Een procedure tegen een toezichthoudende autoriteit</t>
  </si>
  <si>
    <t>procedure tegen een toezichthoudende autoriteit</t>
  </si>
  <si>
    <t>32024R1689:65:5:3</t>
  </si>
  <si>
    <t>procedures</t>
  </si>
  <si>
    <t>32024R1689:27:2:4</t>
  </si>
  <si>
    <t>op het eerste gebruik van een AI-systeem met een hoog risico</t>
  </si>
  <si>
    <t>32024R1689:9:8:15</t>
  </si>
  <si>
    <t>Het testen van AI-systemen met een hoog risico</t>
  </si>
  <si>
    <t>AI-systemen met een hoog risico</t>
  </si>
  <si>
    <t>32016R0679:20:1:2</t>
  </si>
  <si>
    <t>die gegevens</t>
  </si>
  <si>
    <t>gegevens</t>
  </si>
  <si>
    <t>32024R1689:71:2:4</t>
  </si>
  <si>
    <t>De in afdelingen A en B van bijlage VIII vermelde gegevens</t>
  </si>
  <si>
    <t>32016R0679:42:8:8</t>
  </si>
  <si>
    <t>alle certificeringsmechanismen en gegevensbeschermingszegels en -merktekens</t>
  </si>
  <si>
    <t>certificeringsmechanismen en -merktekens | gegevensbeschermingszegels</t>
  </si>
  <si>
    <t>32016R0679:70:1:10</t>
  </si>
  <si>
    <t>certificeringsmechanismen voor gegevensbescherming en gegevensbeschermingszegels en -merktekens</t>
  </si>
  <si>
    <t>32016R0679:83:6:7</t>
  </si>
  <si>
    <t>administratieve geldboeten</t>
  </si>
  <si>
    <t>32024R1689:99:3:7</t>
  </si>
  <si>
    <t>32016R0679:41:2:10</t>
  </si>
  <si>
    <t>die procedures en structuren</t>
  </si>
  <si>
    <t>32024R1689:31:8:9</t>
  </si>
  <si>
    <t>de nodige procedures</t>
  </si>
  <si>
    <t>nodige procedures</t>
  </si>
  <si>
    <t>32016R0679:32:4:2</t>
  </si>
  <si>
    <t>maatregelen</t>
  </si>
  <si>
    <t>32024R1689:79:5:3</t>
  </si>
  <si>
    <t>alle passende voorlopige maatregelen</t>
  </si>
  <si>
    <t>passende voorlopige maatregelen</t>
  </si>
  <si>
    <t>32016R0679:67:whole:1</t>
  </si>
  <si>
    <t>Die uitvoeringshandelingen</t>
  </si>
  <si>
    <t>32024R1689:6:7:7</t>
  </si>
  <si>
    <t>32016R0679:12:4:7</t>
  </si>
  <si>
    <t>waarom het verzoek zonder gevolg is gebleven</t>
  </si>
  <si>
    <t>32016R0679:61:4:7</t>
  </si>
  <si>
    <t>dit verzoek</t>
  </si>
  <si>
    <t>verzoek</t>
  </si>
  <si>
    <t>32016R0679:28:4:6</t>
  </si>
  <si>
    <t>dezelfde verplichtingen inzake gegevensbescherming</t>
  </si>
  <si>
    <t>32024R1689:26:5:10</t>
  </si>
  <si>
    <t>Deze verplichting</t>
  </si>
  <si>
    <t>32016R0679:34:1:1</t>
  </si>
  <si>
    <t>de inbreuk in verband met persoonsgegevens</t>
  </si>
  <si>
    <t>inbreuk in verband met persoonsgegevens</t>
  </si>
  <si>
    <t>32016R0679:61:1:1</t>
  </si>
  <si>
    <t>relevante informatie en wederzijdse bijstand</t>
  </si>
  <si>
    <t>relevante informatie | wederzijdse bijstand</t>
  </si>
  <si>
    <t>32016R0679:97:3:4</t>
  </si>
  <si>
    <t>32016R0679:43:6:7</t>
  </si>
  <si>
    <t>De in lid 3 van dit artikel bedoelde voorschriften en de in artikel 42, lid 5, bedoelde criteria</t>
  </si>
  <si>
    <t>voorschriften | criteria</t>
  </si>
  <si>
    <t>32024R1689:67:6:4</t>
  </si>
  <si>
    <t>zijn reglement</t>
  </si>
  <si>
    <t>reglement</t>
  </si>
  <si>
    <t>32024R1689:112:13:22</t>
  </si>
  <si>
    <t>verslag</t>
  </si>
  <si>
    <t>32024R1689:57:7:10</t>
  </si>
  <si>
    <t>de eindverslagen en de schriftelijke bewijzen die door de nationale bevoegde autoriteit worden verstrekt</t>
  </si>
  <si>
    <t>eindverslagen en de schriftelijke bewijzen die door de nationale bevoegde autoriteit worden verstrekt</t>
  </si>
  <si>
    <t>32016R0679:20:3:5</t>
  </si>
  <si>
    <t>dat recht</t>
  </si>
  <si>
    <t>recht</t>
  </si>
  <si>
    <t>32016R0679:26:3:3</t>
  </si>
  <si>
    <t>zijn rechten uit hoofde van deze verordening</t>
  </si>
  <si>
    <t>rechten</t>
  </si>
  <si>
    <t>32016R0679:61:7:11</t>
  </si>
  <si>
    <t>32024R1689:65:5:2</t>
  </si>
  <si>
    <t>het reglement van orde van de AI-board</t>
  </si>
  <si>
    <t>reglement van orde van de AI-board</t>
  </si>
  <si>
    <t>32024R1689:70:7:12</t>
  </si>
  <si>
    <t>de uitwisseling van ervaringen</t>
  </si>
  <si>
    <t>uitwisseling van ervaringen</t>
  </si>
  <si>
    <t>32024R1689:56:7:14</t>
  </si>
  <si>
    <t>alle aanbieders van AI-modellen voor algemene doeleinden</t>
  </si>
  <si>
    <t>aanbieders van AI-modellen voor algemene doeleinden</t>
  </si>
  <si>
    <t>32024R1689:92:1:1</t>
  </si>
  <si>
    <t>evaluaties van het betrokken AI-model voor algemene doeleinden</t>
  </si>
  <si>
    <t>32024R1689:24:2:2</t>
  </si>
  <si>
    <t>32024R1689:57:11:18</t>
  </si>
  <si>
    <t>Significante risico’s voor de gezondheid en veiligheid en de grondrechten</t>
  </si>
  <si>
    <t>Significante risico’s voor de gezondheid en veiligheid | grondrechten</t>
  </si>
  <si>
    <t>32016R0679:6:3:2</t>
  </si>
  <si>
    <t>Het doel van de verwerking</t>
  </si>
  <si>
    <t>doel van de verwerking</t>
  </si>
  <si>
    <t>32016R0679:20:2:4</t>
  </si>
  <si>
    <t>de persoonsgegevens</t>
  </si>
  <si>
    <t>32016R0679:37:5:7</t>
  </si>
  <si>
    <t>De functionaris voor gegevensbescherming</t>
  </si>
  <si>
    <t>32016R0679:79:2:2</t>
  </si>
  <si>
    <t>Een procedure tegen een verwerkingsverantwoordelijke of een verwerker</t>
  </si>
  <si>
    <t>procedure tegen een verwerkingsverantwoordelijke of een verwerker</t>
  </si>
  <si>
    <t>32024R1689:57:1:2</t>
  </si>
  <si>
    <t>hun bevoegde autoriteiten ten minste één AI-testomgeving voor regelgeving op nationaal niveau opzetten</t>
  </si>
  <si>
    <t>bevoegde autoriteiten ten minste één AI-testomgeving voor regelgeving op nationaal niveau opzetten</t>
  </si>
  <si>
    <t>32024R1689:59:2:13</t>
  </si>
  <si>
    <t>de verwerking van persoonsgegevens in AI-testomgevingen voor regelgeving</t>
  </si>
  <si>
    <t>verwerking van persoonsgegevens in AI-testomgevingen voor regelgeving</t>
  </si>
  <si>
    <t>32024R1689:95:4:3</t>
  </si>
  <si>
    <t>de specifieke belangen en behoeften van kmo’s, waaronder start-ups</t>
  </si>
  <si>
    <t>specifieke belangen en behoeften van kmo’s, waaronder start-ups</t>
  </si>
  <si>
    <t>32024R1689:99:1:4</t>
  </si>
  <si>
    <t>de belangen van kmo’s, met inbegrip van start-ups, en hun economische levensvatbaarheid</t>
  </si>
  <si>
    <t>belangen van kmo’s, met inbegrip van start-ups | economische levensvatbaarheid</t>
  </si>
  <si>
    <t>32016R0679:37:6:9</t>
  </si>
  <si>
    <t>de taken op grond van een dienstverleningsovereenkomst</t>
  </si>
  <si>
    <t>taken op grond van een dienstverleningsovereenkomst</t>
  </si>
  <si>
    <t>32024R1689:79:9:8</t>
  </si>
  <si>
    <t>de passende beperkende maatregelen</t>
  </si>
  <si>
    <t>passende beperkende maatregelen</t>
  </si>
  <si>
    <t>32024R1689:81:2:6</t>
  </si>
  <si>
    <t>passende beperkende maatregelen ten aanzien van het betrokken AI-systeem</t>
  </si>
  <si>
    <t>32024R1689:100:3:3</t>
  </si>
  <si>
    <t>32024R1689:99:5:9</t>
  </si>
  <si>
    <t>32024R1689:36:7:22</t>
  </si>
  <si>
    <t>onterecht afgegeven certificaten</t>
  </si>
  <si>
    <t>32024R1689:45:2:10</t>
  </si>
  <si>
    <t>de certificaten en/of aanvullingen daarop die zij heeft uitgegeven</t>
  </si>
  <si>
    <t>certificaten of aanvullingen die zij heeft uitgegeven</t>
  </si>
  <si>
    <t>32016R0679:70:1:18</t>
  </si>
  <si>
    <t>samenwerking en effectieve bilaterale en multilaterale uitwisseling van informatie en beste praktijken tussen de toezichthoudende autoriteiten</t>
  </si>
  <si>
    <t>samenwerking tussen de toezichthoudende autoriteiten | effectieve bilaterale en multilaterale uitwisseling van informatie en beste praktijken</t>
  </si>
  <si>
    <t>32024R1689:45:3:12</t>
  </si>
  <si>
    <t>positieve conformiteitsbeoordelingsresultaten</t>
  </si>
  <si>
    <t>32024R1689:80:3:4</t>
  </si>
  <si>
    <t>de resultaten van de toetsing en van de maatregelen die zij de aanbieder heeft opgelegd</t>
  </si>
  <si>
    <t>resultaten van de toetsing en van de maatregelen die zij de aanbieder heeft opgelegd</t>
  </si>
  <si>
    <t>32016R0679:66:1:1</t>
  </si>
  <si>
    <t>voorlopige maatregelen</t>
  </si>
  <si>
    <t>32016R0679:25:2:6</t>
  </si>
  <si>
    <t>32016R0679:57:1:32</t>
  </si>
  <si>
    <t>alle andere taken die verband houden met de bescherming van persoonsgegevens</t>
  </si>
  <si>
    <t>taken die verband houden met de bescherming van persoonsgegevens</t>
  </si>
  <si>
    <t>32016R0679:46:4:5</t>
  </si>
  <si>
    <t>het in artikel 63 bedoelde coherentiemechanisme</t>
  </si>
  <si>
    <t>coherentiemechanisme</t>
  </si>
  <si>
    <t>32024R1689:53:1:2</t>
  </si>
  <si>
    <t>de technische documentatie van het model</t>
  </si>
  <si>
    <t>technische documentatie van het model</t>
  </si>
  <si>
    <t>32016R0679:14:5:13</t>
  </si>
  <si>
    <t>32024R1689:15:5:6</t>
  </si>
  <si>
    <t>maatregelen voor het voorkomen, traceren, reageren op, oplossen en beheersen van aanvallen waarmee een poging wordt gedaan tot het manipuleren van de dataset voor de training (de zogenaamde “datavervuiling”), van vooraf getrainde componenten die in de training zijn gebruikt (de zogenaamde “modelvervuiling”), van input die is gecreëerd om fouten van het model te veroorzaken (zogenaamde “vijandige voorbeelden” of “modelontwijking”), van aanvallen om vertrouwelijke gegevens te bemachtigen of van tekortkomingen van het model</t>
  </si>
  <si>
    <t>maatregelen voor het voorkomen, traceren, reageren op, oplossen en beheersen van aanvallen waarmee een poging wordt gedaan tot het manipuleren van de dataset voor de training (de zogenaamde datavervuiling), van vooraf getrainde componenten die in de training zijn gebruikt (de zogenaamde modelvervuiling), van input die is gecreëerd om fouten van het model te veroorzaken (zogenaamde vijandige voorbeelden of modelontwijking), van aanvallen om vertrouwelijke gegevens te bemachtigen of van tekortkomingen van het model</t>
  </si>
  <si>
    <t>32016R0679:27:2:2</t>
  </si>
  <si>
    <t>De verplichting vervat in lid 1 van dit artikel</t>
  </si>
  <si>
    <t>32024R1689:50:3:5</t>
  </si>
  <si>
    <t>32016R0679:42:1:1</t>
  </si>
  <si>
    <t>de invoering van certificeringsmechanismen voor gegevensbescherming en gegevensbeschermingszegels en -merktekens</t>
  </si>
  <si>
    <t>32016R0679:57:1:23</t>
  </si>
  <si>
    <t>de invoering van certificeringsmechanismen voor gegevensbescherming en van gegevensbeschermingszegels en -merktekens overeenkomstig artikel 42, lid 1</t>
  </si>
  <si>
    <t>certificeringsmechanismen voor gegevensbescherming en van gegevensbeschermingszegels en -merktekens</t>
  </si>
  <si>
    <t>32024R1689:26:6:11</t>
  </si>
  <si>
    <t>de logs die automatisch worden gegenereerd door dat AI-systeem met een hoog risico</t>
  </si>
  <si>
    <t>logs die automatisch worden gegenereerd door dat AI-systeem met een hoog risico</t>
  </si>
  <si>
    <t>32016R0679:40:1:1</t>
  </si>
  <si>
    <t>de opstelling van gedragscodes</t>
  </si>
  <si>
    <t>opstelling van gedragscodes</t>
  </si>
  <si>
    <t>32024R1689:56:6:9</t>
  </si>
  <si>
    <t>of de doelstellingen daarvan worden verwezenlijkt</t>
  </si>
  <si>
    <t>of de doelstellingen worden verwezenlijkt</t>
  </si>
  <si>
    <t>32016R0679:83:3:4</t>
  </si>
  <si>
    <t>de totale geldboete</t>
  </si>
  <si>
    <t>totale geldboete</t>
  </si>
  <si>
    <t>32016R0679:16:whole:2</t>
  </si>
  <si>
    <t>vervollediging van onvolledige persoonsgegevens</t>
  </si>
  <si>
    <t>32024R1689:59:1:1</t>
  </si>
  <si>
    <t>rechtmatig voor andere doeleinden verzamelde persoonsgegevens</t>
  </si>
  <si>
    <t>32016R0679:54:1:7</t>
  </si>
  <si>
    <t>de voorwaarden in verband met de plichten van het lid of de leden en de personeelsleden van elke toezichthoudende autoriteit, de verboden op met die plichten onverenigbare handelingen, werkzaamheden en voordelen tijdens en na de ambtstermijn en de regels betreffende de beëindiging van de ambtstermijn onderscheidenlijk de arbeidsverhouding</t>
  </si>
  <si>
    <t>voorwaarden in verband met de plichten of de leden en de personeelsleden van elke toezichthoudende autoriteit, de verboden op met die plichten onverenigbare handelingen, werkzaamheden en voordelen tijdens en na de ambtstermijn en de regels betreffende de beëindiging van de ambtstermijn onderscheidenlijk de arbeidsverhouding</t>
  </si>
  <si>
    <t>32024R1689:74:7:6</t>
  </si>
  <si>
    <t>een andere relevante autoriteit</t>
  </si>
  <si>
    <t>relevante autoriteit</t>
  </si>
  <si>
    <t>32024R1689:11:1:8</t>
  </si>
  <si>
    <t>dat het AI-systeem met een hoog risico in overeenstemming is met de eisen van deze afdeling</t>
  </si>
  <si>
    <t>AI-systeem met een hoog risico in overeenstemming is met de eisen</t>
  </si>
  <si>
    <t>32016R0679:51:3:5</t>
  </si>
  <si>
    <t>de procedure</t>
  </si>
  <si>
    <t>procedure</t>
  </si>
  <si>
    <t>32016R0679:82:6:7</t>
  </si>
  <si>
    <t>Gerechtelijke procedures voor het uitoefenen van het recht op schadevergoeding</t>
  </si>
  <si>
    <t>32024R1689:56:6:8</t>
  </si>
  <si>
    <t>of de praktijkcodes betrekking hebben op de verplichtingen van de artikelen 53 en 55</t>
  </si>
  <si>
    <t>of de praktijkcodes betrekking hebben op de verplichtingen</t>
  </si>
  <si>
    <t>32016R0679:14:5:14</t>
  </si>
  <si>
    <t>het verkrijgen of verstrekken van de gegevens</t>
  </si>
  <si>
    <t>verkrijgen of verstrekken van de gegevens</t>
  </si>
  <si>
    <t>32016R0679:37:7:10</t>
  </si>
  <si>
    <t>de contactgegevens van de functionaris voor gegevensbescherming</t>
  </si>
  <si>
    <t>contactgegevens van de functionaris voor gegevensbescherming</t>
  </si>
  <si>
    <t>32016R0679:70:1:4</t>
  </si>
  <si>
    <t>32024R1689:46:2:4</t>
  </si>
  <si>
    <t>alle resultaten en outputs van dat gebruik</t>
  </si>
  <si>
    <t>resultaten van dat gebruik | outputs</t>
  </si>
  <si>
    <t>32024R1689:49:3:5</t>
  </si>
  <si>
    <t>het gebruik ervan</t>
  </si>
  <si>
    <t>gebruik</t>
  </si>
  <si>
    <t>32024R1689:59:1:2</t>
  </si>
  <si>
    <t>AI-systemen</t>
  </si>
  <si>
    <t>32024R1689:9:9:17</t>
  </si>
  <si>
    <t>met de vraag of het beoogde doel van het AI-systeem met een hoog risico waarschijnlijk negatieve gevolgen zal hebben voor personen jonger dan 18 jaar en, in voorkomend geval, voor andere kwetsbare groepen</t>
  </si>
  <si>
    <t>vraag of het beoogde doel van het AI-systeem met een hoog risico waarschijnlijk negatieve gevolgen zal hebben voor personen jonger dan 18 jaar en, in voorkomend geval, voor andere kwetsbare groepen</t>
  </si>
  <si>
    <t>32016R0679:70:1:15</t>
  </si>
  <si>
    <t>alle nodige documentatie</t>
  </si>
  <si>
    <t>nodige documentatie</t>
  </si>
  <si>
    <t>32024R1689:16:whole:3</t>
  </si>
  <si>
    <t>de in artikel 18 bedoelde documentatie</t>
  </si>
  <si>
    <t>documentatie</t>
  </si>
  <si>
    <t>32016R0679:59:whole:2</t>
  </si>
  <si>
    <t>Die verslagen</t>
  </si>
  <si>
    <t>verslagen</t>
  </si>
  <si>
    <t>32024R1689:56:5:4</t>
  </si>
  <si>
    <t>32016R0679:58:2:16</t>
  </si>
  <si>
    <t>een administratieve geldboete</t>
  </si>
  <si>
    <t>administratieve geldboete</t>
  </si>
  <si>
    <t>32016R0679:83:9:15</t>
  </si>
  <si>
    <t>geldboeten</t>
  </si>
  <si>
    <t>32016R0679:58:2:8</t>
  </si>
  <si>
    <t>alle volgende bevoegdheden tot het nemen van corrigerende maatregelen</t>
  </si>
  <si>
    <t>bevoegdheden tot het nemen van corrigerende maatregelen</t>
  </si>
  <si>
    <t>32024R1689:36:7:26</t>
  </si>
  <si>
    <t>de gepaste maatregelen die nodig zijn om een mogelijk risico voor de gezondheid, veiligheid of grondrechten af te wenden</t>
  </si>
  <si>
    <t>gepaste maatregelen die nodig zijn om een mogelijk risico voor de gezondheid, veiligheid of grondrechten af te wenden</t>
  </si>
  <si>
    <t>32016R0679:40:4:7</t>
  </si>
  <si>
    <t>mechanismen</t>
  </si>
  <si>
    <t>32016R0679:85:2:2</t>
  </si>
  <si>
    <t>uitzonderingen of afwijkingen</t>
  </si>
  <si>
    <t>uitzonderingen | afwijkingen</t>
  </si>
  <si>
    <t>32016R0679:89:2:5</t>
  </si>
  <si>
    <t>afwijkingen van de in de artikelen 15, 16, 18 en 21 genoemde rechten</t>
  </si>
  <si>
    <t>afwijkingen van de rechten</t>
  </si>
  <si>
    <t>32024R1689:5:5:13</t>
  </si>
  <si>
    <t>voor welke doelstellingen van lid 1, eerste alinea, punt h), en voor welke strafbare feiten als bedoeld in punt h), iii), daarvan de bevoegde autoriteiten deze systemen mogen gebruiken met het oog op de rechtshandhaving</t>
  </si>
  <si>
    <t>welke doelstellingen en voor welke strafbare feiten de bevoegde autoriteiten deze systemen mogen gebruiken met het oog op de rechtshandhaving</t>
  </si>
  <si>
    <t>32024R1689:37:4:6</t>
  </si>
  <si>
    <t>de nodige corrigerende maatregelen</t>
  </si>
  <si>
    <t>nodige corrigerende maatregelen</t>
  </si>
  <si>
    <t>32024R1689:80:6:6</t>
  </si>
  <si>
    <t>adequate corrigerende maatregelen</t>
  </si>
  <si>
    <t>32016R0679:35:11:18</t>
  </si>
  <si>
    <t>een toetsing</t>
  </si>
  <si>
    <t>toetsing</t>
  </si>
  <si>
    <t>32024R1689:60:2:1</t>
  </si>
  <si>
    <t>tests</t>
  </si>
  <si>
    <t>32016R0679:75:6:10</t>
  </si>
  <si>
    <t>de voorbereiding, opstelling en bekendmaking van adviezen, besluiten inzake beslechting van geschillen tussen toezichthoudende autoriteiten, en andere teksten die het Comité vaststelt</t>
  </si>
  <si>
    <t>voorbereiding, opstelling en bekendmaking van adviezen, besluiten inzake beslechting van geschillen tussen toezichthoudende autoriteiten, en andere teksten die het Comité vaststelt</t>
  </si>
  <si>
    <t>How to judge</t>
  </si>
  <si>
    <t>Fill in the yellow cells of the Review sheet, one row per pair. Judge only the objects.</t>
  </si>
  <si>
    <t>Same thing?   same: both objects are the same thing.</t>
  </si>
  <si>
    <t xml:space="preserve">              related: overlapping, or one is a part, kind or case of the other.</t>
  </si>
  <si>
    <t xml:space="preserve">              different: not about the same thing.   unclear: cannot tell (not counted).</t>
  </si>
  <si>
    <t>Broader?      only when same or related: which object is broader?</t>
  </si>
  <si>
    <t xml:space="preserve">              A broader / B broader / equal scope / can't say.</t>
  </si>
  <si>
    <t>Units show how each object was split; judge the objects as a whole.</t>
  </si>
  <si>
    <t>Scores are in the hidden 'key' sheet: leave it alone until you are done.</t>
  </si>
  <si>
    <t>When finished, save and run: python pair_review.py review --xlsx &lt;this file&gt;</t>
  </si>
  <si>
    <t>Example (format only; not part of the sample)</t>
  </si>
  <si>
    <t>Object A: de risicobeoordeling | Object B: een beoordeling van de risico's</t>
  </si>
  <si>
    <t>Same thing? same | Broader? equal scope | Note: same assessment, other wording</t>
  </si>
  <si>
    <t>stratum</t>
  </si>
  <si>
    <t>level</t>
  </si>
  <si>
    <t>score</t>
  </si>
  <si>
    <t>relation</t>
  </si>
  <si>
    <t>key</t>
  </si>
  <si>
    <t>spec</t>
  </si>
  <si>
    <t>weight</t>
  </si>
  <si>
    <t>direction</t>
  </si>
  <si>
    <t>top_key</t>
  </si>
  <si>
    <t>sources</t>
  </si>
  <si>
    <t>unit_a</t>
  </si>
  <si>
    <t>unit_b</t>
  </si>
  <si>
    <t>below | 0.40-0.50</t>
  </si>
  <si>
    <t>0.40-0.50</t>
  </si>
  <si>
    <t>head</t>
  </si>
  <si>
    <t>maatregel</t>
  </si>
  <si>
    <t>a_narrower</t>
  </si>
  <si>
    <t>no</t>
  </si>
  <si>
    <t>EU-EU</t>
  </si>
  <si>
    <t>above | head | 0.60+</t>
  </si>
  <si>
    <t>0.60+</t>
  </si>
  <si>
    <t>ondersteun</t>
  </si>
  <si>
    <t>b_narrower</t>
  </si>
  <si>
    <t>ondersteuning</t>
  </si>
  <si>
    <t>above | head | 0.50-0.60</t>
  </si>
  <si>
    <t>0.50-0.60</t>
  </si>
  <si>
    <t>gedragscod</t>
  </si>
  <si>
    <t>same</t>
  </si>
  <si>
    <t>below | &lt;0.40</t>
  </si>
  <si>
    <t>&lt;0.40</t>
  </si>
  <si>
    <t>tail</t>
  </si>
  <si>
    <t>system</t>
  </si>
  <si>
    <t>above | eurovoc | 0.60+</t>
  </si>
  <si>
    <t>eurovoc</t>
  </si>
  <si>
    <t>http://eurovoc.europa.eu/c_b007a1dc</t>
  </si>
  <si>
    <t>above | noun | 0.50+</t>
  </si>
  <si>
    <t>noun</t>
  </si>
  <si>
    <t>oog</t>
  </si>
  <si>
    <t>verwerking van genetische gegevens, biometrische gegevens met het oog op de unieke identificatie van een persoon</t>
  </si>
  <si>
    <t>bepal</t>
  </si>
  <si>
    <t>http://eurovoc.europa.eu/164</t>
  </si>
  <si>
    <t>bevoegd</t>
  </si>
  <si>
    <t>yes</t>
  </si>
  <si>
    <t>document</t>
  </si>
  <si>
    <t>documenten met betrekking tot die aanwijzingen</t>
  </si>
  <si>
    <t>above | eurovoc | 0.50-0.60</t>
  </si>
  <si>
    <t>http://eurovoc.europa.eu/2701</t>
  </si>
  <si>
    <t>persoonsgegev</t>
  </si>
  <si>
    <t>verantwoord</t>
  </si>
  <si>
    <t>opschort</t>
  </si>
  <si>
    <t>opschorting van het testen onder reële omstandigheden</t>
  </si>
  <si>
    <t>gegevensbescherm</t>
  </si>
  <si>
    <t>wijzig</t>
  </si>
  <si>
    <t>above | tail | 0.50+</t>
  </si>
  <si>
    <t>stand</t>
  </si>
  <si>
    <t>bijstand</t>
  </si>
  <si>
    <t>http://eurovoc.europa.eu/5181</t>
  </si>
  <si>
    <t>Informatie</t>
  </si>
  <si>
    <t>http://eurovoc.europa.eu/4818</t>
  </si>
  <si>
    <t>handel</t>
  </si>
  <si>
    <t>plicht</t>
  </si>
  <si>
    <t>plichten</t>
  </si>
  <si>
    <t>conformiteit</t>
  </si>
  <si>
    <t>http://eurovoc.europa.eu/3482</t>
  </si>
  <si>
    <t>procedur</t>
  </si>
  <si>
    <t>procedures voor de uitwisseling van informatie over bindende bedrijfsvoorschriften</t>
  </si>
  <si>
    <t>identificatie</t>
  </si>
  <si>
    <t>http://eurovoc.europa.eu/3099</t>
  </si>
  <si>
    <t>ambtstermijn</t>
  </si>
  <si>
    <t>http://eurovoc.europa.eu/2579</t>
  </si>
  <si>
    <t>http://eurovoc.europa.eu/2907</t>
  </si>
  <si>
    <t>omgev</t>
  </si>
  <si>
    <t>verwerk</t>
  </si>
  <si>
    <t>vereist</t>
  </si>
  <si>
    <t>samenwerk</t>
  </si>
  <si>
    <t>http://eurovoc.europa.eu/c_cef8ea9d</t>
  </si>
  <si>
    <t>evenredigheid van de verwerkingen met betrekking tot de doeleinden</t>
  </si>
  <si>
    <t>certificat</t>
  </si>
  <si>
    <t>testproces</t>
  </si>
  <si>
    <t>regel</t>
  </si>
  <si>
    <t>http://eurovoc.europa.eu/4488</t>
  </si>
  <si>
    <t>commissie</t>
  </si>
  <si>
    <t>rechtshandeling</t>
  </si>
  <si>
    <t>http://eurovoc.europa.eu/6771</t>
  </si>
  <si>
    <t>http://eurovoc.europa.eu/440579</t>
  </si>
  <si>
    <t>http://eurovoc.europa.eu/4449</t>
  </si>
  <si>
    <t>http://eurovoc.europa.eu/c_a3b85311</t>
  </si>
  <si>
    <t>http://eurovoc.europa.eu/5595</t>
  </si>
  <si>
    <t>certificeringsmechanism</t>
  </si>
  <si>
    <t>certificeringsmechanismen en -merktekens</t>
  </si>
  <si>
    <t>geldboet</t>
  </si>
  <si>
    <t>verplicht</t>
  </si>
  <si>
    <t>relevante informatie</t>
  </si>
  <si>
    <t>voorschriften</t>
  </si>
  <si>
    <t>http://eurovoc.europa.eu/2891</t>
  </si>
  <si>
    <t>http://eurovoc.europa.eu/3935</t>
  </si>
  <si>
    <t>uitwissel</t>
  </si>
  <si>
    <t>aimodel</t>
  </si>
  <si>
    <t>risico</t>
  </si>
  <si>
    <t>Significante risico’s voor de gezondheid en veiligheid</t>
  </si>
  <si>
    <t>aitestomgev</t>
  </si>
  <si>
    <t>belang</t>
  </si>
  <si>
    <t>belangen van kmo’s, met inbegrip van start-ups</t>
  </si>
  <si>
    <t>grond</t>
  </si>
  <si>
    <t>http://eurovoc.europa.eu/c_1c478aa5</t>
  </si>
  <si>
    <t>effectieve bilaterale en multilaterale uitwisseling van informatie en beste praktijken</t>
  </si>
  <si>
    <t>resultat</t>
  </si>
  <si>
    <t>mechanism</t>
  </si>
  <si>
    <t>model</t>
  </si>
  <si>
    <t>autoriteit</t>
  </si>
  <si>
    <t>aisystem</t>
  </si>
  <si>
    <t>betrek</t>
  </si>
  <si>
    <t>gegev</t>
  </si>
  <si>
    <t>resultaten van dat gebruik</t>
  </si>
  <si>
    <t>http://eurovoc.europa.eu/494</t>
  </si>
  <si>
    <t>afwijk</t>
  </si>
  <si>
    <t>afwijkingen</t>
  </si>
  <si>
    <t>doelstell</t>
  </si>
  <si>
    <t>http://eurovoc.europa.eu/867</t>
  </si>
  <si>
    <t>samenwerking tussen de toezichthoudende autoriteiten</t>
  </si>
  <si>
    <t>N</t>
  </si>
  <si>
    <t>Sample design</t>
  </si>
  <si>
    <t>What is validated. The object score of a pair is the specificity of the best key the two norms' objects share, times a weight for the kind of match (head 1.0, eurovoc 0.9, tail 0.8, noun 0.7). Pairs scoring 0.5 or more are passed on as candidates. The question for the labeller is whether the two objects are the same thing, related, or different.
Population. The population is the 3,933,465 Stage A pairs. Of these, 22,221 share at least one key and have an object score; 3,833,350 involve a norm without any object unit and 94,348 involve two norms whose units share no key. Pairs without a score make no claim, so they are not sampled; their numbers are exact counts (table below). Related pairs among them cannot be measured here.
Why these strata. The filter makes two claims: a pair at or above the threshold is related (precision), a scored pair below it is not related enough (pairs lost). Both are sampled. Score levels on each side of the threshold show whether the share of related pairs changes at the cut-off: 0.60+, 0.50-0.60, 0.40-0.50, &lt;0.40. Two levels per side are the minimum to see a trend; more would leave too few judgements per level to see one. Above the threshold the levels are crossed with the relation of the deciding key, because candidates are what the pipeline uses and each relation's weight is a claim to test; noun and tail are not split, having almost no pairs at 0.6 or more. Below the threshold the levels alone are enough.
Why these sizes. Candidates receive most judgements although they are a minority of scored pairs, because candidate precision is the main figure and the candidate cells are small. Every cell gets a floor; the rest goes to the largest cells. A norm appears in at most 2 sampled pairs. At 50% in every cell this gives about +/-12 points on candidate precision and +/-15 points on the share of related pairs below the threshold. Overall figures are weighted by N_h (the 'review' step), never by row count.
Caveat. Keys are concentrated: pairs sharing a frequent key tend to be right or wrong together, so the intervals, which treat pairs as independent, are slightly optimistic.</t>
  </si>
  <si>
    <t>side</t>
  </si>
  <si>
    <t>population N_h</t>
  </si>
  <si>
    <t>share of scored pairs</t>
  </si>
  <si>
    <t>n sampled</t>
  </si>
  <si>
    <t>why this stratum and this n</t>
  </si>
  <si>
    <t>above</t>
  </si>
  <si>
    <t>Does a higher score mean higher precision? (head, weight claim)</t>
  </si>
  <si>
    <t>Largest candidate cell, right at the threshold.</t>
  </si>
  <si>
    <t>Does a higher score mean higher precision? (eurovoc, weight claim)</t>
  </si>
  <si>
    <t>Second-largest candidate cell, right at the threshold. Also depends on the EuroVoc mapping.</t>
  </si>
  <si>
    <t>tail keys (lower weight); too few above the threshold to split; floor only.</t>
  </si>
  <si>
    <t>noun keys (lower weight); too few above the threshold to split; floor only.</t>
  </si>
  <si>
    <t>below</t>
  </si>
  <si>
    <t>all</t>
  </si>
  <si>
    <t>Near misses just below the threshold: if as many are related as just above it, the threshold could come down.</t>
  </si>
  <si>
    <t>The bulk of scored pairs, mostly generic keys and low-weight noun/tail keys: how many related pairs are lost.</t>
  </si>
  <si>
    <t>total</t>
  </si>
  <si>
    <t>Exact counts (not sampled)</t>
  </si>
  <si>
    <t>pairs</t>
  </si>
  <si>
    <t>count</t>
  </si>
  <si>
    <t>share of Stage A</t>
  </si>
  <si>
    <t>Stage A pairs</t>
  </si>
  <si>
    <t>scored (sampled above)</t>
  </si>
  <si>
    <t>a norm without any object unit</t>
  </si>
  <si>
    <t>both norms have units, no shared key</t>
  </si>
  <si>
    <t>Settings: threshold 0.5, upper 0.6, lower 0.4, max uses per norm 2, top keys 20, seed 42</t>
  </si>
  <si>
    <t>rows</t>
  </si>
  <si>
    <t>judged</t>
  </si>
  <si>
    <t>related</t>
  </si>
  <si>
    <t>different</t>
  </si>
  <si>
    <t>unclear</t>
  </si>
  <si>
    <t>strict</t>
  </si>
  <si>
    <t>lenient</t>
  </si>
  <si>
    <t>lenient 95% low</t>
  </si>
  <si>
    <t>lenient 95% high</t>
  </si>
  <si>
    <t>z</t>
  </si>
  <si>
    <t>Per stratum, unweighted. Above the threshold 'lenient' is precision; below it, the share of related pairs that were lost.</t>
  </si>
  <si>
    <t>Weighted figures (candidate precision, score-level curve, pairs lost, direction): python pair_review.py review --xlsx &lt;this file&gt;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</si>
</sst>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name val="Arial"/>
    </font>
    <font>
      <sz val="11"/>
      <name val="Arial"/>
    </font>
    <font>
      <b/>
      <sz val="11"/>
      <color rgb="FFFFFFFF"/>
      <name val="Arial"/>
    </font>
    <font>
      <i/>
      <sz val="11"/>
      <name val="Arial"/>
    </font>
  </fonts>
  <fills count="4">
    <fill>
      <patternFill patternType="none"/>
    </fill>
    <fill>
      <patternFill patternType="gray125"/>
    </fill>
    <fill>
      <patternFill patternType="solid">
        <fgColor rgb="FF1F3864"/>
      </patternFill>
    </fill>
    <fill>
      <patternFill patternType="solid">
        <fgColor rgb="FFFFFF00"/>
      </patternFill>
    </fill>
  </fills>
  <borders count="2">
    <border>
      <left/>
      <right/>
      <top/>
      <bottom/>
      <diagonal/>
    </border>
    <border>
      <left/>
      <right/>
      <top/>
      <bottom style="thin">
        <color rgb="FFBFBFBF"/>
      </bottom>
      <diagonal/>
    </border>
  </borders>
  <cellStyleXfs count="1">
    <xf numFmtId="0" fontId="0" fillId="0" borderId="0"/>
  </cellStyleXfs>
  <cellXfs count="16">
    <xf numFmtId="0" fontId="0" fillId="0" borderId="0" xfId="0"/>
    <xf numFmtId="0" fontId="1" fillId="0" borderId="0" xfId="0" applyFont="1" applyAlignment="1">
      <alignment vertical="top"/>
    </xf>
    <xf numFmtId="0" fontId="2" fillId="0" borderId="0" xfId="0" applyFont="1" applyAlignment="1">
      <alignment vertical="top"/>
    </xf>
    <xf numFmtId="0" fontId="3" fillId="2" borderId="0" xfId="0" applyFont="1" applyFill="1" applyAlignment="1">
      <alignment vertical="center" wrapText="1"/>
    </xf>
    <xf numFmtId="0" fontId="2" fillId="0" borderId="1" xfId="0" applyFont="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0" borderId="0" xfId="0" applyFont="1"/>
    <xf numFmtId="0" fontId="2" fillId="0" borderId="0" xfId="0" applyFont="1" applyAlignment="1">
      <alignment vertical="top" wrapText="1"/>
    </xf>
    <xf numFmtId="3" fontId="2" fillId="0" borderId="0" xfId="0" applyNumberFormat="1" applyFont="1" applyAlignment="1">
      <alignment vertical="top"/>
    </xf>
    <xf numFmtId="164" fontId="2" fillId="0" borderId="0" xfId="0" applyNumberFormat="1" applyFont="1" applyAlignment="1">
      <alignment vertical="top"/>
    </xf>
    <xf numFmtId="3" fontId="1" fillId="0" borderId="0" xfId="0" applyNumberFormat="1" applyFont="1" applyAlignment="1">
      <alignment vertical="top"/>
    </xf>
    <xf numFmtId="0" fontId="4" fillId="0" borderId="0" xfId="0" applyFont="1" applyAlignment="1">
      <alignment vertical="top"/>
    </xf>
    <xf numFmtId="9" fontId="2" fillId="0" borderId="0" xfId="0" applyNumberFormat="1" applyFont="1" applyAlignment="1">
      <alignment vertical="top"/>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workbookViewId="0">
      <selection activeCell="A15" sqref="A15"/>
    </sheetView>
  </sheetViews>
  <sheetFormatPr defaultRowHeight="14.5" x14ac:dyDescent="0.35"/>
  <cols>
    <col min="1" max="1" width="100" customWidth="1"/>
  </cols>
  <sheetData>
    <row r="1" spans="1:1" x14ac:dyDescent="0.35">
      <c r="A1" s="1" t="s">
        <v>553</v>
      </c>
    </row>
    <row r="2" spans="1:1" x14ac:dyDescent="0.35">
      <c r="A2" s="2" t="s">
        <v>554</v>
      </c>
    </row>
    <row r="3" spans="1:1" x14ac:dyDescent="0.35">
      <c r="A3" s="2" t="s">
        <v>555</v>
      </c>
    </row>
    <row r="4" spans="1:1" x14ac:dyDescent="0.35">
      <c r="A4" s="2" t="s">
        <v>556</v>
      </c>
    </row>
    <row r="5" spans="1:1" x14ac:dyDescent="0.35">
      <c r="A5" s="2" t="s">
        <v>557</v>
      </c>
    </row>
    <row r="6" spans="1:1" x14ac:dyDescent="0.35">
      <c r="A6" s="2" t="s">
        <v>558</v>
      </c>
    </row>
    <row r="7" spans="1:1" x14ac:dyDescent="0.35">
      <c r="A7" s="2" t="s">
        <v>559</v>
      </c>
    </row>
    <row r="8" spans="1:1" x14ac:dyDescent="0.35">
      <c r="A8" s="2" t="s">
        <v>560</v>
      </c>
    </row>
    <row r="9" spans="1:1" x14ac:dyDescent="0.35">
      <c r="A9" s="2" t="s">
        <v>561</v>
      </c>
    </row>
    <row r="10" spans="1:1" x14ac:dyDescent="0.35">
      <c r="A10" s="2" t="s">
        <v>562</v>
      </c>
    </row>
    <row r="11" spans="1:1" x14ac:dyDescent="0.35">
      <c r="A11" s="2"/>
    </row>
    <row r="12" spans="1:1" x14ac:dyDescent="0.35">
      <c r="A12" s="1" t="s">
        <v>563</v>
      </c>
    </row>
    <row r="13" spans="1:1" x14ac:dyDescent="0.35">
      <c r="A13" s="2" t="s">
        <v>564</v>
      </c>
    </row>
    <row r="14" spans="1:1" x14ac:dyDescent="0.35">
      <c r="A14" s="2" t="s">
        <v>565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1"/>
  <sheetViews>
    <sheetView tabSelected="1" workbookViewId="0">
      <pane xSplit="1" ySplit="1" topLeftCell="B2" activePane="bottomRight" state="frozen"/>
      <selection pane="topRight"/>
      <selection pane="bottomLeft"/>
      <selection pane="bottomRight" activeCell="J2" sqref="J2"/>
    </sheetView>
  </sheetViews>
  <sheetFormatPr defaultRowHeight="14.5" x14ac:dyDescent="0.35"/>
  <cols>
    <col min="1" max="1" width="5" customWidth="1"/>
    <col min="2" max="2" width="22" customWidth="1"/>
    <col min="3" max="3" width="40" customWidth="1"/>
    <col min="4" max="4" width="30" customWidth="1"/>
    <col min="5" max="5" width="22" customWidth="1"/>
    <col min="6" max="6" width="40" customWidth="1"/>
    <col min="7" max="7" width="30" customWidth="1"/>
    <col min="8" max="9" width="13" customWidth="1"/>
    <col min="10" max="10" width="30" customWidth="1"/>
  </cols>
  <sheetData>
    <row r="1" spans="1:10" x14ac:dyDescent="0.35">
      <c r="A1" s="3" t="s">
        <v>0</v>
      </c>
      <c r="B1" s="3" t="s">
        <v>1</v>
      </c>
      <c r="C1" s="3" t="s">
        <v>2</v>
      </c>
      <c r="D1" s="3" t="s">
        <v>3</v>
      </c>
      <c r="E1" s="3" t="s">
        <v>4</v>
      </c>
      <c r="F1" s="3" t="s">
        <v>5</v>
      </c>
      <c r="G1" s="3" t="s">
        <v>6</v>
      </c>
      <c r="H1" s="3" t="s">
        <v>7</v>
      </c>
      <c r="I1" s="3" t="s">
        <v>8</v>
      </c>
      <c r="J1" s="3" t="s">
        <v>9</v>
      </c>
    </row>
    <row r="2" spans="1:10" ht="182" x14ac:dyDescent="0.35">
      <c r="A2" s="4">
        <v>1</v>
      </c>
      <c r="B2" s="5" t="s">
        <v>10</v>
      </c>
      <c r="C2" s="5" t="s">
        <v>11</v>
      </c>
      <c r="D2" s="5" t="s">
        <v>12</v>
      </c>
      <c r="E2" s="5" t="s">
        <v>13</v>
      </c>
      <c r="F2" s="5" t="s">
        <v>14</v>
      </c>
      <c r="G2" s="5" t="s">
        <v>15</v>
      </c>
      <c r="H2" s="6"/>
      <c r="I2" s="6"/>
      <c r="J2" s="6"/>
    </row>
    <row r="3" spans="1:10" ht="28" x14ac:dyDescent="0.35">
      <c r="A3" s="4">
        <v>2</v>
      </c>
      <c r="B3" s="5" t="s">
        <v>16</v>
      </c>
      <c r="C3" s="5" t="s">
        <v>17</v>
      </c>
      <c r="D3" s="5" t="s">
        <v>18</v>
      </c>
      <c r="E3" s="5" t="s">
        <v>19</v>
      </c>
      <c r="F3" s="5" t="s">
        <v>20</v>
      </c>
      <c r="G3" s="5" t="s">
        <v>20</v>
      </c>
      <c r="H3" s="6"/>
      <c r="I3" s="6"/>
      <c r="J3" s="6"/>
    </row>
    <row r="4" spans="1:10" ht="28" x14ac:dyDescent="0.35">
      <c r="A4" s="4">
        <v>3</v>
      </c>
      <c r="B4" s="5" t="s">
        <v>21</v>
      </c>
      <c r="C4" s="5" t="s">
        <v>22</v>
      </c>
      <c r="D4" s="5" t="s">
        <v>23</v>
      </c>
      <c r="E4" s="5" t="s">
        <v>24</v>
      </c>
      <c r="F4" s="5" t="s">
        <v>25</v>
      </c>
      <c r="G4" s="5" t="s">
        <v>26</v>
      </c>
      <c r="H4" s="6"/>
      <c r="I4" s="6"/>
      <c r="J4" s="6"/>
    </row>
    <row r="5" spans="1:10" ht="56" x14ac:dyDescent="0.35">
      <c r="A5" s="4">
        <v>4</v>
      </c>
      <c r="B5" s="5" t="s">
        <v>27</v>
      </c>
      <c r="C5" s="5" t="s">
        <v>28</v>
      </c>
      <c r="D5" s="5" t="s">
        <v>29</v>
      </c>
      <c r="E5" s="5" t="s">
        <v>30</v>
      </c>
      <c r="F5" s="5" t="s">
        <v>31</v>
      </c>
      <c r="G5" s="5" t="s">
        <v>32</v>
      </c>
      <c r="H5" s="6"/>
      <c r="I5" s="6"/>
      <c r="J5" s="6"/>
    </row>
    <row r="6" spans="1:10" x14ac:dyDescent="0.35">
      <c r="A6" s="4">
        <v>5</v>
      </c>
      <c r="B6" s="5" t="s">
        <v>33</v>
      </c>
      <c r="C6" s="5" t="s">
        <v>34</v>
      </c>
      <c r="D6" s="5" t="s">
        <v>35</v>
      </c>
      <c r="E6" s="5" t="s">
        <v>36</v>
      </c>
      <c r="F6" s="5" t="s">
        <v>34</v>
      </c>
      <c r="G6" s="5" t="s">
        <v>35</v>
      </c>
      <c r="H6" s="6"/>
      <c r="I6" s="6"/>
      <c r="J6" s="6"/>
    </row>
    <row r="7" spans="1:10" ht="210" x14ac:dyDescent="0.35">
      <c r="A7" s="4">
        <v>6</v>
      </c>
      <c r="B7" s="5" t="s">
        <v>37</v>
      </c>
      <c r="C7" s="5" t="s">
        <v>38</v>
      </c>
      <c r="D7" s="5" t="s">
        <v>39</v>
      </c>
      <c r="E7" s="5" t="s">
        <v>30</v>
      </c>
      <c r="F7" s="5" t="s">
        <v>31</v>
      </c>
      <c r="G7" s="5" t="s">
        <v>32</v>
      </c>
      <c r="H7" s="6"/>
      <c r="I7" s="6"/>
      <c r="J7" s="6"/>
    </row>
    <row r="8" spans="1:10" ht="42" x14ac:dyDescent="0.35">
      <c r="A8" s="4">
        <v>7</v>
      </c>
      <c r="B8" s="5" t="s">
        <v>40</v>
      </c>
      <c r="C8" s="5" t="s">
        <v>41</v>
      </c>
      <c r="D8" s="5" t="s">
        <v>41</v>
      </c>
      <c r="E8" s="5" t="s">
        <v>42</v>
      </c>
      <c r="F8" s="5" t="s">
        <v>43</v>
      </c>
      <c r="G8" s="5" t="s">
        <v>44</v>
      </c>
      <c r="H8" s="6"/>
      <c r="I8" s="6"/>
      <c r="J8" s="6"/>
    </row>
    <row r="9" spans="1:10" ht="28" x14ac:dyDescent="0.35">
      <c r="A9" s="4">
        <v>8</v>
      </c>
      <c r="B9" s="5" t="s">
        <v>45</v>
      </c>
      <c r="C9" s="5" t="s">
        <v>46</v>
      </c>
      <c r="D9" s="5" t="s">
        <v>47</v>
      </c>
      <c r="E9" s="5" t="s">
        <v>48</v>
      </c>
      <c r="F9" s="5" t="s">
        <v>49</v>
      </c>
      <c r="G9" s="5" t="s">
        <v>49</v>
      </c>
      <c r="H9" s="6"/>
      <c r="I9" s="6"/>
      <c r="J9" s="6"/>
    </row>
    <row r="10" spans="1:10" ht="28" x14ac:dyDescent="0.35">
      <c r="A10" s="4">
        <v>9</v>
      </c>
      <c r="B10" s="5" t="s">
        <v>50</v>
      </c>
      <c r="C10" s="5" t="s">
        <v>51</v>
      </c>
      <c r="D10" s="5" t="s">
        <v>52</v>
      </c>
      <c r="E10" s="5" t="s">
        <v>53</v>
      </c>
      <c r="F10" s="5" t="s">
        <v>54</v>
      </c>
      <c r="G10" s="5" t="s">
        <v>55</v>
      </c>
      <c r="H10" s="6"/>
      <c r="I10" s="6"/>
      <c r="J10" s="6"/>
    </row>
    <row r="11" spans="1:10" ht="28" x14ac:dyDescent="0.35">
      <c r="A11" s="4">
        <v>10</v>
      </c>
      <c r="B11" s="5" t="s">
        <v>56</v>
      </c>
      <c r="C11" s="5" t="s">
        <v>57</v>
      </c>
      <c r="D11" s="5" t="s">
        <v>57</v>
      </c>
      <c r="E11" s="5" t="s">
        <v>58</v>
      </c>
      <c r="F11" s="5" t="s">
        <v>15</v>
      </c>
      <c r="G11" s="5" t="s">
        <v>15</v>
      </c>
      <c r="H11" s="6"/>
      <c r="I11" s="6"/>
      <c r="J11" s="6"/>
    </row>
    <row r="12" spans="1:10" ht="42" x14ac:dyDescent="0.35">
      <c r="A12" s="4">
        <v>11</v>
      </c>
      <c r="B12" s="5" t="s">
        <v>59</v>
      </c>
      <c r="C12" s="5" t="s">
        <v>60</v>
      </c>
      <c r="D12" s="5" t="s">
        <v>61</v>
      </c>
      <c r="E12" s="5" t="s">
        <v>62</v>
      </c>
      <c r="F12" s="5" t="s">
        <v>63</v>
      </c>
      <c r="G12" s="5" t="s">
        <v>64</v>
      </c>
      <c r="H12" s="6"/>
      <c r="I12" s="6"/>
      <c r="J12" s="6"/>
    </row>
    <row r="13" spans="1:10" ht="28" x14ac:dyDescent="0.35">
      <c r="A13" s="4">
        <v>12</v>
      </c>
      <c r="B13" s="5" t="s">
        <v>65</v>
      </c>
      <c r="C13" s="5" t="s">
        <v>66</v>
      </c>
      <c r="D13" s="5" t="s">
        <v>67</v>
      </c>
      <c r="E13" s="5" t="s">
        <v>68</v>
      </c>
      <c r="F13" s="5" t="s">
        <v>69</v>
      </c>
      <c r="G13" s="5" t="s">
        <v>69</v>
      </c>
      <c r="H13" s="6"/>
      <c r="I13" s="6"/>
      <c r="J13" s="6"/>
    </row>
    <row r="14" spans="1:10" ht="56" x14ac:dyDescent="0.35">
      <c r="A14" s="4">
        <v>13</v>
      </c>
      <c r="B14" s="5" t="s">
        <v>70</v>
      </c>
      <c r="C14" s="5" t="s">
        <v>71</v>
      </c>
      <c r="D14" s="5" t="s">
        <v>41</v>
      </c>
      <c r="E14" s="5" t="s">
        <v>72</v>
      </c>
      <c r="F14" s="5" t="s">
        <v>73</v>
      </c>
      <c r="G14" s="5" t="s">
        <v>74</v>
      </c>
      <c r="H14" s="6"/>
      <c r="I14" s="6"/>
      <c r="J14" s="6"/>
    </row>
    <row r="15" spans="1:10" ht="28" x14ac:dyDescent="0.35">
      <c r="A15" s="4">
        <v>14</v>
      </c>
      <c r="B15" s="5" t="s">
        <v>75</v>
      </c>
      <c r="C15" s="5" t="s">
        <v>76</v>
      </c>
      <c r="D15" s="5" t="s">
        <v>76</v>
      </c>
      <c r="E15" s="5" t="s">
        <v>77</v>
      </c>
      <c r="F15" s="5" t="s">
        <v>78</v>
      </c>
      <c r="G15" s="5" t="s">
        <v>79</v>
      </c>
      <c r="H15" s="6"/>
      <c r="I15" s="6"/>
      <c r="J15" s="6"/>
    </row>
    <row r="16" spans="1:10" ht="42" x14ac:dyDescent="0.35">
      <c r="A16" s="4">
        <v>15</v>
      </c>
      <c r="B16" s="5" t="s">
        <v>80</v>
      </c>
      <c r="C16" s="5" t="s">
        <v>81</v>
      </c>
      <c r="D16" s="5" t="s">
        <v>82</v>
      </c>
      <c r="E16" s="5" t="s">
        <v>83</v>
      </c>
      <c r="F16" s="5" t="s">
        <v>84</v>
      </c>
      <c r="G16" s="5" t="s">
        <v>85</v>
      </c>
      <c r="H16" s="6"/>
      <c r="I16" s="6"/>
      <c r="J16" s="6"/>
    </row>
    <row r="17" spans="1:10" ht="28" x14ac:dyDescent="0.35">
      <c r="A17" s="4">
        <v>16</v>
      </c>
      <c r="B17" s="5" t="s">
        <v>86</v>
      </c>
      <c r="C17" s="5" t="s">
        <v>57</v>
      </c>
      <c r="D17" s="5" t="s">
        <v>57</v>
      </c>
      <c r="E17" s="5" t="s">
        <v>87</v>
      </c>
      <c r="F17" s="5" t="s">
        <v>88</v>
      </c>
      <c r="G17" s="5" t="s">
        <v>89</v>
      </c>
      <c r="H17" s="6"/>
      <c r="I17" s="6"/>
      <c r="J17" s="6"/>
    </row>
    <row r="18" spans="1:10" ht="56" x14ac:dyDescent="0.35">
      <c r="A18" s="4">
        <v>17</v>
      </c>
      <c r="B18" s="5" t="s">
        <v>90</v>
      </c>
      <c r="C18" s="5" t="s">
        <v>91</v>
      </c>
      <c r="D18" s="5" t="s">
        <v>91</v>
      </c>
      <c r="E18" s="5" t="s">
        <v>92</v>
      </c>
      <c r="F18" s="5" t="s">
        <v>93</v>
      </c>
      <c r="G18" s="5" t="s">
        <v>94</v>
      </c>
      <c r="H18" s="6"/>
      <c r="I18" s="6"/>
      <c r="J18" s="6"/>
    </row>
    <row r="19" spans="1:10" ht="196" x14ac:dyDescent="0.35">
      <c r="A19" s="4">
        <v>18</v>
      </c>
      <c r="B19" s="5" t="s">
        <v>95</v>
      </c>
      <c r="C19" s="5" t="s">
        <v>96</v>
      </c>
      <c r="D19" s="5" t="s">
        <v>97</v>
      </c>
      <c r="E19" s="5" t="s">
        <v>98</v>
      </c>
      <c r="F19" s="5" t="s">
        <v>99</v>
      </c>
      <c r="G19" s="5" t="s">
        <v>100</v>
      </c>
      <c r="H19" s="6"/>
      <c r="I19" s="6"/>
      <c r="J19" s="6"/>
    </row>
    <row r="20" spans="1:10" ht="56" x14ac:dyDescent="0.35">
      <c r="A20" s="4">
        <v>19</v>
      </c>
      <c r="B20" s="5" t="s">
        <v>101</v>
      </c>
      <c r="C20" s="5" t="s">
        <v>102</v>
      </c>
      <c r="D20" s="5" t="s">
        <v>103</v>
      </c>
      <c r="E20" s="5" t="s">
        <v>104</v>
      </c>
      <c r="F20" s="5" t="s">
        <v>105</v>
      </c>
      <c r="G20" s="5" t="s">
        <v>106</v>
      </c>
      <c r="H20" s="6"/>
      <c r="I20" s="6"/>
      <c r="J20" s="6"/>
    </row>
    <row r="21" spans="1:10" ht="98" x14ac:dyDescent="0.35">
      <c r="A21" s="4">
        <v>20</v>
      </c>
      <c r="B21" s="5" t="s">
        <v>107</v>
      </c>
      <c r="C21" s="5" t="s">
        <v>108</v>
      </c>
      <c r="D21" s="5" t="s">
        <v>109</v>
      </c>
      <c r="E21" s="5" t="s">
        <v>110</v>
      </c>
      <c r="F21" s="5" t="s">
        <v>111</v>
      </c>
      <c r="G21" s="5" t="s">
        <v>112</v>
      </c>
      <c r="H21" s="6"/>
      <c r="I21" s="6"/>
      <c r="J21" s="6"/>
    </row>
    <row r="22" spans="1:10" x14ac:dyDescent="0.35">
      <c r="A22" s="4">
        <v>21</v>
      </c>
      <c r="B22" s="5" t="s">
        <v>113</v>
      </c>
      <c r="C22" s="5" t="s">
        <v>114</v>
      </c>
      <c r="D22" s="5" t="s">
        <v>115</v>
      </c>
      <c r="E22" s="5" t="s">
        <v>116</v>
      </c>
      <c r="F22" s="5" t="s">
        <v>117</v>
      </c>
      <c r="G22" s="5" t="s">
        <v>118</v>
      </c>
      <c r="H22" s="6"/>
      <c r="I22" s="6"/>
      <c r="J22" s="6"/>
    </row>
    <row r="23" spans="1:10" ht="56" x14ac:dyDescent="0.35">
      <c r="A23" s="4">
        <v>22</v>
      </c>
      <c r="B23" s="5" t="s">
        <v>119</v>
      </c>
      <c r="C23" s="5" t="s">
        <v>120</v>
      </c>
      <c r="D23" s="5" t="s">
        <v>121</v>
      </c>
      <c r="E23" s="5" t="s">
        <v>122</v>
      </c>
      <c r="F23" s="5" t="s">
        <v>123</v>
      </c>
      <c r="G23" s="5" t="s">
        <v>123</v>
      </c>
      <c r="H23" s="6"/>
      <c r="I23" s="6"/>
      <c r="J23" s="6"/>
    </row>
    <row r="24" spans="1:10" ht="56" x14ac:dyDescent="0.35">
      <c r="A24" s="4">
        <v>23</v>
      </c>
      <c r="B24" s="5" t="s">
        <v>124</v>
      </c>
      <c r="C24" s="5" t="s">
        <v>125</v>
      </c>
      <c r="D24" s="5" t="s">
        <v>125</v>
      </c>
      <c r="E24" s="5" t="s">
        <v>126</v>
      </c>
      <c r="F24" s="5" t="s">
        <v>127</v>
      </c>
      <c r="G24" s="5" t="s">
        <v>128</v>
      </c>
      <c r="H24" s="6"/>
      <c r="I24" s="6"/>
      <c r="J24" s="6"/>
    </row>
    <row r="25" spans="1:10" ht="56" x14ac:dyDescent="0.35">
      <c r="A25" s="4">
        <v>24</v>
      </c>
      <c r="B25" s="5" t="s">
        <v>92</v>
      </c>
      <c r="C25" s="5" t="s">
        <v>93</v>
      </c>
      <c r="D25" s="5" t="s">
        <v>94</v>
      </c>
      <c r="E25" s="5" t="s">
        <v>129</v>
      </c>
      <c r="F25" s="5" t="s">
        <v>130</v>
      </c>
      <c r="G25" s="5" t="s">
        <v>131</v>
      </c>
      <c r="H25" s="6"/>
      <c r="I25" s="6"/>
      <c r="J25" s="6"/>
    </row>
    <row r="26" spans="1:10" x14ac:dyDescent="0.35">
      <c r="A26" s="4">
        <v>25</v>
      </c>
      <c r="B26" s="5" t="s">
        <v>132</v>
      </c>
      <c r="C26" s="5" t="s">
        <v>133</v>
      </c>
      <c r="D26" s="5" t="s">
        <v>134</v>
      </c>
      <c r="E26" s="5" t="s">
        <v>135</v>
      </c>
      <c r="F26" s="5" t="s">
        <v>133</v>
      </c>
      <c r="G26" s="5" t="s">
        <v>134</v>
      </c>
      <c r="H26" s="6"/>
      <c r="I26" s="6"/>
      <c r="J26" s="6"/>
    </row>
    <row r="27" spans="1:10" ht="28" x14ac:dyDescent="0.35">
      <c r="A27" s="4">
        <v>26</v>
      </c>
      <c r="B27" s="5" t="s">
        <v>136</v>
      </c>
      <c r="C27" s="5" t="s">
        <v>137</v>
      </c>
      <c r="D27" s="5" t="s">
        <v>137</v>
      </c>
      <c r="E27" s="5" t="s">
        <v>138</v>
      </c>
      <c r="F27" s="5" t="s">
        <v>139</v>
      </c>
      <c r="G27" s="5" t="s">
        <v>140</v>
      </c>
      <c r="H27" s="6"/>
      <c r="I27" s="6"/>
      <c r="J27" s="6"/>
    </row>
    <row r="28" spans="1:10" x14ac:dyDescent="0.35">
      <c r="A28" s="4">
        <v>27</v>
      </c>
      <c r="B28" s="5" t="s">
        <v>141</v>
      </c>
      <c r="C28" s="5" t="s">
        <v>142</v>
      </c>
      <c r="D28" s="5" t="s">
        <v>143</v>
      </c>
      <c r="E28" s="5" t="s">
        <v>144</v>
      </c>
      <c r="F28" s="5" t="s">
        <v>145</v>
      </c>
      <c r="G28" s="5" t="s">
        <v>55</v>
      </c>
      <c r="H28" s="6"/>
      <c r="I28" s="6"/>
      <c r="J28" s="6"/>
    </row>
    <row r="29" spans="1:10" ht="42" x14ac:dyDescent="0.35">
      <c r="A29" s="4">
        <v>28</v>
      </c>
      <c r="B29" s="5" t="s">
        <v>146</v>
      </c>
      <c r="C29" s="5" t="s">
        <v>147</v>
      </c>
      <c r="D29" s="5" t="s">
        <v>148</v>
      </c>
      <c r="E29" s="5" t="s">
        <v>149</v>
      </c>
      <c r="F29" s="5" t="s">
        <v>150</v>
      </c>
      <c r="G29" s="5" t="s">
        <v>151</v>
      </c>
      <c r="H29" s="6"/>
      <c r="I29" s="6"/>
      <c r="J29" s="6"/>
    </row>
    <row r="30" spans="1:10" x14ac:dyDescent="0.35">
      <c r="A30" s="4">
        <v>29</v>
      </c>
      <c r="B30" s="5" t="s">
        <v>152</v>
      </c>
      <c r="C30" s="5" t="s">
        <v>153</v>
      </c>
      <c r="D30" s="5" t="s">
        <v>154</v>
      </c>
      <c r="E30" s="5" t="s">
        <v>155</v>
      </c>
      <c r="F30" s="5" t="s">
        <v>156</v>
      </c>
      <c r="G30" s="5" t="s">
        <v>157</v>
      </c>
      <c r="H30" s="6"/>
      <c r="I30" s="6"/>
      <c r="J30" s="6"/>
    </row>
    <row r="31" spans="1:10" ht="42" x14ac:dyDescent="0.35">
      <c r="A31" s="4">
        <v>30</v>
      </c>
      <c r="B31" s="5" t="s">
        <v>158</v>
      </c>
      <c r="C31" s="5" t="s">
        <v>159</v>
      </c>
      <c r="D31" s="5" t="s">
        <v>160</v>
      </c>
      <c r="E31" s="5" t="s">
        <v>161</v>
      </c>
      <c r="F31" s="5" t="s">
        <v>162</v>
      </c>
      <c r="G31" s="5" t="s">
        <v>163</v>
      </c>
      <c r="H31" s="6"/>
      <c r="I31" s="6"/>
      <c r="J31" s="6"/>
    </row>
    <row r="32" spans="1:10" ht="42" x14ac:dyDescent="0.35">
      <c r="A32" s="4">
        <v>31</v>
      </c>
      <c r="B32" s="5" t="s">
        <v>164</v>
      </c>
      <c r="C32" s="5" t="s">
        <v>165</v>
      </c>
      <c r="D32" s="5" t="s">
        <v>41</v>
      </c>
      <c r="E32" s="5" t="s">
        <v>166</v>
      </c>
      <c r="F32" s="5" t="s">
        <v>167</v>
      </c>
      <c r="G32" s="5" t="s">
        <v>168</v>
      </c>
      <c r="H32" s="6"/>
      <c r="I32" s="6"/>
      <c r="J32" s="6"/>
    </row>
    <row r="33" spans="1:10" ht="70" x14ac:dyDescent="0.35">
      <c r="A33" s="4">
        <v>32</v>
      </c>
      <c r="B33" s="5" t="s">
        <v>169</v>
      </c>
      <c r="C33" s="5" t="s">
        <v>170</v>
      </c>
      <c r="D33" s="5" t="s">
        <v>171</v>
      </c>
      <c r="E33" s="5" t="s">
        <v>172</v>
      </c>
      <c r="F33" s="5" t="s">
        <v>173</v>
      </c>
      <c r="G33" s="5" t="s">
        <v>174</v>
      </c>
      <c r="H33" s="6"/>
      <c r="I33" s="6"/>
      <c r="J33" s="6"/>
    </row>
    <row r="34" spans="1:10" x14ac:dyDescent="0.35">
      <c r="A34" s="4">
        <v>33</v>
      </c>
      <c r="B34" s="5" t="s">
        <v>175</v>
      </c>
      <c r="C34" s="5" t="s">
        <v>176</v>
      </c>
      <c r="D34" s="5" t="s">
        <v>176</v>
      </c>
      <c r="E34" s="5" t="s">
        <v>177</v>
      </c>
      <c r="F34" s="5" t="s">
        <v>178</v>
      </c>
      <c r="G34" s="5" t="s">
        <v>179</v>
      </c>
      <c r="H34" s="6"/>
      <c r="I34" s="6"/>
      <c r="J34" s="6"/>
    </row>
    <row r="35" spans="1:10" ht="28" x14ac:dyDescent="0.35">
      <c r="A35" s="4">
        <v>34</v>
      </c>
      <c r="B35" s="5" t="s">
        <v>180</v>
      </c>
      <c r="C35" s="5" t="s">
        <v>181</v>
      </c>
      <c r="D35" s="5" t="s">
        <v>182</v>
      </c>
      <c r="E35" s="5" t="s">
        <v>183</v>
      </c>
      <c r="F35" s="5" t="s">
        <v>184</v>
      </c>
      <c r="G35" s="5" t="s">
        <v>185</v>
      </c>
      <c r="H35" s="6"/>
      <c r="I35" s="6"/>
      <c r="J35" s="6"/>
    </row>
    <row r="36" spans="1:10" ht="42" x14ac:dyDescent="0.35">
      <c r="A36" s="4">
        <v>35</v>
      </c>
      <c r="B36" s="5" t="s">
        <v>186</v>
      </c>
      <c r="C36" s="5" t="s">
        <v>187</v>
      </c>
      <c r="D36" s="5" t="s">
        <v>188</v>
      </c>
      <c r="E36" s="5" t="s">
        <v>189</v>
      </c>
      <c r="F36" s="5" t="s">
        <v>190</v>
      </c>
      <c r="G36" s="5" t="s">
        <v>191</v>
      </c>
      <c r="H36" s="6"/>
      <c r="I36" s="6"/>
      <c r="J36" s="6"/>
    </row>
    <row r="37" spans="1:10" ht="70" x14ac:dyDescent="0.35">
      <c r="A37" s="4">
        <v>36</v>
      </c>
      <c r="B37" s="5" t="s">
        <v>192</v>
      </c>
      <c r="C37" s="5" t="s">
        <v>193</v>
      </c>
      <c r="D37" s="5" t="s">
        <v>194</v>
      </c>
      <c r="E37" s="5" t="s">
        <v>195</v>
      </c>
      <c r="F37" s="5" t="s">
        <v>196</v>
      </c>
      <c r="G37" s="5" t="s">
        <v>197</v>
      </c>
      <c r="H37" s="6"/>
      <c r="I37" s="6"/>
      <c r="J37" s="6"/>
    </row>
    <row r="38" spans="1:10" ht="42" x14ac:dyDescent="0.35">
      <c r="A38" s="4">
        <v>37</v>
      </c>
      <c r="B38" s="5" t="s">
        <v>198</v>
      </c>
      <c r="C38" s="5" t="s">
        <v>199</v>
      </c>
      <c r="D38" s="5" t="s">
        <v>200</v>
      </c>
      <c r="E38" s="5" t="s">
        <v>201</v>
      </c>
      <c r="F38" s="5" t="s">
        <v>202</v>
      </c>
      <c r="G38" s="5" t="s">
        <v>203</v>
      </c>
      <c r="H38" s="6"/>
      <c r="I38" s="6"/>
      <c r="J38" s="6"/>
    </row>
    <row r="39" spans="1:10" ht="56" x14ac:dyDescent="0.35">
      <c r="A39" s="4">
        <v>38</v>
      </c>
      <c r="B39" s="5" t="s">
        <v>204</v>
      </c>
      <c r="C39" s="5" t="s">
        <v>205</v>
      </c>
      <c r="D39" s="5" t="s">
        <v>206</v>
      </c>
      <c r="E39" s="5" t="s">
        <v>207</v>
      </c>
      <c r="F39" s="5" t="s">
        <v>208</v>
      </c>
      <c r="G39" s="5" t="s">
        <v>209</v>
      </c>
      <c r="H39" s="6"/>
      <c r="I39" s="6"/>
      <c r="J39" s="6"/>
    </row>
    <row r="40" spans="1:10" ht="70" x14ac:dyDescent="0.35">
      <c r="A40" s="4">
        <v>39</v>
      </c>
      <c r="B40" s="5" t="s">
        <v>210</v>
      </c>
      <c r="C40" s="5" t="s">
        <v>211</v>
      </c>
      <c r="D40" s="5" t="s">
        <v>212</v>
      </c>
      <c r="E40" s="5" t="s">
        <v>213</v>
      </c>
      <c r="F40" s="5" t="s">
        <v>214</v>
      </c>
      <c r="G40" s="5" t="s">
        <v>215</v>
      </c>
      <c r="H40" s="6"/>
      <c r="I40" s="6"/>
      <c r="J40" s="6"/>
    </row>
    <row r="41" spans="1:10" ht="56" x14ac:dyDescent="0.35">
      <c r="A41" s="4">
        <v>40</v>
      </c>
      <c r="B41" s="5" t="s">
        <v>216</v>
      </c>
      <c r="C41" s="5" t="s">
        <v>217</v>
      </c>
      <c r="D41" s="5" t="s">
        <v>218</v>
      </c>
      <c r="E41" s="5" t="s">
        <v>219</v>
      </c>
      <c r="F41" s="5" t="s">
        <v>220</v>
      </c>
      <c r="G41" s="5" t="s">
        <v>221</v>
      </c>
      <c r="H41" s="6"/>
      <c r="I41" s="6"/>
      <c r="J41" s="6"/>
    </row>
    <row r="42" spans="1:10" ht="28" x14ac:dyDescent="0.35">
      <c r="A42" s="4">
        <v>41</v>
      </c>
      <c r="B42" s="5" t="s">
        <v>222</v>
      </c>
      <c r="C42" s="5" t="s">
        <v>223</v>
      </c>
      <c r="D42" s="5" t="s">
        <v>224</v>
      </c>
      <c r="E42" s="5" t="s">
        <v>225</v>
      </c>
      <c r="F42" s="5" t="s">
        <v>226</v>
      </c>
      <c r="G42" s="5" t="s">
        <v>226</v>
      </c>
      <c r="H42" s="6"/>
      <c r="I42" s="6"/>
      <c r="J42" s="6"/>
    </row>
    <row r="43" spans="1:10" ht="42" x14ac:dyDescent="0.35">
      <c r="A43" s="4">
        <v>42</v>
      </c>
      <c r="B43" s="5" t="s">
        <v>227</v>
      </c>
      <c r="C43" s="5" t="s">
        <v>228</v>
      </c>
      <c r="D43" s="5" t="s">
        <v>229</v>
      </c>
      <c r="E43" s="5" t="s">
        <v>230</v>
      </c>
      <c r="F43" s="5" t="s">
        <v>231</v>
      </c>
      <c r="G43" s="5" t="s">
        <v>231</v>
      </c>
      <c r="H43" s="6"/>
      <c r="I43" s="6"/>
      <c r="J43" s="6"/>
    </row>
    <row r="44" spans="1:10" ht="154" x14ac:dyDescent="0.35">
      <c r="A44" s="4">
        <v>43</v>
      </c>
      <c r="B44" s="5" t="s">
        <v>232</v>
      </c>
      <c r="C44" s="5" t="s">
        <v>233</v>
      </c>
      <c r="D44" s="5" t="s">
        <v>234</v>
      </c>
      <c r="E44" s="5" t="s">
        <v>235</v>
      </c>
      <c r="F44" s="5" t="s">
        <v>236</v>
      </c>
      <c r="G44" s="5" t="s">
        <v>237</v>
      </c>
      <c r="H44" s="6"/>
      <c r="I44" s="6"/>
      <c r="J44" s="6"/>
    </row>
    <row r="45" spans="1:10" ht="42" x14ac:dyDescent="0.35">
      <c r="A45" s="4">
        <v>44</v>
      </c>
      <c r="B45" s="5" t="s">
        <v>238</v>
      </c>
      <c r="C45" s="5" t="s">
        <v>187</v>
      </c>
      <c r="D45" s="5" t="s">
        <v>188</v>
      </c>
      <c r="E45" s="5" t="s">
        <v>189</v>
      </c>
      <c r="F45" s="5" t="s">
        <v>190</v>
      </c>
      <c r="G45" s="5" t="s">
        <v>191</v>
      </c>
      <c r="H45" s="6"/>
      <c r="I45" s="6"/>
      <c r="J45" s="6"/>
    </row>
    <row r="46" spans="1:10" x14ac:dyDescent="0.35">
      <c r="A46" s="4">
        <v>45</v>
      </c>
      <c r="B46" s="5" t="s">
        <v>239</v>
      </c>
      <c r="C46" s="5" t="s">
        <v>15</v>
      </c>
      <c r="D46" s="5" t="s">
        <v>15</v>
      </c>
      <c r="E46" s="5" t="s">
        <v>240</v>
      </c>
      <c r="F46" s="5" t="s">
        <v>241</v>
      </c>
      <c r="G46" s="5" t="s">
        <v>15</v>
      </c>
      <c r="H46" s="6"/>
      <c r="I46" s="6"/>
      <c r="J46" s="6"/>
    </row>
    <row r="47" spans="1:10" ht="56" x14ac:dyDescent="0.35">
      <c r="A47" s="4">
        <v>46</v>
      </c>
      <c r="B47" s="5" t="s">
        <v>242</v>
      </c>
      <c r="C47" s="5" t="s">
        <v>243</v>
      </c>
      <c r="D47" s="5" t="s">
        <v>244</v>
      </c>
      <c r="E47" s="5" t="s">
        <v>245</v>
      </c>
      <c r="F47" s="5" t="s">
        <v>246</v>
      </c>
      <c r="G47" s="5" t="s">
        <v>247</v>
      </c>
      <c r="H47" s="6"/>
      <c r="I47" s="6"/>
      <c r="J47" s="6"/>
    </row>
    <row r="48" spans="1:10" x14ac:dyDescent="0.35">
      <c r="A48" s="4">
        <v>47</v>
      </c>
      <c r="B48" s="5" t="s">
        <v>248</v>
      </c>
      <c r="C48" s="5" t="s">
        <v>249</v>
      </c>
      <c r="D48" s="5" t="s">
        <v>250</v>
      </c>
      <c r="E48" s="5" t="s">
        <v>251</v>
      </c>
      <c r="F48" s="5" t="s">
        <v>252</v>
      </c>
      <c r="G48" s="5" t="s">
        <v>252</v>
      </c>
      <c r="H48" s="6"/>
      <c r="I48" s="6"/>
      <c r="J48" s="6"/>
    </row>
    <row r="49" spans="1:10" x14ac:dyDescent="0.35">
      <c r="A49" s="4">
        <v>48</v>
      </c>
      <c r="B49" s="5" t="s">
        <v>253</v>
      </c>
      <c r="C49" s="5" t="s">
        <v>254</v>
      </c>
      <c r="D49" s="5" t="s">
        <v>67</v>
      </c>
      <c r="E49" s="5" t="s">
        <v>255</v>
      </c>
      <c r="F49" s="5" t="s">
        <v>256</v>
      </c>
      <c r="G49" s="5" t="s">
        <v>67</v>
      </c>
      <c r="H49" s="6"/>
      <c r="I49" s="6"/>
      <c r="J49" s="6"/>
    </row>
    <row r="50" spans="1:10" ht="28" x14ac:dyDescent="0.35">
      <c r="A50" s="4">
        <v>49</v>
      </c>
      <c r="B50" s="5" t="s">
        <v>257</v>
      </c>
      <c r="C50" s="5" t="s">
        <v>258</v>
      </c>
      <c r="D50" s="5" t="s">
        <v>259</v>
      </c>
      <c r="E50" s="5" t="s">
        <v>260</v>
      </c>
      <c r="F50" s="5" t="s">
        <v>261</v>
      </c>
      <c r="G50" s="5" t="s">
        <v>262</v>
      </c>
      <c r="H50" s="6"/>
      <c r="I50" s="6"/>
      <c r="J50" s="6"/>
    </row>
    <row r="51" spans="1:10" x14ac:dyDescent="0.35">
      <c r="A51" s="4">
        <v>50</v>
      </c>
      <c r="B51" s="5" t="s">
        <v>263</v>
      </c>
      <c r="C51" s="5" t="s">
        <v>264</v>
      </c>
      <c r="D51" s="5" t="s">
        <v>264</v>
      </c>
      <c r="E51" s="5" t="s">
        <v>13</v>
      </c>
      <c r="F51" s="5" t="s">
        <v>14</v>
      </c>
      <c r="G51" s="5" t="s">
        <v>15</v>
      </c>
      <c r="H51" s="6"/>
      <c r="I51" s="6"/>
      <c r="J51" s="6"/>
    </row>
    <row r="52" spans="1:10" ht="210" x14ac:dyDescent="0.35">
      <c r="A52" s="4">
        <v>51</v>
      </c>
      <c r="B52" s="5" t="s">
        <v>265</v>
      </c>
      <c r="C52" s="5" t="s">
        <v>266</v>
      </c>
      <c r="D52" s="5" t="s">
        <v>267</v>
      </c>
      <c r="E52" s="5" t="s">
        <v>37</v>
      </c>
      <c r="F52" s="5" t="s">
        <v>38</v>
      </c>
      <c r="G52" s="5" t="s">
        <v>39</v>
      </c>
      <c r="H52" s="6"/>
      <c r="I52" s="6"/>
      <c r="J52" s="6"/>
    </row>
    <row r="53" spans="1:10" ht="42" x14ac:dyDescent="0.35">
      <c r="A53" s="4">
        <v>52</v>
      </c>
      <c r="B53" s="5" t="s">
        <v>268</v>
      </c>
      <c r="C53" s="5" t="s">
        <v>269</v>
      </c>
      <c r="D53" s="5" t="s">
        <v>270</v>
      </c>
      <c r="E53" s="5" t="s">
        <v>271</v>
      </c>
      <c r="F53" s="5" t="s">
        <v>272</v>
      </c>
      <c r="G53" s="5" t="s">
        <v>273</v>
      </c>
      <c r="H53" s="6"/>
      <c r="I53" s="6"/>
      <c r="J53" s="6"/>
    </row>
    <row r="54" spans="1:10" x14ac:dyDescent="0.35">
      <c r="A54" s="4">
        <v>53</v>
      </c>
      <c r="B54" s="5" t="s">
        <v>274</v>
      </c>
      <c r="C54" s="5" t="s">
        <v>275</v>
      </c>
      <c r="D54" s="5" t="s">
        <v>276</v>
      </c>
      <c r="E54" s="5" t="s">
        <v>277</v>
      </c>
      <c r="F54" s="5" t="s">
        <v>278</v>
      </c>
      <c r="G54" s="5" t="s">
        <v>279</v>
      </c>
      <c r="H54" s="6"/>
      <c r="I54" s="6"/>
      <c r="J54" s="6"/>
    </row>
    <row r="55" spans="1:10" ht="28" x14ac:dyDescent="0.35">
      <c r="A55" s="4">
        <v>54</v>
      </c>
      <c r="B55" s="5" t="s">
        <v>280</v>
      </c>
      <c r="C55" s="5" t="s">
        <v>281</v>
      </c>
      <c r="D55" s="5" t="s">
        <v>282</v>
      </c>
      <c r="E55" s="5" t="s">
        <v>283</v>
      </c>
      <c r="F55" s="5" t="s">
        <v>284</v>
      </c>
      <c r="G55" s="5" t="s">
        <v>284</v>
      </c>
      <c r="H55" s="6"/>
      <c r="I55" s="6"/>
      <c r="J55" s="6"/>
    </row>
    <row r="56" spans="1:10" ht="56" x14ac:dyDescent="0.35">
      <c r="A56" s="4">
        <v>55</v>
      </c>
      <c r="B56" s="5" t="s">
        <v>285</v>
      </c>
      <c r="C56" s="5" t="s">
        <v>286</v>
      </c>
      <c r="D56" s="5" t="s">
        <v>286</v>
      </c>
      <c r="E56" s="5" t="s">
        <v>287</v>
      </c>
      <c r="F56" s="5" t="s">
        <v>288</v>
      </c>
      <c r="G56" s="5" t="s">
        <v>288</v>
      </c>
      <c r="H56" s="6"/>
      <c r="I56" s="6"/>
      <c r="J56" s="6"/>
    </row>
    <row r="57" spans="1:10" ht="56" x14ac:dyDescent="0.35">
      <c r="A57" s="4">
        <v>56</v>
      </c>
      <c r="B57" s="5" t="s">
        <v>289</v>
      </c>
      <c r="C57" s="5" t="s">
        <v>290</v>
      </c>
      <c r="D57" s="5" t="s">
        <v>290</v>
      </c>
      <c r="E57" s="5" t="s">
        <v>291</v>
      </c>
      <c r="F57" s="5" t="s">
        <v>292</v>
      </c>
      <c r="G57" s="5" t="s">
        <v>292</v>
      </c>
      <c r="H57" s="6"/>
      <c r="I57" s="6"/>
      <c r="J57" s="6"/>
    </row>
    <row r="58" spans="1:10" x14ac:dyDescent="0.35">
      <c r="A58" s="4">
        <v>57</v>
      </c>
      <c r="B58" s="5" t="s">
        <v>293</v>
      </c>
      <c r="C58" s="5" t="s">
        <v>294</v>
      </c>
      <c r="D58" s="5" t="s">
        <v>295</v>
      </c>
      <c r="E58" s="5" t="s">
        <v>296</v>
      </c>
      <c r="F58" s="5" t="s">
        <v>294</v>
      </c>
      <c r="G58" s="5" t="s">
        <v>295</v>
      </c>
      <c r="H58" s="6"/>
      <c r="I58" s="6"/>
      <c r="J58" s="6"/>
    </row>
    <row r="59" spans="1:10" x14ac:dyDescent="0.35">
      <c r="A59" s="4">
        <v>58</v>
      </c>
      <c r="B59" s="5" t="s">
        <v>297</v>
      </c>
      <c r="C59" s="5" t="s">
        <v>67</v>
      </c>
      <c r="D59" s="5" t="s">
        <v>67</v>
      </c>
      <c r="E59" s="5" t="s">
        <v>298</v>
      </c>
      <c r="F59" s="5" t="s">
        <v>299</v>
      </c>
      <c r="G59" s="5" t="s">
        <v>300</v>
      </c>
      <c r="H59" s="6"/>
      <c r="I59" s="6"/>
      <c r="J59" s="6"/>
    </row>
    <row r="60" spans="1:10" x14ac:dyDescent="0.35">
      <c r="A60" s="4">
        <v>59</v>
      </c>
      <c r="B60" s="5" t="s">
        <v>301</v>
      </c>
      <c r="C60" s="5" t="s">
        <v>67</v>
      </c>
      <c r="D60" s="5" t="s">
        <v>67</v>
      </c>
      <c r="E60" s="5" t="s">
        <v>302</v>
      </c>
      <c r="F60" s="5" t="s">
        <v>67</v>
      </c>
      <c r="G60" s="5" t="s">
        <v>67</v>
      </c>
      <c r="H60" s="6"/>
      <c r="I60" s="6"/>
      <c r="J60" s="6"/>
    </row>
    <row r="61" spans="1:10" ht="28" x14ac:dyDescent="0.35">
      <c r="A61" s="4">
        <v>60</v>
      </c>
      <c r="B61" s="5" t="s">
        <v>303</v>
      </c>
      <c r="C61" s="5" t="s">
        <v>304</v>
      </c>
      <c r="D61" s="5" t="s">
        <v>305</v>
      </c>
      <c r="E61" s="5" t="s">
        <v>306</v>
      </c>
      <c r="F61" s="5" t="s">
        <v>307</v>
      </c>
      <c r="G61" s="5" t="s">
        <v>307</v>
      </c>
      <c r="H61" s="6"/>
      <c r="I61" s="6"/>
      <c r="J61" s="6"/>
    </row>
    <row r="62" spans="1:10" ht="28" x14ac:dyDescent="0.35">
      <c r="A62" s="4">
        <v>61</v>
      </c>
      <c r="B62" s="5" t="s">
        <v>308</v>
      </c>
      <c r="C62" s="5" t="s">
        <v>309</v>
      </c>
      <c r="D62" s="5" t="s">
        <v>29</v>
      </c>
      <c r="E62" s="5" t="s">
        <v>310</v>
      </c>
      <c r="F62" s="5" t="s">
        <v>311</v>
      </c>
      <c r="G62" s="5" t="s">
        <v>312</v>
      </c>
      <c r="H62" s="6"/>
      <c r="I62" s="6"/>
      <c r="J62" s="6"/>
    </row>
    <row r="63" spans="1:10" ht="28" x14ac:dyDescent="0.35">
      <c r="A63" s="4">
        <v>62</v>
      </c>
      <c r="B63" s="5" t="s">
        <v>313</v>
      </c>
      <c r="C63" s="5" t="s">
        <v>314</v>
      </c>
      <c r="D63" s="5" t="s">
        <v>315</v>
      </c>
      <c r="E63" s="5" t="s">
        <v>316</v>
      </c>
      <c r="F63" s="5" t="s">
        <v>317</v>
      </c>
      <c r="G63" s="5" t="s">
        <v>315</v>
      </c>
      <c r="H63" s="6"/>
      <c r="I63" s="6"/>
      <c r="J63" s="6"/>
    </row>
    <row r="64" spans="1:10" ht="56" x14ac:dyDescent="0.35">
      <c r="A64" s="4">
        <v>63</v>
      </c>
      <c r="B64" s="5" t="s">
        <v>318</v>
      </c>
      <c r="C64" s="5" t="s">
        <v>319</v>
      </c>
      <c r="D64" s="5" t="s">
        <v>320</v>
      </c>
      <c r="E64" s="5" t="s">
        <v>321</v>
      </c>
      <c r="F64" s="5" t="s">
        <v>322</v>
      </c>
      <c r="G64" s="5" t="s">
        <v>322</v>
      </c>
      <c r="H64" s="6"/>
      <c r="I64" s="6"/>
      <c r="J64" s="6"/>
    </row>
    <row r="65" spans="1:10" x14ac:dyDescent="0.35">
      <c r="A65" s="4">
        <v>64</v>
      </c>
      <c r="B65" s="5" t="s">
        <v>323</v>
      </c>
      <c r="C65" s="5" t="s">
        <v>324</v>
      </c>
      <c r="D65" s="5" t="s">
        <v>324</v>
      </c>
      <c r="E65" s="5" t="s">
        <v>325</v>
      </c>
      <c r="F65" s="5" t="s">
        <v>324</v>
      </c>
      <c r="G65" s="5" t="s">
        <v>324</v>
      </c>
      <c r="H65" s="6"/>
      <c r="I65" s="6"/>
      <c r="J65" s="6"/>
    </row>
    <row r="66" spans="1:10" x14ac:dyDescent="0.35">
      <c r="A66" s="4">
        <v>65</v>
      </c>
      <c r="B66" s="5" t="s">
        <v>326</v>
      </c>
      <c r="C66" s="5" t="s">
        <v>327</v>
      </c>
      <c r="D66" s="5" t="s">
        <v>82</v>
      </c>
      <c r="E66" s="5" t="s">
        <v>328</v>
      </c>
      <c r="F66" s="5" t="s">
        <v>329</v>
      </c>
      <c r="G66" s="5" t="s">
        <v>330</v>
      </c>
      <c r="H66" s="6"/>
      <c r="I66" s="6"/>
      <c r="J66" s="6"/>
    </row>
    <row r="67" spans="1:10" ht="28" x14ac:dyDescent="0.35">
      <c r="A67" s="4">
        <v>66</v>
      </c>
      <c r="B67" s="5" t="s">
        <v>331</v>
      </c>
      <c r="C67" s="5" t="s">
        <v>332</v>
      </c>
      <c r="D67" s="5" t="s">
        <v>332</v>
      </c>
      <c r="E67" s="5" t="s">
        <v>333</v>
      </c>
      <c r="F67" s="5" t="s">
        <v>334</v>
      </c>
      <c r="G67" s="5" t="s">
        <v>335</v>
      </c>
      <c r="H67" s="6"/>
      <c r="I67" s="6"/>
      <c r="J67" s="6"/>
    </row>
    <row r="68" spans="1:10" ht="28" x14ac:dyDescent="0.35">
      <c r="A68" s="4">
        <v>67</v>
      </c>
      <c r="B68" s="5" t="s">
        <v>336</v>
      </c>
      <c r="C68" s="5" t="s">
        <v>337</v>
      </c>
      <c r="D68" s="5" t="s">
        <v>284</v>
      </c>
      <c r="E68" s="5" t="s">
        <v>338</v>
      </c>
      <c r="F68" s="5" t="s">
        <v>137</v>
      </c>
      <c r="G68" s="5" t="s">
        <v>137</v>
      </c>
      <c r="H68" s="6"/>
      <c r="I68" s="6"/>
      <c r="J68" s="6"/>
    </row>
    <row r="69" spans="1:10" ht="28" x14ac:dyDescent="0.35">
      <c r="A69" s="4">
        <v>68</v>
      </c>
      <c r="B69" s="5" t="s">
        <v>339</v>
      </c>
      <c r="C69" s="5" t="s">
        <v>340</v>
      </c>
      <c r="D69" s="5" t="s">
        <v>340</v>
      </c>
      <c r="E69" s="5" t="s">
        <v>341</v>
      </c>
      <c r="F69" s="5" t="s">
        <v>342</v>
      </c>
      <c r="G69" s="5" t="s">
        <v>343</v>
      </c>
      <c r="H69" s="6"/>
      <c r="I69" s="6"/>
      <c r="J69" s="6"/>
    </row>
    <row r="70" spans="1:10" ht="28" x14ac:dyDescent="0.35">
      <c r="A70" s="4">
        <v>69</v>
      </c>
      <c r="B70" s="5" t="s">
        <v>344</v>
      </c>
      <c r="C70" s="5" t="s">
        <v>345</v>
      </c>
      <c r="D70" s="5" t="s">
        <v>345</v>
      </c>
      <c r="E70" s="5" t="s">
        <v>346</v>
      </c>
      <c r="F70" s="5" t="s">
        <v>347</v>
      </c>
      <c r="G70" s="5" t="s">
        <v>55</v>
      </c>
      <c r="H70" s="6"/>
      <c r="I70" s="6"/>
      <c r="J70" s="6"/>
    </row>
    <row r="71" spans="1:10" ht="196" x14ac:dyDescent="0.35">
      <c r="A71" s="4">
        <v>70</v>
      </c>
      <c r="B71" s="5" t="s">
        <v>348</v>
      </c>
      <c r="C71" s="5" t="s">
        <v>349</v>
      </c>
      <c r="D71" s="5" t="s">
        <v>350</v>
      </c>
      <c r="E71" s="5" t="s">
        <v>95</v>
      </c>
      <c r="F71" s="5" t="s">
        <v>96</v>
      </c>
      <c r="G71" s="5" t="s">
        <v>97</v>
      </c>
      <c r="H71" s="6"/>
      <c r="I71" s="6"/>
      <c r="J71" s="6"/>
    </row>
    <row r="72" spans="1:10" ht="28" x14ac:dyDescent="0.35">
      <c r="A72" s="4">
        <v>71</v>
      </c>
      <c r="B72" s="5" t="s">
        <v>351</v>
      </c>
      <c r="C72" s="5" t="s">
        <v>352</v>
      </c>
      <c r="D72" s="5" t="s">
        <v>353</v>
      </c>
      <c r="E72" s="5" t="s">
        <v>354</v>
      </c>
      <c r="F72" s="5" t="s">
        <v>41</v>
      </c>
      <c r="G72" s="5" t="s">
        <v>41</v>
      </c>
      <c r="H72" s="6"/>
      <c r="I72" s="6"/>
      <c r="J72" s="6"/>
    </row>
    <row r="73" spans="1:10" ht="42" x14ac:dyDescent="0.35">
      <c r="A73" s="4">
        <v>72</v>
      </c>
      <c r="B73" s="5" t="s">
        <v>355</v>
      </c>
      <c r="C73" s="5" t="s">
        <v>356</v>
      </c>
      <c r="D73" s="5" t="s">
        <v>357</v>
      </c>
      <c r="E73" s="5" t="s">
        <v>358</v>
      </c>
      <c r="F73" s="5" t="s">
        <v>359</v>
      </c>
      <c r="G73" s="5" t="s">
        <v>360</v>
      </c>
      <c r="H73" s="6"/>
      <c r="I73" s="6"/>
      <c r="J73" s="6"/>
    </row>
    <row r="74" spans="1:10" ht="56" x14ac:dyDescent="0.35">
      <c r="A74" s="4">
        <v>73</v>
      </c>
      <c r="B74" s="5" t="s">
        <v>361</v>
      </c>
      <c r="C74" s="5" t="s">
        <v>362</v>
      </c>
      <c r="D74" s="5" t="s">
        <v>362</v>
      </c>
      <c r="E74" s="5" t="s">
        <v>363</v>
      </c>
      <c r="F74" s="5" t="s">
        <v>364</v>
      </c>
      <c r="G74" s="5" t="s">
        <v>365</v>
      </c>
      <c r="H74" s="6"/>
      <c r="I74" s="6"/>
      <c r="J74" s="6"/>
    </row>
    <row r="75" spans="1:10" x14ac:dyDescent="0.35">
      <c r="A75" s="4">
        <v>74</v>
      </c>
      <c r="B75" s="5" t="s">
        <v>366</v>
      </c>
      <c r="C75" s="5" t="s">
        <v>367</v>
      </c>
      <c r="D75" s="5" t="s">
        <v>368</v>
      </c>
      <c r="E75" s="5" t="s">
        <v>369</v>
      </c>
      <c r="F75" s="5" t="s">
        <v>370</v>
      </c>
      <c r="G75" s="5" t="s">
        <v>371</v>
      </c>
      <c r="H75" s="6"/>
      <c r="I75" s="6"/>
      <c r="J75" s="6"/>
    </row>
    <row r="76" spans="1:10" ht="28" x14ac:dyDescent="0.35">
      <c r="A76" s="4">
        <v>75</v>
      </c>
      <c r="B76" s="5" t="s">
        <v>372</v>
      </c>
      <c r="C76" s="5" t="s">
        <v>179</v>
      </c>
      <c r="D76" s="5" t="s">
        <v>179</v>
      </c>
      <c r="E76" s="5" t="s">
        <v>373</v>
      </c>
      <c r="F76" s="5" t="s">
        <v>374</v>
      </c>
      <c r="G76" s="5" t="s">
        <v>375</v>
      </c>
      <c r="H76" s="6"/>
      <c r="I76" s="6"/>
      <c r="J76" s="6"/>
    </row>
    <row r="77" spans="1:10" ht="98" x14ac:dyDescent="0.35">
      <c r="A77" s="4">
        <v>76</v>
      </c>
      <c r="B77" s="5" t="s">
        <v>110</v>
      </c>
      <c r="C77" s="5" t="s">
        <v>111</v>
      </c>
      <c r="D77" s="5" t="s">
        <v>112</v>
      </c>
      <c r="E77" s="5" t="s">
        <v>376</v>
      </c>
      <c r="F77" s="5" t="s">
        <v>377</v>
      </c>
      <c r="G77" s="5" t="s">
        <v>378</v>
      </c>
      <c r="H77" s="6"/>
      <c r="I77" s="6"/>
      <c r="J77" s="6"/>
    </row>
    <row r="78" spans="1:10" ht="42" x14ac:dyDescent="0.35">
      <c r="A78" s="4">
        <v>77</v>
      </c>
      <c r="B78" s="5" t="s">
        <v>379</v>
      </c>
      <c r="C78" s="5" t="s">
        <v>380</v>
      </c>
      <c r="D78" s="5" t="s">
        <v>381</v>
      </c>
      <c r="E78" s="5" t="s">
        <v>382</v>
      </c>
      <c r="F78" s="5" t="s">
        <v>383</v>
      </c>
      <c r="G78" s="5" t="s">
        <v>383</v>
      </c>
      <c r="H78" s="6"/>
      <c r="I78" s="6"/>
      <c r="J78" s="6"/>
    </row>
    <row r="79" spans="1:10" ht="42" x14ac:dyDescent="0.35">
      <c r="A79" s="4">
        <v>78</v>
      </c>
      <c r="B79" s="5" t="s">
        <v>384</v>
      </c>
      <c r="C79" s="5" t="s">
        <v>28</v>
      </c>
      <c r="D79" s="5" t="s">
        <v>29</v>
      </c>
      <c r="E79" s="5" t="s">
        <v>385</v>
      </c>
      <c r="F79" s="5" t="s">
        <v>386</v>
      </c>
      <c r="G79" s="5" t="s">
        <v>387</v>
      </c>
      <c r="H79" s="6"/>
      <c r="I79" s="6"/>
      <c r="J79" s="6"/>
    </row>
    <row r="80" spans="1:10" ht="28" x14ac:dyDescent="0.35">
      <c r="A80" s="4">
        <v>79</v>
      </c>
      <c r="B80" s="5" t="s">
        <v>265</v>
      </c>
      <c r="C80" s="5" t="s">
        <v>266</v>
      </c>
      <c r="D80" s="5" t="s">
        <v>267</v>
      </c>
      <c r="E80" s="5" t="s">
        <v>388</v>
      </c>
      <c r="F80" s="5" t="s">
        <v>389</v>
      </c>
      <c r="G80" s="5" t="s">
        <v>390</v>
      </c>
      <c r="H80" s="6"/>
      <c r="I80" s="6"/>
      <c r="J80" s="6"/>
    </row>
    <row r="81" spans="1:10" ht="28" x14ac:dyDescent="0.35">
      <c r="A81" s="4">
        <v>80</v>
      </c>
      <c r="B81" s="5" t="s">
        <v>391</v>
      </c>
      <c r="C81" s="5" t="s">
        <v>392</v>
      </c>
      <c r="D81" s="5" t="s">
        <v>91</v>
      </c>
      <c r="E81" s="5" t="s">
        <v>393</v>
      </c>
      <c r="F81" s="5" t="s">
        <v>394</v>
      </c>
      <c r="G81" s="5" t="s">
        <v>270</v>
      </c>
      <c r="H81" s="6"/>
      <c r="I81" s="6"/>
      <c r="J81" s="6"/>
    </row>
    <row r="82" spans="1:10" ht="42" x14ac:dyDescent="0.35">
      <c r="A82" s="4">
        <v>81</v>
      </c>
      <c r="B82" s="5" t="s">
        <v>326</v>
      </c>
      <c r="C82" s="5" t="s">
        <v>327</v>
      </c>
      <c r="D82" s="5" t="s">
        <v>82</v>
      </c>
      <c r="E82" s="5" t="s">
        <v>395</v>
      </c>
      <c r="F82" s="5" t="s">
        <v>396</v>
      </c>
      <c r="G82" s="5" t="s">
        <v>397</v>
      </c>
      <c r="H82" s="6"/>
      <c r="I82" s="6"/>
      <c r="J82" s="6"/>
    </row>
    <row r="83" spans="1:10" ht="56" x14ac:dyDescent="0.35">
      <c r="A83" s="4">
        <v>82</v>
      </c>
      <c r="B83" s="5" t="s">
        <v>398</v>
      </c>
      <c r="C83" s="5" t="s">
        <v>399</v>
      </c>
      <c r="D83" s="5" t="s">
        <v>400</v>
      </c>
      <c r="E83" s="5" t="s">
        <v>401</v>
      </c>
      <c r="F83" s="5" t="s">
        <v>402</v>
      </c>
      <c r="G83" s="5" t="s">
        <v>403</v>
      </c>
      <c r="H83" s="6"/>
      <c r="I83" s="6"/>
      <c r="J83" s="6"/>
    </row>
    <row r="84" spans="1:10" ht="42" x14ac:dyDescent="0.35">
      <c r="A84" s="4">
        <v>83</v>
      </c>
      <c r="B84" s="5" t="s">
        <v>404</v>
      </c>
      <c r="C84" s="5" t="s">
        <v>405</v>
      </c>
      <c r="D84" s="5" t="s">
        <v>406</v>
      </c>
      <c r="E84" s="5" t="s">
        <v>407</v>
      </c>
      <c r="F84" s="5" t="s">
        <v>408</v>
      </c>
      <c r="G84" s="5" t="s">
        <v>409</v>
      </c>
      <c r="H84" s="6"/>
      <c r="I84" s="6"/>
      <c r="J84" s="6"/>
    </row>
    <row r="85" spans="1:10" ht="28" x14ac:dyDescent="0.35">
      <c r="A85" s="4">
        <v>84</v>
      </c>
      <c r="B85" s="5" t="s">
        <v>410</v>
      </c>
      <c r="C85" s="5" t="s">
        <v>411</v>
      </c>
      <c r="D85" s="5" t="s">
        <v>412</v>
      </c>
      <c r="E85" s="5" t="s">
        <v>207</v>
      </c>
      <c r="F85" s="5" t="s">
        <v>208</v>
      </c>
      <c r="G85" s="5" t="s">
        <v>209</v>
      </c>
      <c r="H85" s="6"/>
      <c r="I85" s="6"/>
      <c r="J85" s="6"/>
    </row>
    <row r="86" spans="1:10" ht="42" x14ac:dyDescent="0.35">
      <c r="A86" s="4">
        <v>85</v>
      </c>
      <c r="B86" s="5" t="s">
        <v>413</v>
      </c>
      <c r="C86" s="5" t="s">
        <v>414</v>
      </c>
      <c r="D86" s="5" t="s">
        <v>415</v>
      </c>
      <c r="E86" s="5" t="s">
        <v>416</v>
      </c>
      <c r="F86" s="5" t="s">
        <v>417</v>
      </c>
      <c r="G86" s="5" t="s">
        <v>417</v>
      </c>
      <c r="H86" s="6"/>
      <c r="I86" s="6"/>
      <c r="J86" s="6"/>
    </row>
    <row r="87" spans="1:10" x14ac:dyDescent="0.35">
      <c r="A87" s="4">
        <v>86</v>
      </c>
      <c r="B87" s="5" t="s">
        <v>418</v>
      </c>
      <c r="C87" s="5" t="s">
        <v>324</v>
      </c>
      <c r="D87" s="5" t="s">
        <v>324</v>
      </c>
      <c r="E87" s="5" t="s">
        <v>419</v>
      </c>
      <c r="F87" s="5" t="s">
        <v>324</v>
      </c>
      <c r="G87" s="5" t="s">
        <v>324</v>
      </c>
      <c r="H87" s="6"/>
      <c r="I87" s="6"/>
      <c r="J87" s="6"/>
    </row>
    <row r="88" spans="1:10" ht="28" x14ac:dyDescent="0.35">
      <c r="A88" s="4">
        <v>87</v>
      </c>
      <c r="B88" s="5" t="s">
        <v>420</v>
      </c>
      <c r="C88" s="5" t="s">
        <v>421</v>
      </c>
      <c r="D88" s="5" t="s">
        <v>421</v>
      </c>
      <c r="E88" s="5" t="s">
        <v>422</v>
      </c>
      <c r="F88" s="5" t="s">
        <v>423</v>
      </c>
      <c r="G88" s="5" t="s">
        <v>424</v>
      </c>
      <c r="H88" s="6"/>
      <c r="I88" s="6"/>
      <c r="J88" s="6"/>
    </row>
    <row r="89" spans="1:10" ht="70" x14ac:dyDescent="0.35">
      <c r="A89" s="4">
        <v>88</v>
      </c>
      <c r="B89" s="5" t="s">
        <v>425</v>
      </c>
      <c r="C89" s="5" t="s">
        <v>426</v>
      </c>
      <c r="D89" s="5" t="s">
        <v>427</v>
      </c>
      <c r="E89" s="5" t="s">
        <v>40</v>
      </c>
      <c r="F89" s="5" t="s">
        <v>41</v>
      </c>
      <c r="G89" s="5" t="s">
        <v>41</v>
      </c>
      <c r="H89" s="6"/>
      <c r="I89" s="6"/>
      <c r="J89" s="6"/>
    </row>
    <row r="90" spans="1:10" ht="42" x14ac:dyDescent="0.35">
      <c r="A90" s="4">
        <v>89</v>
      </c>
      <c r="B90" s="5" t="s">
        <v>428</v>
      </c>
      <c r="C90" s="5" t="s">
        <v>429</v>
      </c>
      <c r="D90" s="5" t="s">
        <v>429</v>
      </c>
      <c r="E90" s="5" t="s">
        <v>430</v>
      </c>
      <c r="F90" s="5" t="s">
        <v>431</v>
      </c>
      <c r="G90" s="5" t="s">
        <v>432</v>
      </c>
      <c r="H90" s="6"/>
      <c r="I90" s="6"/>
      <c r="J90" s="6"/>
    </row>
    <row r="91" spans="1:10" ht="42" x14ac:dyDescent="0.35">
      <c r="A91" s="4">
        <v>90</v>
      </c>
      <c r="B91" s="5" t="s">
        <v>433</v>
      </c>
      <c r="C91" s="5" t="s">
        <v>434</v>
      </c>
      <c r="D91" s="5" t="s">
        <v>434</v>
      </c>
      <c r="E91" s="5" t="s">
        <v>416</v>
      </c>
      <c r="F91" s="5" t="s">
        <v>417</v>
      </c>
      <c r="G91" s="5" t="s">
        <v>417</v>
      </c>
      <c r="H91" s="6"/>
      <c r="I91" s="6"/>
      <c r="J91" s="6"/>
    </row>
    <row r="92" spans="1:10" ht="42" x14ac:dyDescent="0.35">
      <c r="A92" s="4">
        <v>91</v>
      </c>
      <c r="B92" s="5" t="s">
        <v>435</v>
      </c>
      <c r="C92" s="5" t="s">
        <v>91</v>
      </c>
      <c r="D92" s="5" t="s">
        <v>91</v>
      </c>
      <c r="E92" s="5" t="s">
        <v>436</v>
      </c>
      <c r="F92" s="5" t="s">
        <v>437</v>
      </c>
      <c r="G92" s="5" t="s">
        <v>438</v>
      </c>
      <c r="H92" s="6"/>
      <c r="I92" s="6"/>
      <c r="J92" s="6"/>
    </row>
    <row r="93" spans="1:10" ht="42" x14ac:dyDescent="0.35">
      <c r="A93" s="4">
        <v>92</v>
      </c>
      <c r="B93" s="5" t="s">
        <v>318</v>
      </c>
      <c r="C93" s="5" t="s">
        <v>319</v>
      </c>
      <c r="D93" s="5" t="s">
        <v>320</v>
      </c>
      <c r="E93" s="5" t="s">
        <v>439</v>
      </c>
      <c r="F93" s="5" t="s">
        <v>440</v>
      </c>
      <c r="G93" s="5" t="s">
        <v>441</v>
      </c>
      <c r="H93" s="6"/>
      <c r="I93" s="6"/>
      <c r="J93" s="6"/>
    </row>
    <row r="94" spans="1:10" ht="42" x14ac:dyDescent="0.35">
      <c r="A94" s="4">
        <v>93</v>
      </c>
      <c r="B94" s="5" t="s">
        <v>158</v>
      </c>
      <c r="C94" s="5" t="s">
        <v>159</v>
      </c>
      <c r="D94" s="5" t="s">
        <v>160</v>
      </c>
      <c r="E94" s="5" t="s">
        <v>442</v>
      </c>
      <c r="F94" s="5" t="s">
        <v>443</v>
      </c>
      <c r="G94" s="5" t="s">
        <v>444</v>
      </c>
      <c r="H94" s="6"/>
      <c r="I94" s="6"/>
      <c r="J94" s="6"/>
    </row>
    <row r="95" spans="1:10" ht="42" x14ac:dyDescent="0.35">
      <c r="A95" s="4">
        <v>94</v>
      </c>
      <c r="B95" s="5" t="s">
        <v>395</v>
      </c>
      <c r="C95" s="5" t="s">
        <v>396</v>
      </c>
      <c r="D95" s="5" t="s">
        <v>397</v>
      </c>
      <c r="E95" s="5" t="s">
        <v>306</v>
      </c>
      <c r="F95" s="5" t="s">
        <v>307</v>
      </c>
      <c r="G95" s="5" t="s">
        <v>307</v>
      </c>
      <c r="H95" s="6"/>
      <c r="I95" s="6"/>
      <c r="J95" s="6"/>
    </row>
    <row r="96" spans="1:10" ht="266" x14ac:dyDescent="0.35">
      <c r="A96" s="4">
        <v>95</v>
      </c>
      <c r="B96" s="5" t="s">
        <v>445</v>
      </c>
      <c r="C96" s="5" t="s">
        <v>15</v>
      </c>
      <c r="D96" s="5" t="s">
        <v>15</v>
      </c>
      <c r="E96" s="5" t="s">
        <v>446</v>
      </c>
      <c r="F96" s="5" t="s">
        <v>447</v>
      </c>
      <c r="G96" s="5" t="s">
        <v>448</v>
      </c>
      <c r="H96" s="6"/>
      <c r="I96" s="6"/>
      <c r="J96" s="6"/>
    </row>
    <row r="97" spans="1:10" x14ac:dyDescent="0.35">
      <c r="A97" s="4">
        <v>96</v>
      </c>
      <c r="B97" s="5" t="s">
        <v>449</v>
      </c>
      <c r="C97" s="5" t="s">
        <v>450</v>
      </c>
      <c r="D97" s="5" t="s">
        <v>55</v>
      </c>
      <c r="E97" s="5" t="s">
        <v>144</v>
      </c>
      <c r="F97" s="5" t="s">
        <v>145</v>
      </c>
      <c r="G97" s="5" t="s">
        <v>55</v>
      </c>
      <c r="H97" s="6"/>
      <c r="I97" s="6"/>
      <c r="J97" s="6"/>
    </row>
    <row r="98" spans="1:10" ht="28" x14ac:dyDescent="0.35">
      <c r="A98" s="4">
        <v>97</v>
      </c>
      <c r="B98" s="5" t="s">
        <v>268</v>
      </c>
      <c r="C98" s="5" t="s">
        <v>269</v>
      </c>
      <c r="D98" s="5" t="s">
        <v>270</v>
      </c>
      <c r="E98" s="5" t="s">
        <v>451</v>
      </c>
      <c r="F98" s="5" t="s">
        <v>392</v>
      </c>
      <c r="G98" s="5" t="s">
        <v>91</v>
      </c>
      <c r="H98" s="6"/>
      <c r="I98" s="6"/>
      <c r="J98" s="6"/>
    </row>
    <row r="99" spans="1:10" ht="56" x14ac:dyDescent="0.35">
      <c r="A99" s="4">
        <v>98</v>
      </c>
      <c r="B99" s="5" t="s">
        <v>452</v>
      </c>
      <c r="C99" s="5" t="s">
        <v>453</v>
      </c>
      <c r="D99" s="5" t="s">
        <v>322</v>
      </c>
      <c r="E99" s="5" t="s">
        <v>454</v>
      </c>
      <c r="F99" s="5" t="s">
        <v>455</v>
      </c>
      <c r="G99" s="5" t="s">
        <v>456</v>
      </c>
      <c r="H99" s="6"/>
      <c r="I99" s="6"/>
      <c r="J99" s="6"/>
    </row>
    <row r="100" spans="1:10" ht="42" x14ac:dyDescent="0.35">
      <c r="A100" s="4">
        <v>99</v>
      </c>
      <c r="B100" s="5" t="s">
        <v>384</v>
      </c>
      <c r="C100" s="5" t="s">
        <v>28</v>
      </c>
      <c r="D100" s="5" t="s">
        <v>29</v>
      </c>
      <c r="E100" s="5" t="s">
        <v>457</v>
      </c>
      <c r="F100" s="5" t="s">
        <v>458</v>
      </c>
      <c r="G100" s="5" t="s">
        <v>459</v>
      </c>
      <c r="H100" s="6"/>
      <c r="I100" s="6"/>
      <c r="J100" s="6"/>
    </row>
    <row r="101" spans="1:10" ht="28" x14ac:dyDescent="0.35">
      <c r="A101" s="4">
        <v>100</v>
      </c>
      <c r="B101" s="5" t="s">
        <v>460</v>
      </c>
      <c r="C101" s="5" t="s">
        <v>461</v>
      </c>
      <c r="D101" s="5" t="s">
        <v>462</v>
      </c>
      <c r="E101" s="5" t="s">
        <v>463</v>
      </c>
      <c r="F101" s="5" t="s">
        <v>464</v>
      </c>
      <c r="G101" s="5" t="s">
        <v>465</v>
      </c>
      <c r="H101" s="6"/>
      <c r="I101" s="6"/>
      <c r="J101" s="6"/>
    </row>
    <row r="102" spans="1:10" x14ac:dyDescent="0.35">
      <c r="A102" s="4">
        <v>101</v>
      </c>
      <c r="B102" s="5" t="s">
        <v>466</v>
      </c>
      <c r="C102" s="5" t="s">
        <v>467</v>
      </c>
      <c r="D102" s="5" t="s">
        <v>468</v>
      </c>
      <c r="E102" s="5" t="s">
        <v>418</v>
      </c>
      <c r="F102" s="5" t="s">
        <v>324</v>
      </c>
      <c r="G102" s="5" t="s">
        <v>324</v>
      </c>
      <c r="H102" s="6"/>
      <c r="I102" s="6"/>
      <c r="J102" s="6"/>
    </row>
    <row r="103" spans="1:10" ht="42" x14ac:dyDescent="0.35">
      <c r="A103" s="4">
        <v>102</v>
      </c>
      <c r="B103" s="5" t="s">
        <v>469</v>
      </c>
      <c r="C103" s="5" t="s">
        <v>470</v>
      </c>
      <c r="D103" s="5" t="s">
        <v>470</v>
      </c>
      <c r="E103" s="5" t="s">
        <v>471</v>
      </c>
      <c r="F103" s="5" t="s">
        <v>472</v>
      </c>
      <c r="G103" s="5" t="s">
        <v>472</v>
      </c>
      <c r="H103" s="6"/>
      <c r="I103" s="6"/>
      <c r="J103" s="6"/>
    </row>
    <row r="104" spans="1:10" ht="168" x14ac:dyDescent="0.35">
      <c r="A104" s="4">
        <v>103</v>
      </c>
      <c r="B104" s="5" t="s">
        <v>473</v>
      </c>
      <c r="C104" s="5" t="s">
        <v>474</v>
      </c>
      <c r="D104" s="5" t="s">
        <v>475</v>
      </c>
      <c r="E104" s="5" t="s">
        <v>476</v>
      </c>
      <c r="F104" s="5" t="s">
        <v>477</v>
      </c>
      <c r="G104" s="5" t="s">
        <v>478</v>
      </c>
      <c r="H104" s="6"/>
      <c r="I104" s="6"/>
      <c r="J104" s="6"/>
    </row>
    <row r="105" spans="1:10" ht="42" x14ac:dyDescent="0.35">
      <c r="A105" s="4">
        <v>104</v>
      </c>
      <c r="B105" s="5" t="s">
        <v>479</v>
      </c>
      <c r="C105" s="5" t="s">
        <v>480</v>
      </c>
      <c r="D105" s="5" t="s">
        <v>481</v>
      </c>
      <c r="E105" s="5" t="s">
        <v>289</v>
      </c>
      <c r="F105" s="5" t="s">
        <v>290</v>
      </c>
      <c r="G105" s="5" t="s">
        <v>290</v>
      </c>
      <c r="H105" s="6"/>
      <c r="I105" s="6"/>
      <c r="J105" s="6"/>
    </row>
    <row r="106" spans="1:10" ht="42" x14ac:dyDescent="0.35">
      <c r="A106" s="4">
        <v>105</v>
      </c>
      <c r="B106" s="5" t="s">
        <v>482</v>
      </c>
      <c r="C106" s="5" t="s">
        <v>483</v>
      </c>
      <c r="D106" s="5" t="s">
        <v>484</v>
      </c>
      <c r="E106" s="5" t="s">
        <v>485</v>
      </c>
      <c r="F106" s="5" t="s">
        <v>486</v>
      </c>
      <c r="G106" s="5" t="s">
        <v>486</v>
      </c>
      <c r="H106" s="6"/>
      <c r="I106" s="6"/>
      <c r="J106" s="6"/>
    </row>
    <row r="107" spans="1:10" ht="28" x14ac:dyDescent="0.35">
      <c r="A107" s="4">
        <v>106</v>
      </c>
      <c r="B107" s="5" t="s">
        <v>77</v>
      </c>
      <c r="C107" s="5" t="s">
        <v>78</v>
      </c>
      <c r="D107" s="5" t="s">
        <v>79</v>
      </c>
      <c r="E107" s="5" t="s">
        <v>487</v>
      </c>
      <c r="F107" s="5" t="s">
        <v>488</v>
      </c>
      <c r="G107" s="5" t="s">
        <v>489</v>
      </c>
      <c r="H107" s="6"/>
      <c r="I107" s="6"/>
      <c r="J107" s="6"/>
    </row>
    <row r="108" spans="1:10" ht="42" x14ac:dyDescent="0.35">
      <c r="A108" s="4">
        <v>107</v>
      </c>
      <c r="B108" s="5" t="s">
        <v>490</v>
      </c>
      <c r="C108" s="5" t="s">
        <v>491</v>
      </c>
      <c r="D108" s="5" t="s">
        <v>492</v>
      </c>
      <c r="E108" s="5" t="s">
        <v>493</v>
      </c>
      <c r="F108" s="5" t="s">
        <v>494</v>
      </c>
      <c r="G108" s="5" t="s">
        <v>495</v>
      </c>
      <c r="H108" s="6"/>
      <c r="I108" s="6"/>
      <c r="J108" s="6"/>
    </row>
    <row r="109" spans="1:10" x14ac:dyDescent="0.35">
      <c r="A109" s="4">
        <v>108</v>
      </c>
      <c r="B109" s="5" t="s">
        <v>496</v>
      </c>
      <c r="C109" s="5" t="s">
        <v>278</v>
      </c>
      <c r="D109" s="5" t="s">
        <v>279</v>
      </c>
      <c r="E109" s="5" t="s">
        <v>277</v>
      </c>
      <c r="F109" s="5" t="s">
        <v>278</v>
      </c>
      <c r="G109" s="5" t="s">
        <v>279</v>
      </c>
      <c r="H109" s="6"/>
      <c r="I109" s="6"/>
      <c r="J109" s="6"/>
    </row>
    <row r="110" spans="1:10" ht="28" x14ac:dyDescent="0.35">
      <c r="A110" s="4">
        <v>109</v>
      </c>
      <c r="B110" s="5" t="s">
        <v>497</v>
      </c>
      <c r="C110" s="5" t="s">
        <v>498</v>
      </c>
      <c r="D110" s="5" t="s">
        <v>499</v>
      </c>
      <c r="E110" s="5" t="s">
        <v>500</v>
      </c>
      <c r="F110" s="5" t="s">
        <v>501</v>
      </c>
      <c r="G110" s="5" t="s">
        <v>502</v>
      </c>
      <c r="H110" s="6"/>
      <c r="I110" s="6"/>
      <c r="J110" s="6"/>
    </row>
    <row r="111" spans="1:10" ht="98" x14ac:dyDescent="0.35">
      <c r="A111" s="4">
        <v>110</v>
      </c>
      <c r="B111" s="5" t="s">
        <v>503</v>
      </c>
      <c r="C111" s="5" t="s">
        <v>504</v>
      </c>
      <c r="D111" s="5" t="s">
        <v>504</v>
      </c>
      <c r="E111" s="5" t="s">
        <v>505</v>
      </c>
      <c r="F111" s="5" t="s">
        <v>506</v>
      </c>
      <c r="G111" s="5" t="s">
        <v>507</v>
      </c>
      <c r="H111" s="6"/>
      <c r="I111" s="6"/>
      <c r="J111" s="6"/>
    </row>
    <row r="112" spans="1:10" ht="28" x14ac:dyDescent="0.35">
      <c r="A112" s="4">
        <v>111</v>
      </c>
      <c r="B112" s="5" t="s">
        <v>508</v>
      </c>
      <c r="C112" s="5" t="s">
        <v>509</v>
      </c>
      <c r="D112" s="5" t="s">
        <v>510</v>
      </c>
      <c r="E112" s="5" t="s">
        <v>511</v>
      </c>
      <c r="F112" s="5" t="s">
        <v>512</v>
      </c>
      <c r="G112" s="5" t="s">
        <v>513</v>
      </c>
      <c r="H112" s="6"/>
      <c r="I112" s="6"/>
      <c r="J112" s="6"/>
    </row>
    <row r="113" spans="1:10" ht="28" x14ac:dyDescent="0.35">
      <c r="A113" s="4">
        <v>112</v>
      </c>
      <c r="B113" s="5" t="s">
        <v>514</v>
      </c>
      <c r="C113" s="5" t="s">
        <v>515</v>
      </c>
      <c r="D113" s="5" t="s">
        <v>516</v>
      </c>
      <c r="E113" s="5" t="s">
        <v>517</v>
      </c>
      <c r="F113" s="5" t="s">
        <v>362</v>
      </c>
      <c r="G113" s="5" t="s">
        <v>362</v>
      </c>
      <c r="H113" s="6"/>
      <c r="I113" s="6"/>
      <c r="J113" s="6"/>
    </row>
    <row r="114" spans="1:10" x14ac:dyDescent="0.35">
      <c r="A114" s="4">
        <v>113</v>
      </c>
      <c r="B114" s="5" t="s">
        <v>518</v>
      </c>
      <c r="C114" s="5" t="s">
        <v>519</v>
      </c>
      <c r="D114" s="5" t="s">
        <v>520</v>
      </c>
      <c r="E114" s="5" t="s">
        <v>521</v>
      </c>
      <c r="F114" s="5" t="s">
        <v>522</v>
      </c>
      <c r="G114" s="5" t="s">
        <v>522</v>
      </c>
      <c r="H114" s="6"/>
      <c r="I114" s="6"/>
      <c r="J114" s="6"/>
    </row>
    <row r="115" spans="1:10" ht="56" x14ac:dyDescent="0.35">
      <c r="A115" s="4">
        <v>114</v>
      </c>
      <c r="B115" s="5" t="s">
        <v>523</v>
      </c>
      <c r="C115" s="5" t="s">
        <v>524</v>
      </c>
      <c r="D115" s="5" t="s">
        <v>525</v>
      </c>
      <c r="E115" s="5" t="s">
        <v>526</v>
      </c>
      <c r="F115" s="5" t="s">
        <v>527</v>
      </c>
      <c r="G115" s="5" t="s">
        <v>528</v>
      </c>
      <c r="H115" s="6"/>
      <c r="I115" s="6"/>
      <c r="J115" s="6"/>
    </row>
    <row r="116" spans="1:10" ht="56" x14ac:dyDescent="0.35">
      <c r="A116" s="4">
        <v>115</v>
      </c>
      <c r="B116" s="5" t="s">
        <v>529</v>
      </c>
      <c r="C116" s="5" t="s">
        <v>530</v>
      </c>
      <c r="D116" s="5" t="s">
        <v>530</v>
      </c>
      <c r="E116" s="5" t="s">
        <v>454</v>
      </c>
      <c r="F116" s="5" t="s">
        <v>455</v>
      </c>
      <c r="G116" s="5" t="s">
        <v>456</v>
      </c>
      <c r="H116" s="6"/>
      <c r="I116" s="6"/>
      <c r="J116" s="6"/>
    </row>
    <row r="117" spans="1:10" ht="28" x14ac:dyDescent="0.35">
      <c r="A117" s="4">
        <v>116</v>
      </c>
      <c r="B117" s="5" t="s">
        <v>531</v>
      </c>
      <c r="C117" s="5" t="s">
        <v>532</v>
      </c>
      <c r="D117" s="5" t="s">
        <v>533</v>
      </c>
      <c r="E117" s="5" t="s">
        <v>534</v>
      </c>
      <c r="F117" s="5" t="s">
        <v>535</v>
      </c>
      <c r="G117" s="5" t="s">
        <v>536</v>
      </c>
      <c r="H117" s="6"/>
      <c r="I117" s="6"/>
      <c r="J117" s="6"/>
    </row>
    <row r="118" spans="1:10" ht="84" x14ac:dyDescent="0.35">
      <c r="A118" s="4">
        <v>117</v>
      </c>
      <c r="B118" s="5" t="s">
        <v>463</v>
      </c>
      <c r="C118" s="5" t="s">
        <v>464</v>
      </c>
      <c r="D118" s="5" t="s">
        <v>465</v>
      </c>
      <c r="E118" s="5" t="s">
        <v>537</v>
      </c>
      <c r="F118" s="5" t="s">
        <v>538</v>
      </c>
      <c r="G118" s="5" t="s">
        <v>539</v>
      </c>
      <c r="H118" s="6"/>
      <c r="I118" s="6"/>
      <c r="J118" s="6"/>
    </row>
    <row r="119" spans="1:10" ht="28" x14ac:dyDescent="0.35">
      <c r="A119" s="4">
        <v>118</v>
      </c>
      <c r="B119" s="5" t="s">
        <v>540</v>
      </c>
      <c r="C119" s="5" t="s">
        <v>541</v>
      </c>
      <c r="D119" s="5" t="s">
        <v>542</v>
      </c>
      <c r="E119" s="5" t="s">
        <v>543</v>
      </c>
      <c r="F119" s="5" t="s">
        <v>544</v>
      </c>
      <c r="G119" s="5" t="s">
        <v>544</v>
      </c>
      <c r="H119" s="6"/>
      <c r="I119" s="6"/>
      <c r="J119" s="6"/>
    </row>
    <row r="120" spans="1:10" x14ac:dyDescent="0.35">
      <c r="A120" s="4">
        <v>119</v>
      </c>
      <c r="B120" s="5" t="s">
        <v>545</v>
      </c>
      <c r="C120" s="5" t="s">
        <v>546</v>
      </c>
      <c r="D120" s="5" t="s">
        <v>547</v>
      </c>
      <c r="E120" s="5" t="s">
        <v>548</v>
      </c>
      <c r="F120" s="5" t="s">
        <v>549</v>
      </c>
      <c r="G120" s="5" t="s">
        <v>549</v>
      </c>
      <c r="H120" s="6"/>
      <c r="I120" s="6"/>
      <c r="J120" s="6"/>
    </row>
    <row r="121" spans="1:10" ht="98" x14ac:dyDescent="0.35">
      <c r="A121" s="4">
        <v>120</v>
      </c>
      <c r="B121" s="5" t="s">
        <v>425</v>
      </c>
      <c r="C121" s="5" t="s">
        <v>426</v>
      </c>
      <c r="D121" s="5" t="s">
        <v>427</v>
      </c>
      <c r="E121" s="5" t="s">
        <v>550</v>
      </c>
      <c r="F121" s="5" t="s">
        <v>551</v>
      </c>
      <c r="G121" s="5" t="s">
        <v>552</v>
      </c>
      <c r="H121" s="6"/>
      <c r="I121" s="6"/>
      <c r="J121" s="6"/>
    </row>
  </sheetData>
  <dataValidations count="2">
    <dataValidation type="list" allowBlank="1" sqref="H2:H121" xr:uid="{00000000-0002-0000-0100-000000000000}">
      <formula1>"same,related,different,unclear"</formula1>
    </dataValidation>
    <dataValidation type="list" allowBlank="1" sqref="I2:I121" xr:uid="{00000000-0002-0000-0100-000001000000}">
      <formula1>"A broader,B broader,equal scope,can't say"</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1"/>
  <sheetViews>
    <sheetView workbookViewId="0"/>
  </sheetViews>
  <sheetFormatPr defaultRowHeight="14.5" x14ac:dyDescent="0.35"/>
  <sheetData>
    <row r="1" spans="1:13" x14ac:dyDescent="0.35">
      <c r="A1" s="7" t="s">
        <v>0</v>
      </c>
      <c r="B1" s="7" t="s">
        <v>566</v>
      </c>
      <c r="C1" s="7" t="s">
        <v>567</v>
      </c>
      <c r="D1" s="7" t="s">
        <v>568</v>
      </c>
      <c r="E1" s="7" t="s">
        <v>569</v>
      </c>
      <c r="F1" s="7" t="s">
        <v>570</v>
      </c>
      <c r="G1" s="7" t="s">
        <v>571</v>
      </c>
      <c r="H1" s="7" t="s">
        <v>572</v>
      </c>
      <c r="I1" s="7" t="s">
        <v>573</v>
      </c>
      <c r="J1" s="7" t="s">
        <v>574</v>
      </c>
      <c r="K1" s="7" t="s">
        <v>575</v>
      </c>
      <c r="L1" s="7" t="s">
        <v>576</v>
      </c>
      <c r="M1" s="7" t="s">
        <v>577</v>
      </c>
    </row>
    <row r="2" spans="1:13" x14ac:dyDescent="0.35">
      <c r="A2" s="7">
        <v>1</v>
      </c>
      <c r="B2" s="7" t="s">
        <v>578</v>
      </c>
      <c r="C2" s="7" t="s">
        <v>579</v>
      </c>
      <c r="D2" s="7">
        <v>0.40310000000000001</v>
      </c>
      <c r="E2" s="7" t="s">
        <v>580</v>
      </c>
      <c r="F2" s="7" t="s">
        <v>581</v>
      </c>
      <c r="G2" s="7">
        <v>0.40310000000000001</v>
      </c>
      <c r="H2" s="7">
        <v>1</v>
      </c>
      <c r="I2" s="7" t="s">
        <v>582</v>
      </c>
      <c r="J2" s="7" t="s">
        <v>583</v>
      </c>
      <c r="K2" s="7" t="s">
        <v>584</v>
      </c>
      <c r="L2" s="7" t="s">
        <v>12</v>
      </c>
      <c r="M2" s="7" t="s">
        <v>15</v>
      </c>
    </row>
    <row r="3" spans="1:13" x14ac:dyDescent="0.35">
      <c r="A3" s="7">
        <v>2</v>
      </c>
      <c r="B3" s="7" t="s">
        <v>585</v>
      </c>
      <c r="C3" s="7" t="s">
        <v>586</v>
      </c>
      <c r="D3" s="7">
        <v>0.74739999999999995</v>
      </c>
      <c r="E3" s="7" t="s">
        <v>580</v>
      </c>
      <c r="F3" s="7" t="s">
        <v>587</v>
      </c>
      <c r="G3" s="7">
        <v>0.74739999999999995</v>
      </c>
      <c r="H3" s="7">
        <v>1</v>
      </c>
      <c r="I3" s="7" t="s">
        <v>588</v>
      </c>
      <c r="J3" s="7" t="s">
        <v>583</v>
      </c>
      <c r="K3" s="7" t="s">
        <v>584</v>
      </c>
      <c r="L3" s="7" t="s">
        <v>589</v>
      </c>
      <c r="M3" s="7" t="s">
        <v>20</v>
      </c>
    </row>
    <row r="4" spans="1:13" x14ac:dyDescent="0.35">
      <c r="A4" s="7">
        <v>3</v>
      </c>
      <c r="B4" s="7" t="s">
        <v>590</v>
      </c>
      <c r="C4" s="7" t="s">
        <v>591</v>
      </c>
      <c r="D4" s="7">
        <v>0.57079999999999997</v>
      </c>
      <c r="E4" s="7" t="s">
        <v>580</v>
      </c>
      <c r="F4" s="7" t="s">
        <v>592</v>
      </c>
      <c r="G4" s="7">
        <v>0.57079999999999997</v>
      </c>
      <c r="H4" s="7">
        <v>1</v>
      </c>
      <c r="I4" s="7" t="s">
        <v>593</v>
      </c>
      <c r="J4" s="7" t="s">
        <v>583</v>
      </c>
      <c r="K4" s="7" t="s">
        <v>584</v>
      </c>
      <c r="L4" s="7" t="s">
        <v>23</v>
      </c>
      <c r="M4" s="7" t="s">
        <v>26</v>
      </c>
    </row>
    <row r="5" spans="1:13" x14ac:dyDescent="0.35">
      <c r="A5" s="7">
        <v>4</v>
      </c>
      <c r="B5" s="7" t="s">
        <v>594</v>
      </c>
      <c r="C5" s="7" t="s">
        <v>595</v>
      </c>
      <c r="D5" s="7">
        <v>0.34599999999999997</v>
      </c>
      <c r="E5" s="7" t="s">
        <v>596</v>
      </c>
      <c r="F5" s="7" t="s">
        <v>597</v>
      </c>
      <c r="G5" s="7">
        <v>0.4325</v>
      </c>
      <c r="H5" s="7">
        <v>0.8</v>
      </c>
      <c r="I5" s="7" t="s">
        <v>582</v>
      </c>
      <c r="J5" s="7" t="s">
        <v>583</v>
      </c>
      <c r="K5" s="7" t="s">
        <v>584</v>
      </c>
      <c r="L5" s="7" t="s">
        <v>29</v>
      </c>
      <c r="M5" s="7" t="s">
        <v>32</v>
      </c>
    </row>
    <row r="6" spans="1:13" x14ac:dyDescent="0.35">
      <c r="A6" s="7">
        <v>5</v>
      </c>
      <c r="B6" s="7" t="s">
        <v>598</v>
      </c>
      <c r="C6" s="7" t="s">
        <v>586</v>
      </c>
      <c r="D6" s="7">
        <v>0.69579999999999997</v>
      </c>
      <c r="E6" s="7" t="s">
        <v>599</v>
      </c>
      <c r="F6" s="7" t="s">
        <v>600</v>
      </c>
      <c r="G6" s="7">
        <v>0.77310000000000001</v>
      </c>
      <c r="H6" s="7">
        <v>0.9</v>
      </c>
      <c r="I6" s="7" t="s">
        <v>593</v>
      </c>
      <c r="J6" s="7" t="s">
        <v>583</v>
      </c>
      <c r="K6" s="7" t="s">
        <v>584</v>
      </c>
      <c r="L6" s="7" t="s">
        <v>35</v>
      </c>
      <c r="M6" s="7" t="s">
        <v>35</v>
      </c>
    </row>
    <row r="7" spans="1:13" x14ac:dyDescent="0.35">
      <c r="A7" s="7">
        <v>6</v>
      </c>
      <c r="B7" s="7" t="s">
        <v>601</v>
      </c>
      <c r="C7" s="7" t="s">
        <v>591</v>
      </c>
      <c r="D7" s="7">
        <v>0.50800000000000001</v>
      </c>
      <c r="E7" s="7" t="s">
        <v>602</v>
      </c>
      <c r="F7" s="7" t="s">
        <v>603</v>
      </c>
      <c r="G7" s="7">
        <v>0.72570000000000001</v>
      </c>
      <c r="H7" s="7">
        <v>0.7</v>
      </c>
      <c r="I7" s="7"/>
      <c r="J7" s="7" t="s">
        <v>583</v>
      </c>
      <c r="K7" s="7" t="s">
        <v>584</v>
      </c>
      <c r="L7" s="7" t="s">
        <v>604</v>
      </c>
      <c r="M7" s="7" t="s">
        <v>32</v>
      </c>
    </row>
    <row r="8" spans="1:13" x14ac:dyDescent="0.35">
      <c r="A8" s="7">
        <v>7</v>
      </c>
      <c r="B8" s="7" t="s">
        <v>594</v>
      </c>
      <c r="C8" s="7" t="s">
        <v>595</v>
      </c>
      <c r="D8" s="7">
        <v>0.37369999999999998</v>
      </c>
      <c r="E8" s="7" t="s">
        <v>580</v>
      </c>
      <c r="F8" s="7" t="s">
        <v>41</v>
      </c>
      <c r="G8" s="7">
        <v>0.37369999999999998</v>
      </c>
      <c r="H8" s="7">
        <v>1</v>
      </c>
      <c r="I8" s="7" t="s">
        <v>588</v>
      </c>
      <c r="J8" s="7" t="s">
        <v>583</v>
      </c>
      <c r="K8" s="7" t="s">
        <v>584</v>
      </c>
      <c r="L8" s="7" t="s">
        <v>41</v>
      </c>
      <c r="M8" s="7" t="s">
        <v>44</v>
      </c>
    </row>
    <row r="9" spans="1:13" x14ac:dyDescent="0.35">
      <c r="A9" s="7">
        <v>8</v>
      </c>
      <c r="B9" s="7" t="s">
        <v>585</v>
      </c>
      <c r="C9" s="7" t="s">
        <v>586</v>
      </c>
      <c r="D9" s="7">
        <v>0.60060000000000002</v>
      </c>
      <c r="E9" s="7" t="s">
        <v>580</v>
      </c>
      <c r="F9" s="7" t="s">
        <v>605</v>
      </c>
      <c r="G9" s="7">
        <v>0.60060000000000002</v>
      </c>
      <c r="H9" s="7">
        <v>1</v>
      </c>
      <c r="I9" s="7" t="s">
        <v>593</v>
      </c>
      <c r="J9" s="7" t="s">
        <v>583</v>
      </c>
      <c r="K9" s="7" t="s">
        <v>584</v>
      </c>
      <c r="L9" s="7" t="s">
        <v>47</v>
      </c>
      <c r="M9" s="7" t="s">
        <v>49</v>
      </c>
    </row>
    <row r="10" spans="1:13" x14ac:dyDescent="0.35">
      <c r="A10" s="7">
        <v>9</v>
      </c>
      <c r="B10" s="7" t="s">
        <v>578</v>
      </c>
      <c r="C10" s="7" t="s">
        <v>579</v>
      </c>
      <c r="D10" s="7">
        <v>0.48659999999999998</v>
      </c>
      <c r="E10" s="7" t="s">
        <v>599</v>
      </c>
      <c r="F10" s="7" t="s">
        <v>606</v>
      </c>
      <c r="G10" s="7">
        <v>0.54069999999999996</v>
      </c>
      <c r="H10" s="7">
        <v>0.9</v>
      </c>
      <c r="I10" s="7" t="s">
        <v>582</v>
      </c>
      <c r="J10" s="7" t="s">
        <v>583</v>
      </c>
      <c r="K10" s="7" t="s">
        <v>584</v>
      </c>
      <c r="L10" s="7" t="s">
        <v>52</v>
      </c>
      <c r="M10" s="7" t="s">
        <v>55</v>
      </c>
    </row>
    <row r="11" spans="1:13" x14ac:dyDescent="0.35">
      <c r="A11" s="7">
        <v>10</v>
      </c>
      <c r="B11" s="7" t="s">
        <v>578</v>
      </c>
      <c r="C11" s="7" t="s">
        <v>579</v>
      </c>
      <c r="D11" s="7">
        <v>0.40310000000000001</v>
      </c>
      <c r="E11" s="7" t="s">
        <v>580</v>
      </c>
      <c r="F11" s="7" t="s">
        <v>581</v>
      </c>
      <c r="G11" s="7">
        <v>0.40310000000000001</v>
      </c>
      <c r="H11" s="7">
        <v>1</v>
      </c>
      <c r="I11" s="7" t="s">
        <v>593</v>
      </c>
      <c r="J11" s="7" t="s">
        <v>583</v>
      </c>
      <c r="K11" s="7" t="s">
        <v>584</v>
      </c>
      <c r="L11" s="7" t="s">
        <v>57</v>
      </c>
      <c r="M11" s="7" t="s">
        <v>15</v>
      </c>
    </row>
    <row r="12" spans="1:13" x14ac:dyDescent="0.35">
      <c r="A12" s="7">
        <v>11</v>
      </c>
      <c r="B12" s="7" t="s">
        <v>578</v>
      </c>
      <c r="C12" s="7" t="s">
        <v>579</v>
      </c>
      <c r="D12" s="7">
        <v>0.4264</v>
      </c>
      <c r="E12" s="7" t="s">
        <v>602</v>
      </c>
      <c r="F12" s="7" t="s">
        <v>607</v>
      </c>
      <c r="G12" s="7">
        <v>0.60909999999999997</v>
      </c>
      <c r="H12" s="7">
        <v>0.7</v>
      </c>
      <c r="I12" s="7"/>
      <c r="J12" s="7" t="s">
        <v>583</v>
      </c>
      <c r="K12" s="7" t="s">
        <v>584</v>
      </c>
      <c r="L12" s="7" t="s">
        <v>61</v>
      </c>
      <c r="M12" s="7" t="s">
        <v>64</v>
      </c>
    </row>
    <row r="13" spans="1:13" x14ac:dyDescent="0.35">
      <c r="A13" s="7">
        <v>12</v>
      </c>
      <c r="B13" s="7" t="s">
        <v>590</v>
      </c>
      <c r="C13" s="7" t="s">
        <v>591</v>
      </c>
      <c r="D13" s="7">
        <v>0.56420000000000003</v>
      </c>
      <c r="E13" s="7" t="s">
        <v>580</v>
      </c>
      <c r="F13" s="7" t="s">
        <v>67</v>
      </c>
      <c r="G13" s="7">
        <v>0.56420000000000003</v>
      </c>
      <c r="H13" s="7">
        <v>1</v>
      </c>
      <c r="I13" s="7" t="s">
        <v>593</v>
      </c>
      <c r="J13" s="7" t="s">
        <v>608</v>
      </c>
      <c r="K13" s="7" t="s">
        <v>584</v>
      </c>
      <c r="L13" s="7" t="s">
        <v>67</v>
      </c>
      <c r="M13" s="7" t="s">
        <v>69</v>
      </c>
    </row>
    <row r="14" spans="1:13" x14ac:dyDescent="0.35">
      <c r="A14" s="7">
        <v>13</v>
      </c>
      <c r="B14" s="7" t="s">
        <v>594</v>
      </c>
      <c r="C14" s="7" t="s">
        <v>595</v>
      </c>
      <c r="D14" s="7">
        <v>0.37369999999999998</v>
      </c>
      <c r="E14" s="7" t="s">
        <v>580</v>
      </c>
      <c r="F14" s="7" t="s">
        <v>41</v>
      </c>
      <c r="G14" s="7">
        <v>0.37369999999999998</v>
      </c>
      <c r="H14" s="7">
        <v>1</v>
      </c>
      <c r="I14" s="7" t="s">
        <v>588</v>
      </c>
      <c r="J14" s="7" t="s">
        <v>583</v>
      </c>
      <c r="K14" s="7" t="s">
        <v>584</v>
      </c>
      <c r="L14" s="7" t="s">
        <v>41</v>
      </c>
      <c r="M14" s="7" t="s">
        <v>74</v>
      </c>
    </row>
    <row r="15" spans="1:13" x14ac:dyDescent="0.35">
      <c r="A15" s="7">
        <v>14</v>
      </c>
      <c r="B15" s="7" t="s">
        <v>601</v>
      </c>
      <c r="C15" s="7" t="s">
        <v>591</v>
      </c>
      <c r="D15" s="7">
        <v>0.56320000000000003</v>
      </c>
      <c r="E15" s="7" t="s">
        <v>602</v>
      </c>
      <c r="F15" s="7" t="s">
        <v>609</v>
      </c>
      <c r="G15" s="7">
        <v>0.80459999999999998</v>
      </c>
      <c r="H15" s="7">
        <v>0.7</v>
      </c>
      <c r="I15" s="7"/>
      <c r="J15" s="7" t="s">
        <v>583</v>
      </c>
      <c r="K15" s="7" t="s">
        <v>584</v>
      </c>
      <c r="L15" s="7" t="s">
        <v>76</v>
      </c>
      <c r="M15" s="7" t="s">
        <v>610</v>
      </c>
    </row>
    <row r="16" spans="1:13" x14ac:dyDescent="0.35">
      <c r="A16" s="7">
        <v>15</v>
      </c>
      <c r="B16" s="7" t="s">
        <v>611</v>
      </c>
      <c r="C16" s="7" t="s">
        <v>591</v>
      </c>
      <c r="D16" s="7">
        <v>0.54820000000000002</v>
      </c>
      <c r="E16" s="7" t="s">
        <v>599</v>
      </c>
      <c r="F16" s="7" t="s">
        <v>612</v>
      </c>
      <c r="G16" s="7">
        <v>0.60909999999999997</v>
      </c>
      <c r="H16" s="7">
        <v>0.9</v>
      </c>
      <c r="I16" s="7" t="s">
        <v>593</v>
      </c>
      <c r="J16" s="7" t="s">
        <v>608</v>
      </c>
      <c r="K16" s="7" t="s">
        <v>584</v>
      </c>
      <c r="L16" s="7" t="s">
        <v>307</v>
      </c>
      <c r="M16" s="7" t="s">
        <v>307</v>
      </c>
    </row>
    <row r="17" spans="1:13" x14ac:dyDescent="0.35">
      <c r="A17" s="7">
        <v>16</v>
      </c>
      <c r="B17" s="7" t="s">
        <v>578</v>
      </c>
      <c r="C17" s="7" t="s">
        <v>579</v>
      </c>
      <c r="D17" s="7">
        <v>0.40310000000000001</v>
      </c>
      <c r="E17" s="7" t="s">
        <v>580</v>
      </c>
      <c r="F17" s="7" t="s">
        <v>581</v>
      </c>
      <c r="G17" s="7">
        <v>0.40310000000000001</v>
      </c>
      <c r="H17" s="7">
        <v>1</v>
      </c>
      <c r="I17" s="7" t="s">
        <v>593</v>
      </c>
      <c r="J17" s="7" t="s">
        <v>583</v>
      </c>
      <c r="K17" s="7" t="s">
        <v>584</v>
      </c>
      <c r="L17" s="7" t="s">
        <v>57</v>
      </c>
      <c r="M17" s="7" t="s">
        <v>89</v>
      </c>
    </row>
    <row r="18" spans="1:13" x14ac:dyDescent="0.35">
      <c r="A18" s="7">
        <v>17</v>
      </c>
      <c r="B18" s="7" t="s">
        <v>578</v>
      </c>
      <c r="C18" s="7" t="s">
        <v>579</v>
      </c>
      <c r="D18" s="7">
        <v>0.4325</v>
      </c>
      <c r="E18" s="7" t="s">
        <v>580</v>
      </c>
      <c r="F18" s="7" t="s">
        <v>613</v>
      </c>
      <c r="G18" s="7">
        <v>0.4325</v>
      </c>
      <c r="H18" s="7">
        <v>1</v>
      </c>
      <c r="I18" s="7" t="s">
        <v>588</v>
      </c>
      <c r="J18" s="7" t="s">
        <v>583</v>
      </c>
      <c r="K18" s="7" t="s">
        <v>584</v>
      </c>
      <c r="L18" s="7" t="s">
        <v>91</v>
      </c>
      <c r="M18" s="7" t="s">
        <v>94</v>
      </c>
    </row>
    <row r="19" spans="1:13" x14ac:dyDescent="0.35">
      <c r="A19" s="7">
        <v>18</v>
      </c>
      <c r="B19" s="7" t="s">
        <v>578</v>
      </c>
      <c r="C19" s="7" t="s">
        <v>579</v>
      </c>
      <c r="D19" s="7">
        <v>0.43959999999999999</v>
      </c>
      <c r="E19" s="7" t="s">
        <v>602</v>
      </c>
      <c r="F19" s="7" t="s">
        <v>614</v>
      </c>
      <c r="G19" s="7">
        <v>0.628</v>
      </c>
      <c r="H19" s="7">
        <v>0.7</v>
      </c>
      <c r="I19" s="7"/>
      <c r="J19" s="7" t="s">
        <v>583</v>
      </c>
      <c r="K19" s="7" t="s">
        <v>584</v>
      </c>
      <c r="L19" s="7" t="s">
        <v>97</v>
      </c>
      <c r="M19" s="7" t="s">
        <v>100</v>
      </c>
    </row>
    <row r="20" spans="1:13" x14ac:dyDescent="0.35">
      <c r="A20" s="7">
        <v>19</v>
      </c>
      <c r="B20" s="7" t="s">
        <v>585</v>
      </c>
      <c r="C20" s="7" t="s">
        <v>586</v>
      </c>
      <c r="D20" s="7">
        <v>0.84509999999999996</v>
      </c>
      <c r="E20" s="7" t="s">
        <v>580</v>
      </c>
      <c r="F20" s="7" t="s">
        <v>615</v>
      </c>
      <c r="G20" s="7">
        <v>0.84509999999999996</v>
      </c>
      <c r="H20" s="7">
        <v>1</v>
      </c>
      <c r="I20" s="7" t="s">
        <v>588</v>
      </c>
      <c r="J20" s="7" t="s">
        <v>583</v>
      </c>
      <c r="K20" s="7" t="s">
        <v>584</v>
      </c>
      <c r="L20" s="7" t="s">
        <v>103</v>
      </c>
      <c r="M20" s="7" t="s">
        <v>616</v>
      </c>
    </row>
    <row r="21" spans="1:13" x14ac:dyDescent="0.35">
      <c r="A21" s="7">
        <v>20</v>
      </c>
      <c r="B21" s="7" t="s">
        <v>578</v>
      </c>
      <c r="C21" s="7" t="s">
        <v>579</v>
      </c>
      <c r="D21" s="7">
        <v>0.40939999999999999</v>
      </c>
      <c r="E21" s="7" t="s">
        <v>602</v>
      </c>
      <c r="F21" s="7" t="s">
        <v>617</v>
      </c>
      <c r="G21" s="7">
        <v>0.58489999999999998</v>
      </c>
      <c r="H21" s="7">
        <v>0.7</v>
      </c>
      <c r="I21" s="7"/>
      <c r="J21" s="7" t="s">
        <v>583</v>
      </c>
      <c r="K21" s="7" t="s">
        <v>584</v>
      </c>
      <c r="L21" s="7" t="s">
        <v>109</v>
      </c>
      <c r="M21" s="7" t="s">
        <v>112</v>
      </c>
    </row>
    <row r="22" spans="1:13" x14ac:dyDescent="0.35">
      <c r="A22" s="7">
        <v>21</v>
      </c>
      <c r="B22" s="7" t="s">
        <v>585</v>
      </c>
      <c r="C22" s="7" t="s">
        <v>586</v>
      </c>
      <c r="D22" s="7">
        <v>0.61819999999999997</v>
      </c>
      <c r="E22" s="7" t="s">
        <v>580</v>
      </c>
      <c r="F22" s="7" t="s">
        <v>618</v>
      </c>
      <c r="G22" s="7">
        <v>0.61819999999999997</v>
      </c>
      <c r="H22" s="7">
        <v>1</v>
      </c>
      <c r="I22" s="7" t="s">
        <v>593</v>
      </c>
      <c r="J22" s="7" t="s">
        <v>608</v>
      </c>
      <c r="K22" s="7" t="s">
        <v>584</v>
      </c>
      <c r="L22" s="7" t="s">
        <v>115</v>
      </c>
      <c r="M22" s="7" t="s">
        <v>118</v>
      </c>
    </row>
    <row r="23" spans="1:13" x14ac:dyDescent="0.35">
      <c r="A23" s="7">
        <v>22</v>
      </c>
      <c r="B23" s="7" t="s">
        <v>619</v>
      </c>
      <c r="C23" s="7" t="s">
        <v>591</v>
      </c>
      <c r="D23" s="7">
        <v>0.55220000000000002</v>
      </c>
      <c r="E23" s="7" t="s">
        <v>596</v>
      </c>
      <c r="F23" s="7" t="s">
        <v>620</v>
      </c>
      <c r="G23" s="7">
        <v>0.69020000000000004</v>
      </c>
      <c r="H23" s="7">
        <v>0.8</v>
      </c>
      <c r="I23" s="7"/>
      <c r="J23" s="7" t="s">
        <v>583</v>
      </c>
      <c r="K23" s="7" t="s">
        <v>584</v>
      </c>
      <c r="L23" s="7" t="s">
        <v>621</v>
      </c>
      <c r="M23" s="7" t="s">
        <v>123</v>
      </c>
    </row>
    <row r="24" spans="1:13" x14ac:dyDescent="0.35">
      <c r="A24" s="7">
        <v>23</v>
      </c>
      <c r="B24" s="7" t="s">
        <v>578</v>
      </c>
      <c r="C24" s="7" t="s">
        <v>579</v>
      </c>
      <c r="D24" s="7">
        <v>0.42880000000000001</v>
      </c>
      <c r="E24" s="7" t="s">
        <v>599</v>
      </c>
      <c r="F24" s="7" t="s">
        <v>622</v>
      </c>
      <c r="G24" s="7">
        <v>0.47649999999999998</v>
      </c>
      <c r="H24" s="7">
        <v>0.9</v>
      </c>
      <c r="I24" s="7"/>
      <c r="J24" s="7" t="s">
        <v>583</v>
      </c>
      <c r="K24" s="7" t="s">
        <v>584</v>
      </c>
      <c r="L24" s="7" t="s">
        <v>125</v>
      </c>
      <c r="M24" s="7" t="s">
        <v>128</v>
      </c>
    </row>
    <row r="25" spans="1:13" x14ac:dyDescent="0.35">
      <c r="A25" s="7">
        <v>24</v>
      </c>
      <c r="B25" s="7" t="s">
        <v>594</v>
      </c>
      <c r="C25" s="7" t="s">
        <v>595</v>
      </c>
      <c r="D25" s="7">
        <v>0.2616</v>
      </c>
      <c r="E25" s="7" t="s">
        <v>602</v>
      </c>
      <c r="F25" s="7" t="s">
        <v>41</v>
      </c>
      <c r="G25" s="7">
        <v>0.37369999999999998</v>
      </c>
      <c r="H25" s="7">
        <v>0.7</v>
      </c>
      <c r="I25" s="7"/>
      <c r="J25" s="7" t="s">
        <v>583</v>
      </c>
      <c r="K25" s="7" t="s">
        <v>584</v>
      </c>
      <c r="L25" s="7" t="s">
        <v>94</v>
      </c>
      <c r="M25" s="7" t="s">
        <v>623</v>
      </c>
    </row>
    <row r="26" spans="1:13" x14ac:dyDescent="0.35">
      <c r="A26" s="7">
        <v>25</v>
      </c>
      <c r="B26" s="7" t="s">
        <v>598</v>
      </c>
      <c r="C26" s="7" t="s">
        <v>586</v>
      </c>
      <c r="D26" s="7">
        <v>0.6079</v>
      </c>
      <c r="E26" s="7" t="s">
        <v>599</v>
      </c>
      <c r="F26" s="7" t="s">
        <v>624</v>
      </c>
      <c r="G26" s="7">
        <v>0.6754</v>
      </c>
      <c r="H26" s="7">
        <v>0.9</v>
      </c>
      <c r="I26" s="7" t="s">
        <v>593</v>
      </c>
      <c r="J26" s="7" t="s">
        <v>583</v>
      </c>
      <c r="K26" s="7" t="s">
        <v>584</v>
      </c>
      <c r="L26" s="7" t="s">
        <v>134</v>
      </c>
      <c r="M26" s="7" t="s">
        <v>134</v>
      </c>
    </row>
    <row r="27" spans="1:13" x14ac:dyDescent="0.35">
      <c r="A27" s="7">
        <v>26</v>
      </c>
      <c r="B27" s="7" t="s">
        <v>594</v>
      </c>
      <c r="C27" s="7" t="s">
        <v>595</v>
      </c>
      <c r="D27" s="7">
        <v>0.33600000000000002</v>
      </c>
      <c r="E27" s="7" t="s">
        <v>602</v>
      </c>
      <c r="F27" s="7" t="s">
        <v>625</v>
      </c>
      <c r="G27" s="7">
        <v>0.48</v>
      </c>
      <c r="H27" s="7">
        <v>0.7</v>
      </c>
      <c r="I27" s="7"/>
      <c r="J27" s="7" t="s">
        <v>583</v>
      </c>
      <c r="K27" s="7" t="s">
        <v>584</v>
      </c>
      <c r="L27" s="7" t="s">
        <v>137</v>
      </c>
      <c r="M27" s="7" t="s">
        <v>140</v>
      </c>
    </row>
    <row r="28" spans="1:13" x14ac:dyDescent="0.35">
      <c r="A28" s="7">
        <v>27</v>
      </c>
      <c r="B28" s="7" t="s">
        <v>578</v>
      </c>
      <c r="C28" s="7" t="s">
        <v>579</v>
      </c>
      <c r="D28" s="7">
        <v>0.44640000000000002</v>
      </c>
      <c r="E28" s="7" t="s">
        <v>596</v>
      </c>
      <c r="F28" s="7" t="s">
        <v>626</v>
      </c>
      <c r="G28" s="7">
        <v>0.55800000000000005</v>
      </c>
      <c r="H28" s="7">
        <v>0.8</v>
      </c>
      <c r="I28" s="7" t="s">
        <v>588</v>
      </c>
      <c r="J28" s="7" t="s">
        <v>583</v>
      </c>
      <c r="K28" s="7" t="s">
        <v>584</v>
      </c>
      <c r="L28" s="7" t="s">
        <v>627</v>
      </c>
      <c r="M28" s="7" t="s">
        <v>55</v>
      </c>
    </row>
    <row r="29" spans="1:13" x14ac:dyDescent="0.35">
      <c r="A29" s="7">
        <v>28</v>
      </c>
      <c r="B29" s="7" t="s">
        <v>619</v>
      </c>
      <c r="C29" s="7" t="s">
        <v>586</v>
      </c>
      <c r="D29" s="7">
        <v>0.61850000000000005</v>
      </c>
      <c r="E29" s="7" t="s">
        <v>596</v>
      </c>
      <c r="F29" s="7" t="s">
        <v>628</v>
      </c>
      <c r="G29" s="7">
        <v>0.77310000000000001</v>
      </c>
      <c r="H29" s="7">
        <v>0.8</v>
      </c>
      <c r="I29" s="7" t="s">
        <v>588</v>
      </c>
      <c r="J29" s="7" t="s">
        <v>583</v>
      </c>
      <c r="K29" s="7" t="s">
        <v>584</v>
      </c>
      <c r="L29" s="7" t="s">
        <v>148</v>
      </c>
      <c r="M29" s="7" t="s">
        <v>151</v>
      </c>
    </row>
    <row r="30" spans="1:13" x14ac:dyDescent="0.35">
      <c r="A30" s="7">
        <v>29</v>
      </c>
      <c r="B30" s="7" t="s">
        <v>611</v>
      </c>
      <c r="C30" s="7" t="s">
        <v>591</v>
      </c>
      <c r="D30" s="7">
        <v>0.56520000000000004</v>
      </c>
      <c r="E30" s="7" t="s">
        <v>599</v>
      </c>
      <c r="F30" s="7" t="s">
        <v>629</v>
      </c>
      <c r="G30" s="7">
        <v>0.628</v>
      </c>
      <c r="H30" s="7">
        <v>0.9</v>
      </c>
      <c r="I30" s="7"/>
      <c r="J30" s="7" t="s">
        <v>583</v>
      </c>
      <c r="K30" s="7" t="s">
        <v>584</v>
      </c>
      <c r="L30" s="7" t="s">
        <v>154</v>
      </c>
      <c r="M30" s="7" t="s">
        <v>157</v>
      </c>
    </row>
    <row r="31" spans="1:13" x14ac:dyDescent="0.35">
      <c r="A31" s="7">
        <v>30</v>
      </c>
      <c r="B31" s="7" t="s">
        <v>590</v>
      </c>
      <c r="C31" s="7" t="s">
        <v>591</v>
      </c>
      <c r="D31" s="7">
        <v>0.52049999999999996</v>
      </c>
      <c r="E31" s="7" t="s">
        <v>580</v>
      </c>
      <c r="F31" s="7" t="s">
        <v>630</v>
      </c>
      <c r="G31" s="7">
        <v>0.52049999999999996</v>
      </c>
      <c r="H31" s="7">
        <v>1</v>
      </c>
      <c r="I31" s="7" t="s">
        <v>582</v>
      </c>
      <c r="J31" s="7" t="s">
        <v>608</v>
      </c>
      <c r="K31" s="7" t="s">
        <v>584</v>
      </c>
      <c r="L31" s="7" t="s">
        <v>631</v>
      </c>
      <c r="M31" s="7" t="s">
        <v>163</v>
      </c>
    </row>
    <row r="32" spans="1:13" x14ac:dyDescent="0.35">
      <c r="A32" s="7">
        <v>31</v>
      </c>
      <c r="B32" s="7" t="s">
        <v>594</v>
      </c>
      <c r="C32" s="7" t="s">
        <v>595</v>
      </c>
      <c r="D32" s="7">
        <v>0.2616</v>
      </c>
      <c r="E32" s="7" t="s">
        <v>602</v>
      </c>
      <c r="F32" s="7" t="s">
        <v>41</v>
      </c>
      <c r="G32" s="7">
        <v>0.37369999999999998</v>
      </c>
      <c r="H32" s="7">
        <v>0.7</v>
      </c>
      <c r="I32" s="7"/>
      <c r="J32" s="7" t="s">
        <v>583</v>
      </c>
      <c r="K32" s="7" t="s">
        <v>584</v>
      </c>
      <c r="L32" s="7" t="s">
        <v>41</v>
      </c>
      <c r="M32" s="7" t="s">
        <v>168</v>
      </c>
    </row>
    <row r="33" spans="1:13" x14ac:dyDescent="0.35">
      <c r="A33" s="7">
        <v>32</v>
      </c>
      <c r="B33" s="7" t="s">
        <v>578</v>
      </c>
      <c r="C33" s="7" t="s">
        <v>579</v>
      </c>
      <c r="D33" s="7">
        <v>0.48320000000000002</v>
      </c>
      <c r="E33" s="7" t="s">
        <v>602</v>
      </c>
      <c r="F33" s="7" t="s">
        <v>632</v>
      </c>
      <c r="G33" s="7">
        <v>0.69020000000000004</v>
      </c>
      <c r="H33" s="7">
        <v>0.7</v>
      </c>
      <c r="I33" s="7"/>
      <c r="J33" s="7" t="s">
        <v>583</v>
      </c>
      <c r="K33" s="7" t="s">
        <v>584</v>
      </c>
      <c r="L33" s="7" t="s">
        <v>171</v>
      </c>
      <c r="M33" s="7" t="s">
        <v>174</v>
      </c>
    </row>
    <row r="34" spans="1:13" x14ac:dyDescent="0.35">
      <c r="A34" s="7">
        <v>33</v>
      </c>
      <c r="B34" s="7" t="s">
        <v>611</v>
      </c>
      <c r="C34" s="7" t="s">
        <v>591</v>
      </c>
      <c r="D34" s="7">
        <v>0.56520000000000004</v>
      </c>
      <c r="E34" s="7" t="s">
        <v>599</v>
      </c>
      <c r="F34" s="7" t="s">
        <v>633</v>
      </c>
      <c r="G34" s="7">
        <v>0.628</v>
      </c>
      <c r="H34" s="7">
        <v>0.9</v>
      </c>
      <c r="I34" s="7"/>
      <c r="J34" s="7" t="s">
        <v>608</v>
      </c>
      <c r="K34" s="7" t="s">
        <v>584</v>
      </c>
      <c r="L34" s="7" t="s">
        <v>176</v>
      </c>
      <c r="M34" s="7" t="s">
        <v>179</v>
      </c>
    </row>
    <row r="35" spans="1:13" x14ac:dyDescent="0.35">
      <c r="A35" s="7">
        <v>34</v>
      </c>
      <c r="B35" s="7" t="s">
        <v>619</v>
      </c>
      <c r="C35" s="7" t="s">
        <v>591</v>
      </c>
      <c r="D35" s="7">
        <v>0.5403</v>
      </c>
      <c r="E35" s="7" t="s">
        <v>596</v>
      </c>
      <c r="F35" s="7" t="s">
        <v>185</v>
      </c>
      <c r="G35" s="7">
        <v>0.6754</v>
      </c>
      <c r="H35" s="7">
        <v>0.8</v>
      </c>
      <c r="I35" s="7" t="s">
        <v>582</v>
      </c>
      <c r="J35" s="7" t="s">
        <v>583</v>
      </c>
      <c r="K35" s="7" t="s">
        <v>584</v>
      </c>
      <c r="L35" s="7" t="s">
        <v>634</v>
      </c>
      <c r="M35" s="7" t="s">
        <v>185</v>
      </c>
    </row>
    <row r="36" spans="1:13" x14ac:dyDescent="0.35">
      <c r="A36" s="7">
        <v>35</v>
      </c>
      <c r="B36" s="7" t="s">
        <v>611</v>
      </c>
      <c r="C36" s="7" t="s">
        <v>591</v>
      </c>
      <c r="D36" s="7">
        <v>0.55640000000000001</v>
      </c>
      <c r="E36" s="7" t="s">
        <v>599</v>
      </c>
      <c r="F36" s="7" t="s">
        <v>635</v>
      </c>
      <c r="G36" s="7">
        <v>0.61819999999999997</v>
      </c>
      <c r="H36" s="7">
        <v>0.9</v>
      </c>
      <c r="I36" s="7"/>
      <c r="J36" s="7" t="s">
        <v>608</v>
      </c>
      <c r="K36" s="7" t="s">
        <v>584</v>
      </c>
      <c r="L36" s="7" t="s">
        <v>188</v>
      </c>
      <c r="M36" s="7" t="s">
        <v>191</v>
      </c>
    </row>
    <row r="37" spans="1:13" x14ac:dyDescent="0.35">
      <c r="A37" s="7">
        <v>36</v>
      </c>
      <c r="B37" s="7" t="s">
        <v>598</v>
      </c>
      <c r="C37" s="7" t="s">
        <v>586</v>
      </c>
      <c r="D37" s="7">
        <v>0.6079</v>
      </c>
      <c r="E37" s="7" t="s">
        <v>599</v>
      </c>
      <c r="F37" s="7" t="s">
        <v>636</v>
      </c>
      <c r="G37" s="7">
        <v>0.6754</v>
      </c>
      <c r="H37" s="7">
        <v>0.9</v>
      </c>
      <c r="I37" s="7"/>
      <c r="J37" s="7" t="s">
        <v>583</v>
      </c>
      <c r="K37" s="7" t="s">
        <v>584</v>
      </c>
      <c r="L37" s="7" t="s">
        <v>194</v>
      </c>
      <c r="M37" s="7" t="s">
        <v>197</v>
      </c>
    </row>
    <row r="38" spans="1:13" x14ac:dyDescent="0.35">
      <c r="A38" s="7">
        <v>37</v>
      </c>
      <c r="B38" s="7" t="s">
        <v>619</v>
      </c>
      <c r="C38" s="7" t="s">
        <v>586</v>
      </c>
      <c r="D38" s="7">
        <v>0.64370000000000005</v>
      </c>
      <c r="E38" s="7" t="s">
        <v>596</v>
      </c>
      <c r="F38" s="7" t="s">
        <v>637</v>
      </c>
      <c r="G38" s="7">
        <v>0.80459999999999998</v>
      </c>
      <c r="H38" s="7">
        <v>0.8</v>
      </c>
      <c r="I38" s="7" t="s">
        <v>582</v>
      </c>
      <c r="J38" s="7" t="s">
        <v>583</v>
      </c>
      <c r="K38" s="7" t="s">
        <v>584</v>
      </c>
      <c r="L38" s="7" t="s">
        <v>200</v>
      </c>
      <c r="M38" s="7" t="s">
        <v>203</v>
      </c>
    </row>
    <row r="39" spans="1:13" x14ac:dyDescent="0.35">
      <c r="A39" s="7">
        <v>38</v>
      </c>
      <c r="B39" s="7" t="s">
        <v>594</v>
      </c>
      <c r="C39" s="7" t="s">
        <v>595</v>
      </c>
      <c r="D39" s="7">
        <v>0.36109999999999998</v>
      </c>
      <c r="E39" s="7" t="s">
        <v>602</v>
      </c>
      <c r="F39" s="7" t="s">
        <v>638</v>
      </c>
      <c r="G39" s="7">
        <v>0.51590000000000003</v>
      </c>
      <c r="H39" s="7">
        <v>0.7</v>
      </c>
      <c r="I39" s="7"/>
      <c r="J39" s="7" t="s">
        <v>583</v>
      </c>
      <c r="K39" s="7" t="s">
        <v>584</v>
      </c>
      <c r="L39" s="7" t="s">
        <v>206</v>
      </c>
      <c r="M39" s="7" t="s">
        <v>209</v>
      </c>
    </row>
    <row r="40" spans="1:13" x14ac:dyDescent="0.35">
      <c r="A40" s="7">
        <v>39</v>
      </c>
      <c r="B40" s="7" t="s">
        <v>601</v>
      </c>
      <c r="C40" s="7" t="s">
        <v>591</v>
      </c>
      <c r="D40" s="7">
        <v>0.59160000000000001</v>
      </c>
      <c r="E40" s="7" t="s">
        <v>602</v>
      </c>
      <c r="F40" s="7" t="s">
        <v>639</v>
      </c>
      <c r="G40" s="7">
        <v>0.84509999999999996</v>
      </c>
      <c r="H40" s="7">
        <v>0.7</v>
      </c>
      <c r="I40" s="7"/>
      <c r="J40" s="7" t="s">
        <v>583</v>
      </c>
      <c r="K40" s="7" t="s">
        <v>584</v>
      </c>
      <c r="L40" s="7" t="s">
        <v>212</v>
      </c>
      <c r="M40" s="7" t="s">
        <v>215</v>
      </c>
    </row>
    <row r="41" spans="1:13" x14ac:dyDescent="0.35">
      <c r="A41" s="7">
        <v>40</v>
      </c>
      <c r="B41" s="7" t="s">
        <v>594</v>
      </c>
      <c r="C41" s="7" t="s">
        <v>595</v>
      </c>
      <c r="D41" s="7">
        <v>0.34100000000000003</v>
      </c>
      <c r="E41" s="7" t="s">
        <v>602</v>
      </c>
      <c r="F41" s="7" t="s">
        <v>218</v>
      </c>
      <c r="G41" s="7">
        <v>0.48720000000000002</v>
      </c>
      <c r="H41" s="7">
        <v>0.7</v>
      </c>
      <c r="I41" s="7"/>
      <c r="J41" s="7" t="s">
        <v>583</v>
      </c>
      <c r="K41" s="7" t="s">
        <v>584</v>
      </c>
      <c r="L41" s="7" t="s">
        <v>218</v>
      </c>
      <c r="M41" s="7" t="s">
        <v>221</v>
      </c>
    </row>
    <row r="42" spans="1:13" x14ac:dyDescent="0.35">
      <c r="A42" s="7">
        <v>41</v>
      </c>
      <c r="B42" s="7" t="s">
        <v>585</v>
      </c>
      <c r="C42" s="7" t="s">
        <v>586</v>
      </c>
      <c r="D42" s="7">
        <v>0.61819999999999997</v>
      </c>
      <c r="E42" s="7" t="s">
        <v>580</v>
      </c>
      <c r="F42" s="7" t="s">
        <v>618</v>
      </c>
      <c r="G42" s="7">
        <v>0.61819999999999997</v>
      </c>
      <c r="H42" s="7">
        <v>1</v>
      </c>
      <c r="I42" s="7" t="s">
        <v>593</v>
      </c>
      <c r="J42" s="7" t="s">
        <v>608</v>
      </c>
      <c r="K42" s="7" t="s">
        <v>584</v>
      </c>
      <c r="L42" s="7" t="s">
        <v>118</v>
      </c>
      <c r="M42" s="7" t="s">
        <v>226</v>
      </c>
    </row>
    <row r="43" spans="1:13" x14ac:dyDescent="0.35">
      <c r="A43" s="7">
        <v>42</v>
      </c>
      <c r="B43" s="7" t="s">
        <v>611</v>
      </c>
      <c r="C43" s="7" t="s">
        <v>591</v>
      </c>
      <c r="D43" s="7">
        <v>0.56520000000000004</v>
      </c>
      <c r="E43" s="7" t="s">
        <v>599</v>
      </c>
      <c r="F43" s="7" t="s">
        <v>629</v>
      </c>
      <c r="G43" s="7">
        <v>0.628</v>
      </c>
      <c r="H43" s="7">
        <v>0.9</v>
      </c>
      <c r="I43" s="7"/>
      <c r="J43" s="7" t="s">
        <v>583</v>
      </c>
      <c r="K43" s="7" t="s">
        <v>584</v>
      </c>
      <c r="L43" s="7" t="s">
        <v>229</v>
      </c>
      <c r="M43" s="7" t="s">
        <v>231</v>
      </c>
    </row>
    <row r="44" spans="1:13" x14ac:dyDescent="0.35">
      <c r="A44" s="7">
        <v>43</v>
      </c>
      <c r="B44" s="7" t="s">
        <v>601</v>
      </c>
      <c r="C44" s="7" t="s">
        <v>591</v>
      </c>
      <c r="D44" s="7">
        <v>0.5232</v>
      </c>
      <c r="E44" s="7" t="s">
        <v>602</v>
      </c>
      <c r="F44" s="7" t="s">
        <v>640</v>
      </c>
      <c r="G44" s="7">
        <v>0.74739999999999995</v>
      </c>
      <c r="H44" s="7">
        <v>0.7</v>
      </c>
      <c r="I44" s="7"/>
      <c r="J44" s="7" t="s">
        <v>583</v>
      </c>
      <c r="K44" s="7" t="s">
        <v>584</v>
      </c>
      <c r="L44" s="7" t="s">
        <v>234</v>
      </c>
      <c r="M44" s="7" t="s">
        <v>237</v>
      </c>
    </row>
    <row r="45" spans="1:13" x14ac:dyDescent="0.35">
      <c r="A45" s="7">
        <v>44</v>
      </c>
      <c r="B45" s="7" t="s">
        <v>611</v>
      </c>
      <c r="C45" s="7" t="s">
        <v>591</v>
      </c>
      <c r="D45" s="7">
        <v>0.55640000000000001</v>
      </c>
      <c r="E45" s="7" t="s">
        <v>599</v>
      </c>
      <c r="F45" s="7" t="s">
        <v>635</v>
      </c>
      <c r="G45" s="7">
        <v>0.61819999999999997</v>
      </c>
      <c r="H45" s="7">
        <v>0.9</v>
      </c>
      <c r="I45" s="7"/>
      <c r="J45" s="7" t="s">
        <v>608</v>
      </c>
      <c r="K45" s="7" t="s">
        <v>584</v>
      </c>
      <c r="L45" s="7" t="s">
        <v>188</v>
      </c>
      <c r="M45" s="7" t="s">
        <v>191</v>
      </c>
    </row>
    <row r="46" spans="1:13" x14ac:dyDescent="0.35">
      <c r="A46" s="7">
        <v>45</v>
      </c>
      <c r="B46" s="7" t="s">
        <v>611</v>
      </c>
      <c r="C46" s="7" t="s">
        <v>591</v>
      </c>
      <c r="D46" s="7">
        <v>0.54820000000000002</v>
      </c>
      <c r="E46" s="7" t="s">
        <v>599</v>
      </c>
      <c r="F46" s="7" t="s">
        <v>641</v>
      </c>
      <c r="G46" s="7">
        <v>0.60909999999999997</v>
      </c>
      <c r="H46" s="7">
        <v>0.9</v>
      </c>
      <c r="I46" s="7" t="s">
        <v>593</v>
      </c>
      <c r="J46" s="7" t="s">
        <v>608</v>
      </c>
      <c r="K46" s="7" t="s">
        <v>584</v>
      </c>
      <c r="L46" s="7" t="s">
        <v>15</v>
      </c>
      <c r="M46" s="7" t="s">
        <v>15</v>
      </c>
    </row>
    <row r="47" spans="1:13" x14ac:dyDescent="0.35">
      <c r="A47" s="7">
        <v>46</v>
      </c>
      <c r="B47" s="7" t="s">
        <v>594</v>
      </c>
      <c r="C47" s="7" t="s">
        <v>595</v>
      </c>
      <c r="D47" s="7">
        <v>0.36109999999999998</v>
      </c>
      <c r="E47" s="7" t="s">
        <v>602</v>
      </c>
      <c r="F47" s="7" t="s">
        <v>638</v>
      </c>
      <c r="G47" s="7">
        <v>0.51590000000000003</v>
      </c>
      <c r="H47" s="7">
        <v>0.7</v>
      </c>
      <c r="I47" s="7"/>
      <c r="J47" s="7" t="s">
        <v>583</v>
      </c>
      <c r="K47" s="7" t="s">
        <v>584</v>
      </c>
      <c r="L47" s="7" t="s">
        <v>642</v>
      </c>
      <c r="M47" s="7" t="s">
        <v>247</v>
      </c>
    </row>
    <row r="48" spans="1:13" x14ac:dyDescent="0.35">
      <c r="A48" s="7">
        <v>47</v>
      </c>
      <c r="B48" s="7" t="s">
        <v>590</v>
      </c>
      <c r="C48" s="7" t="s">
        <v>591</v>
      </c>
      <c r="D48" s="7">
        <v>0.54620000000000002</v>
      </c>
      <c r="E48" s="7" t="s">
        <v>580</v>
      </c>
      <c r="F48" s="7" t="s">
        <v>643</v>
      </c>
      <c r="G48" s="7">
        <v>0.54620000000000002</v>
      </c>
      <c r="H48" s="7">
        <v>1</v>
      </c>
      <c r="I48" s="7" t="s">
        <v>593</v>
      </c>
      <c r="J48" s="7" t="s">
        <v>583</v>
      </c>
      <c r="K48" s="7" t="s">
        <v>584</v>
      </c>
      <c r="L48" s="7" t="s">
        <v>250</v>
      </c>
      <c r="M48" s="7" t="s">
        <v>252</v>
      </c>
    </row>
    <row r="49" spans="1:13" x14ac:dyDescent="0.35">
      <c r="A49" s="7">
        <v>48</v>
      </c>
      <c r="B49" s="7" t="s">
        <v>590</v>
      </c>
      <c r="C49" s="7" t="s">
        <v>591</v>
      </c>
      <c r="D49" s="7">
        <v>0.56420000000000003</v>
      </c>
      <c r="E49" s="7" t="s">
        <v>580</v>
      </c>
      <c r="F49" s="7" t="s">
        <v>67</v>
      </c>
      <c r="G49" s="7">
        <v>0.56420000000000003</v>
      </c>
      <c r="H49" s="7">
        <v>1</v>
      </c>
      <c r="I49" s="7" t="s">
        <v>593</v>
      </c>
      <c r="J49" s="7" t="s">
        <v>608</v>
      </c>
      <c r="K49" s="7" t="s">
        <v>584</v>
      </c>
      <c r="L49" s="7" t="s">
        <v>67</v>
      </c>
      <c r="M49" s="7" t="s">
        <v>67</v>
      </c>
    </row>
    <row r="50" spans="1:13" x14ac:dyDescent="0.35">
      <c r="A50" s="7">
        <v>49</v>
      </c>
      <c r="B50" s="7" t="s">
        <v>619</v>
      </c>
      <c r="C50" s="7" t="s">
        <v>591</v>
      </c>
      <c r="D50" s="7">
        <v>0.58050000000000002</v>
      </c>
      <c r="E50" s="7" t="s">
        <v>596</v>
      </c>
      <c r="F50" s="7" t="s">
        <v>259</v>
      </c>
      <c r="G50" s="7">
        <v>0.72570000000000001</v>
      </c>
      <c r="H50" s="7">
        <v>0.8</v>
      </c>
      <c r="I50" s="7" t="s">
        <v>588</v>
      </c>
      <c r="J50" s="7" t="s">
        <v>583</v>
      </c>
      <c r="K50" s="7" t="s">
        <v>584</v>
      </c>
      <c r="L50" s="7" t="s">
        <v>259</v>
      </c>
      <c r="M50" s="7" t="s">
        <v>644</v>
      </c>
    </row>
    <row r="51" spans="1:13" x14ac:dyDescent="0.35">
      <c r="A51" s="7">
        <v>50</v>
      </c>
      <c r="B51" s="7" t="s">
        <v>594</v>
      </c>
      <c r="C51" s="7" t="s">
        <v>595</v>
      </c>
      <c r="D51" s="7">
        <v>0.31159999999999999</v>
      </c>
      <c r="E51" s="7" t="s">
        <v>596</v>
      </c>
      <c r="F51" s="7" t="s">
        <v>645</v>
      </c>
      <c r="G51" s="7">
        <v>0.38950000000000001</v>
      </c>
      <c r="H51" s="7">
        <v>0.8</v>
      </c>
      <c r="I51" s="7" t="s">
        <v>588</v>
      </c>
      <c r="J51" s="7" t="s">
        <v>583</v>
      </c>
      <c r="K51" s="7" t="s">
        <v>584</v>
      </c>
      <c r="L51" s="7" t="s">
        <v>264</v>
      </c>
      <c r="M51" s="7" t="s">
        <v>15</v>
      </c>
    </row>
    <row r="52" spans="1:13" x14ac:dyDescent="0.35">
      <c r="A52" s="7">
        <v>51</v>
      </c>
      <c r="B52" s="7" t="s">
        <v>611</v>
      </c>
      <c r="C52" s="7" t="s">
        <v>591</v>
      </c>
      <c r="D52" s="7">
        <v>0.5847</v>
      </c>
      <c r="E52" s="7" t="s">
        <v>599</v>
      </c>
      <c r="F52" s="7" t="s">
        <v>646</v>
      </c>
      <c r="G52" s="7">
        <v>0.64970000000000006</v>
      </c>
      <c r="H52" s="7">
        <v>0.9</v>
      </c>
      <c r="I52" s="7"/>
      <c r="J52" s="7" t="s">
        <v>583</v>
      </c>
      <c r="K52" s="7" t="s">
        <v>584</v>
      </c>
      <c r="L52" s="7" t="s">
        <v>267</v>
      </c>
      <c r="M52" s="7" t="s">
        <v>604</v>
      </c>
    </row>
    <row r="53" spans="1:13" x14ac:dyDescent="0.35">
      <c r="A53" s="7">
        <v>52</v>
      </c>
      <c r="B53" s="7" t="s">
        <v>578</v>
      </c>
      <c r="C53" s="7" t="s">
        <v>579</v>
      </c>
      <c r="D53" s="7">
        <v>0.42880000000000001</v>
      </c>
      <c r="E53" s="7" t="s">
        <v>599</v>
      </c>
      <c r="F53" s="7" t="s">
        <v>622</v>
      </c>
      <c r="G53" s="7">
        <v>0.47649999999999998</v>
      </c>
      <c r="H53" s="7">
        <v>0.9</v>
      </c>
      <c r="I53" s="7"/>
      <c r="J53" s="7" t="s">
        <v>583</v>
      </c>
      <c r="K53" s="7" t="s">
        <v>584</v>
      </c>
      <c r="L53" s="7" t="s">
        <v>270</v>
      </c>
      <c r="M53" s="7" t="s">
        <v>273</v>
      </c>
    </row>
    <row r="54" spans="1:13" x14ac:dyDescent="0.35">
      <c r="A54" s="7">
        <v>53</v>
      </c>
      <c r="B54" s="7" t="s">
        <v>590</v>
      </c>
      <c r="C54" s="7" t="s">
        <v>591</v>
      </c>
      <c r="D54" s="7">
        <v>0.59250000000000003</v>
      </c>
      <c r="E54" s="7" t="s">
        <v>580</v>
      </c>
      <c r="F54" s="7" t="s">
        <v>647</v>
      </c>
      <c r="G54" s="7">
        <v>0.59250000000000003</v>
      </c>
      <c r="H54" s="7">
        <v>1</v>
      </c>
      <c r="I54" s="7" t="s">
        <v>593</v>
      </c>
      <c r="J54" s="7" t="s">
        <v>608</v>
      </c>
      <c r="K54" s="7" t="s">
        <v>584</v>
      </c>
      <c r="L54" s="7" t="s">
        <v>279</v>
      </c>
      <c r="M54" s="7" t="s">
        <v>279</v>
      </c>
    </row>
    <row r="55" spans="1:13" x14ac:dyDescent="0.35">
      <c r="A55" s="7">
        <v>54</v>
      </c>
      <c r="B55" s="7" t="s">
        <v>594</v>
      </c>
      <c r="C55" s="7" t="s">
        <v>595</v>
      </c>
      <c r="D55" s="7">
        <v>0.38400000000000001</v>
      </c>
      <c r="E55" s="7" t="s">
        <v>596</v>
      </c>
      <c r="F55" s="7" t="s">
        <v>625</v>
      </c>
      <c r="G55" s="7">
        <v>0.48</v>
      </c>
      <c r="H55" s="7">
        <v>0.8</v>
      </c>
      <c r="I55" s="7"/>
      <c r="J55" s="7" t="s">
        <v>583</v>
      </c>
      <c r="K55" s="7" t="s">
        <v>584</v>
      </c>
      <c r="L55" s="7" t="s">
        <v>648</v>
      </c>
      <c r="M55" s="7" t="s">
        <v>284</v>
      </c>
    </row>
    <row r="56" spans="1:13" x14ac:dyDescent="0.35">
      <c r="A56" s="7">
        <v>55</v>
      </c>
      <c r="B56" s="7" t="s">
        <v>594</v>
      </c>
      <c r="C56" s="7" t="s">
        <v>595</v>
      </c>
      <c r="D56" s="7">
        <v>0.34599999999999997</v>
      </c>
      <c r="E56" s="7" t="s">
        <v>596</v>
      </c>
      <c r="F56" s="7" t="s">
        <v>597</v>
      </c>
      <c r="G56" s="7">
        <v>0.4325</v>
      </c>
      <c r="H56" s="7">
        <v>0.8</v>
      </c>
      <c r="I56" s="7" t="s">
        <v>582</v>
      </c>
      <c r="J56" s="7" t="s">
        <v>583</v>
      </c>
      <c r="K56" s="7" t="s">
        <v>584</v>
      </c>
      <c r="L56" s="7" t="s">
        <v>286</v>
      </c>
      <c r="M56" s="7" t="s">
        <v>288</v>
      </c>
    </row>
    <row r="57" spans="1:13" x14ac:dyDescent="0.35">
      <c r="A57" s="7">
        <v>56</v>
      </c>
      <c r="B57" s="7" t="s">
        <v>598</v>
      </c>
      <c r="C57" s="7" t="s">
        <v>586</v>
      </c>
      <c r="D57" s="7">
        <v>0.65310000000000001</v>
      </c>
      <c r="E57" s="7" t="s">
        <v>599</v>
      </c>
      <c r="F57" s="7" t="s">
        <v>649</v>
      </c>
      <c r="G57" s="7">
        <v>0.72570000000000001</v>
      </c>
      <c r="H57" s="7">
        <v>0.9</v>
      </c>
      <c r="I57" s="7"/>
      <c r="J57" s="7" t="s">
        <v>583</v>
      </c>
      <c r="K57" s="7" t="s">
        <v>584</v>
      </c>
      <c r="L57" s="7" t="s">
        <v>290</v>
      </c>
      <c r="M57" s="7" t="s">
        <v>292</v>
      </c>
    </row>
    <row r="58" spans="1:13" x14ac:dyDescent="0.35">
      <c r="A58" s="7">
        <v>57</v>
      </c>
      <c r="B58" s="7" t="s">
        <v>598</v>
      </c>
      <c r="C58" s="7" t="s">
        <v>586</v>
      </c>
      <c r="D58" s="7">
        <v>0.62119999999999997</v>
      </c>
      <c r="E58" s="7" t="s">
        <v>599</v>
      </c>
      <c r="F58" s="7" t="s">
        <v>650</v>
      </c>
      <c r="G58" s="7">
        <v>0.69020000000000004</v>
      </c>
      <c r="H58" s="7">
        <v>0.9</v>
      </c>
      <c r="I58" s="7" t="s">
        <v>593</v>
      </c>
      <c r="J58" s="7" t="s">
        <v>583</v>
      </c>
      <c r="K58" s="7" t="s">
        <v>584</v>
      </c>
      <c r="L58" s="7" t="s">
        <v>295</v>
      </c>
      <c r="M58" s="7" t="s">
        <v>295</v>
      </c>
    </row>
    <row r="59" spans="1:13" x14ac:dyDescent="0.35">
      <c r="A59" s="7">
        <v>58</v>
      </c>
      <c r="B59" s="7" t="s">
        <v>578</v>
      </c>
      <c r="C59" s="7" t="s">
        <v>579</v>
      </c>
      <c r="D59" s="7">
        <v>0.46429999999999999</v>
      </c>
      <c r="E59" s="7" t="s">
        <v>599</v>
      </c>
      <c r="F59" s="7" t="s">
        <v>651</v>
      </c>
      <c r="G59" s="7">
        <v>0.51590000000000003</v>
      </c>
      <c r="H59" s="7">
        <v>0.9</v>
      </c>
      <c r="I59" s="7"/>
      <c r="J59" s="7" t="s">
        <v>583</v>
      </c>
      <c r="K59" s="7" t="s">
        <v>584</v>
      </c>
      <c r="L59" s="7" t="s">
        <v>67</v>
      </c>
      <c r="M59" s="7" t="s">
        <v>300</v>
      </c>
    </row>
    <row r="60" spans="1:13" x14ac:dyDescent="0.35">
      <c r="A60" s="7">
        <v>59</v>
      </c>
      <c r="B60" s="7" t="s">
        <v>590</v>
      </c>
      <c r="C60" s="7" t="s">
        <v>591</v>
      </c>
      <c r="D60" s="7">
        <v>0.56420000000000003</v>
      </c>
      <c r="E60" s="7" t="s">
        <v>580</v>
      </c>
      <c r="F60" s="7" t="s">
        <v>67</v>
      </c>
      <c r="G60" s="7">
        <v>0.56420000000000003</v>
      </c>
      <c r="H60" s="7">
        <v>1</v>
      </c>
      <c r="I60" s="7" t="s">
        <v>593</v>
      </c>
      <c r="J60" s="7" t="s">
        <v>608</v>
      </c>
      <c r="K60" s="7" t="s">
        <v>584</v>
      </c>
      <c r="L60" s="7" t="s">
        <v>67</v>
      </c>
      <c r="M60" s="7" t="s">
        <v>67</v>
      </c>
    </row>
    <row r="61" spans="1:13" x14ac:dyDescent="0.35">
      <c r="A61" s="7">
        <v>60</v>
      </c>
      <c r="B61" s="7" t="s">
        <v>590</v>
      </c>
      <c r="C61" s="7" t="s">
        <v>591</v>
      </c>
      <c r="D61" s="7">
        <v>0.52049999999999996</v>
      </c>
      <c r="E61" s="7" t="s">
        <v>580</v>
      </c>
      <c r="F61" s="7" t="s">
        <v>630</v>
      </c>
      <c r="G61" s="7">
        <v>0.52049999999999996</v>
      </c>
      <c r="H61" s="7">
        <v>1</v>
      </c>
      <c r="I61" s="7" t="s">
        <v>582</v>
      </c>
      <c r="J61" s="7" t="s">
        <v>608</v>
      </c>
      <c r="K61" s="7" t="s">
        <v>584</v>
      </c>
      <c r="L61" s="7" t="s">
        <v>305</v>
      </c>
      <c r="M61" s="7" t="s">
        <v>307</v>
      </c>
    </row>
    <row r="62" spans="1:13" x14ac:dyDescent="0.35">
      <c r="A62" s="7">
        <v>61</v>
      </c>
      <c r="B62" s="7" t="s">
        <v>611</v>
      </c>
      <c r="C62" s="7" t="s">
        <v>591</v>
      </c>
      <c r="D62" s="7">
        <v>0.5958</v>
      </c>
      <c r="E62" s="7" t="s">
        <v>599</v>
      </c>
      <c r="F62" s="7" t="s">
        <v>652</v>
      </c>
      <c r="G62" s="7">
        <v>0.66200000000000003</v>
      </c>
      <c r="H62" s="7">
        <v>0.9</v>
      </c>
      <c r="I62" s="7" t="s">
        <v>593</v>
      </c>
      <c r="J62" s="7" t="s">
        <v>583</v>
      </c>
      <c r="K62" s="7" t="s">
        <v>584</v>
      </c>
      <c r="L62" s="7" t="s">
        <v>29</v>
      </c>
      <c r="M62" s="7" t="s">
        <v>312</v>
      </c>
    </row>
    <row r="63" spans="1:13" x14ac:dyDescent="0.35">
      <c r="A63" s="7">
        <v>62</v>
      </c>
      <c r="B63" s="7" t="s">
        <v>598</v>
      </c>
      <c r="C63" s="7" t="s">
        <v>586</v>
      </c>
      <c r="D63" s="7">
        <v>0.6079</v>
      </c>
      <c r="E63" s="7" t="s">
        <v>599</v>
      </c>
      <c r="F63" s="7" t="s">
        <v>653</v>
      </c>
      <c r="G63" s="7">
        <v>0.6754</v>
      </c>
      <c r="H63" s="7">
        <v>0.9</v>
      </c>
      <c r="I63" s="7" t="s">
        <v>593</v>
      </c>
      <c r="J63" s="7" t="s">
        <v>583</v>
      </c>
      <c r="K63" s="7" t="s">
        <v>584</v>
      </c>
      <c r="L63" s="7" t="s">
        <v>315</v>
      </c>
      <c r="M63" s="7" t="s">
        <v>315</v>
      </c>
    </row>
    <row r="64" spans="1:13" x14ac:dyDescent="0.35">
      <c r="A64" s="7">
        <v>63</v>
      </c>
      <c r="B64" s="7" t="s">
        <v>585</v>
      </c>
      <c r="C64" s="7" t="s">
        <v>586</v>
      </c>
      <c r="D64" s="7">
        <v>0.74739999999999995</v>
      </c>
      <c r="E64" s="7" t="s">
        <v>580</v>
      </c>
      <c r="F64" s="7" t="s">
        <v>654</v>
      </c>
      <c r="G64" s="7">
        <v>0.74739999999999995</v>
      </c>
      <c r="H64" s="7">
        <v>1</v>
      </c>
      <c r="I64" s="7" t="s">
        <v>588</v>
      </c>
      <c r="J64" s="7" t="s">
        <v>583</v>
      </c>
      <c r="K64" s="7" t="s">
        <v>584</v>
      </c>
      <c r="L64" s="7" t="s">
        <v>655</v>
      </c>
      <c r="M64" s="7" t="s">
        <v>322</v>
      </c>
    </row>
    <row r="65" spans="1:13" x14ac:dyDescent="0.35">
      <c r="A65" s="7">
        <v>64</v>
      </c>
      <c r="B65" s="7" t="s">
        <v>590</v>
      </c>
      <c r="C65" s="7" t="s">
        <v>591</v>
      </c>
      <c r="D65" s="7">
        <v>0.55200000000000005</v>
      </c>
      <c r="E65" s="7" t="s">
        <v>580</v>
      </c>
      <c r="F65" s="7" t="s">
        <v>656</v>
      </c>
      <c r="G65" s="7">
        <v>0.55200000000000005</v>
      </c>
      <c r="H65" s="7">
        <v>1</v>
      </c>
      <c r="I65" s="7" t="s">
        <v>593</v>
      </c>
      <c r="J65" s="7" t="s">
        <v>608</v>
      </c>
      <c r="K65" s="7" t="s">
        <v>584</v>
      </c>
      <c r="L65" s="7" t="s">
        <v>324</v>
      </c>
      <c r="M65" s="7" t="s">
        <v>324</v>
      </c>
    </row>
    <row r="66" spans="1:13" x14ac:dyDescent="0.35">
      <c r="A66" s="7">
        <v>65</v>
      </c>
      <c r="B66" s="7" t="s">
        <v>611</v>
      </c>
      <c r="C66" s="7" t="s">
        <v>591</v>
      </c>
      <c r="D66" s="7">
        <v>0.54820000000000002</v>
      </c>
      <c r="E66" s="7" t="s">
        <v>599</v>
      </c>
      <c r="F66" s="7" t="s">
        <v>612</v>
      </c>
      <c r="G66" s="7">
        <v>0.60909999999999997</v>
      </c>
      <c r="H66" s="7">
        <v>0.9</v>
      </c>
      <c r="I66" s="7" t="s">
        <v>593</v>
      </c>
      <c r="J66" s="7" t="s">
        <v>608</v>
      </c>
      <c r="K66" s="7" t="s">
        <v>584</v>
      </c>
      <c r="L66" s="7" t="s">
        <v>307</v>
      </c>
      <c r="M66" s="7" t="s">
        <v>330</v>
      </c>
    </row>
    <row r="67" spans="1:13" x14ac:dyDescent="0.35">
      <c r="A67" s="7">
        <v>66</v>
      </c>
      <c r="B67" s="7" t="s">
        <v>578</v>
      </c>
      <c r="C67" s="7" t="s">
        <v>579</v>
      </c>
      <c r="D67" s="7">
        <v>0.40310000000000001</v>
      </c>
      <c r="E67" s="7" t="s">
        <v>580</v>
      </c>
      <c r="F67" s="7" t="s">
        <v>581</v>
      </c>
      <c r="G67" s="7">
        <v>0.40310000000000001</v>
      </c>
      <c r="H67" s="7">
        <v>1</v>
      </c>
      <c r="I67" s="7" t="s">
        <v>593</v>
      </c>
      <c r="J67" s="7" t="s">
        <v>583</v>
      </c>
      <c r="K67" s="7" t="s">
        <v>584</v>
      </c>
      <c r="L67" s="7" t="s">
        <v>332</v>
      </c>
      <c r="M67" s="7" t="s">
        <v>335</v>
      </c>
    </row>
    <row r="68" spans="1:13" x14ac:dyDescent="0.35">
      <c r="A68" s="7">
        <v>67</v>
      </c>
      <c r="B68" s="7" t="s">
        <v>594</v>
      </c>
      <c r="C68" s="7" t="s">
        <v>595</v>
      </c>
      <c r="D68" s="7">
        <v>0.38400000000000001</v>
      </c>
      <c r="E68" s="7" t="s">
        <v>596</v>
      </c>
      <c r="F68" s="7" t="s">
        <v>625</v>
      </c>
      <c r="G68" s="7">
        <v>0.48</v>
      </c>
      <c r="H68" s="7">
        <v>0.8</v>
      </c>
      <c r="I68" s="7" t="s">
        <v>582</v>
      </c>
      <c r="J68" s="7" t="s">
        <v>583</v>
      </c>
      <c r="K68" s="7" t="s">
        <v>584</v>
      </c>
      <c r="L68" s="7" t="s">
        <v>284</v>
      </c>
      <c r="M68" s="7" t="s">
        <v>137</v>
      </c>
    </row>
    <row r="69" spans="1:13" x14ac:dyDescent="0.35">
      <c r="A69" s="7">
        <v>68</v>
      </c>
      <c r="B69" s="7" t="s">
        <v>585</v>
      </c>
      <c r="C69" s="7" t="s">
        <v>586</v>
      </c>
      <c r="D69" s="7">
        <v>0.60909999999999997</v>
      </c>
      <c r="E69" s="7" t="s">
        <v>580</v>
      </c>
      <c r="F69" s="7" t="s">
        <v>343</v>
      </c>
      <c r="G69" s="7">
        <v>0.60909999999999997</v>
      </c>
      <c r="H69" s="7">
        <v>1</v>
      </c>
      <c r="I69" s="7" t="s">
        <v>582</v>
      </c>
      <c r="J69" s="7" t="s">
        <v>583</v>
      </c>
      <c r="K69" s="7" t="s">
        <v>584</v>
      </c>
      <c r="L69" s="7" t="s">
        <v>340</v>
      </c>
      <c r="M69" s="7" t="s">
        <v>343</v>
      </c>
    </row>
    <row r="70" spans="1:13" x14ac:dyDescent="0.35">
      <c r="A70" s="7">
        <v>69</v>
      </c>
      <c r="B70" s="7" t="s">
        <v>590</v>
      </c>
      <c r="C70" s="7" t="s">
        <v>591</v>
      </c>
      <c r="D70" s="7">
        <v>0.52049999999999996</v>
      </c>
      <c r="E70" s="7" t="s">
        <v>580</v>
      </c>
      <c r="F70" s="7" t="s">
        <v>657</v>
      </c>
      <c r="G70" s="7">
        <v>0.52049999999999996</v>
      </c>
      <c r="H70" s="7">
        <v>1</v>
      </c>
      <c r="I70" s="7" t="s">
        <v>582</v>
      </c>
      <c r="J70" s="7" t="s">
        <v>608</v>
      </c>
      <c r="K70" s="7" t="s">
        <v>584</v>
      </c>
      <c r="L70" s="7" t="s">
        <v>345</v>
      </c>
      <c r="M70" s="7" t="s">
        <v>55</v>
      </c>
    </row>
    <row r="71" spans="1:13" x14ac:dyDescent="0.35">
      <c r="A71" s="7">
        <v>70</v>
      </c>
      <c r="B71" s="7" t="s">
        <v>594</v>
      </c>
      <c r="C71" s="7" t="s">
        <v>595</v>
      </c>
      <c r="D71" s="7">
        <v>0.30280000000000001</v>
      </c>
      <c r="E71" s="7" t="s">
        <v>602</v>
      </c>
      <c r="F71" s="7" t="s">
        <v>613</v>
      </c>
      <c r="G71" s="7">
        <v>0.4325</v>
      </c>
      <c r="H71" s="7">
        <v>0.7</v>
      </c>
      <c r="I71" s="7"/>
      <c r="J71" s="7" t="s">
        <v>583</v>
      </c>
      <c r="K71" s="7" t="s">
        <v>584</v>
      </c>
      <c r="L71" s="7" t="s">
        <v>350</v>
      </c>
      <c r="M71" s="7" t="s">
        <v>97</v>
      </c>
    </row>
    <row r="72" spans="1:13" x14ac:dyDescent="0.35">
      <c r="A72" s="7">
        <v>71</v>
      </c>
      <c r="B72" s="7" t="s">
        <v>594</v>
      </c>
      <c r="C72" s="7" t="s">
        <v>595</v>
      </c>
      <c r="D72" s="7">
        <v>0.37369999999999998</v>
      </c>
      <c r="E72" s="7" t="s">
        <v>580</v>
      </c>
      <c r="F72" s="7" t="s">
        <v>41</v>
      </c>
      <c r="G72" s="7">
        <v>0.37369999999999998</v>
      </c>
      <c r="H72" s="7">
        <v>1</v>
      </c>
      <c r="I72" s="7" t="s">
        <v>593</v>
      </c>
      <c r="J72" s="7" t="s">
        <v>583</v>
      </c>
      <c r="K72" s="7" t="s">
        <v>584</v>
      </c>
      <c r="L72" s="7" t="s">
        <v>658</v>
      </c>
      <c r="M72" s="7" t="s">
        <v>41</v>
      </c>
    </row>
    <row r="73" spans="1:13" x14ac:dyDescent="0.35">
      <c r="A73" s="7">
        <v>72</v>
      </c>
      <c r="B73" s="7" t="s">
        <v>611</v>
      </c>
      <c r="C73" s="7" t="s">
        <v>591</v>
      </c>
      <c r="D73" s="7">
        <v>0.56520000000000004</v>
      </c>
      <c r="E73" s="7" t="s">
        <v>599</v>
      </c>
      <c r="F73" s="7" t="s">
        <v>633</v>
      </c>
      <c r="G73" s="7">
        <v>0.628</v>
      </c>
      <c r="H73" s="7">
        <v>0.9</v>
      </c>
      <c r="I73" s="7"/>
      <c r="J73" s="7" t="s">
        <v>608</v>
      </c>
      <c r="K73" s="7" t="s">
        <v>584</v>
      </c>
      <c r="L73" s="7" t="s">
        <v>659</v>
      </c>
      <c r="M73" s="7" t="s">
        <v>360</v>
      </c>
    </row>
    <row r="74" spans="1:13" x14ac:dyDescent="0.35">
      <c r="A74" s="7">
        <v>73</v>
      </c>
      <c r="B74" s="7" t="s">
        <v>611</v>
      </c>
      <c r="C74" s="7" t="s">
        <v>591</v>
      </c>
      <c r="D74" s="7">
        <v>0.50780000000000003</v>
      </c>
      <c r="E74" s="7" t="s">
        <v>599</v>
      </c>
      <c r="F74" s="7" t="s">
        <v>660</v>
      </c>
      <c r="G74" s="7">
        <v>0.56420000000000003</v>
      </c>
      <c r="H74" s="7">
        <v>0.9</v>
      </c>
      <c r="I74" s="7" t="s">
        <v>588</v>
      </c>
      <c r="J74" s="7" t="s">
        <v>608</v>
      </c>
      <c r="K74" s="7" t="s">
        <v>584</v>
      </c>
      <c r="L74" s="7" t="s">
        <v>362</v>
      </c>
      <c r="M74" s="7" t="s">
        <v>365</v>
      </c>
    </row>
    <row r="75" spans="1:13" x14ac:dyDescent="0.35">
      <c r="A75" s="7">
        <v>74</v>
      </c>
      <c r="B75" s="7" t="s">
        <v>598</v>
      </c>
      <c r="C75" s="7" t="s">
        <v>586</v>
      </c>
      <c r="D75" s="7">
        <v>0.62119999999999997</v>
      </c>
      <c r="E75" s="7" t="s">
        <v>599</v>
      </c>
      <c r="F75" s="7" t="s">
        <v>661</v>
      </c>
      <c r="G75" s="7">
        <v>0.69020000000000004</v>
      </c>
      <c r="H75" s="7">
        <v>0.9</v>
      </c>
      <c r="I75" s="7" t="s">
        <v>593</v>
      </c>
      <c r="J75" s="7" t="s">
        <v>583</v>
      </c>
      <c r="K75" s="7" t="s">
        <v>584</v>
      </c>
      <c r="L75" s="7" t="s">
        <v>368</v>
      </c>
      <c r="M75" s="7" t="s">
        <v>371</v>
      </c>
    </row>
    <row r="76" spans="1:13" x14ac:dyDescent="0.35">
      <c r="A76" s="7">
        <v>75</v>
      </c>
      <c r="B76" s="7" t="s">
        <v>611</v>
      </c>
      <c r="C76" s="7" t="s">
        <v>591</v>
      </c>
      <c r="D76" s="7">
        <v>0.56520000000000004</v>
      </c>
      <c r="E76" s="7" t="s">
        <v>599</v>
      </c>
      <c r="F76" s="7" t="s">
        <v>633</v>
      </c>
      <c r="G76" s="7">
        <v>0.628</v>
      </c>
      <c r="H76" s="7">
        <v>0.9</v>
      </c>
      <c r="I76" s="7"/>
      <c r="J76" s="7" t="s">
        <v>608</v>
      </c>
      <c r="K76" s="7" t="s">
        <v>584</v>
      </c>
      <c r="L76" s="7" t="s">
        <v>179</v>
      </c>
      <c r="M76" s="7" t="s">
        <v>375</v>
      </c>
    </row>
    <row r="77" spans="1:13" x14ac:dyDescent="0.35">
      <c r="A77" s="7">
        <v>76</v>
      </c>
      <c r="B77" s="7" t="s">
        <v>585</v>
      </c>
      <c r="C77" s="7" t="s">
        <v>586</v>
      </c>
      <c r="D77" s="7">
        <v>0.70679999999999998</v>
      </c>
      <c r="E77" s="7" t="s">
        <v>580</v>
      </c>
      <c r="F77" s="7" t="s">
        <v>662</v>
      </c>
      <c r="G77" s="7">
        <v>0.70679999999999998</v>
      </c>
      <c r="H77" s="7">
        <v>1</v>
      </c>
      <c r="I77" s="7"/>
      <c r="J77" s="7" t="s">
        <v>583</v>
      </c>
      <c r="K77" s="7" t="s">
        <v>584</v>
      </c>
      <c r="L77" s="7" t="s">
        <v>112</v>
      </c>
      <c r="M77" s="7" t="s">
        <v>378</v>
      </c>
    </row>
    <row r="78" spans="1:13" x14ac:dyDescent="0.35">
      <c r="A78" s="7">
        <v>77</v>
      </c>
      <c r="B78" s="7" t="s">
        <v>601</v>
      </c>
      <c r="C78" s="7" t="s">
        <v>591</v>
      </c>
      <c r="D78" s="7">
        <v>0.50800000000000001</v>
      </c>
      <c r="E78" s="7" t="s">
        <v>602</v>
      </c>
      <c r="F78" s="7" t="s">
        <v>663</v>
      </c>
      <c r="G78" s="7">
        <v>0.72570000000000001</v>
      </c>
      <c r="H78" s="7">
        <v>0.7</v>
      </c>
      <c r="I78" s="7"/>
      <c r="J78" s="7" t="s">
        <v>583</v>
      </c>
      <c r="K78" s="7" t="s">
        <v>584</v>
      </c>
      <c r="L78" s="7" t="s">
        <v>381</v>
      </c>
      <c r="M78" s="7" t="s">
        <v>383</v>
      </c>
    </row>
    <row r="79" spans="1:13" x14ac:dyDescent="0.35">
      <c r="A79" s="7">
        <v>78</v>
      </c>
      <c r="B79" s="7" t="s">
        <v>594</v>
      </c>
      <c r="C79" s="7" t="s">
        <v>595</v>
      </c>
      <c r="D79" s="7">
        <v>0.32429999999999998</v>
      </c>
      <c r="E79" s="7" t="s">
        <v>602</v>
      </c>
      <c r="F79" s="7" t="s">
        <v>664</v>
      </c>
      <c r="G79" s="7">
        <v>0.46339999999999998</v>
      </c>
      <c r="H79" s="7">
        <v>0.7</v>
      </c>
      <c r="I79" s="7"/>
      <c r="J79" s="7" t="s">
        <v>583</v>
      </c>
      <c r="K79" s="7" t="s">
        <v>584</v>
      </c>
      <c r="L79" s="7" t="s">
        <v>29</v>
      </c>
      <c r="M79" s="7" t="s">
        <v>665</v>
      </c>
    </row>
    <row r="80" spans="1:13" x14ac:dyDescent="0.35">
      <c r="A80" s="7">
        <v>79</v>
      </c>
      <c r="B80" s="7" t="s">
        <v>611</v>
      </c>
      <c r="C80" s="7" t="s">
        <v>591</v>
      </c>
      <c r="D80" s="7">
        <v>0.5847</v>
      </c>
      <c r="E80" s="7" t="s">
        <v>599</v>
      </c>
      <c r="F80" s="7" t="s">
        <v>646</v>
      </c>
      <c r="G80" s="7">
        <v>0.64970000000000006</v>
      </c>
      <c r="H80" s="7">
        <v>0.9</v>
      </c>
      <c r="I80" s="7"/>
      <c r="J80" s="7" t="s">
        <v>583</v>
      </c>
      <c r="K80" s="7" t="s">
        <v>584</v>
      </c>
      <c r="L80" s="7" t="s">
        <v>267</v>
      </c>
      <c r="M80" s="7" t="s">
        <v>390</v>
      </c>
    </row>
    <row r="81" spans="1:13" x14ac:dyDescent="0.35">
      <c r="A81" s="7">
        <v>80</v>
      </c>
      <c r="B81" s="7" t="s">
        <v>578</v>
      </c>
      <c r="C81" s="7" t="s">
        <v>579</v>
      </c>
      <c r="D81" s="7">
        <v>0.42880000000000001</v>
      </c>
      <c r="E81" s="7" t="s">
        <v>599</v>
      </c>
      <c r="F81" s="7" t="s">
        <v>622</v>
      </c>
      <c r="G81" s="7">
        <v>0.47649999999999998</v>
      </c>
      <c r="H81" s="7">
        <v>0.9</v>
      </c>
      <c r="I81" s="7"/>
      <c r="J81" s="7" t="s">
        <v>583</v>
      </c>
      <c r="K81" s="7" t="s">
        <v>584</v>
      </c>
      <c r="L81" s="7" t="s">
        <v>91</v>
      </c>
      <c r="M81" s="7" t="s">
        <v>270</v>
      </c>
    </row>
    <row r="82" spans="1:13" x14ac:dyDescent="0.35">
      <c r="A82" s="7">
        <v>81</v>
      </c>
      <c r="B82" s="7" t="s">
        <v>590</v>
      </c>
      <c r="C82" s="7" t="s">
        <v>591</v>
      </c>
      <c r="D82" s="7">
        <v>0.52049999999999996</v>
      </c>
      <c r="E82" s="7" t="s">
        <v>580</v>
      </c>
      <c r="F82" s="7" t="s">
        <v>630</v>
      </c>
      <c r="G82" s="7">
        <v>0.52049999999999996</v>
      </c>
      <c r="H82" s="7">
        <v>1</v>
      </c>
      <c r="I82" s="7" t="s">
        <v>588</v>
      </c>
      <c r="J82" s="7" t="s">
        <v>608</v>
      </c>
      <c r="K82" s="7" t="s">
        <v>584</v>
      </c>
      <c r="L82" s="7" t="s">
        <v>307</v>
      </c>
      <c r="M82" s="7" t="s">
        <v>397</v>
      </c>
    </row>
    <row r="83" spans="1:13" x14ac:dyDescent="0.35">
      <c r="A83" s="7">
        <v>82</v>
      </c>
      <c r="B83" s="7" t="s">
        <v>601</v>
      </c>
      <c r="C83" s="7" t="s">
        <v>591</v>
      </c>
      <c r="D83" s="7">
        <v>0.50800000000000001</v>
      </c>
      <c r="E83" s="7" t="s">
        <v>602</v>
      </c>
      <c r="F83" s="7" t="s">
        <v>666</v>
      </c>
      <c r="G83" s="7">
        <v>0.72570000000000001</v>
      </c>
      <c r="H83" s="7">
        <v>0.7</v>
      </c>
      <c r="I83" s="7"/>
      <c r="J83" s="7" t="s">
        <v>583</v>
      </c>
      <c r="K83" s="7" t="s">
        <v>584</v>
      </c>
      <c r="L83" s="7" t="s">
        <v>400</v>
      </c>
      <c r="M83" s="7" t="s">
        <v>403</v>
      </c>
    </row>
    <row r="84" spans="1:13" x14ac:dyDescent="0.35">
      <c r="A84" s="7">
        <v>83</v>
      </c>
      <c r="B84" s="7" t="s">
        <v>585</v>
      </c>
      <c r="C84" s="7" t="s">
        <v>586</v>
      </c>
      <c r="D84" s="7">
        <v>0.69020000000000004</v>
      </c>
      <c r="E84" s="7" t="s">
        <v>580</v>
      </c>
      <c r="F84" s="7" t="s">
        <v>667</v>
      </c>
      <c r="G84" s="7">
        <v>0.69020000000000004</v>
      </c>
      <c r="H84" s="7">
        <v>1</v>
      </c>
      <c r="I84" s="7"/>
      <c r="J84" s="7" t="s">
        <v>583</v>
      </c>
      <c r="K84" s="7" t="s">
        <v>584</v>
      </c>
      <c r="L84" s="7" t="s">
        <v>406</v>
      </c>
      <c r="M84" s="7" t="s">
        <v>668</v>
      </c>
    </row>
    <row r="85" spans="1:13" x14ac:dyDescent="0.35">
      <c r="A85" s="7">
        <v>84</v>
      </c>
      <c r="B85" s="7" t="s">
        <v>601</v>
      </c>
      <c r="C85" s="7" t="s">
        <v>591</v>
      </c>
      <c r="D85" s="7">
        <v>0.54120000000000001</v>
      </c>
      <c r="E85" s="7" t="s">
        <v>602</v>
      </c>
      <c r="F85" s="7" t="s">
        <v>669</v>
      </c>
      <c r="G85" s="7">
        <v>0.77310000000000001</v>
      </c>
      <c r="H85" s="7">
        <v>0.7</v>
      </c>
      <c r="I85" s="7"/>
      <c r="J85" s="7" t="s">
        <v>583</v>
      </c>
      <c r="K85" s="7" t="s">
        <v>584</v>
      </c>
      <c r="L85" s="7" t="s">
        <v>412</v>
      </c>
      <c r="M85" s="7" t="s">
        <v>209</v>
      </c>
    </row>
    <row r="86" spans="1:13" x14ac:dyDescent="0.35">
      <c r="A86" s="7">
        <v>85</v>
      </c>
      <c r="B86" s="7" t="s">
        <v>598</v>
      </c>
      <c r="C86" s="7" t="s">
        <v>586</v>
      </c>
      <c r="D86" s="7">
        <v>0.69579999999999997</v>
      </c>
      <c r="E86" s="7" t="s">
        <v>599</v>
      </c>
      <c r="F86" s="7" t="s">
        <v>670</v>
      </c>
      <c r="G86" s="7">
        <v>0.77310000000000001</v>
      </c>
      <c r="H86" s="7">
        <v>0.9</v>
      </c>
      <c r="I86" s="7" t="s">
        <v>588</v>
      </c>
      <c r="J86" s="7" t="s">
        <v>583</v>
      </c>
      <c r="K86" s="7" t="s">
        <v>584</v>
      </c>
      <c r="L86" s="7" t="s">
        <v>415</v>
      </c>
      <c r="M86" s="7" t="s">
        <v>417</v>
      </c>
    </row>
    <row r="87" spans="1:13" x14ac:dyDescent="0.35">
      <c r="A87" s="7">
        <v>86</v>
      </c>
      <c r="B87" s="7" t="s">
        <v>590</v>
      </c>
      <c r="C87" s="7" t="s">
        <v>591</v>
      </c>
      <c r="D87" s="7">
        <v>0.55200000000000005</v>
      </c>
      <c r="E87" s="7" t="s">
        <v>580</v>
      </c>
      <c r="F87" s="7" t="s">
        <v>656</v>
      </c>
      <c r="G87" s="7">
        <v>0.55200000000000005</v>
      </c>
      <c r="H87" s="7">
        <v>1</v>
      </c>
      <c r="I87" s="7" t="s">
        <v>593</v>
      </c>
      <c r="J87" s="7" t="s">
        <v>608</v>
      </c>
      <c r="K87" s="7" t="s">
        <v>584</v>
      </c>
      <c r="L87" s="7" t="s">
        <v>324</v>
      </c>
      <c r="M87" s="7" t="s">
        <v>324</v>
      </c>
    </row>
    <row r="88" spans="1:13" x14ac:dyDescent="0.35">
      <c r="A88" s="7">
        <v>87</v>
      </c>
      <c r="B88" s="7" t="s">
        <v>590</v>
      </c>
      <c r="C88" s="7" t="s">
        <v>591</v>
      </c>
      <c r="D88" s="7">
        <v>0.54620000000000002</v>
      </c>
      <c r="E88" s="7" t="s">
        <v>580</v>
      </c>
      <c r="F88" s="7" t="s">
        <v>643</v>
      </c>
      <c r="G88" s="7">
        <v>0.54620000000000002</v>
      </c>
      <c r="H88" s="7">
        <v>1</v>
      </c>
      <c r="I88" s="7"/>
      <c r="J88" s="7" t="s">
        <v>583</v>
      </c>
      <c r="K88" s="7" t="s">
        <v>584</v>
      </c>
      <c r="L88" s="7" t="s">
        <v>421</v>
      </c>
      <c r="M88" s="7" t="s">
        <v>424</v>
      </c>
    </row>
    <row r="89" spans="1:13" x14ac:dyDescent="0.35">
      <c r="A89" s="7">
        <v>88</v>
      </c>
      <c r="B89" s="7" t="s">
        <v>594</v>
      </c>
      <c r="C89" s="7" t="s">
        <v>595</v>
      </c>
      <c r="D89" s="7">
        <v>0.2616</v>
      </c>
      <c r="E89" s="7" t="s">
        <v>602</v>
      </c>
      <c r="F89" s="7" t="s">
        <v>41</v>
      </c>
      <c r="G89" s="7">
        <v>0.37369999999999998</v>
      </c>
      <c r="H89" s="7">
        <v>0.7</v>
      </c>
      <c r="I89" s="7"/>
      <c r="J89" s="7" t="s">
        <v>583</v>
      </c>
      <c r="K89" s="7" t="s">
        <v>584</v>
      </c>
      <c r="L89" s="7" t="s">
        <v>671</v>
      </c>
      <c r="M89" s="7" t="s">
        <v>41</v>
      </c>
    </row>
    <row r="90" spans="1:13" x14ac:dyDescent="0.35">
      <c r="A90" s="7">
        <v>89</v>
      </c>
      <c r="B90" s="7" t="s">
        <v>619</v>
      </c>
      <c r="C90" s="7" t="s">
        <v>591</v>
      </c>
      <c r="D90" s="7">
        <v>0.55220000000000002</v>
      </c>
      <c r="E90" s="7" t="s">
        <v>596</v>
      </c>
      <c r="F90" s="7" t="s">
        <v>672</v>
      </c>
      <c r="G90" s="7">
        <v>0.69020000000000004</v>
      </c>
      <c r="H90" s="7">
        <v>0.8</v>
      </c>
      <c r="I90" s="7" t="s">
        <v>582</v>
      </c>
      <c r="J90" s="7" t="s">
        <v>583</v>
      </c>
      <c r="K90" s="7" t="s">
        <v>584</v>
      </c>
      <c r="L90" s="7" t="s">
        <v>429</v>
      </c>
      <c r="M90" s="7" t="s">
        <v>432</v>
      </c>
    </row>
    <row r="91" spans="1:13" x14ac:dyDescent="0.35">
      <c r="A91" s="7">
        <v>90</v>
      </c>
      <c r="B91" s="7" t="s">
        <v>578</v>
      </c>
      <c r="C91" s="7" t="s">
        <v>579</v>
      </c>
      <c r="D91" s="7">
        <v>0.40310000000000001</v>
      </c>
      <c r="E91" s="7" t="s">
        <v>580</v>
      </c>
      <c r="F91" s="7" t="s">
        <v>581</v>
      </c>
      <c r="G91" s="7">
        <v>0.40310000000000001</v>
      </c>
      <c r="H91" s="7">
        <v>1</v>
      </c>
      <c r="I91" s="7" t="s">
        <v>588</v>
      </c>
      <c r="J91" s="7" t="s">
        <v>583</v>
      </c>
      <c r="K91" s="7" t="s">
        <v>584</v>
      </c>
      <c r="L91" s="7" t="s">
        <v>434</v>
      </c>
      <c r="M91" s="7" t="s">
        <v>417</v>
      </c>
    </row>
    <row r="92" spans="1:13" x14ac:dyDescent="0.35">
      <c r="A92" s="7">
        <v>91</v>
      </c>
      <c r="B92" s="7" t="s">
        <v>578</v>
      </c>
      <c r="C92" s="7" t="s">
        <v>579</v>
      </c>
      <c r="D92" s="7">
        <v>0.42880000000000001</v>
      </c>
      <c r="E92" s="7" t="s">
        <v>599</v>
      </c>
      <c r="F92" s="7" t="s">
        <v>622</v>
      </c>
      <c r="G92" s="7">
        <v>0.47649999999999998</v>
      </c>
      <c r="H92" s="7">
        <v>0.9</v>
      </c>
      <c r="I92" s="7"/>
      <c r="J92" s="7" t="s">
        <v>583</v>
      </c>
      <c r="K92" s="7" t="s">
        <v>584</v>
      </c>
      <c r="L92" s="7" t="s">
        <v>91</v>
      </c>
      <c r="M92" s="7" t="s">
        <v>438</v>
      </c>
    </row>
    <row r="93" spans="1:13" x14ac:dyDescent="0.35">
      <c r="A93" s="7">
        <v>92</v>
      </c>
      <c r="B93" s="7" t="s">
        <v>619</v>
      </c>
      <c r="C93" s="7" t="s">
        <v>591</v>
      </c>
      <c r="D93" s="7">
        <v>0.51980000000000004</v>
      </c>
      <c r="E93" s="7" t="s">
        <v>596</v>
      </c>
      <c r="F93" s="7" t="s">
        <v>673</v>
      </c>
      <c r="G93" s="7">
        <v>0.64970000000000006</v>
      </c>
      <c r="H93" s="7">
        <v>0.8</v>
      </c>
      <c r="I93" s="7"/>
      <c r="J93" s="7" t="s">
        <v>583</v>
      </c>
      <c r="K93" s="7" t="s">
        <v>584</v>
      </c>
      <c r="L93" s="7" t="s">
        <v>655</v>
      </c>
      <c r="M93" s="7" t="s">
        <v>441</v>
      </c>
    </row>
    <row r="94" spans="1:13" x14ac:dyDescent="0.35">
      <c r="A94" s="7">
        <v>93</v>
      </c>
      <c r="B94" s="7" t="s">
        <v>578</v>
      </c>
      <c r="C94" s="7" t="s">
        <v>579</v>
      </c>
      <c r="D94" s="7">
        <v>0.4728</v>
      </c>
      <c r="E94" s="7" t="s">
        <v>602</v>
      </c>
      <c r="F94" s="7" t="s">
        <v>674</v>
      </c>
      <c r="G94" s="7">
        <v>0.6754</v>
      </c>
      <c r="H94" s="7">
        <v>0.7</v>
      </c>
      <c r="I94" s="7"/>
      <c r="J94" s="7" t="s">
        <v>583</v>
      </c>
      <c r="K94" s="7" t="s">
        <v>584</v>
      </c>
      <c r="L94" s="7" t="s">
        <v>674</v>
      </c>
      <c r="M94" s="7" t="s">
        <v>444</v>
      </c>
    </row>
    <row r="95" spans="1:13" x14ac:dyDescent="0.35">
      <c r="A95" s="7">
        <v>94</v>
      </c>
      <c r="B95" s="7" t="s">
        <v>590</v>
      </c>
      <c r="C95" s="7" t="s">
        <v>591</v>
      </c>
      <c r="D95" s="7">
        <v>0.52049999999999996</v>
      </c>
      <c r="E95" s="7" t="s">
        <v>580</v>
      </c>
      <c r="F95" s="7" t="s">
        <v>630</v>
      </c>
      <c r="G95" s="7">
        <v>0.52049999999999996</v>
      </c>
      <c r="H95" s="7">
        <v>1</v>
      </c>
      <c r="I95" s="7" t="s">
        <v>582</v>
      </c>
      <c r="J95" s="7" t="s">
        <v>608</v>
      </c>
      <c r="K95" s="7" t="s">
        <v>584</v>
      </c>
      <c r="L95" s="7" t="s">
        <v>397</v>
      </c>
      <c r="M95" s="7" t="s">
        <v>307</v>
      </c>
    </row>
    <row r="96" spans="1:13" x14ac:dyDescent="0.35">
      <c r="A96" s="7">
        <v>95</v>
      </c>
      <c r="B96" s="7" t="s">
        <v>578</v>
      </c>
      <c r="C96" s="7" t="s">
        <v>579</v>
      </c>
      <c r="D96" s="7">
        <v>0.40310000000000001</v>
      </c>
      <c r="E96" s="7" t="s">
        <v>580</v>
      </c>
      <c r="F96" s="7" t="s">
        <v>581</v>
      </c>
      <c r="G96" s="7">
        <v>0.40310000000000001</v>
      </c>
      <c r="H96" s="7">
        <v>1</v>
      </c>
      <c r="I96" s="7" t="s">
        <v>588</v>
      </c>
      <c r="J96" s="7" t="s">
        <v>583</v>
      </c>
      <c r="K96" s="7" t="s">
        <v>584</v>
      </c>
      <c r="L96" s="7" t="s">
        <v>15</v>
      </c>
      <c r="M96" s="7" t="s">
        <v>448</v>
      </c>
    </row>
    <row r="97" spans="1:13" x14ac:dyDescent="0.35">
      <c r="A97" s="7">
        <v>96</v>
      </c>
      <c r="B97" s="7" t="s">
        <v>590</v>
      </c>
      <c r="C97" s="7" t="s">
        <v>591</v>
      </c>
      <c r="D97" s="7">
        <v>0.52049999999999996</v>
      </c>
      <c r="E97" s="7" t="s">
        <v>580</v>
      </c>
      <c r="F97" s="7" t="s">
        <v>657</v>
      </c>
      <c r="G97" s="7">
        <v>0.52049999999999996</v>
      </c>
      <c r="H97" s="7">
        <v>1</v>
      </c>
      <c r="I97" s="7" t="s">
        <v>593</v>
      </c>
      <c r="J97" s="7" t="s">
        <v>608</v>
      </c>
      <c r="K97" s="7" t="s">
        <v>584</v>
      </c>
      <c r="L97" s="7" t="s">
        <v>55</v>
      </c>
      <c r="M97" s="7" t="s">
        <v>55</v>
      </c>
    </row>
    <row r="98" spans="1:13" x14ac:dyDescent="0.35">
      <c r="A98" s="7">
        <v>97</v>
      </c>
      <c r="B98" s="7" t="s">
        <v>578</v>
      </c>
      <c r="C98" s="7" t="s">
        <v>579</v>
      </c>
      <c r="D98" s="7">
        <v>0.42880000000000001</v>
      </c>
      <c r="E98" s="7" t="s">
        <v>599</v>
      </c>
      <c r="F98" s="7" t="s">
        <v>622</v>
      </c>
      <c r="G98" s="7">
        <v>0.47649999999999998</v>
      </c>
      <c r="H98" s="7">
        <v>0.9</v>
      </c>
      <c r="I98" s="7"/>
      <c r="J98" s="7" t="s">
        <v>583</v>
      </c>
      <c r="K98" s="7" t="s">
        <v>584</v>
      </c>
      <c r="L98" s="7" t="s">
        <v>270</v>
      </c>
      <c r="M98" s="7" t="s">
        <v>91</v>
      </c>
    </row>
    <row r="99" spans="1:13" x14ac:dyDescent="0.35">
      <c r="A99" s="7">
        <v>98</v>
      </c>
      <c r="B99" s="7" t="s">
        <v>585</v>
      </c>
      <c r="C99" s="7" t="s">
        <v>586</v>
      </c>
      <c r="D99" s="7">
        <v>0.74739999999999995</v>
      </c>
      <c r="E99" s="7" t="s">
        <v>580</v>
      </c>
      <c r="F99" s="7" t="s">
        <v>654</v>
      </c>
      <c r="G99" s="7">
        <v>0.74739999999999995</v>
      </c>
      <c r="H99" s="7">
        <v>1</v>
      </c>
      <c r="I99" s="7" t="s">
        <v>593</v>
      </c>
      <c r="J99" s="7" t="s">
        <v>583</v>
      </c>
      <c r="K99" s="7" t="s">
        <v>584</v>
      </c>
      <c r="L99" s="7" t="s">
        <v>322</v>
      </c>
      <c r="M99" s="7" t="s">
        <v>456</v>
      </c>
    </row>
    <row r="100" spans="1:13" x14ac:dyDescent="0.35">
      <c r="A100" s="7">
        <v>99</v>
      </c>
      <c r="B100" s="7" t="s">
        <v>594</v>
      </c>
      <c r="C100" s="7" t="s">
        <v>595</v>
      </c>
      <c r="D100" s="7">
        <v>0.32429999999999998</v>
      </c>
      <c r="E100" s="7" t="s">
        <v>602</v>
      </c>
      <c r="F100" s="7" t="s">
        <v>664</v>
      </c>
      <c r="G100" s="7">
        <v>0.46339999999999998</v>
      </c>
      <c r="H100" s="7">
        <v>0.7</v>
      </c>
      <c r="I100" s="7"/>
      <c r="J100" s="7" t="s">
        <v>583</v>
      </c>
      <c r="K100" s="7" t="s">
        <v>584</v>
      </c>
      <c r="L100" s="7" t="s">
        <v>29</v>
      </c>
      <c r="M100" s="7" t="s">
        <v>459</v>
      </c>
    </row>
    <row r="101" spans="1:13" x14ac:dyDescent="0.35">
      <c r="A101" s="7">
        <v>100</v>
      </c>
      <c r="B101" s="7" t="s">
        <v>598</v>
      </c>
      <c r="C101" s="7" t="s">
        <v>586</v>
      </c>
      <c r="D101" s="7">
        <v>0.6079</v>
      </c>
      <c r="E101" s="7" t="s">
        <v>599</v>
      </c>
      <c r="F101" s="7" t="s">
        <v>636</v>
      </c>
      <c r="G101" s="7">
        <v>0.6754</v>
      </c>
      <c r="H101" s="7">
        <v>0.9</v>
      </c>
      <c r="I101" s="7"/>
      <c r="J101" s="7" t="s">
        <v>583</v>
      </c>
      <c r="K101" s="7" t="s">
        <v>584</v>
      </c>
      <c r="L101" s="7" t="s">
        <v>462</v>
      </c>
      <c r="M101" s="7" t="s">
        <v>465</v>
      </c>
    </row>
    <row r="102" spans="1:13" x14ac:dyDescent="0.35">
      <c r="A102" s="7">
        <v>101</v>
      </c>
      <c r="B102" s="7" t="s">
        <v>590</v>
      </c>
      <c r="C102" s="7" t="s">
        <v>591</v>
      </c>
      <c r="D102" s="7">
        <v>0.55200000000000005</v>
      </c>
      <c r="E102" s="7" t="s">
        <v>580</v>
      </c>
      <c r="F102" s="7" t="s">
        <v>656</v>
      </c>
      <c r="G102" s="7">
        <v>0.55200000000000005</v>
      </c>
      <c r="H102" s="7">
        <v>1</v>
      </c>
      <c r="I102" s="7" t="s">
        <v>593</v>
      </c>
      <c r="J102" s="7" t="s">
        <v>608</v>
      </c>
      <c r="K102" s="7" t="s">
        <v>584</v>
      </c>
      <c r="L102" s="7" t="s">
        <v>468</v>
      </c>
      <c r="M102" s="7" t="s">
        <v>324</v>
      </c>
    </row>
    <row r="103" spans="1:13" x14ac:dyDescent="0.35">
      <c r="A103" s="7">
        <v>102</v>
      </c>
      <c r="B103" s="7" t="s">
        <v>594</v>
      </c>
      <c r="C103" s="7" t="s">
        <v>595</v>
      </c>
      <c r="D103" s="7">
        <v>0.30280000000000001</v>
      </c>
      <c r="E103" s="7" t="s">
        <v>602</v>
      </c>
      <c r="F103" s="7" t="s">
        <v>613</v>
      </c>
      <c r="G103" s="7">
        <v>0.4325</v>
      </c>
      <c r="H103" s="7">
        <v>0.7</v>
      </c>
      <c r="I103" s="7"/>
      <c r="J103" s="7" t="s">
        <v>583</v>
      </c>
      <c r="K103" s="7" t="s">
        <v>584</v>
      </c>
      <c r="L103" s="7" t="s">
        <v>470</v>
      </c>
      <c r="M103" s="7" t="s">
        <v>472</v>
      </c>
    </row>
    <row r="104" spans="1:13" x14ac:dyDescent="0.35">
      <c r="A104" s="7">
        <v>103</v>
      </c>
      <c r="B104" s="7" t="s">
        <v>594</v>
      </c>
      <c r="C104" s="7" t="s">
        <v>595</v>
      </c>
      <c r="D104" s="7">
        <v>0.30819999999999997</v>
      </c>
      <c r="E104" s="7" t="s">
        <v>602</v>
      </c>
      <c r="F104" s="7" t="s">
        <v>675</v>
      </c>
      <c r="G104" s="7">
        <v>0.44030000000000002</v>
      </c>
      <c r="H104" s="7">
        <v>0.7</v>
      </c>
      <c r="I104" s="7"/>
      <c r="J104" s="7" t="s">
        <v>583</v>
      </c>
      <c r="K104" s="7" t="s">
        <v>584</v>
      </c>
      <c r="L104" s="7" t="s">
        <v>475</v>
      </c>
      <c r="M104" s="7" t="s">
        <v>478</v>
      </c>
    </row>
    <row r="105" spans="1:13" x14ac:dyDescent="0.35">
      <c r="A105" s="7">
        <v>104</v>
      </c>
      <c r="B105" s="7" t="s">
        <v>594</v>
      </c>
      <c r="C105" s="7" t="s">
        <v>595</v>
      </c>
      <c r="D105" s="7">
        <v>0.31590000000000001</v>
      </c>
      <c r="E105" s="7" t="s">
        <v>602</v>
      </c>
      <c r="F105" s="7" t="s">
        <v>676</v>
      </c>
      <c r="G105" s="7">
        <v>0.45129999999999998</v>
      </c>
      <c r="H105" s="7">
        <v>0.7</v>
      </c>
      <c r="I105" s="7"/>
      <c r="J105" s="7" t="s">
        <v>583</v>
      </c>
      <c r="K105" s="7" t="s">
        <v>584</v>
      </c>
      <c r="L105" s="7" t="s">
        <v>481</v>
      </c>
      <c r="M105" s="7" t="s">
        <v>290</v>
      </c>
    </row>
    <row r="106" spans="1:13" x14ac:dyDescent="0.35">
      <c r="A106" s="7">
        <v>105</v>
      </c>
      <c r="B106" s="7" t="s">
        <v>590</v>
      </c>
      <c r="C106" s="7" t="s">
        <v>591</v>
      </c>
      <c r="D106" s="7">
        <v>0.52049999999999996</v>
      </c>
      <c r="E106" s="7" t="s">
        <v>580</v>
      </c>
      <c r="F106" s="7" t="s">
        <v>630</v>
      </c>
      <c r="G106" s="7">
        <v>0.52049999999999996</v>
      </c>
      <c r="H106" s="7">
        <v>1</v>
      </c>
      <c r="I106" s="7" t="s">
        <v>588</v>
      </c>
      <c r="J106" s="7" t="s">
        <v>608</v>
      </c>
      <c r="K106" s="7" t="s">
        <v>584</v>
      </c>
      <c r="L106" s="7" t="s">
        <v>484</v>
      </c>
      <c r="M106" s="7" t="s">
        <v>486</v>
      </c>
    </row>
    <row r="107" spans="1:13" x14ac:dyDescent="0.35">
      <c r="A107" s="7">
        <v>106</v>
      </c>
      <c r="B107" s="7" t="s">
        <v>578</v>
      </c>
      <c r="C107" s="7" t="s">
        <v>579</v>
      </c>
      <c r="D107" s="7">
        <v>0.43959999999999999</v>
      </c>
      <c r="E107" s="7" t="s">
        <v>602</v>
      </c>
      <c r="F107" s="7" t="s">
        <v>677</v>
      </c>
      <c r="G107" s="7">
        <v>0.628</v>
      </c>
      <c r="H107" s="7">
        <v>0.7</v>
      </c>
      <c r="I107" s="7"/>
      <c r="J107" s="7" t="s">
        <v>583</v>
      </c>
      <c r="K107" s="7" t="s">
        <v>584</v>
      </c>
      <c r="L107" s="7" t="s">
        <v>610</v>
      </c>
      <c r="M107" s="7" t="s">
        <v>489</v>
      </c>
    </row>
    <row r="108" spans="1:13" x14ac:dyDescent="0.35">
      <c r="A108" s="7">
        <v>107</v>
      </c>
      <c r="B108" s="7" t="s">
        <v>594</v>
      </c>
      <c r="C108" s="7" t="s">
        <v>595</v>
      </c>
      <c r="D108" s="7">
        <v>0.38400000000000001</v>
      </c>
      <c r="E108" s="7" t="s">
        <v>596</v>
      </c>
      <c r="F108" s="7" t="s">
        <v>678</v>
      </c>
      <c r="G108" s="7">
        <v>0.48</v>
      </c>
      <c r="H108" s="7">
        <v>0.8</v>
      </c>
      <c r="I108" s="7" t="s">
        <v>588</v>
      </c>
      <c r="J108" s="7" t="s">
        <v>583</v>
      </c>
      <c r="K108" s="7" t="s">
        <v>584</v>
      </c>
      <c r="L108" s="7" t="s">
        <v>492</v>
      </c>
      <c r="M108" s="7" t="s">
        <v>495</v>
      </c>
    </row>
    <row r="109" spans="1:13" x14ac:dyDescent="0.35">
      <c r="A109" s="7">
        <v>108</v>
      </c>
      <c r="B109" s="7" t="s">
        <v>590</v>
      </c>
      <c r="C109" s="7" t="s">
        <v>591</v>
      </c>
      <c r="D109" s="7">
        <v>0.59250000000000003</v>
      </c>
      <c r="E109" s="7" t="s">
        <v>580</v>
      </c>
      <c r="F109" s="7" t="s">
        <v>647</v>
      </c>
      <c r="G109" s="7">
        <v>0.59250000000000003</v>
      </c>
      <c r="H109" s="7">
        <v>1</v>
      </c>
      <c r="I109" s="7" t="s">
        <v>593</v>
      </c>
      <c r="J109" s="7" t="s">
        <v>608</v>
      </c>
      <c r="K109" s="7" t="s">
        <v>584</v>
      </c>
      <c r="L109" s="7" t="s">
        <v>279</v>
      </c>
      <c r="M109" s="7" t="s">
        <v>279</v>
      </c>
    </row>
    <row r="110" spans="1:13" x14ac:dyDescent="0.35">
      <c r="A110" s="7">
        <v>109</v>
      </c>
      <c r="B110" s="7" t="s">
        <v>601</v>
      </c>
      <c r="C110" s="7" t="s">
        <v>591</v>
      </c>
      <c r="D110" s="7">
        <v>0.5232</v>
      </c>
      <c r="E110" s="7" t="s">
        <v>602</v>
      </c>
      <c r="F110" s="7" t="s">
        <v>502</v>
      </c>
      <c r="G110" s="7">
        <v>0.74739999999999995</v>
      </c>
      <c r="H110" s="7">
        <v>0.7</v>
      </c>
      <c r="I110" s="7"/>
      <c r="J110" s="7" t="s">
        <v>583</v>
      </c>
      <c r="K110" s="7" t="s">
        <v>584</v>
      </c>
      <c r="L110" s="7" t="s">
        <v>679</v>
      </c>
      <c r="M110" s="7" t="s">
        <v>502</v>
      </c>
    </row>
    <row r="111" spans="1:13" x14ac:dyDescent="0.35">
      <c r="A111" s="7">
        <v>110</v>
      </c>
      <c r="B111" s="7" t="s">
        <v>594</v>
      </c>
      <c r="C111" s="7" t="s">
        <v>595</v>
      </c>
      <c r="D111" s="7">
        <v>0.31590000000000001</v>
      </c>
      <c r="E111" s="7" t="s">
        <v>602</v>
      </c>
      <c r="F111" s="7" t="s">
        <v>676</v>
      </c>
      <c r="G111" s="7">
        <v>0.45129999999999998</v>
      </c>
      <c r="H111" s="7">
        <v>0.7</v>
      </c>
      <c r="I111" s="7"/>
      <c r="J111" s="7" t="s">
        <v>583</v>
      </c>
      <c r="K111" s="7" t="s">
        <v>584</v>
      </c>
      <c r="L111" s="7" t="s">
        <v>504</v>
      </c>
      <c r="M111" s="7" t="s">
        <v>507</v>
      </c>
    </row>
    <row r="112" spans="1:13" x14ac:dyDescent="0.35">
      <c r="A112" s="7">
        <v>111</v>
      </c>
      <c r="B112" s="7" t="s">
        <v>611</v>
      </c>
      <c r="C112" s="7" t="s">
        <v>591</v>
      </c>
      <c r="D112" s="7">
        <v>0.52639999999999998</v>
      </c>
      <c r="E112" s="7" t="s">
        <v>599</v>
      </c>
      <c r="F112" s="7" t="s">
        <v>680</v>
      </c>
      <c r="G112" s="7">
        <v>0.58489999999999998</v>
      </c>
      <c r="H112" s="7">
        <v>0.9</v>
      </c>
      <c r="I112" s="7" t="s">
        <v>593</v>
      </c>
      <c r="J112" s="7" t="s">
        <v>608</v>
      </c>
      <c r="K112" s="7" t="s">
        <v>584</v>
      </c>
      <c r="L112" s="7" t="s">
        <v>510</v>
      </c>
      <c r="M112" s="7" t="s">
        <v>513</v>
      </c>
    </row>
    <row r="113" spans="1:13" x14ac:dyDescent="0.35">
      <c r="A113" s="7">
        <v>112</v>
      </c>
      <c r="B113" s="7" t="s">
        <v>590</v>
      </c>
      <c r="C113" s="7" t="s">
        <v>591</v>
      </c>
      <c r="D113" s="7">
        <v>0.52529999999999999</v>
      </c>
      <c r="E113" s="7" t="s">
        <v>580</v>
      </c>
      <c r="F113" s="7" t="s">
        <v>362</v>
      </c>
      <c r="G113" s="7">
        <v>0.52529999999999999</v>
      </c>
      <c r="H113" s="7">
        <v>1</v>
      </c>
      <c r="I113" s="7" t="s">
        <v>593</v>
      </c>
      <c r="J113" s="7" t="s">
        <v>608</v>
      </c>
      <c r="K113" s="7" t="s">
        <v>584</v>
      </c>
      <c r="L113" s="7" t="s">
        <v>516</v>
      </c>
      <c r="M113" s="7" t="s">
        <v>362</v>
      </c>
    </row>
    <row r="114" spans="1:13" x14ac:dyDescent="0.35">
      <c r="A114" s="7">
        <v>113</v>
      </c>
      <c r="B114" s="7" t="s">
        <v>590</v>
      </c>
      <c r="C114" s="7" t="s">
        <v>591</v>
      </c>
      <c r="D114" s="7">
        <v>0.55200000000000005</v>
      </c>
      <c r="E114" s="7" t="s">
        <v>580</v>
      </c>
      <c r="F114" s="7" t="s">
        <v>656</v>
      </c>
      <c r="G114" s="7">
        <v>0.55200000000000005</v>
      </c>
      <c r="H114" s="7">
        <v>1</v>
      </c>
      <c r="I114" s="7" t="s">
        <v>593</v>
      </c>
      <c r="J114" s="7" t="s">
        <v>608</v>
      </c>
      <c r="K114" s="7" t="s">
        <v>584</v>
      </c>
      <c r="L114" s="7" t="s">
        <v>520</v>
      </c>
      <c r="M114" s="7" t="s">
        <v>522</v>
      </c>
    </row>
    <row r="115" spans="1:13" x14ac:dyDescent="0.35">
      <c r="A115" s="7">
        <v>114</v>
      </c>
      <c r="B115" s="7" t="s">
        <v>594</v>
      </c>
      <c r="C115" s="7" t="s">
        <v>595</v>
      </c>
      <c r="D115" s="7">
        <v>0.28220000000000001</v>
      </c>
      <c r="E115" s="7" t="s">
        <v>602</v>
      </c>
      <c r="F115" s="7" t="s">
        <v>581</v>
      </c>
      <c r="G115" s="7">
        <v>0.40310000000000001</v>
      </c>
      <c r="H115" s="7">
        <v>0.7</v>
      </c>
      <c r="I115" s="7"/>
      <c r="J115" s="7" t="s">
        <v>583</v>
      </c>
      <c r="K115" s="7" t="s">
        <v>584</v>
      </c>
      <c r="L115" s="7" t="s">
        <v>525</v>
      </c>
      <c r="M115" s="7" t="s">
        <v>528</v>
      </c>
    </row>
    <row r="116" spans="1:13" x14ac:dyDescent="0.35">
      <c r="A116" s="7">
        <v>115</v>
      </c>
      <c r="B116" s="7" t="s">
        <v>619</v>
      </c>
      <c r="C116" s="7" t="s">
        <v>591</v>
      </c>
      <c r="D116" s="7">
        <v>0.51980000000000004</v>
      </c>
      <c r="E116" s="7" t="s">
        <v>596</v>
      </c>
      <c r="F116" s="7" t="s">
        <v>673</v>
      </c>
      <c r="G116" s="7">
        <v>0.64970000000000006</v>
      </c>
      <c r="H116" s="7">
        <v>0.8</v>
      </c>
      <c r="I116" s="7" t="s">
        <v>588</v>
      </c>
      <c r="J116" s="7" t="s">
        <v>583</v>
      </c>
      <c r="K116" s="7" t="s">
        <v>584</v>
      </c>
      <c r="L116" s="7" t="s">
        <v>530</v>
      </c>
      <c r="M116" s="7" t="s">
        <v>456</v>
      </c>
    </row>
    <row r="117" spans="1:13" x14ac:dyDescent="0.35">
      <c r="A117" s="7">
        <v>116</v>
      </c>
      <c r="B117" s="7" t="s">
        <v>585</v>
      </c>
      <c r="C117" s="7" t="s">
        <v>586</v>
      </c>
      <c r="D117" s="7">
        <v>0.77310000000000001</v>
      </c>
      <c r="E117" s="7" t="s">
        <v>580</v>
      </c>
      <c r="F117" s="7" t="s">
        <v>681</v>
      </c>
      <c r="G117" s="7">
        <v>0.77310000000000001</v>
      </c>
      <c r="H117" s="7">
        <v>1</v>
      </c>
      <c r="I117" s="7" t="s">
        <v>588</v>
      </c>
      <c r="J117" s="7" t="s">
        <v>583</v>
      </c>
      <c r="K117" s="7" t="s">
        <v>584</v>
      </c>
      <c r="L117" s="7" t="s">
        <v>682</v>
      </c>
      <c r="M117" s="7" t="s">
        <v>536</v>
      </c>
    </row>
    <row r="118" spans="1:13" x14ac:dyDescent="0.35">
      <c r="A118" s="7">
        <v>117</v>
      </c>
      <c r="B118" s="7" t="s">
        <v>585</v>
      </c>
      <c r="C118" s="7" t="s">
        <v>586</v>
      </c>
      <c r="D118" s="7">
        <v>0.70679999999999998</v>
      </c>
      <c r="E118" s="7" t="s">
        <v>580</v>
      </c>
      <c r="F118" s="7" t="s">
        <v>683</v>
      </c>
      <c r="G118" s="7">
        <v>0.70679999999999998</v>
      </c>
      <c r="H118" s="7">
        <v>1</v>
      </c>
      <c r="I118" s="7" t="s">
        <v>588</v>
      </c>
      <c r="J118" s="7" t="s">
        <v>583</v>
      </c>
      <c r="K118" s="7" t="s">
        <v>584</v>
      </c>
      <c r="L118" s="7" t="s">
        <v>465</v>
      </c>
      <c r="M118" s="7" t="s">
        <v>539</v>
      </c>
    </row>
    <row r="119" spans="1:13" x14ac:dyDescent="0.35">
      <c r="A119" s="7">
        <v>118</v>
      </c>
      <c r="B119" s="7" t="s">
        <v>578</v>
      </c>
      <c r="C119" s="7" t="s">
        <v>579</v>
      </c>
      <c r="D119" s="7">
        <v>0.40310000000000001</v>
      </c>
      <c r="E119" s="7" t="s">
        <v>580</v>
      </c>
      <c r="F119" s="7" t="s">
        <v>581</v>
      </c>
      <c r="G119" s="7">
        <v>0.40310000000000001</v>
      </c>
      <c r="H119" s="7">
        <v>1</v>
      </c>
      <c r="I119" s="7" t="s">
        <v>593</v>
      </c>
      <c r="J119" s="7" t="s">
        <v>583</v>
      </c>
      <c r="K119" s="7" t="s">
        <v>584</v>
      </c>
      <c r="L119" s="7" t="s">
        <v>542</v>
      </c>
      <c r="M119" s="7" t="s">
        <v>544</v>
      </c>
    </row>
    <row r="120" spans="1:13" x14ac:dyDescent="0.35">
      <c r="A120" s="7">
        <v>119</v>
      </c>
      <c r="B120" s="7" t="s">
        <v>598</v>
      </c>
      <c r="C120" s="7" t="s">
        <v>586</v>
      </c>
      <c r="D120" s="7">
        <v>0.6079</v>
      </c>
      <c r="E120" s="7" t="s">
        <v>599</v>
      </c>
      <c r="F120" s="7" t="s">
        <v>684</v>
      </c>
      <c r="G120" s="7">
        <v>0.6754</v>
      </c>
      <c r="H120" s="7">
        <v>0.9</v>
      </c>
      <c r="I120" s="7"/>
      <c r="J120" s="7" t="s">
        <v>583</v>
      </c>
      <c r="K120" s="7" t="s">
        <v>584</v>
      </c>
      <c r="L120" s="7" t="s">
        <v>547</v>
      </c>
      <c r="M120" s="7" t="s">
        <v>549</v>
      </c>
    </row>
    <row r="121" spans="1:13" x14ac:dyDescent="0.35">
      <c r="A121" s="7">
        <v>120</v>
      </c>
      <c r="B121" s="7" t="s">
        <v>594</v>
      </c>
      <c r="C121" s="7" t="s">
        <v>595</v>
      </c>
      <c r="D121" s="7">
        <v>0.30819999999999997</v>
      </c>
      <c r="E121" s="7" t="s">
        <v>602</v>
      </c>
      <c r="F121" s="7" t="s">
        <v>675</v>
      </c>
      <c r="G121" s="7">
        <v>0.44030000000000002</v>
      </c>
      <c r="H121" s="7">
        <v>0.7</v>
      </c>
      <c r="I121" s="7"/>
      <c r="J121" s="7" t="s">
        <v>583</v>
      </c>
      <c r="K121" s="7" t="s">
        <v>584</v>
      </c>
      <c r="L121" s="7" t="s">
        <v>685</v>
      </c>
      <c r="M121" s="7" t="s">
        <v>552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workbookViewId="0"/>
  </sheetViews>
  <sheetFormatPr defaultRowHeight="14.5" x14ac:dyDescent="0.35"/>
  <sheetData>
    <row r="1" spans="1:3" x14ac:dyDescent="0.35">
      <c r="A1" t="s">
        <v>566</v>
      </c>
      <c r="B1" t="s">
        <v>567</v>
      </c>
      <c r="C1" t="s">
        <v>686</v>
      </c>
    </row>
    <row r="2" spans="1:3" x14ac:dyDescent="0.35">
      <c r="A2" t="s">
        <v>585</v>
      </c>
      <c r="B2" t="s">
        <v>586</v>
      </c>
      <c r="C2">
        <v>1083</v>
      </c>
    </row>
    <row r="3" spans="1:3" x14ac:dyDescent="0.35">
      <c r="A3" t="s">
        <v>598</v>
      </c>
      <c r="B3" t="s">
        <v>586</v>
      </c>
      <c r="C3">
        <v>565</v>
      </c>
    </row>
    <row r="4" spans="1:3" x14ac:dyDescent="0.35">
      <c r="A4" t="s">
        <v>619</v>
      </c>
      <c r="B4" t="s">
        <v>586</v>
      </c>
      <c r="C4">
        <v>17</v>
      </c>
    </row>
    <row r="5" spans="1:3" x14ac:dyDescent="0.35">
      <c r="A5" t="s">
        <v>590</v>
      </c>
      <c r="B5" t="s">
        <v>591</v>
      </c>
      <c r="C5">
        <v>1085</v>
      </c>
    </row>
    <row r="6" spans="1:3" x14ac:dyDescent="0.35">
      <c r="A6" t="s">
        <v>611</v>
      </c>
      <c r="B6" t="s">
        <v>591</v>
      </c>
      <c r="C6">
        <v>1084</v>
      </c>
    </row>
    <row r="7" spans="1:3" x14ac:dyDescent="0.35">
      <c r="A7" t="s">
        <v>619</v>
      </c>
      <c r="B7" t="s">
        <v>591</v>
      </c>
      <c r="C7">
        <v>136</v>
      </c>
    </row>
    <row r="8" spans="1:3" x14ac:dyDescent="0.35">
      <c r="A8" t="s">
        <v>601</v>
      </c>
      <c r="B8" t="s">
        <v>591</v>
      </c>
      <c r="C8">
        <v>430</v>
      </c>
    </row>
    <row r="9" spans="1:3" x14ac:dyDescent="0.35">
      <c r="A9" t="s">
        <v>578</v>
      </c>
      <c r="B9" t="s">
        <v>579</v>
      </c>
      <c r="C9">
        <v>5953</v>
      </c>
    </row>
    <row r="10" spans="1:3" x14ac:dyDescent="0.35">
      <c r="A10" t="s">
        <v>594</v>
      </c>
      <c r="B10" t="s">
        <v>595</v>
      </c>
      <c r="C10">
        <v>11868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2"/>
  <sheetViews>
    <sheetView workbookViewId="0"/>
  </sheetViews>
  <sheetFormatPr defaultRowHeight="14.5" x14ac:dyDescent="0.35"/>
  <cols>
    <col min="1" max="1" width="34" customWidth="1"/>
    <col min="2" max="2" width="10" customWidth="1"/>
    <col min="3" max="3" width="16" customWidth="1"/>
    <col min="4" max="4" width="14" customWidth="1"/>
    <col min="5" max="5" width="12" customWidth="1"/>
    <col min="6" max="6" width="10" customWidth="1"/>
    <col min="7" max="7" width="70" customWidth="1"/>
  </cols>
  <sheetData>
    <row r="1" spans="1:7" x14ac:dyDescent="0.35">
      <c r="A1" s="1" t="s">
        <v>687</v>
      </c>
    </row>
    <row r="2" spans="1:7" ht="380" customHeight="1" x14ac:dyDescent="0.35">
      <c r="A2" s="14" t="s">
        <v>688</v>
      </c>
      <c r="B2" s="15"/>
      <c r="C2" s="15"/>
      <c r="D2" s="15"/>
      <c r="E2" s="15"/>
      <c r="F2" s="15"/>
      <c r="G2" s="15"/>
    </row>
    <row r="4" spans="1:7" ht="42" x14ac:dyDescent="0.35">
      <c r="A4" s="3" t="s">
        <v>566</v>
      </c>
      <c r="B4" s="3" t="s">
        <v>689</v>
      </c>
      <c r="C4" s="3" t="s">
        <v>569</v>
      </c>
      <c r="D4" s="3" t="s">
        <v>690</v>
      </c>
      <c r="E4" s="3" t="s">
        <v>691</v>
      </c>
      <c r="F4" s="3" t="s">
        <v>692</v>
      </c>
      <c r="G4" s="3" t="s">
        <v>693</v>
      </c>
    </row>
    <row r="5" spans="1:7" x14ac:dyDescent="0.35">
      <c r="A5" s="2" t="s">
        <v>585</v>
      </c>
      <c r="B5" s="2" t="s">
        <v>694</v>
      </c>
      <c r="C5" s="2" t="s">
        <v>580</v>
      </c>
      <c r="D5" s="9">
        <v>1083</v>
      </c>
      <c r="E5" s="10">
        <f t="shared" ref="E5:E12" si="0">D5/SUM($D$5:$D$12)</f>
        <v>4.8737680572431483E-2</v>
      </c>
      <c r="F5" s="2">
        <v>12</v>
      </c>
      <c r="G5" s="8" t="s">
        <v>695</v>
      </c>
    </row>
    <row r="6" spans="1:7" x14ac:dyDescent="0.35">
      <c r="A6" s="2" t="s">
        <v>590</v>
      </c>
      <c r="B6" s="2" t="s">
        <v>694</v>
      </c>
      <c r="C6" s="2" t="s">
        <v>580</v>
      </c>
      <c r="D6" s="9">
        <v>1085</v>
      </c>
      <c r="E6" s="10">
        <f t="shared" si="0"/>
        <v>4.8827685522703751E-2</v>
      </c>
      <c r="F6" s="2">
        <v>20</v>
      </c>
      <c r="G6" s="8" t="s">
        <v>696</v>
      </c>
    </row>
    <row r="7" spans="1:7" x14ac:dyDescent="0.35">
      <c r="A7" s="2" t="s">
        <v>598</v>
      </c>
      <c r="B7" s="2" t="s">
        <v>694</v>
      </c>
      <c r="C7" s="2" t="s">
        <v>599</v>
      </c>
      <c r="D7" s="9">
        <v>565</v>
      </c>
      <c r="E7" s="10">
        <f t="shared" si="0"/>
        <v>2.5426398451914856E-2</v>
      </c>
      <c r="F7" s="2">
        <v>10</v>
      </c>
      <c r="G7" s="8" t="s">
        <v>697</v>
      </c>
    </row>
    <row r="8" spans="1:7" ht="28" x14ac:dyDescent="0.35">
      <c r="A8" s="2" t="s">
        <v>611</v>
      </c>
      <c r="B8" s="2" t="s">
        <v>694</v>
      </c>
      <c r="C8" s="2" t="s">
        <v>599</v>
      </c>
      <c r="D8" s="9">
        <v>1084</v>
      </c>
      <c r="E8" s="10">
        <f t="shared" si="0"/>
        <v>4.8782683047567617E-2</v>
      </c>
      <c r="F8" s="2">
        <v>15</v>
      </c>
      <c r="G8" s="8" t="s">
        <v>698</v>
      </c>
    </row>
    <row r="9" spans="1:7" x14ac:dyDescent="0.35">
      <c r="A9" s="2" t="s">
        <v>619</v>
      </c>
      <c r="B9" s="2" t="s">
        <v>694</v>
      </c>
      <c r="C9" s="2" t="s">
        <v>596</v>
      </c>
      <c r="D9" s="9">
        <v>153</v>
      </c>
      <c r="E9" s="10">
        <f t="shared" si="0"/>
        <v>6.8853786958282702E-3</v>
      </c>
      <c r="F9" s="2">
        <v>8</v>
      </c>
      <c r="G9" s="8" t="s">
        <v>699</v>
      </c>
    </row>
    <row r="10" spans="1:7" x14ac:dyDescent="0.35">
      <c r="A10" s="2" t="s">
        <v>601</v>
      </c>
      <c r="B10" s="2" t="s">
        <v>694</v>
      </c>
      <c r="C10" s="2" t="s">
        <v>602</v>
      </c>
      <c r="D10" s="9">
        <v>430</v>
      </c>
      <c r="E10" s="10">
        <f t="shared" si="0"/>
        <v>1.9351064308536968E-2</v>
      </c>
      <c r="F10" s="2">
        <v>8</v>
      </c>
      <c r="G10" s="8" t="s">
        <v>700</v>
      </c>
    </row>
    <row r="11" spans="1:7" ht="28" x14ac:dyDescent="0.35">
      <c r="A11" s="2" t="s">
        <v>578</v>
      </c>
      <c r="B11" s="2" t="s">
        <v>701</v>
      </c>
      <c r="C11" s="2" t="s">
        <v>702</v>
      </c>
      <c r="D11" s="9">
        <v>5953</v>
      </c>
      <c r="E11" s="10">
        <f t="shared" si="0"/>
        <v>0.26789973448539672</v>
      </c>
      <c r="F11" s="2">
        <v>22</v>
      </c>
      <c r="G11" s="8" t="s">
        <v>703</v>
      </c>
    </row>
    <row r="12" spans="1:7" ht="28" x14ac:dyDescent="0.35">
      <c r="A12" s="2" t="s">
        <v>594</v>
      </c>
      <c r="B12" s="2" t="s">
        <v>701</v>
      </c>
      <c r="C12" s="2" t="s">
        <v>702</v>
      </c>
      <c r="D12" s="9">
        <v>11868</v>
      </c>
      <c r="E12" s="10">
        <f t="shared" si="0"/>
        <v>0.53408937491562036</v>
      </c>
      <c r="F12" s="2">
        <v>25</v>
      </c>
      <c r="G12" s="8" t="s">
        <v>704</v>
      </c>
    </row>
    <row r="13" spans="1:7" x14ac:dyDescent="0.35">
      <c r="A13" s="1" t="s">
        <v>705</v>
      </c>
      <c r="D13" s="11">
        <f>SUM(D5:D12)</f>
        <v>22221</v>
      </c>
      <c r="F13" s="1">
        <f>SUM(F5:F12)</f>
        <v>120</v>
      </c>
    </row>
    <row r="15" spans="1:7" x14ac:dyDescent="0.35">
      <c r="A15" s="1" t="s">
        <v>706</v>
      </c>
    </row>
    <row r="16" spans="1:7" ht="28" x14ac:dyDescent="0.35">
      <c r="A16" s="3" t="s">
        <v>707</v>
      </c>
      <c r="B16" s="3" t="s">
        <v>708</v>
      </c>
      <c r="C16" s="3" t="s">
        <v>709</v>
      </c>
    </row>
    <row r="17" spans="1:3" x14ac:dyDescent="0.35">
      <c r="A17" s="2" t="s">
        <v>710</v>
      </c>
      <c r="B17" s="9">
        <v>3933465</v>
      </c>
      <c r="C17" s="10">
        <f>B17/$B$17</f>
        <v>1</v>
      </c>
    </row>
    <row r="18" spans="1:3" x14ac:dyDescent="0.35">
      <c r="A18" s="2" t="s">
        <v>711</v>
      </c>
      <c r="B18" s="9">
        <v>22221</v>
      </c>
      <c r="C18" s="10">
        <f>B18/$B$17</f>
        <v>5.6492176744930992E-3</v>
      </c>
    </row>
    <row r="19" spans="1:3" x14ac:dyDescent="0.35">
      <c r="A19" s="2" t="s">
        <v>712</v>
      </c>
      <c r="B19" s="9">
        <v>3833350</v>
      </c>
      <c r="C19" s="10">
        <f>B19/$B$17</f>
        <v>0.97454788589703989</v>
      </c>
    </row>
    <row r="20" spans="1:3" x14ac:dyDescent="0.35">
      <c r="A20" s="2" t="s">
        <v>713</v>
      </c>
      <c r="B20" s="9">
        <v>94348</v>
      </c>
      <c r="C20" s="10">
        <f>B20/$B$17</f>
        <v>2.3985976740609108E-2</v>
      </c>
    </row>
    <row r="22" spans="1:3" x14ac:dyDescent="0.35">
      <c r="A22" s="12" t="s">
        <v>714</v>
      </c>
    </row>
  </sheetData>
  <mergeCells count="1">
    <mergeCell ref="A2:G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2"/>
  <sheetViews>
    <sheetView workbookViewId="0"/>
  </sheetViews>
  <sheetFormatPr defaultRowHeight="14.5" x14ac:dyDescent="0.35"/>
  <cols>
    <col min="1" max="1" width="32" customWidth="1"/>
    <col min="2" max="2" width="13" customWidth="1"/>
    <col min="3" max="3" width="7" customWidth="1"/>
    <col min="4" max="4" width="8" customWidth="1"/>
    <col min="5" max="5" width="7" customWidth="1"/>
    <col min="6" max="6" width="8" customWidth="1"/>
    <col min="7" max="7" width="9" customWidth="1"/>
    <col min="8" max="10" width="8" customWidth="1"/>
    <col min="11" max="12" width="14" customWidth="1"/>
  </cols>
  <sheetData>
    <row r="1" spans="1:14" ht="28" x14ac:dyDescent="0.35">
      <c r="A1" s="3" t="s">
        <v>566</v>
      </c>
      <c r="B1" s="3" t="s">
        <v>690</v>
      </c>
      <c r="C1" s="3" t="s">
        <v>715</v>
      </c>
      <c r="D1" s="3" t="s">
        <v>716</v>
      </c>
      <c r="E1" s="3" t="s">
        <v>593</v>
      </c>
      <c r="F1" s="3" t="s">
        <v>717</v>
      </c>
      <c r="G1" s="3" t="s">
        <v>718</v>
      </c>
      <c r="H1" s="3" t="s">
        <v>719</v>
      </c>
      <c r="I1" s="3" t="s">
        <v>720</v>
      </c>
      <c r="J1" s="3" t="s">
        <v>721</v>
      </c>
      <c r="K1" s="3" t="s">
        <v>722</v>
      </c>
      <c r="L1" s="3" t="s">
        <v>723</v>
      </c>
      <c r="N1" t="s">
        <v>724</v>
      </c>
    </row>
    <row r="2" spans="1:14" x14ac:dyDescent="0.35">
      <c r="A2" s="2" t="s">
        <v>585</v>
      </c>
      <c r="B2" s="9">
        <v>1083</v>
      </c>
      <c r="C2" s="2">
        <f>COUNTIFS(key!$B$2:$B$121,A2)</f>
        <v>12</v>
      </c>
      <c r="D2" s="2">
        <f>COUNTIFS(key!$B$2:$B$121,A2,Review!$H$2:$H$121,"&lt;&gt;")</f>
        <v>0</v>
      </c>
      <c r="E2" s="2">
        <f>COUNTIFS(key!$B$2:$B$121,A2,Review!$H$2:$H$121,"same")</f>
        <v>0</v>
      </c>
      <c r="F2" s="2">
        <f>COUNTIFS(key!$B$2:$B$121,A2,Review!$H$2:$H$121,"related")</f>
        <v>0</v>
      </c>
      <c r="G2" s="2">
        <f>COUNTIFS(key!$B$2:$B$121,A2,Review!$H$2:$H$121,"different")</f>
        <v>0</v>
      </c>
      <c r="H2" s="2">
        <f>COUNTIFS(key!$B$2:$B$121,A2,Review!$H$2:$H$121,"unclear")</f>
        <v>0</v>
      </c>
      <c r="I2" s="13" t="str">
        <f t="shared" ref="I2:I9" si="0">IFERROR(E2/(D2-H2),"")</f>
        <v/>
      </c>
      <c r="J2" s="13" t="str">
        <f t="shared" ref="J2:J9" si="1">IFERROR((E2+F2)/(D2-H2),"")</f>
        <v/>
      </c>
      <c r="K2" s="13" t="str">
        <f t="shared" ref="K2:K9" si="2">IFERROR(MAX(0,(J2+$N$2^2/(2*(D2-H2)))/(1+$N$2^2/(D2-H2))-$N$2*SQRT(J2*(1-J2)/(D2-H2)+$N$2^2/(4*(D2-H2)^2))/(1+$N$2^2/(D2-H2))),"")</f>
        <v/>
      </c>
      <c r="L2" s="13" t="str">
        <f t="shared" ref="L2:L9" si="3">IFERROR(MIN(1,(J2+$N$2^2/(2*(D2-H2)))/(1+$N$2^2/(D2-H2))+$N$2*SQRT(J2*(1-J2)/(D2-H2)+$N$2^2/(4*(D2-H2)^2))/(1+$N$2^2/(D2-H2))),"")</f>
        <v/>
      </c>
      <c r="N2">
        <v>1.96</v>
      </c>
    </row>
    <row r="3" spans="1:14" x14ac:dyDescent="0.35">
      <c r="A3" s="2" t="s">
        <v>590</v>
      </c>
      <c r="B3" s="9">
        <v>1085</v>
      </c>
      <c r="C3" s="2">
        <f>COUNTIFS(key!$B$2:$B$121,A3)</f>
        <v>20</v>
      </c>
      <c r="D3" s="2">
        <f>COUNTIFS(key!$B$2:$B$121,A3,Review!$H$2:$H$121,"&lt;&gt;")</f>
        <v>0</v>
      </c>
      <c r="E3" s="2">
        <f>COUNTIFS(key!$B$2:$B$121,A3,Review!$H$2:$H$121,"same")</f>
        <v>0</v>
      </c>
      <c r="F3" s="2">
        <f>COUNTIFS(key!$B$2:$B$121,A3,Review!$H$2:$H$121,"related")</f>
        <v>0</v>
      </c>
      <c r="G3" s="2">
        <f>COUNTIFS(key!$B$2:$B$121,A3,Review!$H$2:$H$121,"different")</f>
        <v>0</v>
      </c>
      <c r="H3" s="2">
        <f>COUNTIFS(key!$B$2:$B$121,A3,Review!$H$2:$H$121,"unclear")</f>
        <v>0</v>
      </c>
      <c r="I3" s="13" t="str">
        <f t="shared" si="0"/>
        <v/>
      </c>
      <c r="J3" s="13" t="str">
        <f t="shared" si="1"/>
        <v/>
      </c>
      <c r="K3" s="13" t="str">
        <f t="shared" si="2"/>
        <v/>
      </c>
      <c r="L3" s="13" t="str">
        <f t="shared" si="3"/>
        <v/>
      </c>
    </row>
    <row r="4" spans="1:14" x14ac:dyDescent="0.35">
      <c r="A4" s="2" t="s">
        <v>598</v>
      </c>
      <c r="B4" s="9">
        <v>565</v>
      </c>
      <c r="C4" s="2">
        <f>COUNTIFS(key!$B$2:$B$121,A4)</f>
        <v>10</v>
      </c>
      <c r="D4" s="2">
        <f>COUNTIFS(key!$B$2:$B$121,A4,Review!$H$2:$H$121,"&lt;&gt;")</f>
        <v>0</v>
      </c>
      <c r="E4" s="2">
        <f>COUNTIFS(key!$B$2:$B$121,A4,Review!$H$2:$H$121,"same")</f>
        <v>0</v>
      </c>
      <c r="F4" s="2">
        <f>COUNTIFS(key!$B$2:$B$121,A4,Review!$H$2:$H$121,"related")</f>
        <v>0</v>
      </c>
      <c r="G4" s="2">
        <f>COUNTIFS(key!$B$2:$B$121,A4,Review!$H$2:$H$121,"different")</f>
        <v>0</v>
      </c>
      <c r="H4" s="2">
        <f>COUNTIFS(key!$B$2:$B$121,A4,Review!$H$2:$H$121,"unclear")</f>
        <v>0</v>
      </c>
      <c r="I4" s="13" t="str">
        <f t="shared" si="0"/>
        <v/>
      </c>
      <c r="J4" s="13" t="str">
        <f t="shared" si="1"/>
        <v/>
      </c>
      <c r="K4" s="13" t="str">
        <f t="shared" si="2"/>
        <v/>
      </c>
      <c r="L4" s="13" t="str">
        <f t="shared" si="3"/>
        <v/>
      </c>
    </row>
    <row r="5" spans="1:14" x14ac:dyDescent="0.35">
      <c r="A5" s="2" t="s">
        <v>611</v>
      </c>
      <c r="B5" s="9">
        <v>1084</v>
      </c>
      <c r="C5" s="2">
        <f>COUNTIFS(key!$B$2:$B$121,A5)</f>
        <v>15</v>
      </c>
      <c r="D5" s="2">
        <f>COUNTIFS(key!$B$2:$B$121,A5,Review!$H$2:$H$121,"&lt;&gt;")</f>
        <v>0</v>
      </c>
      <c r="E5" s="2">
        <f>COUNTIFS(key!$B$2:$B$121,A5,Review!$H$2:$H$121,"same")</f>
        <v>0</v>
      </c>
      <c r="F5" s="2">
        <f>COUNTIFS(key!$B$2:$B$121,A5,Review!$H$2:$H$121,"related")</f>
        <v>0</v>
      </c>
      <c r="G5" s="2">
        <f>COUNTIFS(key!$B$2:$B$121,A5,Review!$H$2:$H$121,"different")</f>
        <v>0</v>
      </c>
      <c r="H5" s="2">
        <f>COUNTIFS(key!$B$2:$B$121,A5,Review!$H$2:$H$121,"unclear")</f>
        <v>0</v>
      </c>
      <c r="I5" s="13" t="str">
        <f t="shared" si="0"/>
        <v/>
      </c>
      <c r="J5" s="13" t="str">
        <f t="shared" si="1"/>
        <v/>
      </c>
      <c r="K5" s="13" t="str">
        <f t="shared" si="2"/>
        <v/>
      </c>
      <c r="L5" s="13" t="str">
        <f t="shared" si="3"/>
        <v/>
      </c>
    </row>
    <row r="6" spans="1:14" x14ac:dyDescent="0.35">
      <c r="A6" s="2" t="s">
        <v>619</v>
      </c>
      <c r="B6" s="9">
        <v>153</v>
      </c>
      <c r="C6" s="2">
        <f>COUNTIFS(key!$B$2:$B$121,A6)</f>
        <v>8</v>
      </c>
      <c r="D6" s="2">
        <f>COUNTIFS(key!$B$2:$B$121,A6,Review!$H$2:$H$121,"&lt;&gt;")</f>
        <v>0</v>
      </c>
      <c r="E6" s="2">
        <f>COUNTIFS(key!$B$2:$B$121,A6,Review!$H$2:$H$121,"same")</f>
        <v>0</v>
      </c>
      <c r="F6" s="2">
        <f>COUNTIFS(key!$B$2:$B$121,A6,Review!$H$2:$H$121,"related")</f>
        <v>0</v>
      </c>
      <c r="G6" s="2">
        <f>COUNTIFS(key!$B$2:$B$121,A6,Review!$H$2:$H$121,"different")</f>
        <v>0</v>
      </c>
      <c r="H6" s="2">
        <f>COUNTIFS(key!$B$2:$B$121,A6,Review!$H$2:$H$121,"unclear")</f>
        <v>0</v>
      </c>
      <c r="I6" s="13" t="str">
        <f t="shared" si="0"/>
        <v/>
      </c>
      <c r="J6" s="13" t="str">
        <f t="shared" si="1"/>
        <v/>
      </c>
      <c r="K6" s="13" t="str">
        <f t="shared" si="2"/>
        <v/>
      </c>
      <c r="L6" s="13" t="str">
        <f t="shared" si="3"/>
        <v/>
      </c>
    </row>
    <row r="7" spans="1:14" x14ac:dyDescent="0.35">
      <c r="A7" s="2" t="s">
        <v>601</v>
      </c>
      <c r="B7" s="9">
        <v>430</v>
      </c>
      <c r="C7" s="2">
        <f>COUNTIFS(key!$B$2:$B$121,A7)</f>
        <v>8</v>
      </c>
      <c r="D7" s="2">
        <f>COUNTIFS(key!$B$2:$B$121,A7,Review!$H$2:$H$121,"&lt;&gt;")</f>
        <v>0</v>
      </c>
      <c r="E7" s="2">
        <f>COUNTIFS(key!$B$2:$B$121,A7,Review!$H$2:$H$121,"same")</f>
        <v>0</v>
      </c>
      <c r="F7" s="2">
        <f>COUNTIFS(key!$B$2:$B$121,A7,Review!$H$2:$H$121,"related")</f>
        <v>0</v>
      </c>
      <c r="G7" s="2">
        <f>COUNTIFS(key!$B$2:$B$121,A7,Review!$H$2:$H$121,"different")</f>
        <v>0</v>
      </c>
      <c r="H7" s="2">
        <f>COUNTIFS(key!$B$2:$B$121,A7,Review!$H$2:$H$121,"unclear")</f>
        <v>0</v>
      </c>
      <c r="I7" s="13" t="str">
        <f t="shared" si="0"/>
        <v/>
      </c>
      <c r="J7" s="13" t="str">
        <f t="shared" si="1"/>
        <v/>
      </c>
      <c r="K7" s="13" t="str">
        <f t="shared" si="2"/>
        <v/>
      </c>
      <c r="L7" s="13" t="str">
        <f t="shared" si="3"/>
        <v/>
      </c>
    </row>
    <row r="8" spans="1:14" x14ac:dyDescent="0.35">
      <c r="A8" s="2" t="s">
        <v>578</v>
      </c>
      <c r="B8" s="9">
        <v>5953</v>
      </c>
      <c r="C8" s="2">
        <f>COUNTIFS(key!$B$2:$B$121,A8)</f>
        <v>22</v>
      </c>
      <c r="D8" s="2">
        <f>COUNTIFS(key!$B$2:$B$121,A8,Review!$H$2:$H$121,"&lt;&gt;")</f>
        <v>0</v>
      </c>
      <c r="E8" s="2">
        <f>COUNTIFS(key!$B$2:$B$121,A8,Review!$H$2:$H$121,"same")</f>
        <v>0</v>
      </c>
      <c r="F8" s="2">
        <f>COUNTIFS(key!$B$2:$B$121,A8,Review!$H$2:$H$121,"related")</f>
        <v>0</v>
      </c>
      <c r="G8" s="2">
        <f>COUNTIFS(key!$B$2:$B$121,A8,Review!$H$2:$H$121,"different")</f>
        <v>0</v>
      </c>
      <c r="H8" s="2">
        <f>COUNTIFS(key!$B$2:$B$121,A8,Review!$H$2:$H$121,"unclear")</f>
        <v>0</v>
      </c>
      <c r="I8" s="13" t="str">
        <f t="shared" si="0"/>
        <v/>
      </c>
      <c r="J8" s="13" t="str">
        <f t="shared" si="1"/>
        <v/>
      </c>
      <c r="K8" s="13" t="str">
        <f t="shared" si="2"/>
        <v/>
      </c>
      <c r="L8" s="13" t="str">
        <f t="shared" si="3"/>
        <v/>
      </c>
    </row>
    <row r="9" spans="1:14" x14ac:dyDescent="0.35">
      <c r="A9" s="2" t="s">
        <v>594</v>
      </c>
      <c r="B9" s="9">
        <v>11868</v>
      </c>
      <c r="C9" s="2">
        <f>COUNTIFS(key!$B$2:$B$121,A9)</f>
        <v>25</v>
      </c>
      <c r="D9" s="2">
        <f>COUNTIFS(key!$B$2:$B$121,A9,Review!$H$2:$H$121,"&lt;&gt;")</f>
        <v>0</v>
      </c>
      <c r="E9" s="2">
        <f>COUNTIFS(key!$B$2:$B$121,A9,Review!$H$2:$H$121,"same")</f>
        <v>0</v>
      </c>
      <c r="F9" s="2">
        <f>COUNTIFS(key!$B$2:$B$121,A9,Review!$H$2:$H$121,"related")</f>
        <v>0</v>
      </c>
      <c r="G9" s="2">
        <f>COUNTIFS(key!$B$2:$B$121,A9,Review!$H$2:$H$121,"different")</f>
        <v>0</v>
      </c>
      <c r="H9" s="2">
        <f>COUNTIFS(key!$B$2:$B$121,A9,Review!$H$2:$H$121,"unclear")</f>
        <v>0</v>
      </c>
      <c r="I9" s="13" t="str">
        <f t="shared" si="0"/>
        <v/>
      </c>
      <c r="J9" s="13" t="str">
        <f t="shared" si="1"/>
        <v/>
      </c>
      <c r="K9" s="13" t="str">
        <f t="shared" si="2"/>
        <v/>
      </c>
      <c r="L9" s="13" t="str">
        <f t="shared" si="3"/>
        <v/>
      </c>
    </row>
    <row r="11" spans="1:14" x14ac:dyDescent="0.35">
      <c r="A11" s="12" t="s">
        <v>725</v>
      </c>
    </row>
    <row r="12" spans="1:14" x14ac:dyDescent="0.35">
      <c r="A12" s="12" t="s">
        <v>726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Review</vt:lpstr>
      <vt:lpstr>key</vt:lpstr>
      <vt:lpstr>levels</vt:lpstr>
      <vt:lpstr>Design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Tiago Silva</cp:lastModifiedBy>
  <dcterms:created xsi:type="dcterms:W3CDTF">2026-10-27T10:30:01Z</dcterms:created>
  <dcterms:modified xsi:type="dcterms:W3CDTF">2026-10-27T10:30:59Z</dcterms:modified>
</cp:coreProperties>
</file>