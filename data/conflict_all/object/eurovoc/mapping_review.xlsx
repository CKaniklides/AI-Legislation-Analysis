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8c8c9cd31f35923/0 QIST/Year 2/JIP/AI-Legislation-Analysis/data/conflict_all/object/eurovoc/"/>
    </mc:Choice>
  </mc:AlternateContent>
  <xr:revisionPtr revIDLastSave="2" documentId="11_685FC1C72B60076D7096F203E18567F32AE06045" xr6:coauthVersionLast="47" xr6:coauthVersionMax="47" xr10:uidLastSave="{4AFC0678-9639-47A6-B917-62A8130488FF}"/>
  <bookViews>
    <workbookView xWindow="-110" yWindow="-110" windowWidth="19420" windowHeight="11500" xr2:uid="{00000000-000D-0000-FFFF-FFFF00000000}"/>
  </bookViews>
  <sheets>
    <sheet name="README" sheetId="1" r:id="rId1"/>
    <sheet name="Validate" sheetId="2" r:id="rId2"/>
    <sheet name="key" sheetId="3" state="hidden" r:id="rId3"/>
    <sheet name="Design"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5" l="1"/>
  <c r="G12" i="5"/>
  <c r="F12" i="5"/>
  <c r="E12" i="5"/>
  <c r="D12" i="5"/>
  <c r="C12" i="5"/>
  <c r="H11" i="5"/>
  <c r="G11" i="5"/>
  <c r="F11" i="5"/>
  <c r="E11" i="5"/>
  <c r="D11" i="5"/>
  <c r="C11" i="5"/>
  <c r="J10" i="5"/>
  <c r="H10" i="5"/>
  <c r="G10" i="5"/>
  <c r="F10" i="5"/>
  <c r="E10" i="5"/>
  <c r="I10" i="5" s="1"/>
  <c r="D10" i="5"/>
  <c r="C10" i="5"/>
  <c r="J9" i="5"/>
  <c r="I9" i="5"/>
  <c r="H9" i="5"/>
  <c r="G9" i="5"/>
  <c r="F9" i="5"/>
  <c r="E9" i="5"/>
  <c r="D9" i="5"/>
  <c r="C9" i="5"/>
  <c r="H8" i="5"/>
  <c r="G8" i="5"/>
  <c r="F8" i="5"/>
  <c r="E8" i="5"/>
  <c r="D8" i="5"/>
  <c r="C8" i="5"/>
  <c r="H7" i="5"/>
  <c r="G7" i="5"/>
  <c r="F7" i="5"/>
  <c r="E7" i="5"/>
  <c r="D7" i="5"/>
  <c r="C7" i="5"/>
  <c r="H6" i="5"/>
  <c r="G6" i="5"/>
  <c r="F6" i="5"/>
  <c r="E6" i="5"/>
  <c r="D6" i="5"/>
  <c r="C6" i="5"/>
  <c r="H5" i="5"/>
  <c r="G5" i="5"/>
  <c r="F5" i="5"/>
  <c r="E5" i="5"/>
  <c r="D5" i="5"/>
  <c r="C5" i="5"/>
  <c r="H4" i="5"/>
  <c r="G4" i="5"/>
  <c r="F4" i="5"/>
  <c r="E4" i="5"/>
  <c r="D4" i="5"/>
  <c r="C4" i="5"/>
  <c r="J3" i="5"/>
  <c r="H3" i="5"/>
  <c r="G3" i="5"/>
  <c r="F3" i="5"/>
  <c r="E3" i="5"/>
  <c r="I3" i="5" s="1"/>
  <c r="D3" i="5"/>
  <c r="C3" i="5"/>
  <c r="J2" i="5"/>
  <c r="I2" i="5"/>
  <c r="H2" i="5"/>
  <c r="G2" i="5"/>
  <c r="F2" i="5"/>
  <c r="E2" i="5"/>
  <c r="D2" i="5"/>
  <c r="C2" i="5"/>
  <c r="E52" i="4"/>
  <c r="F52" i="4" s="1"/>
  <c r="E51" i="4"/>
  <c r="E50" i="4"/>
  <c r="F50" i="4" s="1"/>
  <c r="E49" i="4"/>
  <c r="F49" i="4" s="1"/>
  <c r="E48" i="4"/>
  <c r="F48" i="4" s="1"/>
  <c r="G47" i="4"/>
  <c r="F47" i="4"/>
  <c r="E47" i="4"/>
  <c r="E46" i="4"/>
  <c r="F46" i="4" s="1"/>
  <c r="E45" i="4"/>
  <c r="F45" i="4" s="1"/>
  <c r="E44" i="4"/>
  <c r="F44" i="4" s="1"/>
  <c r="G43" i="4"/>
  <c r="F43" i="4"/>
  <c r="E43" i="4"/>
  <c r="E42" i="4"/>
  <c r="F42" i="4" s="1"/>
  <c r="E41" i="4"/>
  <c r="F41" i="4" s="1"/>
  <c r="E40" i="4"/>
  <c r="F40" i="4" s="1"/>
  <c r="G39" i="4"/>
  <c r="F39" i="4"/>
  <c r="E39" i="4"/>
  <c r="E38" i="4"/>
  <c r="F38" i="4" s="1"/>
  <c r="E37" i="4"/>
  <c r="F37" i="4" s="1"/>
  <c r="E36" i="4"/>
  <c r="G35" i="4"/>
  <c r="E35" i="4"/>
  <c r="F35" i="4" s="1"/>
  <c r="E34" i="4"/>
  <c r="F34" i="4" s="1"/>
  <c r="E33" i="4"/>
  <c r="C27" i="4"/>
  <c r="B27" i="4"/>
  <c r="C26" i="4"/>
  <c r="B26" i="4"/>
  <c r="D16" i="4"/>
  <c r="D15" i="4"/>
  <c r="D14" i="4"/>
  <c r="D13" i="4"/>
  <c r="D12" i="4"/>
  <c r="D11" i="4"/>
  <c r="D10" i="4"/>
  <c r="D9" i="4"/>
  <c r="D8" i="4"/>
  <c r="D7" i="4"/>
  <c r="D6" i="4"/>
  <c r="D5" i="4"/>
  <c r="J12" i="5" l="1"/>
  <c r="I12" i="5"/>
  <c r="J11" i="5"/>
  <c r="I11" i="5"/>
  <c r="L10" i="5"/>
  <c r="K10" i="5"/>
  <c r="L9" i="5"/>
  <c r="K9" i="5"/>
  <c r="J8" i="5"/>
  <c r="I8" i="5"/>
  <c r="J7" i="5"/>
  <c r="I7" i="5"/>
  <c r="J6" i="5"/>
  <c r="I6" i="5"/>
  <c r="J5" i="5"/>
  <c r="I5" i="5"/>
  <c r="J4" i="5"/>
  <c r="I4" i="5"/>
  <c r="K3" i="5"/>
  <c r="L3" i="5"/>
  <c r="L2" i="5"/>
  <c r="K2" i="5"/>
  <c r="G52" i="4"/>
  <c r="G51" i="4"/>
  <c r="F51" i="4"/>
  <c r="G40" i="4"/>
  <c r="G48" i="4"/>
  <c r="G36" i="4"/>
  <c r="G44" i="4"/>
  <c r="F36" i="4"/>
  <c r="G45" i="4"/>
  <c r="G42" i="4"/>
  <c r="G38" i="4"/>
  <c r="G46" i="4"/>
  <c r="G37" i="4"/>
  <c r="G41" i="4"/>
  <c r="G49" i="4"/>
  <c r="G50" i="4"/>
  <c r="G34" i="4"/>
  <c r="G33" i="4"/>
  <c r="F33" i="4"/>
  <c r="K12" i="5" l="1"/>
  <c r="L12" i="5"/>
  <c r="K11" i="5"/>
  <c r="L11" i="5"/>
  <c r="K8" i="5"/>
  <c r="L8" i="5"/>
  <c r="K7" i="5"/>
  <c r="L7" i="5"/>
  <c r="K6" i="5"/>
  <c r="L6" i="5"/>
  <c r="K5" i="5"/>
  <c r="L5" i="5"/>
  <c r="K4" i="5"/>
  <c r="L4" i="5"/>
</calcChain>
</file>

<file path=xl/sharedStrings.xml><?xml version="1.0" encoding="utf-8"?>
<sst xmlns="http://schemas.openxmlformats.org/spreadsheetml/2006/main" count="1489" uniqueCount="751">
  <si>
    <t>row</t>
  </si>
  <si>
    <t>object</t>
  </si>
  <si>
    <t>raw_object</t>
  </si>
  <si>
    <t>cand_1</t>
  </si>
  <si>
    <t>cand_2</t>
  </si>
  <si>
    <t>cand_3</t>
  </si>
  <si>
    <t>n_norms</t>
  </si>
  <si>
    <t>context</t>
  </si>
  <si>
    <t>judgement</t>
  </si>
  <si>
    <t>better_concept</t>
  </si>
  <si>
    <t>notes</t>
  </si>
  <si>
    <t>norm_id</t>
  </si>
  <si>
    <t>verhouding tot het ICT-risico van de financiële entiteit</t>
  </si>
  <si>
    <t>in verhouding tot het ICT-risico van de financiële entiteit</t>
  </si>
  <si>
    <t>gevolgen van ICT</t>
  </si>
  <si>
    <t>…is, vaardigheden en deskundigheid op het gebied van ICT-risico en over de nodige onafhankelijkheid. De frequentie en de focus van de ICT-audits staan in verhouding tot het ICT-risico van de financiële entiteit.</t>
  </si>
  <si>
    <t>32022R2554:6:6:15</t>
  </si>
  <si>
    <t>verplichtingen</t>
  </si>
  <si>
    <t>contract</t>
  </si>
  <si>
    <t>[1] EU 32016R0679:30:5:7: De in de leden 1 en 2 bedoelde verplichtingen zijn niet van toepassing op ondernemingen of organisaties die minder dan 250 personen in dienst hebben, tenzij het waarschijnlijk is dat de verwerkin…
[2] NL BWBR0009950:6.3:1:2: …ment en Markt kan met het oog op de doelstellingen, bedoeld in artikel 3, tweede en vierde lid, van richtlijn (EU) 2018/1972, op een redelijk verzoek verplichtingen opleggen om toegang te verlenen tot: a. kabels of bijbehorende faciliteiten binnen gebouwen of, b. indien het dichtst bij het netwerkaansluitpunt gel…
[3] EU 32024R1689:53:2:8: De in lid 1, punten a) en b) genoemde verplichtingen gelden niet voor aanbieders van AI-modellen die worden vrijgegeven in het kader van een vrije en opensource licentie die de raadpleging, het gebruik,…</t>
  </si>
  <si>
    <t>32016R0679:30:5:7, BWBR0009950:6.3:1:2, 32024R1689:53:2:8</t>
  </si>
  <si>
    <t>misbruik</t>
  </si>
  <si>
    <t>vertraging of misbruik van het overstapproces</t>
  </si>
  <si>
    <t>rechtsmisbruik</t>
  </si>
  <si>
    <t>mishandeling</t>
  </si>
  <si>
    <t>machtsmisbruik</t>
  </si>
  <si>
    <t>…e dat de levering niet langer dan één werkdag wordt onderbroken; c. werken te goeder trouw samen ten behoeve van het overstappen; d. veroorzaken geen vertraging of misbruik van het overstapproces, en e. zorgen ervoor dat het overstappen niet plaatsvindt zonder uitdrukkelijke toestemming van de abonnee.</t>
  </si>
  <si>
    <t>BWBR0009950:7.2c:2:3</t>
  </si>
  <si>
    <t>informatie</t>
  </si>
  <si>
    <t>[1] EU 32024R1689:70:2:6: De lidstaten verstrekken de Commissie informatie over de identiteit en de taken van de aanmeldende autoriteiten en de markttoezichtautoriteiten, alsook over eventuele latere wijzigingen daarin. De l…
[2] NL BWBR0009950:6a.9:1:2: …toriteit Consument en Markt kan op grond artikel 6a.2, eerste lid, de verplichting opleggen om door de Autoriteit Consument en Markt nader te bepalen informatie met betrekking tot door de Autoriteit Consument en Markt te bepalen vormen van toegang bekend te maken. Deze informatie kan onder meer betrekking heb…
[3] EU 32016R0679:12:1:4: De verwerkingsverantwoordelijke neemt passende maatregelen opdat de betrokkene de in de artikelen 13 en 14 bedoelde informatie en de in de artikelen 15 tot en met 22 en artikel 34 bedoelde communicatie in verband met de verwerking in een beknopte, transparante, begrijpelijke …</t>
  </si>
  <si>
    <t>32024R1689:70:2:6, BWBR0009950:6a.9:1:2, 32016R0679:12:1:4</t>
  </si>
  <si>
    <t>nummergebruiker</t>
  </si>
  <si>
    <t>de nummergebruiker</t>
  </si>
  <si>
    <t>computergebruiker</t>
  </si>
  <si>
    <t>informatiegebruiker</t>
  </si>
  <si>
    <t>De Autoriteit Consument en Markt stelt de nummergebruiker, voorzover deze bij de Autoriteit Consument en Markt bekend is, van de aanwijzing op de hoogte.</t>
  </si>
  <si>
    <t>BWBR0009950:7.3a:4:4</t>
  </si>
  <si>
    <t>Archiefbescheiden van de Autoriteit Consument en Markt</t>
  </si>
  <si>
    <t>Archiefbescheiden van de Autoriteit Consument en Markt en aanvragen als bedoeld in het tweede lid</t>
  </si>
  <si>
    <t>Instituut voor de gezondheid en de veiligheid van de consument</t>
  </si>
  <si>
    <t>Europese Autoriteit voor effecten en markten</t>
  </si>
  <si>
    <t>Uitvoerend Agentschap voor consumenten, gezondheid, landbouw en voeding</t>
  </si>
  <si>
    <t>Archiefbescheiden van de Autoriteit Consument en Markt en aanvragen als bedoeld in het tweede lid, worden overgedragen aan Onze Minister, voor zover zij niet overeenkomstig de Archiefwet 1995 zijn overgebracht naar een archiefbewaarplaats.</t>
  </si>
  <si>
    <t>BWBR0009950:20.15a:4:2</t>
  </si>
  <si>
    <t>termijn</t>
  </si>
  <si>
    <t>procestermijn</t>
  </si>
  <si>
    <t>termijn voor publicatie</t>
  </si>
  <si>
    <t>terminologie</t>
  </si>
  <si>
    <t>[1] EU 32022L2555:38:6:9: …de handeling aan het Europees Parlement en de Raad bezwaar heeft gemaakt, of indien zowel het Europees Parlement als de Raad voor het verstrijken van die termijn de Commissie hebben meegedeeld dat zij daartegen geen bezwaar zullen maken. Die termijn wordt op initiatief van het Europees Parlement of de Raad met…
[2] NL BWBR0009950:14a.2:3:5: … na ontvangst van de melding of een verbod op grond van artikel 14a.4, eerste lid, wordt opgelegd. Indien nader onderzoek nodig is, kan Onze Minister de termijn verlengen met zes maanden. De termijn wordt opgeschort met ingang van de dag: a. waarop Onze Minister aanvullende informatie verzoekt tot de dag waar…
[3] EU 32024R1689:80:2:4: …deze alle nodige maatregelen neemt om het AI-systeem in overeenstemming te brengen met de vereisten en verplichtingen van deze verordening, en binnen een termijn die de markttoezichtautoriteit kan voorschrijven passende corrigerende maatregelen neemt.</t>
  </si>
  <si>
    <t>32022L2555:38:6:9, BWBR0009950:14a.2:3:5, 32024R1689:80:2:4</t>
  </si>
  <si>
    <t>nadere regels</t>
  </si>
  <si>
    <t>betere regelgeving</t>
  </si>
  <si>
    <t>[1] EU 32016R0679:88:1:1: Bij wet of bij collectieve overeenkomst kunnen de lidstaten nadere regels vaststellen ter bescherming van de rechten en vrijheden met betrekking tot de verwerking van de persoonsgegevens van werknemers in het kader van de a…
[2] NL BWBR0009950:7.7:4:3: Bij of krachtens algemene maatregel van bestuur kunnen nadere regels worden gesteld met betrekking tot de in het derde lid bedoelde voorzieningen.
[3] NL BWBR0052872:50:4:5: Bij regeling van Onze Minister van Economische Zaken kunnen nadere regels worden gesteld ten aanzien van het bepaalde in dit artikel.</t>
  </si>
  <si>
    <t>32016R0679:88:1:1, BWBR0009950:7.7:4:3, BWBR0052872:50:4:5</t>
  </si>
  <si>
    <t>beperkingen</t>
  </si>
  <si>
    <t>voorschriften en beperkingen</t>
  </si>
  <si>
    <t>beperking van bewegingsvrijheid</t>
  </si>
  <si>
    <t>verplichting</t>
  </si>
  <si>
    <t>beroepsverbod</t>
  </si>
  <si>
    <t>Onze Minister kan aan de transitievergunning voorschriften en beperkingen verbinden, waaronder het voorschrift uitsluitend frequentieruimte te gebruiken in overeenstemming met de afspraken in de transitieovereenkomst bedoel…</t>
  </si>
  <si>
    <t>BWBR0009950:3.8a:4:9</t>
  </si>
  <si>
    <t>onregelmatigheden</t>
  </si>
  <si>
    <t>onregelmatigheden, storingen en onverwachte prestaties</t>
  </si>
  <si>
    <t>onverkiesbaarheid</t>
  </si>
  <si>
    <t>onverdeeldheid</t>
  </si>
  <si>
    <t>ontvankelijkheid</t>
  </si>
  <si>
    <t>…m met een hoog risico goed te begrijpen en de werking ervan naar behoren te kunnen monitoren, onder meer met het oog op het opsporen en aanpakken van onregelmatigheden, storingen en onverwachte prestaties; b) zich bewust te blijven van de mogelijke neiging om automatisch of te veel te vertrouwen op de output van een AI-systeem met een hoog risico (de z…</t>
  </si>
  <si>
    <t>32024R1689:14:4:16</t>
  </si>
  <si>
    <t>bijstand</t>
  </si>
  <si>
    <t>rechtsbijstand</t>
  </si>
  <si>
    <t>opstand</t>
  </si>
  <si>
    <t>rechtstoestand</t>
  </si>
  <si>
    <t>… volgende taken: a. het monitoren en analyseren van cyberdreigingen, kwetsbaarheden en incidenten op nationaal niveau, en het op verzoek verlenen van bijstand aan de betrokken essentiële entiteit of belangrijke entiteit met betrekking tot het realtime of bijna-realtime monitoren van haar netwerk- en informa…</t>
  </si>
  <si>
    <t>BWBR0052872:16:2:4</t>
  </si>
  <si>
    <t>toestemming</t>
  </si>
  <si>
    <t>verkoopvergunning</t>
  </si>
  <si>
    <t>wapenvergunning</t>
  </si>
  <si>
    <t>besluit</t>
  </si>
  <si>
    <t>[1] EU 32016R0679:58:3:30: …ellingen en organen alsmede aan het publiek advies te verstrekken over aangelegenheden die verband houden met de bescherming van persoonsgegevens; c) toestemming te geven voor verwerking als bedoeld in artikel 36, lid 5, indien die voorafgaande toestemming door het lidstatelijke recht wordt voorgeschreven; d) …
[2] NL BWBR0009950:3.20a:7:8: In afwijking van het eerste lid is toestemming niet vereist in bij of krachtens algemene maatregel van bestuur aan te wijzen gevallen.
[3] EU 32016R0679:7:3:4: De betrokkene heeft het recht zijn toestemming te allen tijde in te trekken. Het intrekken van de toestemming laat de rechtmatigheid van de verwerking op basis van de toestemming vóór de intrekkin…</t>
  </si>
  <si>
    <t>32016R0679:58:3:30, BWBR0009950:3.20a:7:8, 32016R0679:7:3:4</t>
  </si>
  <si>
    <t>voorschriften</t>
  </si>
  <si>
    <t>verordening</t>
  </si>
  <si>
    <t>[1] EU 32024R1689:99:1:1: Overeenkomstig de voorwaarden van deze verordening stellen de lidstaten de voorschriften vast voor sancties en andere handhavingsmaatregelen, die ook waarschuwingen en niet-monetaire maatregelen kunnen omvatten, die van toepassing zijn op…
[2] NL BWBR0009950:7.9:whole:1: Bij ministeriële regeling kunnen voorschriften worden gesteld met betrekking tot het door een aanbieder van een openbaar elektronisch communicatienetwerk of openbare elektronische communicatiedien…
[3] EU 32016R0679:43:6:13: De in lid 3 van dit artikel bedoelde voorschriften en de in artikel 42, lid 5, bedoelde criteria worden door de toezichthoudende autoriteit in een eenvoudig toegankelijke vorm openbaar gemaakt. De toezichthoudende autoriteiten delen die eisen en …</t>
  </si>
  <si>
    <t>32024R1689:99:1:1, BWBR0009950:7.9:whole:1, 32016R0679:43:6:13</t>
  </si>
  <si>
    <t>aanmelding</t>
  </si>
  <si>
    <t>de aanmelding</t>
  </si>
  <si>
    <t>aanklacht</t>
  </si>
  <si>
    <t>bekendmaking</t>
  </si>
  <si>
    <t>formulier</t>
  </si>
  <si>
    <t>Wanneer de Commissie vaststelt dat een aangemelde instantie niet of niet meer aan de aanmeldingseisen voldoet, brengt zij de aanmeldende lidstaat daarvan op de hoogte en verzoekt zij deze lidstaat de nodige corrigerende maatregelen te nemen, en …</t>
  </si>
  <si>
    <t>32024R1689:37:4:11</t>
  </si>
  <si>
    <t>deze verordening</t>
  </si>
  <si>
    <t>verordening (EU)</t>
  </si>
  <si>
    <t>…intrekking van die certificering leidt, onverminderd de verantwoordelijkheid van de verwerkingsverantwoordelijke of de verwerker voor de naleving van deze verordening. De accreditatie wordt afgegeven voor een maximumperiode van vijf jaar en kan onder dezelfde voorwaarden worden verlengd, mits het certificeringsorga…</t>
  </si>
  <si>
    <t>32016R0679:43:4:11</t>
  </si>
  <si>
    <t>vertaling van relevante informatie</t>
  </si>
  <si>
    <t>de vertaling van relevante informatie</t>
  </si>
  <si>
    <t>vertaling</t>
  </si>
  <si>
    <t>…; c) de communicatie met andere instellingen en het brede publiek; d) het gebruik van elektronische middelen voor interne en externe communicatie; e) de vertaling van relevante informatie; f) de voorbereiding en follow-up van de bijeenkomsten van het Comité; g) de voorbereiding, opstelling en bekendmaking van adviezen, besluiten inzake…</t>
  </si>
  <si>
    <t>32016R0679:75:6:9</t>
  </si>
  <si>
    <t>erkenning</t>
  </si>
  <si>
    <t>Een erkenning</t>
  </si>
  <si>
    <t>beginsel van wederzijdse erkenning</t>
  </si>
  <si>
    <t>schenking</t>
  </si>
  <si>
    <t>Een erkenning kan op verzoek van de erkende dienst worden ingetrokken. De erkende dienst voegt bij zijn verzoek een beëindigingsplan. Bij ministeriële regeling kun…</t>
  </si>
  <si>
    <t>BWBR0048156:14:1:3</t>
  </si>
  <si>
    <t>verzoek</t>
  </si>
  <si>
    <t>aan het verzoek</t>
  </si>
  <si>
    <t>beschikking</t>
  </si>
  <si>
    <t>oproepen van gegevens</t>
  </si>
  <si>
    <t>…t verstrekken van de gevraagde informatie of communicatie en het treffen van de gevraagde maatregelen gepaard gaan; ofwel b) weigeren gevolg te geven aan het verzoek. Het is aan de verwerkingsverantwoordelijke om de kennelijk ongegronde of buitensporige aard van het verzoek aan te tonen.</t>
  </si>
  <si>
    <t>32016R0679:12:5:17</t>
  </si>
  <si>
    <t>geaggregeerde beoordeling van het volwassenheidsniveau van de cyberbeveiligingscapaciteiten en -middelen in de hele Unie, met inbegrip van die op sectorniveau</t>
  </si>
  <si>
    <t>een geaggregeerde beoordeling van het volwassenheidsniveau van de cyberbeveiligingscapaciteiten en -middelen in de hele Unie, met inbegrip van die op sectorniveau, en van de mate waarin de nationale cyberbeveiligingsstrategieën van de lidstaten op elkaar zijn afgestemd</t>
  </si>
  <si>
    <t>weerbaarheid op het gebied van cyberbeveiliging</t>
  </si>
  <si>
    <t>…p van kleine en middelgrote ondernemingen; d) een geaggregeerde beoordeling van het resultaat van de in artikel 19 bedoelde collegiale toetsingen; e) een geaggregeerde beoordeling van het volwassenheidsniveau van de cyberbeveiligingscapaciteiten en -middelen in de hele Unie, met inbegrip van die op sectorniveau, en van de mate waarin de nationale cyberbeveiligingsstrategieën van de lidstaten op elkaar zijn afgestemd.</t>
  </si>
  <si>
    <t>32022L2555:18:1:9</t>
  </si>
  <si>
    <t>elementen</t>
  </si>
  <si>
    <t>de in lid 2 bedoelde elementen</t>
  </si>
  <si>
    <t>profielen</t>
  </si>
  <si>
    <t>programmeren</t>
  </si>
  <si>
    <t>nanomaterialen</t>
  </si>
  <si>
    <t>…is met betrekking tot de periode en de geografische en personele werkingssfeer. Bij haar beslissing over het verzoek houdt die instantie rekening met de in lid 2 bedoelde elementen. Een besluit dat nadelige rechtsgevolgen heeft voor een persoon mag niet uitsluitend worden genomen op basis van de output van het systeem voor biome…</t>
  </si>
  <si>
    <t>32024R1689:5:3:18</t>
  </si>
  <si>
    <t>bevoegde autoriteit</t>
  </si>
  <si>
    <t>de betrokken bevoegde autoriteit, bedoeld in artikel 8 van de Wet weerbaarheid kritieke entiteiten</t>
  </si>
  <si>
    <t>bevoegde nationale autoriteit</t>
  </si>
  <si>
    <t>verordenende bevoegdheid</t>
  </si>
  <si>
    <t>administratieve bevoegdheid</t>
  </si>
  <si>
    <t>De betrokken bevoegde autoriteit, bedoeld in artikel 15, stelt de betrokken bevoegde autoriteit, bedoeld in artikel 8 van de Wet weerbaarheid kritieke entiteiten, op de hoogte van haar beoordeling van de naleving van het bepaalde bij of krachtens deze wet door een essentiële entiteit die tevens kritieke entite…</t>
  </si>
  <si>
    <t>BWBR0052872:56:2:3</t>
  </si>
  <si>
    <t>AI-bureau</t>
  </si>
  <si>
    <t>het AI-bureau</t>
  </si>
  <si>
    <t>informatiebureau</t>
  </si>
  <si>
    <t>Publicatiebureau</t>
  </si>
  <si>
    <t>kantoorautomatisering</t>
  </si>
  <si>
    <t>…bevoegdheden voor toezicht op en handhaving van hoofdstuk V, rekening houdend met de procedurele waarborgen krachtens artikel 94. De Commissie belast het AI-bureau met de uitvoering van deze taken, onverminderd de organisatiebevoegdheden van de Commissie en de bevoegdheidsverdeling tussen de lidstaten en de Unie…</t>
  </si>
  <si>
    <t>32024R1689:88:1:2</t>
  </si>
  <si>
    <t>risico</t>
  </si>
  <si>
    <t>op de relevante omstandigheden en risico’s</t>
  </si>
  <si>
    <t>risicomanagement</t>
  </si>
  <si>
    <t>…van het systeem. De technische oplossingen die gericht zijn op het waarborgen van de cyberbeveiliging van AI-systemen met een hoog risico sluiten aan op de relevante omstandigheden en risico’s. De technische oplossingen voor het aanpakken van AI-specifieke kwetsbaarheden omvatten, waar passend, maatregelen voor het voorkomen, traceren, reag…</t>
  </si>
  <si>
    <t>32024R1689:15:5:13</t>
  </si>
  <si>
    <t>uitvoeringshandelingen</t>
  </si>
  <si>
    <t>uitvoeringsverordening</t>
  </si>
  <si>
    <t>uitvoeringsbesluit</t>
  </si>
  <si>
    <t>uitvoeringsrichtlijn</t>
  </si>
  <si>
    <t>[1] EU 32022L2555:23:11:35: …delingen vast waarin nader wordt gespecificeerd in welke gevallen een incident als significant wordt beschouwd als bedoeld in lid 3. De Commissie kan dergelijke uitvoeringshandelingen vaststellen met betrekking tot andere essentiële en belangrijke entiteiten. De Commissie wisselt advies uit en werkt samen met de samenwerkingsgroep …
[2] EU 32022L2555:21:5:14: Uiterlijk op 17 oktober 2024 stelt de Commissie uitvoeringshandelingen vast met de technische en methodologische vereisten van de in lid 2 bedoelde maatregelen met betrekking tot DNS-dienstverleners, registers voor tople…
[3] EU 32016R0679:45:5:8: …bij uitvoeringshandelingen zonder terugwerkende kracht over tot intrekking, wijziging of schorsing van het in lid 3 van dit artikel bedoelde besluit. Die uitvoeringshandelingen worden vastgesteld volgens de in artikel 93, lid 2, bedoelde onderzoeksprocedure. Om naar behoren gemotiveerde dwingende redenen van urgentie, stelt …</t>
  </si>
  <si>
    <t>32022L2555:23:11:35, 32022L2555:21:5:14, 32016R0679:45:5:8</t>
  </si>
  <si>
    <t>effecten van de wijziging in de praktijk</t>
  </si>
  <si>
    <t>een verslag over de doeltreffendheid en de effecten van de wijziging van de artikelen 13.2a, 13.4 en 13.5 in de praktijk</t>
  </si>
  <si>
    <t>effecten van de digitale revolutie</t>
  </si>
  <si>
    <t>wijziging van het ministerie</t>
  </si>
  <si>
    <t>…t in overeenstemming met Onze Minister binnen drie jaar na de inwerkingtreding van deze wet en vervolgens telkens na drie jaar aan de Staten-Generaal een verslag over de doeltreffendheid en de effecten van de wijziging van de artikelen 13.2a, 13.4 en 13.5 in de praktijk, voor zover die wijzigingen betrekking hebben op de implementatie van Richtlijn nr 2006/24/EG van het Europees Parlement en de Raad van de Europese U…</t>
  </si>
  <si>
    <t>BWBR0009950:13.9:whole:1</t>
  </si>
  <si>
    <t>maatregelen</t>
  </si>
  <si>
    <t>bestuursmaatregel</t>
  </si>
  <si>
    <t>beheer</t>
  </si>
  <si>
    <t>[1] EU 32016R0679:34:3:5: …eist wanneer een van de volgende voorwaarden is vervuld: a) de verwerkingsverantwoordelijke heeft passende technische en organisatorische beschermingsmaatregelen genomen en deze maatregelen zijn toegepast op de persoonsgegevens waarop de inbreuk in verband met persoonsgegevens betrekking heeft, met name die we…
[2] NL BWBR0009950:7.4:3:6: …diensten volledige, vergelijkbare, betrouwbare, gebruiksvriendelijke en actuele informatie bekend te maken over: a. de kwaliteit van hun diensten; b. de maatregelen die zijn genomen om gelijkwaardige toegang voor eindgebruikers met een handicap te waarborgen; c. de afhankelijkheid van de kwaliteit van de dienstverlening van externe factoren, indien van toepassing en indien de eindgebruikers consumenten zi…
[3] EU 32016R0679:28:3:9: …n zich ertoe hebben verbonden vertrouwelijkheid in acht te nemen of door een passende wettelijke verplichting van vertrouwelijkheid zijn gebonden; c) alle overeenkomstig artikel 32 vereiste maatregelen neemt; d) aan de in de leden 2 en 4 bedoelde voorwaarden voor het in dienst nemen van een andere verwerker voldoet; e) rekening houdend met de aard v…</t>
  </si>
  <si>
    <t>32016R0679:34:3:5, BWBR0009950:7.4:3:6, 32016R0679:28:3:9</t>
  </si>
  <si>
    <t>ten minste de volgende elementen</t>
  </si>
  <si>
    <t>De contractuele overeenkomsten inzake het gebruik van ICT-diensten bevatten ten minste de volgende elementen: a) een duidelijke en volledige beschrijving van alle door de derde aanbieder van ICT-diensten te leveren functies en ICT-diensten, met vermelding of…</t>
  </si>
  <si>
    <t>32022R2554:30:2:5</t>
  </si>
  <si>
    <t>veiling</t>
  </si>
  <si>
    <t>een veiling</t>
  </si>
  <si>
    <t>…r overeenkomstig de bij of krachtens deze wet gestelde regels in aanmerking komt, wordt aan deze aanvrager het nummer toegekend zonder toepassing van een veiling.</t>
  </si>
  <si>
    <t>BWBR0009950:4.2:10:19</t>
  </si>
  <si>
    <t>bindende aanwijzing</t>
  </si>
  <si>
    <t>een bindende aanwijzing</t>
  </si>
  <si>
    <t>verplicht advies</t>
  </si>
  <si>
    <t>De bevoegde autoriteit kan een essentiële entiteit een bindende aanwijzing geven om binnen een daarbij gestelde redelijke termijn de daarin omschreven handelingen te verrichten of de daarin omschreven maatregelen te nemen te…</t>
  </si>
  <si>
    <t>BWBR0052872:74:whole:1</t>
  </si>
  <si>
    <t>belanghebbenden</t>
  </si>
  <si>
    <t>belangengroep</t>
  </si>
  <si>
    <t>algemeen belang</t>
  </si>
  <si>
    <t>medeëigendom</t>
  </si>
  <si>
    <t>…n informatie, voor zover er passende waarborgen voor de bescherming van persoonsgegevens en andere grondrechten en fundamentele vrijheden bestaan; c) belanghebbenden te betrekken bij besprekingen en activiteiten om de internationale samenwerking bij de handhaving van de wetgeving inzake de bescherming van persoons…</t>
  </si>
  <si>
    <t>32016R0679:50:whole:4</t>
  </si>
  <si>
    <t>gebruik laten maken van deze werken</t>
  </si>
  <si>
    <t>het gebruik laten maken van deze werken</t>
  </si>
  <si>
    <t>gebruik van robots</t>
  </si>
  <si>
    <t>…standgehouden of opgeruimd. Voor de rechthebbende op of de beheerder van de genoemde bovengrondse ondersteuningswerken bestaat geen gedoogplicht voor het gebruik laten maken van deze werken.</t>
  </si>
  <si>
    <t>BWBR0009950:5.2:6:8</t>
  </si>
  <si>
    <t>omvang</t>
  </si>
  <si>
    <t>de omvang en het algemene risicoprofiel van de financiële entiteit, en met de aard, schaal en complexiteit van de diensten, activiteiten en verrichtingen ervan</t>
  </si>
  <si>
    <t>omzettingstermijn</t>
  </si>
  <si>
    <t>…kader voor ICT-risicobeheer verder te specificeren. Bij het opstellen van die ontwerpen van technische reguleringsnormen houden de ETA’s rekening met de omvang en het algemene risicoprofiel van de financiële entiteit, en met de aard, schaal en complexiteit van de diensten, activiteiten en verrichtingen ervan. De ETA’s leggen deze ontwerpen van technische reguleringsnormen uiterlijk op 17 januari 2024 voor aan de Commissie. Aan de Commissie wordt de bevoeg…</t>
  </si>
  <si>
    <t>32022R2554:16:3:19</t>
  </si>
  <si>
    <t>[1] EU 32024R1689:57:1:4: … Commissie kan technische ondersteuning, advies en instrumenten verstrekken voor de oprichting en werking van AI-testomgevingen voor regelgeving. Aan de verplichting uit hoofde van de eerste alinea kan ook worden voldaan door deel te nemen aan een bestaande testomgeving, voor zover die deelname de deelnemende lidstaten een gelijkwaardig niveau v…
[2] NL BWBR0052872:21a:1:1: …ten die de nationale veiligheid raken te voorkomen, legt hij in overeenstemming met Onze Minister een essentiële entiteit of een belangrijke entiteit de verplichting op om in de daarbij aangewezen onderdelen van haar netwerk- en informatiesystemen uitsluitend gebruik te maken van producten of diensten van anderen …
[3] EU 32024R1689:50:2:7: …llende soorten content, de uitvoeringskosten en de algemeen erkende stand van de techniek, zoals tot uiting kan komen in relevante technische normen. Deze verplichting is niet van toepassing voor zover de AI-systemen een ondersteunende functie voor standaardbewerking vervullen of de door de gebruiksverantwoordelijke…</t>
  </si>
  <si>
    <t>32024R1689:57:1:4, BWBR0052872:21a:1:1, 32024R1689:50:2:7</t>
  </si>
  <si>
    <t>effectieve procedure om onjuiste informatie te melden</t>
  </si>
  <si>
    <t>in een effectieve procedure om onjuiste informatie te melden</t>
  </si>
  <si>
    <t>vertrouwelijke informatie</t>
  </si>
  <si>
    <t>… duidelijk dat de gepresenteerde informatie geen volledig overzicht van de markt biedt, voordat de zoekresultaten worden getoond; g. de tool voorziet in een effectieve procedure om onjuiste informatie te melden; h. de tool voorziet in de mogelijkheid tot vergelijking van de prijzen, tarieven en kwaliteit van de dienstverlening van de aanbiedingen waartussen …</t>
  </si>
  <si>
    <t>BWBR0009950:7.3:5:9</t>
  </si>
  <si>
    <t>aanvullende verklaring</t>
  </si>
  <si>
    <t>een aanvullende verklaring</t>
  </si>
  <si>
    <t>aangevulde realiteit</t>
  </si>
  <si>
    <t>officiële verklaring</t>
  </si>
  <si>
    <t>nota van toelichting</t>
  </si>
  <si>
    <t>…ming van de doeleinden van de verwerking heeft de betrokkene het recht vervollediging van onvolledige persoonsgegevens te verkrijgen, onder meer door een aanvullende verklaring te verstrekken.</t>
  </si>
  <si>
    <t>32016R0679:16:whole:3</t>
  </si>
  <si>
    <t>latere wijzigingen</t>
  </si>
  <si>
    <t>alle latere wijzigingen daarvan</t>
  </si>
  <si>
    <t>gewijzigd voorstel</t>
  </si>
  <si>
    <t>invoering van vernieuwingen</t>
  </si>
  <si>
    <t>Elke lidstaat deelt de Commissie uiterlijk op 25 mei 2018 de overeenkomstig lid 1 vastgestelde wetgevingsbepalingen mee, alsook onverwijld alle latere wijzigingen daarvan.</t>
  </si>
  <si>
    <t>32016R0679:84:2:4</t>
  </si>
  <si>
    <t>informatie, alsmede informatie of kan worden verkregen</t>
  </si>
  <si>
    <t>informatie die voor of tijdens onderhandelingen over interoperabiliteits- of toegangsovereenkomsten aan hen is verstrekt, alsmede informatie die bij de uitvoering van de overeenkomst is of kan worden verkregen</t>
  </si>
  <si>
    <t>Aanbieders van elektronische communicatienetwerken of aanbieders van elektronische communicatiediensten mogen informatie die voor of tijdens onderhandelingen over interoperabiliteits- of toegangsovereenkomsten aan hen is verstrekt, alsmede informatie die bij de uitvoering van de overeenkomst is of kan worden verkregen uitsluitend gebruiken voor het doel waarvoor deze informatie is verstrekt, respectievelijk uitsluitend gebruiken voor de uitvoering van de overeenkom…</t>
  </si>
  <si>
    <t>BWBR0009950:6.1:2:5</t>
  </si>
  <si>
    <t>nummergebruikers</t>
  </si>
  <si>
    <t>de nummergebruikers</t>
  </si>
  <si>
    <t>hulp aan de gebruiker</t>
  </si>
  <si>
    <t>Nummerhouders registreren binnen zes maanden na de inwerkingtreding van artikel 4.9, derde lid, onderdeel b, de nummergebruikers. De nummergebruiker krijgt het nummer op de dag van registratie door de nummerhouder van rechtswege in gebruik door de nummerhouder.</t>
  </si>
  <si>
    <t>BWBR0009950:20.16a:2:1</t>
  </si>
  <si>
    <t>automatische waarschuwingsmechanismen</t>
  </si>
  <si>
    <t>systeem voor tijdige waarschuwing</t>
  </si>
  <si>
    <t>automatische informatieverwerking</t>
  </si>
  <si>
    <t>automatische regeling</t>
  </si>
  <si>
    <t>…ogelijk en bepalen waarschuwingsdrempels en criteria om processen voor respons op ICT-gerelateerde incidenten in werking te stellen, met inbegrip van automatische waarschuwingsmechanismen voor de betrokken personeelsleden die belast zijn met de respons op ICT-gerelateerde incidenten.</t>
  </si>
  <si>
    <t>32022R2554:10:2:8</t>
  </si>
  <si>
    <t>adviezen</t>
  </si>
  <si>
    <t>advies (EU)</t>
  </si>
  <si>
    <t>…r reële omstandigheden als bedoeld in de artikelen 57, 59 en 60; e) op verzoek van de Commissie of op eigen initiatief aanbevelingen en schriftelijke adviezen uitbrengen over alle relevante aangelegenheden in verband met de uitvoering van deze verordening en de consistente en doeltreffende toepassing ervan,…</t>
  </si>
  <si>
    <t>32024R1689:66:whole:17</t>
  </si>
  <si>
    <t>uittreksels</t>
  </si>
  <si>
    <t>voor eensluidend gewaarmerkte kopieën of uittreksels</t>
  </si>
  <si>
    <t>uitlevering</t>
  </si>
  <si>
    <t>ontvoering</t>
  </si>
  <si>
    <t>uitverkoop</t>
  </si>
  <si>
    <t>…procedures en alle overig voor de uitvoering van zijn taken relevant materiaal te onderzoeken, ongeacht de drager waarop dit materiaal opgeslagen; b) voor eensluidend gewaarmerkte kopieën of uittreksels te maken of te verkrijgen van deze registers, data, gedocumenteerde procedures en enig ander materiaal; c) vertegenwoordigers van kritieke derde aanb…</t>
  </si>
  <si>
    <t>32022R2554:38:2:3</t>
  </si>
  <si>
    <t>persoonsgegevens van een abonnee</t>
  </si>
  <si>
    <t>gegevensbescherming</t>
  </si>
  <si>
    <t>persoonlijke gegevens</t>
  </si>
  <si>
    <t>recht op privacy</t>
  </si>
  <si>
    <t>In een algemeen beschikbare abonneelijst en in het voor een abonnee-informatiedienst gebruikte abonneebestand worden uitsluitend persoonsgegevens van een abonnee opgenomen, indien de abonnee daarvoor toestemming heeft verleend en blijft deze beperkt tot de door hem daarbij aangegeven persoonsgegevens. Aan het …</t>
  </si>
  <si>
    <t>BWBR0009950:11.6:2:5</t>
  </si>
  <si>
    <t>afspraken</t>
  </si>
  <si>
    <t>communicatie</t>
  </si>
  <si>
    <t>afspraak tussen ondernemingen</t>
  </si>
  <si>
    <t>… streven naar overeenstemming over de omstandigheden en voorwaarden waaronder coördinatie van de civiele werken plaatsvindt. Zij maken in ieder geval afspraken over: a. de plaats, het tijdstip en de wijze van uitvoering van de werkzaamheden, b. een redelijke vergoeding van de kosten die zijn gemoeid met coör…</t>
  </si>
  <si>
    <t>BWBR0009950:5a.11:2:3</t>
  </si>
  <si>
    <t>verslag</t>
  </si>
  <si>
    <t>[1] EU 32024R1689:99:11:15: De lidstaten brengen jaarlijks verslag uit aan de Commissie over de administratieve geldboeten die zij in de loop van dat jaar overeenkomstig dit artikel hebben opgelegd, en over alle daar…
[2] NL BWBR0052872:94:1:1: Onze Minister zendt binnen achttien maanden na de inwerkingtreding van deze wet aan de Staten-Generaal een verslag waarin de resultaten van een invoeringstoets over de uitvoerbaarheid, de handhaafbaarheid, de regeldruk, de samenloop en de werkbaarheid van deze wet in de praktijk zijn opgenomen.
[3] EU 32024R1689:56:5:12: Het AI-bureau streeft ernaar ervoor te zorgen dat de deelnemers aan de praktijkcodes regelmatig verslag uitbrengen aan het AI-bureau over de uitvoering van de verbintenissen en de genomen maatregelen en de resultaten daarvan, onder meer waar nodig gemet…</t>
  </si>
  <si>
    <t>32024R1689:99:11:15, BWBR0052872:94:1:1, 32024R1689:56:5:12</t>
  </si>
  <si>
    <t>aanbieder</t>
  </si>
  <si>
    <t>de betreffende aanbieder</t>
  </si>
  <si>
    <t>provider</t>
  </si>
  <si>
    <t>… elektronisch communicatienetwerk, een openbare elektronische communicatiedienst of bijbehorende faciliteiten, stelt de Autoriteit Consument en Markt de betreffende aanbieder daarvan op de hoogte.</t>
  </si>
  <si>
    <t>BWBR0009950:18.20:3:3</t>
  </si>
  <si>
    <t>risicobeoordeling van het incident en corrigerende maatregelen</t>
  </si>
  <si>
    <t>een risicobeoordeling van het incident en corrigerende maatregelen</t>
  </si>
  <si>
    <t>risicobeheer</t>
  </si>
  <si>
    <t>… op grond van lid 1 verricht de aanbieder onverwijld het nodige onderzoek in verband met het ernstige incident en het betrokken AI-systeem. Dit omvat een risicobeoordeling van het incident en corrigerende maatregelen. De aanbieder werkt tijdens het in de eerste alinea genoemde onderzoek samen met de bevoegde autoriteiten en, in voorkomend geval, met de betrokken a…</t>
  </si>
  <si>
    <t>32024R1689:73:6:8</t>
  </si>
  <si>
    <t>advies</t>
  </si>
  <si>
    <t>[1] EU 32016R0679:57:1:5: …werking. Bijzondere aandacht wordt besteed aan specifiek op kinderen gerichte activiteiten; c) zij verleent overeenkomstig het recht van de lidstaat, advies aan het nationale parlement, de regering, en andere instellingen en organen over wetgevingsinitiatieven en bestuursmaatregelen in verband met de besc…
[2] NL BWBR0048156:11:7:8: …het Bureau bevordering integriteitsbeoordelingen, bedoeld in artikel 8 van de Wet bevordering integriteitsbeoordelingen door het openbaar bestuur, om een advies als bedoeld in artikel 9 van die wet worden gevraagd.
[3] EU 32016R0679:64:1:1: Het Comité brengt een advies uit wanneer een bevoegde toezichthoudende autoriteit voornemens is een van onderstaande maatregelen vast te stellen. Hiertoe deelt de bevoegde toezic…</t>
  </si>
  <si>
    <t>32016R0679:57:1:5, BWBR0048156:11:7:8, 32016R0679:64:1:1</t>
  </si>
  <si>
    <t>bevoegdheden</t>
  </si>
  <si>
    <t>institutionele bevoegdheid</t>
  </si>
  <si>
    <t>regelgevende bevoegdheid</t>
  </si>
  <si>
    <t>[1] EU 32022R2554:39:2:4: …zegelen zolang en voor zover dit nodig is voor de inspectie. De functionarissen en andere personen die door de lead overseer zijn gemachtigd, oefenen deze bevoegdheden uit na overlegging van een schriftelijke machtiging waarin het onderwerp en het doel van de inspectie worden vermeld, alsmede de dwangsommen als bedo…
[2] NL BWBR0009950:15.3d:3:3: De ambtenaren, bedoeld in het eerste lid, beschikken voor de uitvoering van een gezamenlijk onderzoek over de bevoegdheden waarover zij ook voor het verlenen van bijstand beschikken. Artikel 15.3b, derde lid, is van overeenkomstige toepassing.
[3] EU 32024R1689:74:5:4: … krachtens artikel 14 van Verordening (EU) 2019/1020 kunnen markttoezichtautoriteiten met het oog op de doeltreffende handhaving van deze verordening de in artikel 14, lid 4, punten d) en j), van die verordening bedoelde bevoegdheden naargelang van het geval op afstand uitoefenen.</t>
  </si>
  <si>
    <t>32022R2554:39:2:4, BWBR0009950:15.3d:3:3, 32024R1689:74:5:4</t>
  </si>
  <si>
    <t>pseudonimisering</t>
  </si>
  <si>
    <t>pseudonimisering als bedoeld in artikel 4, onderdeel 5, van de verordening</t>
  </si>
  <si>
    <t>anonimisering</t>
  </si>
  <si>
    <t>… Burgerlijk Wetboek rust dan wel heeft gerust, wordt voor aanvang van de verwerking van persoonsgegevens voor de opdracht, bedoeld in het eerste lid, pseudonimisering als bedoeld in artikel 4, onderdeel 5, van de verordening toegepast en vervolgens onafgebroken gecontinueerd.</t>
  </si>
  <si>
    <t>BWBR0040940:23a:2:2</t>
  </si>
  <si>
    <t>of aan de toezichtvoorwaarden voor het sluiten van het contract is voldaan</t>
  </si>
  <si>
    <t>afsluiten van een contract</t>
  </si>
  <si>
    <t>bevoegdheid om overeenkomsten te sluiten</t>
  </si>
  <si>
    <t>verbreken van een contract</t>
  </si>
  <si>
    <t>…de contractuele overeenkomst betrekking heeft op het gebruik van ICT-diensten die een kritieke of belangrijke functie ondersteunen; b) beoordelen zij of aan de toezichtvoorwaarden voor het sluiten van het contract is voldaan; c) identificeren en beoordelen zij alle relevante risico’s met betrekking tot de contractuele overeenkomst, met inbegrip van de mogelijkheid dat dez…</t>
  </si>
  <si>
    <t>32022R2554:28:4:14</t>
  </si>
  <si>
    <t>kennis</t>
  </si>
  <si>
    <t>over kennis en vaardigheden</t>
  </si>
  <si>
    <t>kennisbeheer</t>
  </si>
  <si>
    <t>digitale kennis</t>
  </si>
  <si>
    <t>Ieder lid van het bestuur van een essentiële entiteit of belangrijke entiteit beschikt over kennis en vaardigheden om: a. risico’s voor de beveiliging van netwerk- en informatiesystemen te kunnen identificeren; b. risicobeheersmaatregelen op het gebied van cyberbe…</t>
  </si>
  <si>
    <t>BWBR0052872:24:2:2</t>
  </si>
  <si>
    <t>nummer</t>
  </si>
  <si>
    <t>de toekenning van een nummer</t>
  </si>
  <si>
    <t>telefoon</t>
  </si>
  <si>
    <t>numerieke besturing</t>
  </si>
  <si>
    <t>…ene maatregel van bestuur wordt bepaald welke gedragingen van een nummergebruiker voor de Autoriteit Consument en Markt aanleiding kunnen zijn om: a. de toekenning van een nummer te weigeren, op te schorten of in te trekken, b. de aanbieder van een openbare elektronische communicatiedienst een aanwijzing te geven de betaling d…</t>
  </si>
  <si>
    <t>BWBR0009950:4.4:1:3</t>
  </si>
  <si>
    <t>wijze de mededeling wordt gedaan</t>
  </si>
  <si>
    <t>op welke wijze de mededeling wordt gedaan</t>
  </si>
  <si>
    <t>mededeling van de regering</t>
  </si>
  <si>
    <t>mededeling aan de pers</t>
  </si>
  <si>
    <t>De Autoriteit Consument en Markt stelt vast op welke wijze de mededeling wordt gedaan en doet daarvan mededeling in de Staatscourant.</t>
  </si>
  <si>
    <t>BWBR0009950:2.1:3:4</t>
  </si>
  <si>
    <t>vertegenwoordigers van de financiële entiteit</t>
  </si>
  <si>
    <t>politieke vertegenwoordiging</t>
  </si>
  <si>
    <t>vertegenwoordiger van lokale of regionale autoriteit</t>
  </si>
  <si>
    <t>financiële deelneming</t>
  </si>
  <si>
    <t>…iervan te ontvangen of te maken; b) inspecties of onderzoeken ter plaatse uit te voeren, met inbegrip van, maar niet beperkt tot: i) het oproepen van vertegenwoordigers van de financiële entiteit en hen verzoeken om mondelinge of schriftelijke toelichting te geven bij feiten of documenten met betrekking tot het onderwerp en het doel van het on…</t>
  </si>
  <si>
    <t>32022R2554:50:2:5</t>
  </si>
  <si>
    <t>kennelijk ongegronde of buitensporige aard van het verzoek</t>
  </si>
  <si>
    <t>de kennelijk ongegronde of buitensporige aard van het verzoek</t>
  </si>
  <si>
    <t>beroep tot nietigverklaring</t>
  </si>
  <si>
    <t>beroep wegens nalatigheid</t>
  </si>
  <si>
    <t>beroep wegens niet-nakomen</t>
  </si>
  <si>
    <t>…administratieve kosten een redelijke vergoeding aanrekenen, of weigeren aan het verzoek gevolg te geven. Het is aan de toezichthoudende autoriteit om de kennelijk ongegronde of buitensporige aard van het verzoek aan te tonen.</t>
  </si>
  <si>
    <t>32016R0679:57:4:37</t>
  </si>
  <si>
    <t>kritieke derde aanbieder van ICT-diensten</t>
  </si>
  <si>
    <t>de kritieke derde aanbieder van ICT-diensten</t>
  </si>
  <si>
    <t>…n constateren dat een kritieke derde aanbieder van ICT-diensten zich verzet tegen een krachtens dit artikel gelaste inspectie, stelt de lead overseer de kritieke derde aanbieder van ICT-diensten in kennis van de gevolgen van dit verzet, met inbegrip van de mogelijkheid voor de bevoegde autoriteiten van de financiële entiteit om van de financi…</t>
  </si>
  <si>
    <t>32022R2554:39:7:11</t>
  </si>
  <si>
    <t>billijke en niet-discriminerende eisen</t>
  </si>
  <si>
    <t>billijke en niet-discriminerende eisen en voorwaarden</t>
  </si>
  <si>
    <t>niet rechtsbevoegd zijn</t>
  </si>
  <si>
    <t>…riteit Consument en Markt kan bij de beslechting van een geschil inzake de nakoming van een bij of krachtens hoofdstuk 5a of 5c gestelde verplichting billijke en niet-discriminerende eisen en voorwaarden stellen aan de bij dat geschil betrokken partijen, het medegebruik of de coördinatie.</t>
  </si>
  <si>
    <t>BWBR0009950:12.4:1:1</t>
  </si>
  <si>
    <t>automatische oproep- en communicatiesystemen zonder menselijke tussenkomst, faxen en elektronische berichten</t>
  </si>
  <si>
    <t>Het gebruik van automatische oproep- en communicatiesystemen zonder menselijke tussenkomst, faxen en elektronische berichten</t>
  </si>
  <si>
    <t>ongevraagde elektronische communicatie</t>
  </si>
  <si>
    <t>geautomatiseerd informatiesysteem</t>
  </si>
  <si>
    <t>computersystemen</t>
  </si>
  <si>
    <t>Het gebruik van automatische oproep- en communicatiesystemen zonder menselijke tussenkomst, faxen en elektronische berichten voor het overbrengen van ongevraagde communicatie voor commerciële, ideële of charitatieve doeleinden is verboden, tenzij de verzender kan aantonen d…</t>
  </si>
  <si>
    <t>BWBR0009950:11.7:1:1</t>
  </si>
  <si>
    <t>of de maatregel gerechtvaardigd is</t>
  </si>
  <si>
    <t>aanbeveling van de Raad</t>
  </si>
  <si>
    <t>kiesgerechtigd zijn</t>
  </si>
  <si>
    <t>uitvoeringsbesluit van de Raad</t>
  </si>
  <si>
    <t>…et de betrokken lidstaten en de betrokken operators en evalueert de genomen nationale maatregelen. Aan de hand van die evaluatie besluit de Commissie of de maatregel gerechtvaardigd is, en stelt zij zo nodig andere passende maatregelen voor.</t>
  </si>
  <si>
    <t>32024R1689:82:4:5</t>
  </si>
  <si>
    <t>passende en evenredige technische, operationele en organisatorische maatregelen</t>
  </si>
  <si>
    <t>Verdrag inzake stabiliteit, coördinatie en bestuur</t>
  </si>
  <si>
    <t>Programma voor gezonde en resultaatgerichte regelgeving</t>
  </si>
  <si>
    <t>Autoriteit voor paraatheid en respons inzake noodsituaties op gezondheidsgebied</t>
  </si>
  <si>
    <t>De lidstaten zorgen ervoor dat essentiële en belangrijke entiteiten passende en evenredige technische, operationele en organisatorische maatregelen nemen om de risico’s voor de beveiliging van de netwerk- en informatiesystemen die deze entiteiten voor hun werkzaamheden of voor het verlenen van hu…</t>
  </si>
  <si>
    <t>32022L2555:21:1:2</t>
  </si>
  <si>
    <t>derde aanbieder van ICT-diensten</t>
  </si>
  <si>
    <t>naar een andere derde aanbieder van ICT-diensten of naar interne oplossingen</t>
  </si>
  <si>
    <t>…inanciële entiteit te beperken of voor een doeltreffende afwikkeling en herstructurering te zorgen; ii) waarin de financiële entiteit kan overstappen naar een andere derde aanbieder van ICT-diensten of naar interne oplossingen in overeenstemming met de complexiteit van de geleverde dienst. In afwijking van punt e) kunnen de derde aanbieder van ICT-diensten en de financiële …</t>
  </si>
  <si>
    <t>32022R2554:30:3:15</t>
  </si>
  <si>
    <t>ontheffing</t>
  </si>
  <si>
    <t>onteigening</t>
  </si>
  <si>
    <t>…penbaar elektronisch communicatienetwerk en een aanbieder van een openbare elektronische communicatiedienst kan door de Autoriteit Consument en Markt ontheffing worden verleend van de verplichtingen die voortvloeien uit de artikelen 11.4, eerste lid, onderdeel b, en 11.9 tot en met 11.11.</t>
  </si>
  <si>
    <t>BWBR0009950:11.12:1:1</t>
  </si>
  <si>
    <t>opgelegde verplichting</t>
  </si>
  <si>
    <t>de opgelegde verplichting</t>
  </si>
  <si>
    <t>…lichting is opgelegd als bedoeld in het eerste, derde of vijfde lid, beoordeelt de Autoriteit Consument en Markt de resultaten daarvan en besluit zij de opgelegde verplichting in stand te houden, in te trekken of te wijzigen.</t>
  </si>
  <si>
    <t>BWBR0009950:6.3:9:16</t>
  </si>
  <si>
    <t>vergoeding</t>
  </si>
  <si>
    <t>een vergoeding</t>
  </si>
  <si>
    <t>Indien de Autoriteit en Consument een vergoeding vaststelt voor het medegebruik van fysieke infrastructuur, wordt ervoor gezorgd dat de netwerkexploitant een eerlijke kans heeft om zijn kosten terug…</t>
  </si>
  <si>
    <t>BWBR0009950:12.4:2:3</t>
  </si>
  <si>
    <t>last onder bestuursdwang</t>
  </si>
  <si>
    <t>een last onder bestuursdwang</t>
  </si>
  <si>
    <t>openbaarheid van het bestuur</t>
  </si>
  <si>
    <t>departementaal bestuur</t>
  </si>
  <si>
    <t>misbruik van bevoegdheid</t>
  </si>
  <si>
    <t>… lid, laatste twee volzinnen, 18, eerste en vierde lid, 19, 21, tweede, derde, vierde en vijfde lid, en 22, tweede lid, bevoegd tot oplegging van: a. een last onder bestuursdwang; of b. een bestuurlijke boete van ten hoogste het bedrag, genoemd in artikel 40, vierde lid, van de dataverordening.</t>
  </si>
  <si>
    <t>BWBR0051796:8:2:3</t>
  </si>
  <si>
    <t>een erkenning</t>
  </si>
  <si>
    <t>Onze Minister kan een erkenning wijzigen, schorsen of intrekken indien niet wordt voldaan aan de eisen bedoeld in het tweede of derde lid, de eisen, voorschriften of beperkingen bed…</t>
  </si>
  <si>
    <t>BWBR0048156:9:7:13</t>
  </si>
  <si>
    <t>Commissie</t>
  </si>
  <si>
    <t>conferentie</t>
  </si>
  <si>
    <t>comitologie</t>
  </si>
  <si>
    <t>delegatie van de Commissie</t>
  </si>
  <si>
    <t>[1] EU 32024R1689:46:3:9: …kttoezichtautoriteit concludeert dat het AI-systeem met een hoog risico aan de voorschriften van afdeling 2 voldoet. De markttoezichtautoriteit stelt de Commissie en de andere lidstaten in kennis van op grond van de leden 1 en 2 verstrekte toelatingen. Deze verplichting geldt niet voor gevoelige operationele gegevens met betrekking t…
[2] EU 32024R1689:66:whole:16: De AI-board adviseert en assisteert de Commissie en de lidstaten teneinde de consistente en doeltreffende toepassing van deze verordening te vergemakkelijken. Daartoe kan de AI-board met name: a) bi…
[3] EU 32024R1689:66:whole:4: De AI-board adviseert en assisteert de Commissie en de lidstaten teneinde de consistente en doeltreffende toepassing van deze verordening te vergemakkelijken. Daartoe kan de AI-board met name: a) bi…</t>
  </si>
  <si>
    <t>32024R1689:46:3:9, 32024R1689:66:whole:16, 32024R1689:66:whole:4</t>
  </si>
  <si>
    <t>attributen</t>
  </si>
  <si>
    <t>alle op grond van artikel 12 aangewezen attributen</t>
  </si>
  <si>
    <t>etiketteren</t>
  </si>
  <si>
    <t>…chtigd is namens de onderneming of rechtspersoon, bedoeld in artikel 15, eerste lid, op te treden bij de toegang tot elektronische dienstverlening en alle op grond van artikel 12 aangewezen attributen.</t>
  </si>
  <si>
    <t>BWBR0048156:13:2:7</t>
  </si>
  <si>
    <t>risico van belangenconflicten met betrekking tot de aangewezen cyberbeveiligingsdeskundigen</t>
  </si>
  <si>
    <t>elk risico van belangenconflicten met betrekking tot de aangewezen cyberbeveiligingsdeskundigen</t>
  </si>
  <si>
    <t>cyberveiligheid</t>
  </si>
  <si>
    <t>De lidstaten zorgen ervoor dat elk risico van belangenconflicten met betrekking tot de aangewezen cyberbeveiligingsdeskundigen aan de andere lidstaten, de samenwerkingsgroep, de Commissie en Enisa wordt gemeld voordat met de collegiale toetsing wordt begonnen. De aan een coll…</t>
  </si>
  <si>
    <t>32022L2555:19:8:20</t>
  </si>
  <si>
    <t>toezichthoudende autoriteit</t>
  </si>
  <si>
    <t>de toezichthoudende autoriteit</t>
  </si>
  <si>
    <t>administratief toezicht</t>
  </si>
  <si>
    <t>toezicht op de onderneming</t>
  </si>
  <si>
    <t>Wanneer er in een lidstaat meer dan één toezichthoudende autoriteit is gevestigd, wijst die lidstaat de toezichthoudende autoriteit aan die die autoriteiten in het Comité moet vertegenwoordigen en stelt hij de procedure vast om ervoor te zorgen dat de andere autoriteiten de regels…</t>
  </si>
  <si>
    <t>32016R0679:51:3:4</t>
  </si>
  <si>
    <t>Persoonsgegevens</t>
  </si>
  <si>
    <t>publieke gegevens</t>
  </si>
  <si>
    <t>invoer van gegevens</t>
  </si>
  <si>
    <t>Persoonsgegevens moeten: a) worden verwerkt op een wijze die ten aanzien van de betrokkene rechtmatig, behoorlijk en transparant is („rechtmatigheid, behoorlijkheid e…</t>
  </si>
  <si>
    <t>32016R0679:5:1:4</t>
  </si>
  <si>
    <t>besluit over de geschilbeslechting</t>
  </si>
  <si>
    <t>het besluit over de geschilbeslechting</t>
  </si>
  <si>
    <t>besluit (EU)</t>
  </si>
  <si>
    <t>In afwijking van het tweede lid kan de Autoriteit Consument en Markt in uitzonderlijke omstandigheden ambtshalve of op verzoek van partijen voorlopige maatregelen nemen, indien er een dringende noodzaak is om te handelen teneinde de mededinging of de belangen van eindgebruikers te beschermen.</t>
  </si>
  <si>
    <t>BWBR0009950:12.8:3:4</t>
  </si>
  <si>
    <t>de vergoeding</t>
  </si>
  <si>
    <t>Indien het bod op de in artikel 9.3, zesde lid, onderdeel b, bedoelde wijze is uitgebracht, bestaat de vergoeding uit het bod, uitgebracht door degene die op grond van artikel 9.3, achtste of negende lid, is aangewezen als universeledienstverlener, vermenigvuldig…</t>
  </si>
  <si>
    <t>BWBR0009950:9.4:2:2</t>
  </si>
  <si>
    <t>binnen het toepassingsgebied vallende entiteiten en, indien van toepassing, andere entiteiten, op vrijwillige basis onderling relevante informatie over cyberbeveiliging kunnen uitwisselen, met inbegrip van informatie over cyberdreigingen, bijna-incidenten, kwetsbaarheden, technieken en procedures, indicatoren voor aantasting, vijandige tactieken, dreigingsactorspecifieke informatie, cyberbeveiligingswaarschuwingen en aanbevelingen betreffende de configuratie van cyberbeveiligingsinstrumenten om cyberaanvallen te detecteren</t>
  </si>
  <si>
    <t>binnen het toepassingsgebied van deze richtlijn vallende entiteiten en, indien van toepassing, andere entiteiten die niet binnen het toepassingsgebied van deze richtlijn vallen, op vrijwillige basis onderling relevante informatie over cyberbeveiliging kunnen uitwisselen, met inbegrip van informatie over cyberdreigingen, bijna-incidenten, kwetsbaarheden, technieken en procedures, indicatoren voor aantasting, vijandige tactieken, dreigingsactorspecifieke informatie, cyberbeveiligingswaarschuwingen en aanbevelingen betreffende de configuratie van cyberbeveiligingsinstrumenten om cyberaanvallen te detecteren</t>
  </si>
  <si>
    <t>gebied</t>
  </si>
  <si>
    <t>De lidstaten zorgen ervoor dat binnen het toepassingsgebied van deze richtlijn vallende entiteiten en, indien van toepassing, andere entiteiten die niet binnen het toepassingsgebied van deze richtlijn vallen, op vrijwillige basis onderling relevante informatie over cyberbeveiliging kunnen uitwisselen, met inbegrip van informatie over cyberdreigingen, bijna-incidenten, kwetsbaarheden, technieken en procedures, indicatoren voor aantasting, vijandige tactieken, dreigingsactorspecifieke informatie, cyberbeveiligingswaarschuwingen en aanbevelingen betreffende de configuratie van cyberbeveiligingsinstrumenten om cyberaanvallen te detecteren, wanneer dat uitwisselen van informatie: a) beoogt incidenten te voorkomen, te detecteren, erop te reageren of ervan te herstellen of de gevolgen erv…</t>
  </si>
  <si>
    <t>32022L2555:29:1:1</t>
  </si>
  <si>
    <t>door andere toezichthoudende autoriteiten gevraagde informatie</t>
  </si>
  <si>
    <t>de door andere toezichthoudende autoriteiten gevraagde informatie</t>
  </si>
  <si>
    <t>raadpleging van informatie</t>
  </si>
  <si>
    <t>informatie van de publieke sector</t>
  </si>
  <si>
    <t>Toezichthoudende autoriteiten tot wie het verzoek is gericht delen in de regel de door andere toezichthoudende autoriteiten gevraagde informatie langs elektronische weg mee door middel van een standaardformulier.</t>
  </si>
  <si>
    <t>32016R0679:61:6:12</t>
  </si>
  <si>
    <t>gemachtigde</t>
  </si>
  <si>
    <t>een gemachtigde</t>
  </si>
  <si>
    <t>beschuldigde</t>
  </si>
  <si>
    <t>gedetineerde</t>
  </si>
  <si>
    <t>boetvaardige</t>
  </si>
  <si>
    <t>…e landen zijn gevestigd, wijzen voordat zij hun AI-systemen met een hoog risico in de Unie in de handel brengen, middels een schriftelijke machtiging een gemachtigde aan die is gevestigd in de Unie.</t>
  </si>
  <si>
    <t>32024R1689:22:1:1</t>
  </si>
  <si>
    <t>overige taken</t>
  </si>
  <si>
    <t>opname</t>
  </si>
  <si>
    <t>bewarend beslag</t>
  </si>
  <si>
    <t>…aatsen van een publiek identificatiemiddel op betrouwbaarheidsniveau hoog op het rijbewijs. Aan de Dienst Wegverkeer kunnen bij ministeriële regeling overige taken worden opgedragen die samenhangen met het plaatsen van een publiek identificatiemiddel op het rijbewijs.</t>
  </si>
  <si>
    <t>BWBR0048156:5:4:5</t>
  </si>
  <si>
    <t>gegevens</t>
  </si>
  <si>
    <t>gegevensmateriaal</t>
  </si>
  <si>
    <t>[1] EU 32022R2554:30:2:8: …de locaties, met name de regio’s of landen, waar de contractueel overeengekomen of uitbestede functies en ICT-diensten moeten worden geleverd en waar gegevens moeten worden verwerkt, met inbegrip van de opslaglocatie, en de verplichting voor de derde aanbieder van ICT-diensten om de financiële entiteit voor…
[2] NL BWBR0009950:18.3a:whole:1: Andere bestuursorganen dan de Autoriteit Consument en Markt zijn bevoegd uit eigen beweging en verplicht desgevraagd Onze Minister de gegevens te verstrekken die noodzakelijk zijn voor de uitvoering en het toezicht op de naleving van deze wet of van de eidas-verordening door Onze Minister.
[3] EU 32016R0679:30:1:2: …de verwerkingsverantwoordelijke houdt een register van de verwerkingsactiviteiten die onder hun verantwoordelijkheid plaatsvinden. Dat register bevat alle volgende gegevens: a) de naam en de contactgegevens van de verwerkingsverantwoordelijke en eventuele gezamenlijke verwerkingsverantwoordelijken, en, in voorkomend geva…</t>
  </si>
  <si>
    <t>32022R2554:30:2:8, BWBR0009950:18.3a:whole:1, 32016R0679:30:1:2</t>
  </si>
  <si>
    <t>financiële entiteit</t>
  </si>
  <si>
    <t>een financiële entiteit ertoe</t>
  </si>
  <si>
    <t>financiële audit</t>
  </si>
  <si>
    <t>financiële technologie</t>
  </si>
  <si>
    <t>financiële behoefte</t>
  </si>
  <si>
    <t>…t de in de aanbevelingen aan de kritieke derde aanbieder van ICT-diensten geconstateerde risico’s zijn verholpen. Indien nodig kunnen de autoriteiten een financiële entiteit ertoe verplichten de contractuele overeenkomsten met de kritieke derde aanbieder van ICT-diensten geheel of gedeeltelijk te beëindigen.</t>
  </si>
  <si>
    <t>32022R2554:42:6:16</t>
  </si>
  <si>
    <t>voldoende middelen</t>
  </si>
  <si>
    <t>behoefte aan kapitaal</t>
  </si>
  <si>
    <t>geavanceerd materiaal</t>
  </si>
  <si>
    <t>De lidstaten zorgen ervoor dat de in de leden 1 en 2 bedoelde bevoegde autoriteiten voldoende middelen toewijzen om doeltreffend en tijdig aan dit artikel te voldoen. In voorkomend geval werken de nationale bevoegde autoriteiten samen met andere releva…</t>
  </si>
  <si>
    <t>32024R1689:57:4:9</t>
  </si>
  <si>
    <t>secretariaat van de AI-board</t>
  </si>
  <si>
    <t>het secretariaat van de AI-board</t>
  </si>
  <si>
    <t>secretariaat van de instelling</t>
  </si>
  <si>
    <t>secretariaatspersoneel</t>
  </si>
  <si>
    <t>De AI-board wordt voorgezeten door een van de vertegenwoordigers van de lidstaten. Het AI-bureau verzorgt het secretariaat van de AI-board, roept op verzoek van de voorzitter de vergaderingen bijeen en stelt de agenda op overeenkomstig de taken van de AI-board krachtens deze verordening …</t>
  </si>
  <si>
    <t>32024R1689:65:8:20</t>
  </si>
  <si>
    <t>nadere verplichtingen en beperkingen</t>
  </si>
  <si>
    <t>…edoelde aanbieders in het belang van de bescherming van persoonsgegevens en de bescherming van de persoonlijke levenssfeer van abonnees en gebruikers nadere verplichtingen en beperkingen worden opgelegd ten behoeve van de veiligheid en beveiliging van de door hen aangeboden netwerken en diensten.</t>
  </si>
  <si>
    <t>BWBR0009950:11.3:4:7</t>
  </si>
  <si>
    <t>regels</t>
  </si>
  <si>
    <t>reglement</t>
  </si>
  <si>
    <t>[1] EU 32016R0679:83:7:8: …d de bevoegdheden tot het nemen van corrigerende maatregelen van de toezichthoudende autoriteiten overeenkomstig artikel 58, lid 2, kan elke lidstaat regels vaststellen betreffende de vraag of en in hoeverre administratieve geldboeten kunnen worden opgelegd aan in die lidstaat gevestigde overheidsinstanti…
[2] NL BWBR0009950:18.13:1:1: Onverminderd het overigens bij of krachtens deze wet bepaalde worden de bij of krachtens deze wet te nemen maatregelen en regels genomen met inachtneming van het belang van de bescherming van persoonsgegevens en de bescherming van de persoonlijke levenssfeer alsmede de bescherm…
[3] EU 32016R0679:61:7:14: …iten tot wie een verzoek is gericht nemen uit hoofde van een verzoek om wederzijdse bijstand, zijn kosteloos. De toezichthoudende autoriteiten kunnen regels overeenkomen om elkaar te vergoeden voor specifieke uitgaven die voortvloeien uit het verstrekken van wederzijdse bijstand in uitzonderlijke omstandi…</t>
  </si>
  <si>
    <t>32016R0679:83:7:8, BWBR0009950:18.13:1:1, 32016R0679:61:7:14</t>
  </si>
  <si>
    <t>transparantieverplichtingen</t>
  </si>
  <si>
    <t>de transparantieverplichtingen van dit lid</t>
  </si>
  <si>
    <t>…zoeken of te vervolgen. Wanneer de content deel uitmaakt van een kennelijk artistiek, creatief, satirisch, fictief of analoog werk of programma, zijn de transparantieverplichtingen van dit lid beperkt tot de openbaarmaking van het bestaan van dergelijke gegenereerde of bewerkte content op een passende wijze die de weergave of het genot van …</t>
  </si>
  <si>
    <t>32024R1689:50:4:13</t>
  </si>
  <si>
    <t>schade</t>
  </si>
  <si>
    <t>de voorlopige effecten, schade en verliezen</t>
  </si>
  <si>
    <t>…incident en waarmee verdere schade kan worden voorkomen, alsmede op maat gesneden respons- en herstelprocedures in overeenstemming met artikel 12; d) de voorlopige effecten, schade en verliezen te ramen; e) maatregelen voor communicatie en crisisbeheersing op te stellen die garanderen dat aan alle betrokken interne personeelsleden en externe…</t>
  </si>
  <si>
    <t>32022R2554:11:2:6</t>
  </si>
  <si>
    <t>kosten</t>
  </si>
  <si>
    <t>alle kosten die voortvloeien uit de uitvoering van de in deze afdeling opgenomen taken</t>
  </si>
  <si>
    <t>proceskosten</t>
  </si>
  <si>
    <t>administratieve kosten</t>
  </si>
  <si>
    <t>…ken van directe oversightactiviteiten. Het bedrag van de vergoeding die de kritieke derde aanbieder van ICT-diensten in rekening wordt gebracht, dekt alle kosten die voortvloeien uit de uitvoering van de in deze afdeling opgenomen taken, en staat in verhouding tot diens omzet.</t>
  </si>
  <si>
    <t>32022R2554:43:1:2</t>
  </si>
  <si>
    <t>vertrouwelijkheid</t>
  </si>
  <si>
    <t>De Commissie en de lidstaten kunnen zo nodig en met inachtneming van de relevante bepalingen van internationale overeenkomsten en handelsakkoorden vertrouwelijke informatie uitwisselen met regelgevingsinstanties van derde landen waarmee zij bilaterale of multilaterale vertrouwelijkheidsovereenkomsten hebben gesloten die …</t>
  </si>
  <si>
    <t>32024R1689:78:5:12</t>
  </si>
  <si>
    <t>[1] EU 32016R0679:65:2:3: Het in lid 1 bedoelde besluit wordt binnen één maand na de verwijzing van de aangelegenheid vastgesteld met een tweederdemeerderheid van de leden van het Comité. Deze termijn kan …
[2] NL BWBR0009950:12.2:7:10: Op aanvraag van de gezamenlijke nummerhouders kan de Autoriteit Consument en Markt een besluit als bedoeld in het zesde lid intrekken.
[3] EU 32016R0679:60:8:18: Ingeval een klacht is afgewezen of verworpen, stelt de toezichthoudende autoriteit waarbij de klacht is ingediend, in afwijking van lid 7, het besluit vast en deelt zij het mee aan de klager en stelt zij de verwerkingsverantwoordelijke ervan in kennis.</t>
  </si>
  <si>
    <t>32016R0679:65:2:3, BWBR0009950:12.2:7:10, 32016R0679:60:8:18</t>
  </si>
  <si>
    <t>beëindiging van de status gekwalificeerd</t>
  </si>
  <si>
    <t>tot beëindiging van de status gekwalificeerd</t>
  </si>
  <si>
    <t>status van de verkozen persoon</t>
  </si>
  <si>
    <t>verjaring van de vordering</t>
  </si>
  <si>
    <t>Onze Minister kan onverminderd artikel 20, derde lid, van de eidas-verordening, tot beëindiging van de status gekwalificeerd overgaan: a. indien een gekwalificeerde verlener van vertrouwensdiensten in strijd met het bepaalde bij of krachtens deze wet handelt ten aanzien van…</t>
  </si>
  <si>
    <t>BWBR0009950:2.5d:1:1</t>
  </si>
  <si>
    <t>verwerking van verkeersgegevens</t>
  </si>
  <si>
    <t>De verwerking van verkeersgegevens</t>
  </si>
  <si>
    <t>gegevensverwerking</t>
  </si>
  <si>
    <t>opslag van gegevens</t>
  </si>
  <si>
    <t>informatieverwerking</t>
  </si>
  <si>
    <t>De verwerking van verkeersgegevens in overeenstemming met het eerste tot en met vierde lid mag alleen geschieden door personen die werkzaam zijn onder het gezag van de aanbieder voor f…</t>
  </si>
  <si>
    <t>BWBR0009950:11.5:5:9</t>
  </si>
  <si>
    <t>verslag over haar bevindingen</t>
  </si>
  <si>
    <t>een verslag over haar bevindingen</t>
  </si>
  <si>
    <t>…aangemelde instantie afgegeven certificaten; b) dient de aanmeldende autoriteit binnen drie maanden na mededeling van de wijzigingen in de aanwijzing een verslag over haar bevindingen in bij de Commissie en de overige lidstaten; c) schrijft de aanmeldende autoriteit voor dat de aangemelde instantie binnen een redelijke, door de aut…</t>
  </si>
  <si>
    <t>32024R1689:36:7:19</t>
  </si>
  <si>
    <t>kwetsbaarheden</t>
  </si>
  <si>
    <t>cyberdreigingen, kwetsbaarheden en incidenten</t>
  </si>
  <si>
    <t>handelingsbekwaamheid</t>
  </si>
  <si>
    <t>meeteenheid</t>
  </si>
  <si>
    <t>Het CSIRT heeft de volgende taken: a. het monitoren en analyseren van cyberdreigingen, kwetsbaarheden en incidenten op nationaal niveau, en het op verzoek verlenen van bijstand aan de betrokken essentiële entiteit of belangrijke entiteit met betrekking tot het real…</t>
  </si>
  <si>
    <t>BWBR0052872:16:2:3</t>
  </si>
  <si>
    <t>administratieve geldboeten</t>
  </si>
  <si>
    <t>geldboete</t>
  </si>
  <si>
    <t>De Europese Toezichthouder voor gegevensbescherming kan administratieve geldboeten opleggen aan instellingen, organen en instanties van de Unie die binnen het toepassingsgebied van deze verordening vallen. Bij het besluiten om al da…</t>
  </si>
  <si>
    <t>32024R1689:100:1:1</t>
  </si>
  <si>
    <t>verbod op het houden of verkrijgen van overwegende zeggenschap</t>
  </si>
  <si>
    <t>een verbod op het houden of verkrijgen van overwegende zeggenschap</t>
  </si>
  <si>
    <t>bevoegdheid van de uitvoerende macht</t>
  </si>
  <si>
    <t>beperking van de verblijfsvergunning</t>
  </si>
  <si>
    <t>Indien een verbod op het houden of verkrijgen van overwegende zeggenschap niet volgt op een melding op grond van artikel 14a.2, wordt een verbod opgelegd binnen acht maanden nadat de feiten of omstandigheden op grond waarva…</t>
  </si>
  <si>
    <t>BWBR0009950:14a.4:5:5</t>
  </si>
  <si>
    <t>dwangsom</t>
  </si>
  <si>
    <t>De in lid 6 bedoelde dwangsom</t>
  </si>
  <si>
    <t>De in lid 6 bedoelde dwangsom wordt dagelijks opgelegd tot aan de verplichtingen is voldaan, gedurende een termijn van ten hoogste zes maanden volgend op de kennisgeving van het b…</t>
  </si>
  <si>
    <t>32022R2554:35:7:21</t>
  </si>
  <si>
    <t>voorschrift</t>
  </si>
  <si>
    <t>het voorschrift</t>
  </si>
  <si>
    <t>Onverminderd het eerste lid kan aan een vergunning het voorschrift worden verbonden dat de frequentieruimte waarop de vergunning betrekking heeft moet worden gebruikt voor de toepassing van bij de vergunning aan te w…</t>
  </si>
  <si>
    <t>BWBR0009950:3.14:4:6</t>
  </si>
  <si>
    <t>bestuurlijke boete</t>
  </si>
  <si>
    <t>administratieve boete</t>
  </si>
  <si>
    <t>bestuurlijke verantwoordelijkheid</t>
  </si>
  <si>
    <t>[1] NL BWBR0052872:93:1:1: De bevoegde autoriteit kan een lid van het bestuur van een essentiële entiteit of belangrijke entiteit een bestuurlijke boete opleggen in geval van: a. overtreding van het bepaalde bij of krachtens artikel 24, tweede tot en met zesde lid; b. overtreding van artikel 5:20, eer…
[2] NL BWBR0052872:58:3:4: … persoonsgegevens dan wel de bevoegde toezichthoudende autoriteiten, bedoeld in de artikelen 55 en 56 van de Algemene verordening gegevensbescherming een bestuurlijke boete opleggen op grond van artikel 58, tweede lid, onderdeel i, van de Algemene verordening gegevensbescherming, legt de bevoegde autoriteit geen bestuurl…
[3] NL BWBR0009950:15.4:2:2: …an ingeval van overtreding van een wettelijk voorschrift met het toezicht op de naleving waarvan zij het ingevolge artikel 15.1, derde lid, is belast een bestuurlijke boete opleggen van ten hoogste € 900.000, of, indien dat meer is, 1% van de omzet van de onderneming.</t>
  </si>
  <si>
    <t>BWBR0052872:93:1:1, BWBR0052872:58:3:4, BWBR0009950:15.4:2:2</t>
  </si>
  <si>
    <t>bevoegdheid</t>
  </si>
  <si>
    <t>de bevoegdheid</t>
  </si>
  <si>
    <t>Overeenkomstig artikel 75 verlenen de lidstaten hun markttoezichtautoriteiten de bevoegdheid om aanbieders en potentiële aanbieders te verplichten informatie te verstrekken, om onaangekondigde inspecties op afstand of ter plaatse uit te voere…</t>
  </si>
  <si>
    <t>32024R1689:60:6:28</t>
  </si>
  <si>
    <t>natuurlijke personen</t>
  </si>
  <si>
    <t>alle andere natuurlijke personen of rechtspersonen</t>
  </si>
  <si>
    <t>natuurlijke persoon</t>
  </si>
  <si>
    <t>…g te geven bij feiten of documenten met betrekking tot het onderwerp en het doel van het onderzoek, en de antwoorden op te tekenen; ii) het horen van alle andere natuurlijke personen of rechtspersonen die daarin toestemmen, teneinde informatie over het onderwerp van een onderzoek te verzamelen; c) corrigerende maatregelen te eisen voor inbreuken op…</t>
  </si>
  <si>
    <t>32022R2554:50:2:8</t>
  </si>
  <si>
    <t>vergunning</t>
  </si>
  <si>
    <t>wetgeving</t>
  </si>
  <si>
    <t>[1] EU 32022L2555:32:5:22: …evraagde actie niet binnen de gestelde termijn wordt ondernomen, zorgen de lidstaten ervoor dat de bevoegde autoriteiten de bevoegdheid hebben om: a) een certificering of vergunning tijdelijk op te schorten of een certificerings- of vergunningsinstantie of een rechterlijke instantie overeenkomstig het nationale recht te verzoeken…
[2] NL BWBR0009950:10.16:2:3: De vergunning kan worden geweigerd, indien: a. het ernstige vermoeden bestaat dat de vergunning zal worden misbruikt; b. een eerder verleende vergunning is ingetro…
[3] NL BWBR0009950:3.6:1:1: …egionale en lokale publieke mediadienst verleent Onze Minister, binnen de in artikel 3.1, tweede lid, onder c, bedoelde frequentiebanden, op aanvraag de vergunningen, bedoeld in de artikelen 3.7 en 3.8, ten behoeve van het uitzenden van programmakanalen als bedoeld in artikel 1.1 van de Mediawet 2008. De vergunn…</t>
  </si>
  <si>
    <t>32022L2555:32:5:22, BWBR0009950:10.16:2:3, BWBR0009950:3.6:1:1</t>
  </si>
  <si>
    <t>termijn van drie jaar</t>
  </si>
  <si>
    <t>De termijn van drie jaar</t>
  </si>
  <si>
    <t>termijn voor toepassing van de wet</t>
  </si>
  <si>
    <t>termijn voor omzetting</t>
  </si>
  <si>
    <t>… doch voor relevante markten waarvoor nog niet eerder een kennisgeving bij de Europese Commissie is gedaan uiterlijk binnen de in het derde lid bedoelde termijn van drie jaar. De termijn van drie jaar kan door de Autoriteit Consument en Markt worden verlengd met zes maanden indien de Autoriteit Consument en Markt met bijst…</t>
  </si>
  <si>
    <t>BWBR0009950:6a.1:7:9</t>
  </si>
  <si>
    <t>beslissing</t>
  </si>
  <si>
    <t>een andere beslissing</t>
  </si>
  <si>
    <t>…esluiten om het AI-systeem met een hoog risico niet te gebruiken of de output van het AI-systeem met een hoog risico op andere wijze te negeren, door een andere beslissing te vervangen of terug te draaien; e) in te grijpen in de werking van het AI-systeem met een hoog risico of het systeem te onderbreken door middel van…</t>
  </si>
  <si>
    <t>32024R1689:14:4:14</t>
  </si>
  <si>
    <t>persoonsgegevens</t>
  </si>
  <si>
    <t>[1] EU 32024R1689:26:10:23: …steem voor biometrische identificatie op afstand achteraf dat verband houdt met de verzochte toestemming met onmiddellijke ingang stopgezet en worden de persoonsgegevens die verband houden met het gebruik van het AI-systeem met een hoog risico waarvoor de toestemming is gevraagd, gewist. Een dergelijk AI-systeem met een hoog risico voor biometrische identificatie op afstand achteraf mag in geen geval op niet-gerichte wijze wo…
[2] NL BWBR0052872:65:3:5: De persoonsgegevens, bedoeld in artikel 64, tweede lid, die door het CSIRT worden verwerkt worden niet langer bewaard dan noodzakelijk is ter uitvoering van haar taken op grond van deze wet, doch uiterlij…
[3] EU 32022R2554:56:1:2: …voor onderzoek, inspectie, verzoek om informatie, communicatie, bekendmaking, evaluatie, verificatie, beoordeling en opstelling van oversightplannen. De persoonsgegevens worden verwerkt overeenkomstig Verordening (EU) 2016/679 of Verordening (EU) 2018/1725, naargelang toepasselijk.</t>
  </si>
  <si>
    <t>32024R1689:26:10:23, BWBR0052872:65:3:5, 32022R2554:56:1:2</t>
  </si>
  <si>
    <t>gedelegeerde handelingen</t>
  </si>
  <si>
    <t>gedelegeerde verordening</t>
  </si>
  <si>
    <t>gedelegeerde wetgeving</t>
  </si>
  <si>
    <t>gedelegeerd besluit</t>
  </si>
  <si>
    <t>[1] EU 32024R1689:43:5:12: De Commissie is bevoegd overeenkomstig artikel 97 gedelegeerde handelingen vast te stellen om bijlagen VI en VII te wijzigen teneinde hen te actualiseren in het licht van technologische vooruitgang.
[2] EU 32024R1689:47:5:12: De Commissie is bevoegd overeenkomstig artikel 97 gedelegeerde handelingen vast te stellen om bijlage V te wijzigen door het actualiseren van de in die bijlage beschreven inhoud van de EU-conformiteitsverklaring, teneinde el…
[3] EU 32024R1689:53:5:15: Om de naleving van bijlage XI, en met name punt 2, d) en e), te vergemakkelijken, is de Commissie bevoegd overeenkomstig artikel 97 gedelegeerde handelingen vast te stellen waarin de meet- en berekeningsmethoden worden gespecificeerd zodat de documentatie vergelijkbaar en verifieerbaar wordt.</t>
  </si>
  <si>
    <t>32024R1689:43:5:12, 32024R1689:47:5:12, 32024R1689:53:5:15</t>
  </si>
  <si>
    <t>procedure tegen een verwerkingsverantwoordelijke of een verwerker</t>
  </si>
  <si>
    <t>Een procedure tegen een verwerkingsverantwoordelijke of een verwerker</t>
  </si>
  <si>
    <t>Een procedure tegen een verwerkingsverantwoordelijke of een verwerker wordt ingesteld bij de gerechten van de lidstaat waar de verwerkingsverantwoordelijke of de verwerker een vestiging heeft. Een dergelijke procedure k…</t>
  </si>
  <si>
    <t>32016R0679:79:2:2</t>
  </si>
  <si>
    <t>voldoende middelen en capaciteiten</t>
  </si>
  <si>
    <t>Financiële entiteiten zetten voldoende middelen en capaciteiten in om toezicht te houden op activiteiten van gebruikers en het optreden van ICT-anomalieën en ICT-gerelateerde incidenten, met name cyberaanvallen.</t>
  </si>
  <si>
    <t>32022R2554:10:3:9</t>
  </si>
  <si>
    <t>normen</t>
  </si>
  <si>
    <t>met de normen</t>
  </si>
  <si>
    <t>norm</t>
  </si>
  <si>
    <t>Voor zover de voorschriften technische normen of specificaties bevatten, stroken deze met de normen, bedoeld in artikel 39, eerste en tweede lid, van richtlijn (EU) 2018/1972.</t>
  </si>
  <si>
    <t>BWBR0009950:6a.6:7:13</t>
  </si>
  <si>
    <t>technische documentatie</t>
  </si>
  <si>
    <t>De technische documentatie</t>
  </si>
  <si>
    <t>documentatie</t>
  </si>
  <si>
    <t>De technische documentatie van een AI-systeem met een hoog risico wordt opgesteld voordat dit systeem in de handel wordt gebracht of in gebruik wordt gesteld, en wordt geactual…</t>
  </si>
  <si>
    <t>32024R1689:11:1:8</t>
  </si>
  <si>
    <t>gegevens in de vertrouwenslijst</t>
  </si>
  <si>
    <t>transactionele gegevens</t>
  </si>
  <si>
    <t>Onze Minister kan gegevens in de vertrouwenslijst wijzigen indien dit noodzakelijk is om feitelijke onjuistheden van eenvoudige aard weg te nemen.</t>
  </si>
  <si>
    <t>BWBR0009950:2.5c:6:6</t>
  </si>
  <si>
    <t>specifieke voorschriften</t>
  </si>
  <si>
    <t>In het kader van de oplegging van de in het eerste lid bedoelde verplichtingen kunnen specifieke verplichtingen worden opgelegd en specifieke voorschriften worden vastgesteld met betrekking tot de toegang tot het betreffende deel van het netwerk en de bijbehorende faciliteiten en diensten, de bekendmakin…</t>
  </si>
  <si>
    <t>BWBR0009950:6.3:2:4</t>
  </si>
  <si>
    <t>nationale maatregel</t>
  </si>
  <si>
    <t>de nationale maatregel</t>
  </si>
  <si>
    <t>nationale uitvoeringsmaatregel</t>
  </si>
  <si>
    <t>nationale wetgeving</t>
  </si>
  <si>
    <t>nationale norm</t>
  </si>
  <si>
    <t>…reedt de Commissie zonder onnodige vertraging in overleg met de markttoezichtautoriteit van de betrokken lidstaat en de operator(s), en evalueert zij de nationale maatregel. Op grond van de resultaten van die evaluatie besluit de Commissie binnen zes maanden, of binnen zestig dagen in geval van niet-naleving van het verb…</t>
  </si>
  <si>
    <t>32024R1689:81:1:1</t>
  </si>
  <si>
    <t>eindverslag</t>
  </si>
  <si>
    <t>een eindverslag</t>
  </si>
  <si>
    <t>De essentiële entiteit of belangrijke entiteit dient uiterlijk één maand na de melding, bedoeld in artikel 27, eerste lid, een eindverslag in bij haar CSIRT en haar bevoegde autoriteit waarin het volgende is opgenomen: a. een gedetailleerde beschrijving van het incident, de ernst en de g…</t>
  </si>
  <si>
    <t>BWBR0052872:29:1:1</t>
  </si>
  <si>
    <t>elektronische verklaringen</t>
  </si>
  <si>
    <t>elektronische verklaringen als bedoeld in artikel 5, eerste lid, onderdeel b</t>
  </si>
  <si>
    <t>elektronische berichtgeving</t>
  </si>
  <si>
    <t>elektronische overeenkomst</t>
  </si>
  <si>
    <t>elektronische gegevensverwerking</t>
  </si>
  <si>
    <t>… personen waarvoor authenticatie op betrouwbaarheidsniveau substantieel of hoog vereist is, uitsluitend: a. alle toegelaten identificatiemiddelen, b. elektronische verklaringen als bedoeld in artikel 5, eerste lid, onderdeel b, en c. alle identificatiemiddelen die behoren tot een door een lidstaat van de Europese Unie ingevolge de eIDAS-verordening bij de Europese Commissie…</t>
  </si>
  <si>
    <t>BWBR0048156:7:1:2</t>
  </si>
  <si>
    <t>naar billijkheid te bepalen vergoeding</t>
  </si>
  <si>
    <t>een naar billijkheid te bepalen vergoeding</t>
  </si>
  <si>
    <t>…de frequentieruimte als gevolg van aanwijzingen gegeven op grond van het eerste lid onevenredig financieel nadeel ondervinden, kent Onze Minister hen een naar billijkheid te bepalen vergoeding toe.</t>
  </si>
  <si>
    <t>BWBR0009950:14.4:4:4</t>
  </si>
  <si>
    <t>vergoeding van de kosten</t>
  </si>
  <si>
    <t>de vergoeding van de kosten</t>
  </si>
  <si>
    <t>…den benoemd voor ten hoogste vier jaar. Herbenoeming kan tweemaal en telkens voor ten hoogste vier jaar plaatsvinden. Bij ministeriële regeling wordt de vergoeding van de kosten aan de leden van de Raad van advies vastgesteld.</t>
  </si>
  <si>
    <t>BWBR0040940:7:10:16</t>
  </si>
  <si>
    <t>aantal deskundigen in het panel</t>
  </si>
  <si>
    <t>het aantal deskundigen in het panel</t>
  </si>
  <si>
    <t>deskundigengroep van de Commissie</t>
  </si>
  <si>
    <t>…gemene doeleinden; c) het vermogen om activiteiten zorgvuldig, nauwkeurig en objectief uit te voeren. De Commissie bepaalt in overleg met de AI-board het aantal deskundigen in het panel in overeenstemming met de vereiste behoeften en zorgt voor een eerlijke gender- en geografische vertegenwoordiging.</t>
  </si>
  <si>
    <t>32024R1689:68:2:3</t>
  </si>
  <si>
    <t>hoger beroep</t>
  </si>
  <si>
    <t>rechtsmiddel</t>
  </si>
  <si>
    <t>Van de uitspraak van de kantonrechter is hoger beroep toegelaten.</t>
  </si>
  <si>
    <t>BWBR0009950:5.13:2:3</t>
  </si>
  <si>
    <t>telecommunicatiediensten</t>
  </si>
  <si>
    <t>hun telecommunicatienetwerken en telecommunicatiediensten</t>
  </si>
  <si>
    <t>telecommunicatie</t>
  </si>
  <si>
    <t>telecommunicatiesatelliet</t>
  </si>
  <si>
    <t>telecommunicatie-industrie</t>
  </si>
  <si>
    <t>Aanbieders van openbare telecommunicatienetwerken en openbare telecommunicatiediensten stellen hun telecommunicatienetwerken en telecommunicatiediensten uitsluitend beschikbaar aan gebruikers indien deze aftapbaar zijn.</t>
  </si>
  <si>
    <t>BWBR0009950:13.1:1:1</t>
  </si>
  <si>
    <t>benodigde informatie</t>
  </si>
  <si>
    <t>alle benodigde informatie</t>
  </si>
  <si>
    <t>…g door een bestuursorgaan of aangewezen organisatie van het bij of krachtens de artikelen 4, 7, 8 en 15 bepaalde. De toezichthouder verstrekt daarbij alle benodigde informatie.</t>
  </si>
  <si>
    <t>BWBR0048156:18:3:5</t>
  </si>
  <si>
    <t>private ontsluitende dienst</t>
  </si>
  <si>
    <t>een private ontsluitende dienst</t>
  </si>
  <si>
    <t>openbare dienst</t>
  </si>
  <si>
    <t>privé-omroep</t>
  </si>
  <si>
    <t>eerbiediging van het privé-leven</t>
  </si>
  <si>
    <t>Onze Minister laat een private ontsluitende dienst toe door verlening van een erkenning, indien dit noodzakelijk is voor de continuïteit van de elektronische dienstverlening door bestuursorganen en aa…</t>
  </si>
  <si>
    <t>BWBR0048156:9:3:3</t>
  </si>
  <si>
    <t>Validation of the object → EuroVoc mapping (Step 7)</t>
  </si>
  <si>
    <t>What to do</t>
  </si>
  <si>
    <t>1. Go to the Validate sheet. Every row is part of the sample; the order is random.</t>
  </si>
  <si>
    <t>3. Judge candidate 1 mainly, for the object as used in the context; use candidates 2-3 to decide 'partial'.</t>
  </si>
  <si>
    <t>4. Leave the 'key' sheet alone until you are done; it holds the scores you should not see.</t>
  </si>
  <si>
    <t>5. When finished, save and run: python eurovoc_review.py review --xlsx &lt;this file&gt;</t>
  </si>
  <si>
    <t>Judgement codes</t>
  </si>
  <si>
    <t>correct  – candidate 1 is the right concept, or an acceptable close one.</t>
  </si>
  <si>
    <t>partial  – candidate 1 is in the right area but too broad/narrow, or a lower candidate is right.</t>
  </si>
  <si>
    <t>wrong    – no candidate fits the object.</t>
  </si>
  <si>
    <t>unclear  – the object itself cannot be judged (placeholder, fragment, unresolved reference).</t>
  </si>
  <si>
    <t>Special rows</t>
  </si>
  <si>
    <t>Rows with several numbered contexts are frequent texts judged once for all their uses: judge the</t>
  </si>
  <si>
    <t xml:space="preserve">  usual use; if the mapping fits some uses but not others, choose 'partial' and note it.</t>
  </si>
  <si>
    <t>Rows without candidates (only if checks were drawn): the object was left unmapped or dropped.</t>
  </si>
  <si>
    <t xml:space="preserve">  correct = rightly so; wrong = a EuroVoc concept clearly exists / a real object was lost.</t>
  </si>
  <si>
    <t>Columns</t>
  </si>
  <si>
    <t>object      – the unit that was mapped (a cleaned unit from Step 6).</t>
  </si>
  <si>
    <t>raw_object  – the original object it came from, if different.</t>
  </si>
  <si>
    <t>cand_1..3   – candidate EuroVoc concepts, best first.</t>
  </si>
  <si>
    <t>n_norms     – how many norms use this unit text.</t>
  </si>
  <si>
    <t>context     – text around the object in its norm.</t>
  </si>
  <si>
    <t>Example of a filled-in row (not part of the data)</t>
  </si>
  <si>
    <t>overdracht van informatie</t>
  </si>
  <si>
    <t>correct</t>
  </si>
  <si>
    <t>generic, but the concept matches</t>
  </si>
  <si>
    <t>kind</t>
  </si>
  <si>
    <t>stratum</t>
  </si>
  <si>
    <t>source</t>
  </si>
  <si>
    <t>level</t>
  </si>
  <si>
    <t>conf_1</t>
  </si>
  <si>
    <t>pct_1</t>
  </si>
  <si>
    <t>w_EU</t>
  </si>
  <si>
    <t>w_NL</t>
  </si>
  <si>
    <t>text</t>
  </si>
  <si>
    <t>sample</t>
  </si>
  <si>
    <t>EU | emb low (p20-47)</t>
  </si>
  <si>
    <t>EU</t>
  </si>
  <si>
    <t>embedding</t>
  </si>
  <si>
    <t>census</t>
  </si>
  <si>
    <t>EU+NL</t>
  </si>
  <si>
    <t>phrase</t>
  </si>
  <si>
    <t>NL | emb high (p73-100)</t>
  </si>
  <si>
    <t>NL</t>
  </si>
  <si>
    <t>NL | emb mid (p47-73)</t>
  </si>
  <si>
    <t>NL | emb low (p20-47)</t>
  </si>
  <si>
    <t>EU | emb mid (p47-73)</t>
  </si>
  <si>
    <t>EU | phrase</t>
  </si>
  <si>
    <t>EU | head + compound</t>
  </si>
  <si>
    <t>head</t>
  </si>
  <si>
    <t>EU | emb high (p73-100)</t>
  </si>
  <si>
    <t>NL | phrase</t>
  </si>
  <si>
    <t>NL | head + compound</t>
  </si>
  <si>
    <t>compound</t>
  </si>
  <si>
    <t>Sample design</t>
  </si>
  <si>
    <t>What is estimated. The share of norm objects whose EuroVoc mapping is right, for EU law and for Dutch law, and the difference between the two. The sampling unit is therefore an object unit as it occurs in a norm, not a distinct string: a text used in 90 norms counts 90 times, as it does downstream, and each sampled unit is judged in the context of its own norm.
Why these strata. Source (EU / NL) is a stratum because it is the comparison of interest; stratifying guarantees both sources get the same number of judgements regardless of their share. Within a source the strata follow the mapping cascade, because each level makes a different kind of claim and is expected to fail at a different rate: phrase (exact label), head + compound (lexical match on part of the object; compound is merged with head because it holds only 43 EU and 12 Dutch units, too few to estimate on its own), and the embedding matches split into three equal bands above the fallback percentile (20). Embedding matches are 80.7% of sampled EU units and 84.2% of Dutch ones, so their confidence bands carry most of the weight.
Why these sizes. 50 judgements per source: the floor of 8 per cell keeps every cell measured, and the rest goes to the embedding bands in proportion to their size, because that is where the weight is. At 50% precision in every cell this gives about +/-13 points for EU law and +/-11 for Dutch law, and about +/-17 points on the EU - NL difference; only differences of roughly 24 points or more can be detected reliably (80% power). The sample is not proportional, so overall figures are weighted by N_h (the 'review' step), never by row count.
What is left out. Unmapped units and norms whose object was dropped make no mapping claim; their shares are exact counts (table below). Norms without any object never reach the mapping. Optional checks of these, if drawn, are reported separately and never enter the precision figures.</t>
  </si>
  <si>
    <t>population N_h (unit occurrences)</t>
  </si>
  <si>
    <t>share of source's mapped units</t>
  </si>
  <si>
    <t>n judged</t>
  </si>
  <si>
    <t>why this stratum and this n</t>
  </si>
  <si>
    <t>EU | census</t>
  </si>
  <si>
    <t>Occurrences of the 20 census texts in EU law; each text is judged once (shared with the other source).</t>
  </si>
  <si>
    <t>Exact label match; expected to be the most reliable level. Floor only.</t>
  </si>
  <si>
    <t>Lexical match on part of the object (head word or compound part). Compound merged in: too few units to stand alone. Floor only.</t>
  </si>
  <si>
    <t>Embedding match, lowest confidence band. Floor plus a share of the rest in proportion to its size.</t>
  </si>
  <si>
    <t>Embedding match, middle confidence band. Floor plus a share of the rest in proportion to its size.</t>
  </si>
  <si>
    <t>Embedding match, highest confidence band. Floor plus a share of the rest in proportion to its size.</t>
  </si>
  <si>
    <t>NL | census</t>
  </si>
  <si>
    <t>Occurrences of the 20 census texts in NL law; each text is judged once (shared with the other source).</t>
  </si>
  <si>
    <t>Exact counts (no sampling)</t>
  </si>
  <si>
    <t>norms</t>
  </si>
  <si>
    <t>object units</t>
  </si>
  <si>
    <t>mapped units</t>
  </si>
  <si>
    <t>unmapped units</t>
  </si>
  <si>
    <t>norms with object dropped (no unit)</t>
  </si>
  <si>
    <t>norms without any object</t>
  </si>
  <si>
    <t>unmapped share of units</t>
  </si>
  <si>
    <t>dropped share of norms</t>
  </si>
  <si>
    <t>Census of frequent texts</t>
  </si>
  <si>
    <t>Why a census of the 20 most frequent texts. The mapping is computed per text, so one judgement settles every occurrence of a text, and an error in a frequent text repeats in every norm that uses it. The object texts are heavy-tailed: most occur once, a few occur dozens of times. A random sample of this size would draw the frequent texts by chance or not at all, which makes the estimate swing on luck; judging them all removes that part of the sampling error at the cost of one judgement each.
How the texts were chosen. Not by hand: the texts are the top of the frequency ranking of mapped unit occurrences (all sources together), ties broken alphabetically, fixed before any judging. In particular they were not chosen because their mapping looked right or wrong, which would bias the estimate. The table lists each text with its counts.
Why 20. Coverage grows quickly over the first texts and then flattens (coverage table to the right): the census costs one judgement per text, so it stops where a further text covers little more than a sampled unit would. It matters most for Dutch law, whose fixed formulas (e.g. 'nadere regels', 'regels') make a few texts a large share of all objects; leaving them to chance would make the EU - NL comparison depend on whether they happened to be drawn.
How to judge a census row. Several contexts are shown, taken in turn from both sources. Judge the mapping for the way the text is used in them; if it fits some uses but not others, choose 'partial' and say so in the notes.</t>
  </si>
  <si>
    <t>rank</t>
  </si>
  <si>
    <t>EU occurrences</t>
  </si>
  <si>
    <t>NL occurrences</t>
  </si>
  <si>
    <t>total</t>
  </si>
  <si>
    <t>share of all mapped units</t>
  </si>
  <si>
    <t>cumulative share</t>
  </si>
  <si>
    <t>why this text</t>
  </si>
  <si>
    <t>census size</t>
  </si>
  <si>
    <t>EU coverage</t>
  </si>
  <si>
    <t>NL coverage</t>
  </si>
  <si>
    <t>Frequency rank 1 of 2,359 distinct texts; used in both sources (mostly Dutch). One judgement covers its 92 norm occurrences.</t>
  </si>
  <si>
    <t>Frequency rank 2 of 2,359 distinct texts; used in both sources (mostly EU). One judgement covers its 87 norm occurrences.</t>
  </si>
  <si>
    <t>Frequency rank 3 of 2,359 distinct texts; used in both sources (mostly Dutch). One judgement covers its 54 norm occurrences.</t>
  </si>
  <si>
    <t>Frequency rank 4 of 2,359 distinct texts; used in both sources (balanced). One judgement covers its 49 norm occurrences.</t>
  </si>
  <si>
    <t>Frequency rank 5 of 2,359 distinct texts; used in both sources (mostly Dutch). One judgement covers its 44 norm occurrences.</t>
  </si>
  <si>
    <t>Frequency rank 6 of 2,359 distinct texts; used in both sources (mostly Dutch). One judgement covers its 38 norm occurrences.</t>
  </si>
  <si>
    <t>Frequency rank 7 of 2,359 distinct texts; used in both sources (mostly EU). One judgement covers its 37 norm occurrences.</t>
  </si>
  <si>
    <t>Frequency rank 8 of 2,359 distinct texts; used in both sources (mostly Dutch). One judgement covers its 35 norm occurrences.</t>
  </si>
  <si>
    <t>Frequency rank 9 of 2,359 distinct texts; used in both sources (mostly EU). One judgement covers its 29 norm occurrences.</t>
  </si>
  <si>
    <t>Frequency rank 10 of 2,359 distinct texts; used in both sources (mostly EU). One judgement covers its 28 norm occurrences.</t>
  </si>
  <si>
    <t>Frequency rank 11 of 2,359 distinct texts; used in both sources (mostly EU). One judgement covers its 27 norm occurrences.</t>
  </si>
  <si>
    <t>Frequency rank 12 of 2,359 distinct texts; used in both sources (mostly Dutch). One judgement covers its 27 norm occurrences.</t>
  </si>
  <si>
    <t>Frequency rank 13 of 2,359 distinct texts; used in both sources (balanced). One judgement covers its 24 norm occurrences.</t>
  </si>
  <si>
    <t>Frequency rank 14 of 2,359 distinct texts; used only in EU law. One judgement covers its 24 norm occurrences.</t>
  </si>
  <si>
    <t>Frequency rank 15 of 2,359 distinct texts; used in both sources (balanced). One judgement covers its 23 norm occurrences.</t>
  </si>
  <si>
    <t>Frequency rank 16 of 2,359 distinct texts; used in both sources (mostly Dutch). One judgement covers its 23 norm occurrences.</t>
  </si>
  <si>
    <t>Frequency rank 17 of 2,359 distinct texts; used only in EU law. One judgement covers its 19 norm occurrences.</t>
  </si>
  <si>
    <t>Frequency rank 18 of 2,359 distinct texts; used only in EU law. One judgement covers its 19 norm occurrences.</t>
  </si>
  <si>
    <t>Frequency rank 19 of 2,359 distinct texts; used only in Dutch law. One judgement covers its 18 norm occurrences.</t>
  </si>
  <si>
    <t>Frequency rank 20 of 2,359 distinct texts; used in both sources (balanced). One judgement covers its 18 norm occurrences.</t>
  </si>
  <si>
    <t>first text left out: 'aanwijzing' (17 occurrences)</t>
  </si>
  <si>
    <t>population N_h</t>
  </si>
  <si>
    <t>rows</t>
  </si>
  <si>
    <t>judged</t>
  </si>
  <si>
    <t>partial</t>
  </si>
  <si>
    <t>wrong</t>
  </si>
  <si>
    <t>unclear</t>
  </si>
  <si>
    <t>precision strict</t>
  </si>
  <si>
    <t>precision lenient</t>
  </si>
  <si>
    <t>strict 95% low</t>
  </si>
  <si>
    <t>strict 95% high</t>
  </si>
  <si>
    <t>z</t>
  </si>
  <si>
    <t>Per-stratum figures only; they are unweighted and the census row counts texts, not occurrences.</t>
  </si>
  <si>
    <t>Weighted precision per source, the EU - NL difference and the mix-adjusted comparison come from: python eurovoc_review.py review --xlsx &lt;this file&gt;</t>
  </si>
  <si>
    <t>Strict = correct; lenient = correct + partial; unclear is excluded. Intervals: Wilson, z in N2.</t>
  </si>
  <si>
    <t>Check strata (if any) measure whether leaving an object unmapped / dropping it was right; they never enter the precision totals.</t>
  </si>
  <si>
    <t>2. Fill in the yellow columns: judgement (drop-down), Optional: better_concept (optional), notes.</t>
  </si>
  <si>
    <t>JUDGE object vs cand_1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</si>
</sst>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3"/>
      <name val="Arial"/>
    </font>
    <font>
      <sz val="11"/>
      <name val="Arial"/>
    </font>
    <font>
      <b/>
      <sz val="11"/>
      <name val="Arial"/>
    </font>
    <font>
      <sz val="11"/>
      <name val="Arial"/>
    </font>
    <font>
      <b/>
      <sz val="11"/>
      <color rgb="FFFFFFFF"/>
      <name val="Arial"/>
    </font>
    <font>
      <b/>
      <sz val="11"/>
      <name val="Arial"/>
    </font>
    <font>
      <b/>
      <sz val="12"/>
      <name val="Arial"/>
    </font>
    <font>
      <i/>
      <sz val="11"/>
      <name val="Arial"/>
    </font>
  </fonts>
  <fills count="4">
    <fill>
      <patternFill patternType="none"/>
    </fill>
    <fill>
      <patternFill patternType="gray125"/>
    </fill>
    <fill>
      <patternFill patternType="solid">
        <fgColor rgb="FFFFFF00"/>
      </patternFill>
    </fill>
    <fill>
      <patternFill patternType="solid">
        <fgColor rgb="FF1F3864"/>
      </patternFill>
    </fill>
  </fills>
  <borders count="2">
    <border>
      <left/>
      <right/>
      <top/>
      <bottom/>
      <diagonal/>
    </border>
    <border>
      <left/>
      <right/>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5" fillId="3" borderId="0" xfId="0" applyFont="1" applyFill="1" applyAlignment="1">
      <alignment vertical="center" wrapText="1"/>
    </xf>
    <xf numFmtId="0" fontId="4" fillId="0" borderId="0" xfId="0" applyFont="1"/>
    <xf numFmtId="0" fontId="4" fillId="2" borderId="0" xfId="0" applyFont="1" applyFill="1"/>
    <xf numFmtId="0" fontId="4" fillId="0" borderId="1" xfId="0" applyFont="1" applyBorder="1" applyAlignment="1">
      <alignment vertical="top"/>
    </xf>
    <xf numFmtId="0" fontId="4" fillId="0" borderId="1" xfId="0" applyFont="1" applyBorder="1" applyAlignment="1">
      <alignment vertical="top"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3" fontId="4" fillId="0" borderId="0" xfId="0" applyNumberFormat="1" applyFont="1" applyAlignment="1">
      <alignment vertical="top"/>
    </xf>
    <xf numFmtId="164" fontId="4" fillId="0" borderId="0" xfId="0" applyNumberFormat="1" applyFont="1" applyAlignment="1">
      <alignment vertical="top"/>
    </xf>
    <xf numFmtId="0" fontId="6" fillId="0" borderId="0" xfId="0" applyFont="1"/>
    <xf numFmtId="0" fontId="7" fillId="0" borderId="0" xfId="0" applyFont="1"/>
    <xf numFmtId="0" fontId="6" fillId="0" borderId="0" xfId="0" applyFont="1" applyAlignment="1">
      <alignment vertical="top"/>
    </xf>
    <xf numFmtId="164" fontId="6" fillId="0" borderId="0" xfId="0" applyNumberFormat="1" applyFont="1" applyAlignment="1">
      <alignment vertical="top"/>
    </xf>
    <xf numFmtId="0" fontId="8" fillId="0" borderId="0" xfId="0" applyFont="1" applyAlignment="1">
      <alignment vertical="top"/>
    </xf>
    <xf numFmtId="9" fontId="4" fillId="0" borderId="0" xfId="0" applyNumberFormat="1" applyFont="1" applyAlignment="1">
      <alignment vertical="top"/>
    </xf>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topLeftCell="A14" workbookViewId="0">
      <selection activeCell="B7" sqref="B7"/>
    </sheetView>
  </sheetViews>
  <sheetFormatPr defaultRowHeight="14.5" x14ac:dyDescent="0.35"/>
  <cols>
    <col min="1" max="1" width="95" customWidth="1"/>
    <col min="2" max="6" width="20" customWidth="1"/>
  </cols>
  <sheetData>
    <row r="1" spans="1:2" ht="16.5" x14ac:dyDescent="0.35">
      <c r="A1" s="1" t="s">
        <v>623</v>
      </c>
    </row>
    <row r="2" spans="1:2" x14ac:dyDescent="0.35">
      <c r="A2" s="2"/>
    </row>
    <row r="3" spans="1:2" x14ac:dyDescent="0.35">
      <c r="A3" s="3" t="s">
        <v>624</v>
      </c>
    </row>
    <row r="4" spans="1:2" x14ac:dyDescent="0.35">
      <c r="A4" s="2" t="s">
        <v>625</v>
      </c>
    </row>
    <row r="5" spans="1:2" x14ac:dyDescent="0.35">
      <c r="A5" s="2" t="s">
        <v>749</v>
      </c>
    </row>
    <row r="6" spans="1:2" x14ac:dyDescent="0.35">
      <c r="A6" s="2" t="s">
        <v>626</v>
      </c>
      <c r="B6" t="s">
        <v>750</v>
      </c>
    </row>
    <row r="7" spans="1:2" x14ac:dyDescent="0.35">
      <c r="A7" s="2" t="s">
        <v>627</v>
      </c>
    </row>
    <row r="8" spans="1:2" x14ac:dyDescent="0.35">
      <c r="A8" s="2" t="s">
        <v>628</v>
      </c>
    </row>
    <row r="9" spans="1:2" x14ac:dyDescent="0.35">
      <c r="A9" s="2"/>
    </row>
    <row r="10" spans="1:2" x14ac:dyDescent="0.35">
      <c r="A10" s="3" t="s">
        <v>629</v>
      </c>
    </row>
    <row r="11" spans="1:2" x14ac:dyDescent="0.35">
      <c r="A11" s="2" t="s">
        <v>630</v>
      </c>
    </row>
    <row r="12" spans="1:2" x14ac:dyDescent="0.35">
      <c r="A12" s="2" t="s">
        <v>631</v>
      </c>
    </row>
    <row r="13" spans="1:2" x14ac:dyDescent="0.35">
      <c r="A13" s="2" t="s">
        <v>632</v>
      </c>
    </row>
    <row r="14" spans="1:2" x14ac:dyDescent="0.35">
      <c r="A14" s="2" t="s">
        <v>633</v>
      </c>
    </row>
    <row r="15" spans="1:2" x14ac:dyDescent="0.35">
      <c r="A15" s="2"/>
    </row>
    <row r="16" spans="1:2" x14ac:dyDescent="0.35">
      <c r="A16" s="3" t="s">
        <v>634</v>
      </c>
    </row>
    <row r="17" spans="1:6" x14ac:dyDescent="0.35">
      <c r="A17" s="2" t="s">
        <v>635</v>
      </c>
    </row>
    <row r="18" spans="1:6" x14ac:dyDescent="0.35">
      <c r="A18" s="2" t="s">
        <v>636</v>
      </c>
    </row>
    <row r="19" spans="1:6" x14ac:dyDescent="0.35">
      <c r="A19" s="2" t="s">
        <v>637</v>
      </c>
    </row>
    <row r="20" spans="1:6" x14ac:dyDescent="0.35">
      <c r="A20" s="2" t="s">
        <v>638</v>
      </c>
    </row>
    <row r="21" spans="1:6" x14ac:dyDescent="0.35">
      <c r="A21" s="2"/>
    </row>
    <row r="22" spans="1:6" x14ac:dyDescent="0.35">
      <c r="A22" s="3" t="s">
        <v>639</v>
      </c>
    </row>
    <row r="23" spans="1:6" x14ac:dyDescent="0.35">
      <c r="A23" s="2" t="s">
        <v>640</v>
      </c>
    </row>
    <row r="24" spans="1:6" x14ac:dyDescent="0.35">
      <c r="A24" s="2" t="s">
        <v>641</v>
      </c>
    </row>
    <row r="25" spans="1:6" x14ac:dyDescent="0.35">
      <c r="A25" s="2" t="s">
        <v>642</v>
      </c>
    </row>
    <row r="26" spans="1:6" x14ac:dyDescent="0.35">
      <c r="A26" s="2" t="s">
        <v>643</v>
      </c>
    </row>
    <row r="27" spans="1:6" x14ac:dyDescent="0.35">
      <c r="A27" s="2" t="s">
        <v>644</v>
      </c>
    </row>
    <row r="28" spans="1:6" x14ac:dyDescent="0.35">
      <c r="A28" s="2"/>
    </row>
    <row r="29" spans="1:6" x14ac:dyDescent="0.35">
      <c r="A29" s="3" t="s">
        <v>645</v>
      </c>
    </row>
    <row r="30" spans="1:6" x14ac:dyDescent="0.35">
      <c r="A30" s="4" t="s">
        <v>1</v>
      </c>
      <c r="B30" s="4" t="s">
        <v>3</v>
      </c>
      <c r="C30" s="4" t="s">
        <v>4</v>
      </c>
      <c r="D30" s="4" t="s">
        <v>8</v>
      </c>
      <c r="E30" s="4" t="s">
        <v>9</v>
      </c>
      <c r="F30" s="4" t="s">
        <v>10</v>
      </c>
    </row>
    <row r="31" spans="1:6" x14ac:dyDescent="0.35">
      <c r="A31" s="5" t="s">
        <v>28</v>
      </c>
      <c r="B31" s="5" t="s">
        <v>28</v>
      </c>
      <c r="C31" s="5" t="s">
        <v>646</v>
      </c>
      <c r="D31" s="6" t="s">
        <v>647</v>
      </c>
      <c r="E31" s="6"/>
      <c r="F31" s="6" t="s">
        <v>648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1"/>
  <sheetViews>
    <sheetView workbookViewId="0">
      <pane xSplit="2" ySplit="1" topLeftCell="D18" activePane="bottomRight" state="frozen"/>
      <selection pane="topRight"/>
      <selection pane="bottomLeft"/>
      <selection pane="bottomRight" activeCell="J2" sqref="J2"/>
    </sheetView>
  </sheetViews>
  <sheetFormatPr defaultRowHeight="14.5" x14ac:dyDescent="0.35"/>
  <cols>
    <col min="1" max="1" width="6" customWidth="1"/>
    <col min="2" max="3" width="32" customWidth="1"/>
    <col min="4" max="4" width="24" customWidth="1"/>
    <col min="5" max="6" width="22" customWidth="1"/>
    <col min="7" max="7" width="8" customWidth="1"/>
    <col min="8" max="8" width="70" customWidth="1"/>
    <col min="9" max="9" width="12" customWidth="1"/>
    <col min="10" max="10" width="22" customWidth="1"/>
    <col min="11" max="11" width="30" customWidth="1"/>
    <col min="12" max="12" width="24" customWidth="1"/>
  </cols>
  <sheetData>
    <row r="1" spans="1:12" ht="28" x14ac:dyDescent="0.35">
      <c r="A1" s="4" t="s">
        <v>0</v>
      </c>
      <c r="B1" s="4" t="s">
        <v>1</v>
      </c>
      <c r="C1" s="4" t="s">
        <v>2</v>
      </c>
      <c r="D1" s="4" t="s">
        <v>3</v>
      </c>
      <c r="E1" s="4" t="s">
        <v>4</v>
      </c>
      <c r="F1" s="4" t="s">
        <v>5</v>
      </c>
      <c r="G1" s="4" t="s">
        <v>6</v>
      </c>
      <c r="H1" s="4" t="s">
        <v>7</v>
      </c>
      <c r="I1" s="4" t="s">
        <v>8</v>
      </c>
      <c r="J1" s="4" t="s">
        <v>9</v>
      </c>
      <c r="K1" s="4" t="s">
        <v>10</v>
      </c>
      <c r="L1" s="4" t="s">
        <v>11</v>
      </c>
    </row>
    <row r="2" spans="1:12" ht="42" x14ac:dyDescent="0.35">
      <c r="A2" s="7">
        <v>1</v>
      </c>
      <c r="B2" s="8" t="s">
        <v>12</v>
      </c>
      <c r="C2" s="8" t="s">
        <v>13</v>
      </c>
      <c r="D2" s="7" t="s">
        <v>14</v>
      </c>
      <c r="E2" s="7"/>
      <c r="F2" s="7"/>
      <c r="G2" s="7">
        <v>1</v>
      </c>
      <c r="H2" s="8" t="s">
        <v>15</v>
      </c>
      <c r="I2" s="9"/>
      <c r="J2" s="9"/>
      <c r="K2" s="10"/>
      <c r="L2" s="7" t="s">
        <v>16</v>
      </c>
    </row>
    <row r="3" spans="1:12" ht="168" x14ac:dyDescent="0.35">
      <c r="A3" s="7">
        <v>2</v>
      </c>
      <c r="B3" s="8" t="s">
        <v>17</v>
      </c>
      <c r="C3" s="8"/>
      <c r="D3" s="7" t="s">
        <v>18</v>
      </c>
      <c r="E3" s="7"/>
      <c r="F3" s="7"/>
      <c r="G3" s="7">
        <v>27</v>
      </c>
      <c r="H3" s="8" t="s">
        <v>19</v>
      </c>
      <c r="I3" s="9"/>
      <c r="J3" s="9"/>
      <c r="K3" s="10"/>
      <c r="L3" s="7" t="s">
        <v>20</v>
      </c>
    </row>
    <row r="4" spans="1:12" ht="70" x14ac:dyDescent="0.35">
      <c r="A4" s="7">
        <v>3</v>
      </c>
      <c r="B4" s="8" t="s">
        <v>21</v>
      </c>
      <c r="C4" s="8" t="s">
        <v>22</v>
      </c>
      <c r="D4" s="7" t="s">
        <v>23</v>
      </c>
      <c r="E4" s="7" t="s">
        <v>24</v>
      </c>
      <c r="F4" s="7" t="s">
        <v>25</v>
      </c>
      <c r="G4" s="7">
        <v>2</v>
      </c>
      <c r="H4" s="8" t="s">
        <v>26</v>
      </c>
      <c r="I4" s="9"/>
      <c r="J4" s="9"/>
      <c r="K4" s="10"/>
      <c r="L4" s="7" t="s">
        <v>27</v>
      </c>
    </row>
    <row r="5" spans="1:12" ht="196" x14ac:dyDescent="0.35">
      <c r="A5" s="7">
        <v>4</v>
      </c>
      <c r="B5" s="8" t="s">
        <v>28</v>
      </c>
      <c r="C5" s="8"/>
      <c r="D5" s="7" t="s">
        <v>28</v>
      </c>
      <c r="E5" s="7"/>
      <c r="F5" s="7"/>
      <c r="G5" s="7">
        <v>87</v>
      </c>
      <c r="H5" s="8" t="s">
        <v>29</v>
      </c>
      <c r="I5" s="9"/>
      <c r="J5" s="9"/>
      <c r="K5" s="10"/>
      <c r="L5" s="7" t="s">
        <v>30</v>
      </c>
    </row>
    <row r="6" spans="1:12" ht="42" x14ac:dyDescent="0.35">
      <c r="A6" s="7">
        <v>5</v>
      </c>
      <c r="B6" s="8" t="s">
        <v>31</v>
      </c>
      <c r="C6" s="8" t="s">
        <v>32</v>
      </c>
      <c r="D6" s="7" t="s">
        <v>33</v>
      </c>
      <c r="E6" s="7" t="s">
        <v>34</v>
      </c>
      <c r="F6" s="7"/>
      <c r="G6" s="7">
        <v>2</v>
      </c>
      <c r="H6" s="8" t="s">
        <v>35</v>
      </c>
      <c r="I6" s="9"/>
      <c r="J6" s="9"/>
      <c r="K6" s="10"/>
      <c r="L6" s="7" t="s">
        <v>36</v>
      </c>
    </row>
    <row r="7" spans="1:12" ht="56" x14ac:dyDescent="0.35">
      <c r="A7" s="7">
        <v>6</v>
      </c>
      <c r="B7" s="8" t="s">
        <v>37</v>
      </c>
      <c r="C7" s="8" t="s">
        <v>38</v>
      </c>
      <c r="D7" s="7" t="s">
        <v>39</v>
      </c>
      <c r="E7" s="7" t="s">
        <v>40</v>
      </c>
      <c r="F7" s="7" t="s">
        <v>41</v>
      </c>
      <c r="G7" s="7">
        <v>1</v>
      </c>
      <c r="H7" s="8" t="s">
        <v>42</v>
      </c>
      <c r="I7" s="9"/>
      <c r="J7" s="9"/>
      <c r="K7" s="10"/>
      <c r="L7" s="7" t="s">
        <v>43</v>
      </c>
    </row>
    <row r="8" spans="1:12" ht="196" x14ac:dyDescent="0.35">
      <c r="A8" s="7">
        <v>7</v>
      </c>
      <c r="B8" s="8" t="s">
        <v>44</v>
      </c>
      <c r="C8" s="8"/>
      <c r="D8" s="7" t="s">
        <v>45</v>
      </c>
      <c r="E8" s="7" t="s">
        <v>46</v>
      </c>
      <c r="F8" s="7" t="s">
        <v>47</v>
      </c>
      <c r="G8" s="7">
        <v>23</v>
      </c>
      <c r="H8" s="8" t="s">
        <v>48</v>
      </c>
      <c r="I8" s="9"/>
      <c r="J8" s="9"/>
      <c r="K8" s="10"/>
      <c r="L8" s="7" t="s">
        <v>49</v>
      </c>
    </row>
    <row r="9" spans="1:12" ht="140" x14ac:dyDescent="0.35">
      <c r="A9" s="7">
        <v>8</v>
      </c>
      <c r="B9" s="8" t="s">
        <v>50</v>
      </c>
      <c r="C9" s="8"/>
      <c r="D9" s="7" t="s">
        <v>51</v>
      </c>
      <c r="E9" s="7"/>
      <c r="F9" s="7"/>
      <c r="G9" s="7">
        <v>54</v>
      </c>
      <c r="H9" s="8" t="s">
        <v>52</v>
      </c>
      <c r="I9" s="9"/>
      <c r="J9" s="9"/>
      <c r="K9" s="10"/>
      <c r="L9" s="7" t="s">
        <v>53</v>
      </c>
    </row>
    <row r="10" spans="1:12" ht="42" x14ac:dyDescent="0.35">
      <c r="A10" s="7">
        <v>9</v>
      </c>
      <c r="B10" s="8" t="s">
        <v>54</v>
      </c>
      <c r="C10" s="8" t="s">
        <v>55</v>
      </c>
      <c r="D10" s="7" t="s">
        <v>56</v>
      </c>
      <c r="E10" s="7" t="s">
        <v>57</v>
      </c>
      <c r="F10" s="7" t="s">
        <v>58</v>
      </c>
      <c r="G10" s="7">
        <v>13</v>
      </c>
      <c r="H10" s="8" t="s">
        <v>59</v>
      </c>
      <c r="I10" s="9"/>
      <c r="J10" s="9"/>
      <c r="K10" s="10"/>
      <c r="L10" s="7" t="s">
        <v>60</v>
      </c>
    </row>
    <row r="11" spans="1:12" ht="70" x14ac:dyDescent="0.35">
      <c r="A11" s="7">
        <v>10</v>
      </c>
      <c r="B11" s="8" t="s">
        <v>61</v>
      </c>
      <c r="C11" s="8" t="s">
        <v>62</v>
      </c>
      <c r="D11" s="7" t="s">
        <v>63</v>
      </c>
      <c r="E11" s="7" t="s">
        <v>64</v>
      </c>
      <c r="F11" s="7" t="s">
        <v>65</v>
      </c>
      <c r="G11" s="7">
        <v>3</v>
      </c>
      <c r="H11" s="8" t="s">
        <v>66</v>
      </c>
      <c r="I11" s="9"/>
      <c r="J11" s="9"/>
      <c r="K11" s="10"/>
      <c r="L11" s="7" t="s">
        <v>67</v>
      </c>
    </row>
    <row r="12" spans="1:12" ht="70" x14ac:dyDescent="0.35">
      <c r="A12" s="7">
        <v>11</v>
      </c>
      <c r="B12" s="8" t="s">
        <v>68</v>
      </c>
      <c r="C12" s="8"/>
      <c r="D12" s="7" t="s">
        <v>69</v>
      </c>
      <c r="E12" s="7" t="s">
        <v>70</v>
      </c>
      <c r="F12" s="7" t="s">
        <v>71</v>
      </c>
      <c r="G12" s="7">
        <v>14</v>
      </c>
      <c r="H12" s="8" t="s">
        <v>72</v>
      </c>
      <c r="I12" s="9"/>
      <c r="J12" s="9"/>
      <c r="K12" s="10"/>
      <c r="L12" s="7" t="s">
        <v>73</v>
      </c>
    </row>
    <row r="13" spans="1:12" ht="168" x14ac:dyDescent="0.35">
      <c r="A13" s="7">
        <v>12</v>
      </c>
      <c r="B13" s="8" t="s">
        <v>74</v>
      </c>
      <c r="C13" s="8"/>
      <c r="D13" s="7" t="s">
        <v>75</v>
      </c>
      <c r="E13" s="7" t="s">
        <v>76</v>
      </c>
      <c r="F13" s="7" t="s">
        <v>77</v>
      </c>
      <c r="G13" s="7">
        <v>18</v>
      </c>
      <c r="H13" s="8" t="s">
        <v>78</v>
      </c>
      <c r="I13" s="9"/>
      <c r="J13" s="9"/>
      <c r="K13" s="10"/>
      <c r="L13" s="7" t="s">
        <v>79</v>
      </c>
    </row>
    <row r="14" spans="1:12" ht="168" x14ac:dyDescent="0.35">
      <c r="A14" s="7">
        <v>13</v>
      </c>
      <c r="B14" s="8" t="s">
        <v>80</v>
      </c>
      <c r="C14" s="8"/>
      <c r="D14" s="7" t="s">
        <v>81</v>
      </c>
      <c r="E14" s="7"/>
      <c r="F14" s="7"/>
      <c r="G14" s="7">
        <v>35</v>
      </c>
      <c r="H14" s="8" t="s">
        <v>82</v>
      </c>
      <c r="I14" s="9"/>
      <c r="J14" s="9"/>
      <c r="K14" s="10"/>
      <c r="L14" s="7" t="s">
        <v>83</v>
      </c>
    </row>
    <row r="15" spans="1:12" ht="56" x14ac:dyDescent="0.35">
      <c r="A15" s="7">
        <v>14</v>
      </c>
      <c r="B15" s="8" t="s">
        <v>84</v>
      </c>
      <c r="C15" s="8" t="s">
        <v>85</v>
      </c>
      <c r="D15" s="7" t="s">
        <v>86</v>
      </c>
      <c r="E15" s="7" t="s">
        <v>87</v>
      </c>
      <c r="F15" s="7" t="s">
        <v>88</v>
      </c>
      <c r="G15" s="7">
        <v>2</v>
      </c>
      <c r="H15" s="8" t="s">
        <v>89</v>
      </c>
      <c r="I15" s="9"/>
      <c r="J15" s="9"/>
      <c r="K15" s="10"/>
      <c r="L15" s="7" t="s">
        <v>90</v>
      </c>
    </row>
    <row r="16" spans="1:12" ht="70" x14ac:dyDescent="0.35">
      <c r="A16" s="7">
        <v>15</v>
      </c>
      <c r="B16" s="8" t="s">
        <v>81</v>
      </c>
      <c r="C16" s="8" t="s">
        <v>91</v>
      </c>
      <c r="D16" s="7" t="s">
        <v>81</v>
      </c>
      <c r="E16" s="7" t="s">
        <v>92</v>
      </c>
      <c r="F16" s="7"/>
      <c r="G16" s="7">
        <v>3</v>
      </c>
      <c r="H16" s="8" t="s">
        <v>93</v>
      </c>
      <c r="I16" s="9"/>
      <c r="J16" s="9"/>
      <c r="K16" s="10"/>
      <c r="L16" s="7" t="s">
        <v>94</v>
      </c>
    </row>
    <row r="17" spans="1:12" ht="70" x14ac:dyDescent="0.35">
      <c r="A17" s="7">
        <v>16</v>
      </c>
      <c r="B17" s="8" t="s">
        <v>95</v>
      </c>
      <c r="C17" s="8" t="s">
        <v>96</v>
      </c>
      <c r="D17" s="7" t="s">
        <v>97</v>
      </c>
      <c r="E17" s="7"/>
      <c r="F17" s="7"/>
      <c r="G17" s="7">
        <v>1</v>
      </c>
      <c r="H17" s="8" t="s">
        <v>98</v>
      </c>
      <c r="I17" s="9"/>
      <c r="J17" s="9"/>
      <c r="K17" s="10"/>
      <c r="L17" s="7" t="s">
        <v>99</v>
      </c>
    </row>
    <row r="18" spans="1:12" ht="42" x14ac:dyDescent="0.35">
      <c r="A18" s="7">
        <v>17</v>
      </c>
      <c r="B18" s="8" t="s">
        <v>100</v>
      </c>
      <c r="C18" s="8" t="s">
        <v>101</v>
      </c>
      <c r="D18" s="7" t="s">
        <v>87</v>
      </c>
      <c r="E18" s="7" t="s">
        <v>102</v>
      </c>
      <c r="F18" s="7" t="s">
        <v>103</v>
      </c>
      <c r="G18" s="7">
        <v>9</v>
      </c>
      <c r="H18" s="8" t="s">
        <v>104</v>
      </c>
      <c r="I18" s="9"/>
      <c r="J18" s="9"/>
      <c r="K18" s="10"/>
      <c r="L18" s="7" t="s">
        <v>105</v>
      </c>
    </row>
    <row r="19" spans="1:12" ht="56" x14ac:dyDescent="0.35">
      <c r="A19" s="7">
        <v>18</v>
      </c>
      <c r="B19" s="8" t="s">
        <v>106</v>
      </c>
      <c r="C19" s="8" t="s">
        <v>107</v>
      </c>
      <c r="D19" s="7" t="s">
        <v>57</v>
      </c>
      <c r="E19" s="7" t="s">
        <v>108</v>
      </c>
      <c r="F19" s="7" t="s">
        <v>109</v>
      </c>
      <c r="G19" s="7">
        <v>14</v>
      </c>
      <c r="H19" s="8" t="s">
        <v>110</v>
      </c>
      <c r="I19" s="9"/>
      <c r="J19" s="9"/>
      <c r="K19" s="10"/>
      <c r="L19" s="7" t="s">
        <v>111</v>
      </c>
    </row>
    <row r="20" spans="1:12" ht="126" x14ac:dyDescent="0.35">
      <c r="A20" s="7">
        <v>19</v>
      </c>
      <c r="B20" s="8" t="s">
        <v>112</v>
      </c>
      <c r="C20" s="8" t="s">
        <v>113</v>
      </c>
      <c r="D20" s="7" t="s">
        <v>114</v>
      </c>
      <c r="E20" s="7"/>
      <c r="F20" s="7"/>
      <c r="G20" s="7">
        <v>1</v>
      </c>
      <c r="H20" s="8" t="s">
        <v>115</v>
      </c>
      <c r="I20" s="9"/>
      <c r="J20" s="9"/>
      <c r="K20" s="10"/>
      <c r="L20" s="7" t="s">
        <v>116</v>
      </c>
    </row>
    <row r="21" spans="1:12" ht="70" x14ac:dyDescent="0.35">
      <c r="A21" s="7">
        <v>20</v>
      </c>
      <c r="B21" s="8" t="s">
        <v>117</v>
      </c>
      <c r="C21" s="8" t="s">
        <v>118</v>
      </c>
      <c r="D21" s="7" t="s">
        <v>119</v>
      </c>
      <c r="E21" s="7" t="s">
        <v>120</v>
      </c>
      <c r="F21" s="7" t="s">
        <v>121</v>
      </c>
      <c r="G21" s="7">
        <v>7</v>
      </c>
      <c r="H21" s="8" t="s">
        <v>122</v>
      </c>
      <c r="I21" s="9"/>
      <c r="J21" s="9"/>
      <c r="K21" s="10"/>
      <c r="L21" s="7" t="s">
        <v>123</v>
      </c>
    </row>
    <row r="22" spans="1:12" ht="70" x14ac:dyDescent="0.35">
      <c r="A22" s="7">
        <v>21</v>
      </c>
      <c r="B22" s="8" t="s">
        <v>124</v>
      </c>
      <c r="C22" s="8" t="s">
        <v>125</v>
      </c>
      <c r="D22" s="7" t="s">
        <v>126</v>
      </c>
      <c r="E22" s="7" t="s">
        <v>127</v>
      </c>
      <c r="F22" s="7" t="s">
        <v>128</v>
      </c>
      <c r="G22" s="7">
        <v>8</v>
      </c>
      <c r="H22" s="8" t="s">
        <v>129</v>
      </c>
      <c r="I22" s="9"/>
      <c r="J22" s="9"/>
      <c r="K22" s="10"/>
      <c r="L22" s="7" t="s">
        <v>130</v>
      </c>
    </row>
    <row r="23" spans="1:12" ht="70" x14ac:dyDescent="0.35">
      <c r="A23" s="7">
        <v>22</v>
      </c>
      <c r="B23" s="8" t="s">
        <v>131</v>
      </c>
      <c r="C23" s="8" t="s">
        <v>132</v>
      </c>
      <c r="D23" s="7" t="s">
        <v>133</v>
      </c>
      <c r="E23" s="7" t="s">
        <v>134</v>
      </c>
      <c r="F23" s="7" t="s">
        <v>135</v>
      </c>
      <c r="G23" s="7">
        <v>3</v>
      </c>
      <c r="H23" s="8" t="s">
        <v>136</v>
      </c>
      <c r="I23" s="9"/>
      <c r="J23" s="9"/>
      <c r="K23" s="10"/>
      <c r="L23" s="7" t="s">
        <v>137</v>
      </c>
    </row>
    <row r="24" spans="1:12" ht="70" x14ac:dyDescent="0.35">
      <c r="A24" s="7">
        <v>23</v>
      </c>
      <c r="B24" s="8" t="s">
        <v>138</v>
      </c>
      <c r="C24" s="8" t="s">
        <v>139</v>
      </c>
      <c r="D24" s="7" t="s">
        <v>140</v>
      </c>
      <c r="E24" s="7"/>
      <c r="F24" s="7"/>
      <c r="G24" s="7">
        <v>3</v>
      </c>
      <c r="H24" s="8" t="s">
        <v>141</v>
      </c>
      <c r="I24" s="9"/>
      <c r="J24" s="9"/>
      <c r="K24" s="10"/>
      <c r="L24" s="7" t="s">
        <v>142</v>
      </c>
    </row>
    <row r="25" spans="1:12" ht="196" x14ac:dyDescent="0.35">
      <c r="A25" s="7">
        <v>24</v>
      </c>
      <c r="B25" s="8" t="s">
        <v>143</v>
      </c>
      <c r="C25" s="8"/>
      <c r="D25" s="7" t="s">
        <v>144</v>
      </c>
      <c r="E25" s="7" t="s">
        <v>145</v>
      </c>
      <c r="F25" s="7" t="s">
        <v>146</v>
      </c>
      <c r="G25" s="7">
        <v>24</v>
      </c>
      <c r="H25" s="8" t="s">
        <v>147</v>
      </c>
      <c r="I25" s="9"/>
      <c r="J25" s="9"/>
      <c r="K25" s="10"/>
      <c r="L25" s="7" t="s">
        <v>148</v>
      </c>
    </row>
    <row r="26" spans="1:12" ht="84" x14ac:dyDescent="0.35">
      <c r="A26" s="7">
        <v>25</v>
      </c>
      <c r="B26" s="8" t="s">
        <v>149</v>
      </c>
      <c r="C26" s="8" t="s">
        <v>150</v>
      </c>
      <c r="D26" s="7" t="s">
        <v>151</v>
      </c>
      <c r="E26" s="7" t="s">
        <v>152</v>
      </c>
      <c r="F26" s="7"/>
      <c r="G26" s="7">
        <v>1</v>
      </c>
      <c r="H26" s="8" t="s">
        <v>153</v>
      </c>
      <c r="I26" s="9"/>
      <c r="J26" s="9"/>
      <c r="K26" s="10"/>
      <c r="L26" s="7" t="s">
        <v>154</v>
      </c>
    </row>
    <row r="27" spans="1:12" ht="238" x14ac:dyDescent="0.35">
      <c r="A27" s="7">
        <v>26</v>
      </c>
      <c r="B27" s="8" t="s">
        <v>155</v>
      </c>
      <c r="C27" s="8"/>
      <c r="D27" s="7" t="s">
        <v>156</v>
      </c>
      <c r="E27" s="7" t="s">
        <v>157</v>
      </c>
      <c r="F27" s="7" t="s">
        <v>77</v>
      </c>
      <c r="G27" s="7">
        <v>27</v>
      </c>
      <c r="H27" s="8" t="s">
        <v>158</v>
      </c>
      <c r="I27" s="9"/>
      <c r="J27" s="9"/>
      <c r="K27" s="10"/>
      <c r="L27" s="7" t="s">
        <v>159</v>
      </c>
    </row>
    <row r="28" spans="1:12" ht="56" x14ac:dyDescent="0.35">
      <c r="A28" s="7">
        <v>27</v>
      </c>
      <c r="B28" s="8" t="s">
        <v>117</v>
      </c>
      <c r="C28" s="8" t="s">
        <v>160</v>
      </c>
      <c r="D28" s="7" t="s">
        <v>119</v>
      </c>
      <c r="E28" s="7" t="s">
        <v>120</v>
      </c>
      <c r="F28" s="7" t="s">
        <v>121</v>
      </c>
      <c r="G28" s="7">
        <v>7</v>
      </c>
      <c r="H28" s="8" t="s">
        <v>161</v>
      </c>
      <c r="I28" s="9"/>
      <c r="J28" s="9"/>
      <c r="K28" s="10"/>
      <c r="L28" s="7" t="s">
        <v>162</v>
      </c>
    </row>
    <row r="29" spans="1:12" ht="42" x14ac:dyDescent="0.35">
      <c r="A29" s="7">
        <v>28</v>
      </c>
      <c r="B29" s="8" t="s">
        <v>163</v>
      </c>
      <c r="C29" s="8" t="s">
        <v>164</v>
      </c>
      <c r="D29" s="7" t="s">
        <v>163</v>
      </c>
      <c r="E29" s="7"/>
      <c r="F29" s="7"/>
      <c r="G29" s="7">
        <v>1</v>
      </c>
      <c r="H29" s="8" t="s">
        <v>165</v>
      </c>
      <c r="I29" s="9"/>
      <c r="J29" s="9"/>
      <c r="K29" s="10"/>
      <c r="L29" s="7" t="s">
        <v>166</v>
      </c>
    </row>
    <row r="30" spans="1:12" ht="42" x14ac:dyDescent="0.35">
      <c r="A30" s="7">
        <v>29</v>
      </c>
      <c r="B30" s="8" t="s">
        <v>167</v>
      </c>
      <c r="C30" s="8" t="s">
        <v>168</v>
      </c>
      <c r="D30" s="7" t="s">
        <v>169</v>
      </c>
      <c r="E30" s="7"/>
      <c r="F30" s="7"/>
      <c r="G30" s="7">
        <v>3</v>
      </c>
      <c r="H30" s="8" t="s">
        <v>170</v>
      </c>
      <c r="I30" s="9"/>
      <c r="J30" s="9"/>
      <c r="K30" s="10"/>
      <c r="L30" s="7" t="s">
        <v>171</v>
      </c>
    </row>
    <row r="31" spans="1:12" ht="70" x14ac:dyDescent="0.35">
      <c r="A31" s="7">
        <v>30</v>
      </c>
      <c r="B31" s="8" t="s">
        <v>172</v>
      </c>
      <c r="C31" s="8"/>
      <c r="D31" s="7" t="s">
        <v>173</v>
      </c>
      <c r="E31" s="7" t="s">
        <v>174</v>
      </c>
      <c r="F31" s="7" t="s">
        <v>175</v>
      </c>
      <c r="G31" s="7">
        <v>3</v>
      </c>
      <c r="H31" s="8" t="s">
        <v>176</v>
      </c>
      <c r="I31" s="9"/>
      <c r="J31" s="9"/>
      <c r="K31" s="10"/>
      <c r="L31" s="7" t="s">
        <v>177</v>
      </c>
    </row>
    <row r="32" spans="1:12" ht="42" x14ac:dyDescent="0.35">
      <c r="A32" s="7">
        <v>31</v>
      </c>
      <c r="B32" s="8" t="s">
        <v>178</v>
      </c>
      <c r="C32" s="8" t="s">
        <v>179</v>
      </c>
      <c r="D32" s="7" t="s">
        <v>180</v>
      </c>
      <c r="E32" s="7"/>
      <c r="F32" s="7"/>
      <c r="G32" s="7">
        <v>1</v>
      </c>
      <c r="H32" s="8" t="s">
        <v>181</v>
      </c>
      <c r="I32" s="9"/>
      <c r="J32" s="9"/>
      <c r="K32" s="10"/>
      <c r="L32" s="7" t="s">
        <v>182</v>
      </c>
    </row>
    <row r="33" spans="1:12" ht="98" x14ac:dyDescent="0.35">
      <c r="A33" s="7">
        <v>32</v>
      </c>
      <c r="B33" s="8" t="s">
        <v>183</v>
      </c>
      <c r="C33" s="8" t="s">
        <v>184</v>
      </c>
      <c r="D33" s="7" t="s">
        <v>185</v>
      </c>
      <c r="E33" s="7"/>
      <c r="F33" s="7"/>
      <c r="G33" s="7">
        <v>2</v>
      </c>
      <c r="H33" s="8" t="s">
        <v>186</v>
      </c>
      <c r="I33" s="9"/>
      <c r="J33" s="9"/>
      <c r="K33" s="10"/>
      <c r="L33" s="7" t="s">
        <v>187</v>
      </c>
    </row>
    <row r="34" spans="1:12" ht="224" x14ac:dyDescent="0.35">
      <c r="A34" s="7">
        <v>33</v>
      </c>
      <c r="B34" s="8" t="s">
        <v>57</v>
      </c>
      <c r="C34" s="8"/>
      <c r="D34" s="7" t="s">
        <v>18</v>
      </c>
      <c r="E34" s="7"/>
      <c r="F34" s="7"/>
      <c r="G34" s="7">
        <v>38</v>
      </c>
      <c r="H34" s="8" t="s">
        <v>188</v>
      </c>
      <c r="I34" s="9"/>
      <c r="J34" s="9"/>
      <c r="K34" s="10"/>
      <c r="L34" s="7" t="s">
        <v>189</v>
      </c>
    </row>
    <row r="35" spans="1:12" ht="70" x14ac:dyDescent="0.35">
      <c r="A35" s="7">
        <v>34</v>
      </c>
      <c r="B35" s="8" t="s">
        <v>190</v>
      </c>
      <c r="C35" s="8" t="s">
        <v>191</v>
      </c>
      <c r="D35" s="7" t="s">
        <v>192</v>
      </c>
      <c r="E35" s="7"/>
      <c r="F35" s="7"/>
      <c r="G35" s="7">
        <v>1</v>
      </c>
      <c r="H35" s="8" t="s">
        <v>193</v>
      </c>
      <c r="I35" s="9"/>
      <c r="J35" s="9"/>
      <c r="K35" s="10"/>
      <c r="L35" s="7" t="s">
        <v>194</v>
      </c>
    </row>
    <row r="36" spans="1:12" ht="42" x14ac:dyDescent="0.35">
      <c r="A36" s="7">
        <v>35</v>
      </c>
      <c r="B36" s="8" t="s">
        <v>195</v>
      </c>
      <c r="C36" s="8" t="s">
        <v>196</v>
      </c>
      <c r="D36" s="7" t="s">
        <v>197</v>
      </c>
      <c r="E36" s="7" t="s">
        <v>198</v>
      </c>
      <c r="F36" s="7" t="s">
        <v>199</v>
      </c>
      <c r="G36" s="7">
        <v>1</v>
      </c>
      <c r="H36" s="8" t="s">
        <v>200</v>
      </c>
      <c r="I36" s="9"/>
      <c r="J36" s="9"/>
      <c r="K36" s="10"/>
      <c r="L36" s="7" t="s">
        <v>201</v>
      </c>
    </row>
    <row r="37" spans="1:12" ht="42" x14ac:dyDescent="0.35">
      <c r="A37" s="7">
        <v>36</v>
      </c>
      <c r="B37" s="8" t="s">
        <v>202</v>
      </c>
      <c r="C37" s="8" t="s">
        <v>203</v>
      </c>
      <c r="D37" s="7" t="s">
        <v>204</v>
      </c>
      <c r="E37" s="7" t="s">
        <v>205</v>
      </c>
      <c r="F37" s="7"/>
      <c r="G37" s="7">
        <v>4</v>
      </c>
      <c r="H37" s="8" t="s">
        <v>206</v>
      </c>
      <c r="I37" s="9"/>
      <c r="J37" s="9"/>
      <c r="K37" s="10"/>
      <c r="L37" s="7" t="s">
        <v>207</v>
      </c>
    </row>
    <row r="38" spans="1:12" ht="112" x14ac:dyDescent="0.35">
      <c r="A38" s="7">
        <v>37</v>
      </c>
      <c r="B38" s="8" t="s">
        <v>208</v>
      </c>
      <c r="C38" s="8" t="s">
        <v>209</v>
      </c>
      <c r="D38" s="7" t="s">
        <v>28</v>
      </c>
      <c r="E38" s="7"/>
      <c r="F38" s="7"/>
      <c r="G38" s="7">
        <v>2</v>
      </c>
      <c r="H38" s="8" t="s">
        <v>210</v>
      </c>
      <c r="I38" s="9"/>
      <c r="J38" s="9"/>
      <c r="K38" s="10"/>
      <c r="L38" s="7" t="s">
        <v>211</v>
      </c>
    </row>
    <row r="39" spans="1:12" ht="56" x14ac:dyDescent="0.35">
      <c r="A39" s="7">
        <v>38</v>
      </c>
      <c r="B39" s="8" t="s">
        <v>212</v>
      </c>
      <c r="C39" s="8" t="s">
        <v>213</v>
      </c>
      <c r="D39" s="7" t="s">
        <v>33</v>
      </c>
      <c r="E39" s="7" t="s">
        <v>34</v>
      </c>
      <c r="F39" s="7" t="s">
        <v>214</v>
      </c>
      <c r="G39" s="7">
        <v>1</v>
      </c>
      <c r="H39" s="8" t="s">
        <v>215</v>
      </c>
      <c r="I39" s="9"/>
      <c r="J39" s="9"/>
      <c r="K39" s="10"/>
      <c r="L39" s="7" t="s">
        <v>216</v>
      </c>
    </row>
    <row r="40" spans="1:12" ht="70" x14ac:dyDescent="0.35">
      <c r="A40" s="7">
        <v>39</v>
      </c>
      <c r="B40" s="8" t="s">
        <v>217</v>
      </c>
      <c r="C40" s="8"/>
      <c r="D40" s="7" t="s">
        <v>218</v>
      </c>
      <c r="E40" s="7" t="s">
        <v>219</v>
      </c>
      <c r="F40" s="7" t="s">
        <v>220</v>
      </c>
      <c r="G40" s="7">
        <v>1</v>
      </c>
      <c r="H40" s="8" t="s">
        <v>221</v>
      </c>
      <c r="I40" s="9"/>
      <c r="J40" s="9"/>
      <c r="K40" s="10"/>
      <c r="L40" s="7" t="s">
        <v>222</v>
      </c>
    </row>
    <row r="41" spans="1:12" ht="70" x14ac:dyDescent="0.35">
      <c r="A41" s="7">
        <v>40</v>
      </c>
      <c r="B41" s="8" t="s">
        <v>223</v>
      </c>
      <c r="C41" s="8"/>
      <c r="D41" s="7" t="s">
        <v>224</v>
      </c>
      <c r="E41" s="7"/>
      <c r="F41" s="7"/>
      <c r="G41" s="7">
        <v>3</v>
      </c>
      <c r="H41" s="8" t="s">
        <v>225</v>
      </c>
      <c r="I41" s="9"/>
      <c r="J41" s="9"/>
      <c r="K41" s="10"/>
      <c r="L41" s="7" t="s">
        <v>226</v>
      </c>
    </row>
    <row r="42" spans="1:12" ht="70" x14ac:dyDescent="0.35">
      <c r="A42" s="7">
        <v>41</v>
      </c>
      <c r="B42" s="8" t="s">
        <v>227</v>
      </c>
      <c r="C42" s="8" t="s">
        <v>228</v>
      </c>
      <c r="D42" s="7" t="s">
        <v>229</v>
      </c>
      <c r="E42" s="7" t="s">
        <v>230</v>
      </c>
      <c r="F42" s="7" t="s">
        <v>231</v>
      </c>
      <c r="G42" s="7">
        <v>1</v>
      </c>
      <c r="H42" s="8" t="s">
        <v>232</v>
      </c>
      <c r="I42" s="9"/>
      <c r="J42" s="9"/>
      <c r="K42" s="10"/>
      <c r="L42" s="7" t="s">
        <v>233</v>
      </c>
    </row>
    <row r="43" spans="1:12" ht="70" x14ac:dyDescent="0.35">
      <c r="A43" s="7">
        <v>42</v>
      </c>
      <c r="B43" s="8" t="s">
        <v>234</v>
      </c>
      <c r="C43" s="8"/>
      <c r="D43" s="7" t="s">
        <v>235</v>
      </c>
      <c r="E43" s="7" t="s">
        <v>236</v>
      </c>
      <c r="F43" s="7" t="s">
        <v>237</v>
      </c>
      <c r="G43" s="7">
        <v>1</v>
      </c>
      <c r="H43" s="8" t="s">
        <v>238</v>
      </c>
      <c r="I43" s="9"/>
      <c r="J43" s="9"/>
      <c r="K43" s="10"/>
      <c r="L43" s="7" t="s">
        <v>239</v>
      </c>
    </row>
    <row r="44" spans="1:12" ht="70" x14ac:dyDescent="0.35">
      <c r="A44" s="7">
        <v>43</v>
      </c>
      <c r="B44" s="8" t="s">
        <v>240</v>
      </c>
      <c r="C44" s="8"/>
      <c r="D44" s="7" t="s">
        <v>241</v>
      </c>
      <c r="E44" s="7" t="s">
        <v>242</v>
      </c>
      <c r="F44" s="7" t="s">
        <v>77</v>
      </c>
      <c r="G44" s="7">
        <v>12</v>
      </c>
      <c r="H44" s="8" t="s">
        <v>243</v>
      </c>
      <c r="I44" s="9"/>
      <c r="J44" s="9"/>
      <c r="K44" s="10"/>
      <c r="L44" s="7" t="s">
        <v>244</v>
      </c>
    </row>
    <row r="45" spans="1:12" ht="168" x14ac:dyDescent="0.35">
      <c r="A45" s="7">
        <v>44</v>
      </c>
      <c r="B45" s="8" t="s">
        <v>245</v>
      </c>
      <c r="C45" s="8"/>
      <c r="D45" s="7" t="s">
        <v>245</v>
      </c>
      <c r="E45" s="7"/>
      <c r="F45" s="7"/>
      <c r="G45" s="7">
        <v>37</v>
      </c>
      <c r="H45" s="8" t="s">
        <v>246</v>
      </c>
      <c r="I45" s="9"/>
      <c r="J45" s="9"/>
      <c r="K45" s="10"/>
      <c r="L45" s="7" t="s">
        <v>247</v>
      </c>
    </row>
    <row r="46" spans="1:12" ht="42" x14ac:dyDescent="0.35">
      <c r="A46" s="7">
        <v>45</v>
      </c>
      <c r="B46" s="8" t="s">
        <v>248</v>
      </c>
      <c r="C46" s="8" t="s">
        <v>249</v>
      </c>
      <c r="D46" s="7" t="s">
        <v>250</v>
      </c>
      <c r="E46" s="7"/>
      <c r="F46" s="7"/>
      <c r="G46" s="7">
        <v>5</v>
      </c>
      <c r="H46" s="8" t="s">
        <v>251</v>
      </c>
      <c r="I46" s="9"/>
      <c r="J46" s="9"/>
      <c r="K46" s="10"/>
      <c r="L46" s="7" t="s">
        <v>252</v>
      </c>
    </row>
    <row r="47" spans="1:12" ht="70" x14ac:dyDescent="0.35">
      <c r="A47" s="7">
        <v>46</v>
      </c>
      <c r="B47" s="8" t="s">
        <v>253</v>
      </c>
      <c r="C47" s="8" t="s">
        <v>254</v>
      </c>
      <c r="D47" s="7" t="s">
        <v>255</v>
      </c>
      <c r="E47" s="7"/>
      <c r="F47" s="7"/>
      <c r="G47" s="7">
        <v>1</v>
      </c>
      <c r="H47" s="8" t="s">
        <v>256</v>
      </c>
      <c r="I47" s="9"/>
      <c r="J47" s="9"/>
      <c r="K47" s="10"/>
      <c r="L47" s="7" t="s">
        <v>257</v>
      </c>
    </row>
    <row r="48" spans="1:12" ht="168" x14ac:dyDescent="0.35">
      <c r="A48" s="7">
        <v>47</v>
      </c>
      <c r="B48" s="8" t="s">
        <v>258</v>
      </c>
      <c r="C48" s="8"/>
      <c r="D48" s="7" t="s">
        <v>224</v>
      </c>
      <c r="E48" s="7"/>
      <c r="F48" s="7"/>
      <c r="G48" s="7">
        <v>29</v>
      </c>
      <c r="H48" s="8" t="s">
        <v>259</v>
      </c>
      <c r="I48" s="9"/>
      <c r="J48" s="9"/>
      <c r="K48" s="10"/>
      <c r="L48" s="7" t="s">
        <v>260</v>
      </c>
    </row>
    <row r="49" spans="1:12" ht="196" x14ac:dyDescent="0.35">
      <c r="A49" s="7">
        <v>48</v>
      </c>
      <c r="B49" s="8" t="s">
        <v>261</v>
      </c>
      <c r="C49" s="8"/>
      <c r="D49" s="7" t="s">
        <v>128</v>
      </c>
      <c r="E49" s="7" t="s">
        <v>262</v>
      </c>
      <c r="F49" s="7" t="s">
        <v>263</v>
      </c>
      <c r="G49" s="7">
        <v>24</v>
      </c>
      <c r="H49" s="8" t="s">
        <v>264</v>
      </c>
      <c r="I49" s="9"/>
      <c r="J49" s="9"/>
      <c r="K49" s="10"/>
      <c r="L49" s="7" t="s">
        <v>265</v>
      </c>
    </row>
    <row r="50" spans="1:12" ht="56" x14ac:dyDescent="0.35">
      <c r="A50" s="7">
        <v>49</v>
      </c>
      <c r="B50" s="8" t="s">
        <v>266</v>
      </c>
      <c r="C50" s="8" t="s">
        <v>267</v>
      </c>
      <c r="D50" s="7" t="s">
        <v>268</v>
      </c>
      <c r="E50" s="7"/>
      <c r="F50" s="7"/>
      <c r="G50" s="7">
        <v>2</v>
      </c>
      <c r="H50" s="8" t="s">
        <v>269</v>
      </c>
      <c r="I50" s="9"/>
      <c r="J50" s="9"/>
      <c r="K50" s="10"/>
      <c r="L50" s="7" t="s">
        <v>270</v>
      </c>
    </row>
    <row r="51" spans="1:12" ht="70" x14ac:dyDescent="0.35">
      <c r="A51" s="7">
        <v>50</v>
      </c>
      <c r="B51" s="8" t="s">
        <v>271</v>
      </c>
      <c r="C51" s="8"/>
      <c r="D51" s="7" t="s">
        <v>272</v>
      </c>
      <c r="E51" s="7" t="s">
        <v>273</v>
      </c>
      <c r="F51" s="7" t="s">
        <v>274</v>
      </c>
      <c r="G51" s="7">
        <v>1</v>
      </c>
      <c r="H51" s="8" t="s">
        <v>275</v>
      </c>
      <c r="I51" s="9"/>
      <c r="J51" s="9"/>
      <c r="K51" s="10"/>
      <c r="L51" s="7" t="s">
        <v>276</v>
      </c>
    </row>
    <row r="52" spans="1:12" ht="56" x14ac:dyDescent="0.35">
      <c r="A52" s="7">
        <v>51</v>
      </c>
      <c r="B52" s="8" t="s">
        <v>277</v>
      </c>
      <c r="C52" s="8" t="s">
        <v>278</v>
      </c>
      <c r="D52" s="7" t="s">
        <v>279</v>
      </c>
      <c r="E52" s="7" t="s">
        <v>280</v>
      </c>
      <c r="F52" s="7" t="s">
        <v>28</v>
      </c>
      <c r="G52" s="7">
        <v>2</v>
      </c>
      <c r="H52" s="8" t="s">
        <v>281</v>
      </c>
      <c r="I52" s="9"/>
      <c r="J52" s="9"/>
      <c r="K52" s="10"/>
      <c r="L52" s="7" t="s">
        <v>282</v>
      </c>
    </row>
    <row r="53" spans="1:12" ht="70" x14ac:dyDescent="0.35">
      <c r="A53" s="7">
        <v>52</v>
      </c>
      <c r="B53" s="8" t="s">
        <v>283</v>
      </c>
      <c r="C53" s="8" t="s">
        <v>284</v>
      </c>
      <c r="D53" s="7" t="s">
        <v>285</v>
      </c>
      <c r="E53" s="7" t="s">
        <v>286</v>
      </c>
      <c r="F53" s="7" t="s">
        <v>28</v>
      </c>
      <c r="G53" s="7">
        <v>12</v>
      </c>
      <c r="H53" s="8" t="s">
        <v>287</v>
      </c>
      <c r="I53" s="9"/>
      <c r="J53" s="9"/>
      <c r="K53" s="10"/>
      <c r="L53" s="7" t="s">
        <v>288</v>
      </c>
    </row>
    <row r="54" spans="1:12" ht="28" x14ac:dyDescent="0.35">
      <c r="A54" s="7">
        <v>53</v>
      </c>
      <c r="B54" s="8" t="s">
        <v>289</v>
      </c>
      <c r="C54" s="8" t="s">
        <v>290</v>
      </c>
      <c r="D54" s="7" t="s">
        <v>291</v>
      </c>
      <c r="E54" s="7" t="s">
        <v>292</v>
      </c>
      <c r="F54" s="7" t="s">
        <v>175</v>
      </c>
      <c r="G54" s="7">
        <v>1</v>
      </c>
      <c r="H54" s="8" t="s">
        <v>293</v>
      </c>
      <c r="I54" s="9"/>
      <c r="J54" s="9"/>
      <c r="K54" s="10"/>
      <c r="L54" s="7" t="s">
        <v>294</v>
      </c>
    </row>
    <row r="55" spans="1:12" ht="70" x14ac:dyDescent="0.35">
      <c r="A55" s="7">
        <v>54</v>
      </c>
      <c r="B55" s="8" t="s">
        <v>295</v>
      </c>
      <c r="C55" s="8"/>
      <c r="D55" s="7" t="s">
        <v>296</v>
      </c>
      <c r="E55" s="7" t="s">
        <v>297</v>
      </c>
      <c r="F55" s="7" t="s">
        <v>298</v>
      </c>
      <c r="G55" s="7">
        <v>1</v>
      </c>
      <c r="H55" s="8" t="s">
        <v>299</v>
      </c>
      <c r="I55" s="9"/>
      <c r="J55" s="9"/>
      <c r="K55" s="10"/>
      <c r="L55" s="7" t="s">
        <v>300</v>
      </c>
    </row>
    <row r="56" spans="1:12" ht="56" x14ac:dyDescent="0.35">
      <c r="A56" s="7">
        <v>55</v>
      </c>
      <c r="B56" s="8" t="s">
        <v>301</v>
      </c>
      <c r="C56" s="8" t="s">
        <v>302</v>
      </c>
      <c r="D56" s="7" t="s">
        <v>303</v>
      </c>
      <c r="E56" s="7" t="s">
        <v>304</v>
      </c>
      <c r="F56" s="7" t="s">
        <v>305</v>
      </c>
      <c r="G56" s="7">
        <v>2</v>
      </c>
      <c r="H56" s="8" t="s">
        <v>306</v>
      </c>
      <c r="I56" s="9"/>
      <c r="J56" s="9"/>
      <c r="K56" s="10"/>
      <c r="L56" s="7" t="s">
        <v>307</v>
      </c>
    </row>
    <row r="57" spans="1:12" ht="70" x14ac:dyDescent="0.35">
      <c r="A57" s="7">
        <v>56</v>
      </c>
      <c r="B57" s="8" t="s">
        <v>308</v>
      </c>
      <c r="C57" s="8" t="s">
        <v>309</v>
      </c>
      <c r="D57" s="7" t="s">
        <v>250</v>
      </c>
      <c r="E57" s="7"/>
      <c r="F57" s="7"/>
      <c r="G57" s="7">
        <v>3</v>
      </c>
      <c r="H57" s="8" t="s">
        <v>310</v>
      </c>
      <c r="I57" s="9"/>
      <c r="J57" s="9"/>
      <c r="K57" s="10"/>
      <c r="L57" s="7" t="s">
        <v>311</v>
      </c>
    </row>
    <row r="58" spans="1:12" ht="56" x14ac:dyDescent="0.35">
      <c r="A58" s="7">
        <v>57</v>
      </c>
      <c r="B58" s="8" t="s">
        <v>312</v>
      </c>
      <c r="C58" s="8" t="s">
        <v>313</v>
      </c>
      <c r="D58" s="7" t="s">
        <v>314</v>
      </c>
      <c r="E58" s="7"/>
      <c r="F58" s="7"/>
      <c r="G58" s="7">
        <v>1</v>
      </c>
      <c r="H58" s="8" t="s">
        <v>315</v>
      </c>
      <c r="I58" s="9"/>
      <c r="J58" s="9"/>
      <c r="K58" s="10"/>
      <c r="L58" s="7" t="s">
        <v>316</v>
      </c>
    </row>
    <row r="59" spans="1:12" ht="56" x14ac:dyDescent="0.35">
      <c r="A59" s="7">
        <v>58</v>
      </c>
      <c r="B59" s="8" t="s">
        <v>317</v>
      </c>
      <c r="C59" s="8" t="s">
        <v>318</v>
      </c>
      <c r="D59" s="7" t="s">
        <v>319</v>
      </c>
      <c r="E59" s="7" t="s">
        <v>320</v>
      </c>
      <c r="F59" s="7" t="s">
        <v>321</v>
      </c>
      <c r="G59" s="7">
        <v>1</v>
      </c>
      <c r="H59" s="8" t="s">
        <v>322</v>
      </c>
      <c r="I59" s="9"/>
      <c r="J59" s="9"/>
      <c r="K59" s="10"/>
      <c r="L59" s="7" t="s">
        <v>323</v>
      </c>
    </row>
    <row r="60" spans="1:12" ht="56" x14ac:dyDescent="0.35">
      <c r="A60" s="7">
        <v>59</v>
      </c>
      <c r="B60" s="8" t="s">
        <v>324</v>
      </c>
      <c r="C60" s="8"/>
      <c r="D60" s="7" t="s">
        <v>325</v>
      </c>
      <c r="E60" s="7" t="s">
        <v>326</v>
      </c>
      <c r="F60" s="7" t="s">
        <v>327</v>
      </c>
      <c r="G60" s="7">
        <v>1</v>
      </c>
      <c r="H60" s="8" t="s">
        <v>328</v>
      </c>
      <c r="I60" s="9"/>
      <c r="J60" s="9"/>
      <c r="K60" s="10"/>
      <c r="L60" s="7" t="s">
        <v>329</v>
      </c>
    </row>
    <row r="61" spans="1:12" ht="70" x14ac:dyDescent="0.35">
      <c r="A61" s="7">
        <v>60</v>
      </c>
      <c r="B61" s="8" t="s">
        <v>330</v>
      </c>
      <c r="C61" s="8"/>
      <c r="D61" s="7" t="s">
        <v>331</v>
      </c>
      <c r="E61" s="7" t="s">
        <v>332</v>
      </c>
      <c r="F61" s="7" t="s">
        <v>333</v>
      </c>
      <c r="G61" s="7">
        <v>3</v>
      </c>
      <c r="H61" s="8" t="s">
        <v>334</v>
      </c>
      <c r="I61" s="9"/>
      <c r="J61" s="9"/>
      <c r="K61" s="10"/>
      <c r="L61" s="7" t="s">
        <v>335</v>
      </c>
    </row>
    <row r="62" spans="1:12" ht="70" x14ac:dyDescent="0.35">
      <c r="A62" s="7">
        <v>61</v>
      </c>
      <c r="B62" s="8" t="s">
        <v>336</v>
      </c>
      <c r="C62" s="8" t="s">
        <v>337</v>
      </c>
      <c r="D62" s="7" t="s">
        <v>250</v>
      </c>
      <c r="E62" s="7"/>
      <c r="F62" s="7"/>
      <c r="G62" s="7">
        <v>4</v>
      </c>
      <c r="H62" s="8" t="s">
        <v>338</v>
      </c>
      <c r="I62" s="9"/>
      <c r="J62" s="9"/>
      <c r="K62" s="10"/>
      <c r="L62" s="7" t="s">
        <v>339</v>
      </c>
    </row>
    <row r="63" spans="1:12" ht="56" x14ac:dyDescent="0.35">
      <c r="A63" s="7">
        <v>62</v>
      </c>
      <c r="B63" s="8" t="s">
        <v>340</v>
      </c>
      <c r="C63" s="8"/>
      <c r="D63" s="7" t="s">
        <v>230</v>
      </c>
      <c r="E63" s="7" t="s">
        <v>341</v>
      </c>
      <c r="F63" s="7" t="s">
        <v>229</v>
      </c>
      <c r="G63" s="7">
        <v>7</v>
      </c>
      <c r="H63" s="8" t="s">
        <v>342</v>
      </c>
      <c r="I63" s="9"/>
      <c r="J63" s="9"/>
      <c r="K63" s="10"/>
      <c r="L63" s="7" t="s">
        <v>343</v>
      </c>
    </row>
    <row r="64" spans="1:12" ht="42" x14ac:dyDescent="0.35">
      <c r="A64" s="7">
        <v>63</v>
      </c>
      <c r="B64" s="8" t="s">
        <v>344</v>
      </c>
      <c r="C64" s="8" t="s">
        <v>345</v>
      </c>
      <c r="D64" s="7" t="s">
        <v>18</v>
      </c>
      <c r="E64" s="7"/>
      <c r="F64" s="7"/>
      <c r="G64" s="7">
        <v>6</v>
      </c>
      <c r="H64" s="8" t="s">
        <v>346</v>
      </c>
      <c r="I64" s="9"/>
      <c r="J64" s="9"/>
      <c r="K64" s="10"/>
      <c r="L64" s="7" t="s">
        <v>347</v>
      </c>
    </row>
    <row r="65" spans="1:12" ht="42" x14ac:dyDescent="0.35">
      <c r="A65" s="7">
        <v>64</v>
      </c>
      <c r="B65" s="8" t="s">
        <v>348</v>
      </c>
      <c r="C65" s="8" t="s">
        <v>349</v>
      </c>
      <c r="D65" s="7" t="s">
        <v>348</v>
      </c>
      <c r="E65" s="7"/>
      <c r="F65" s="7"/>
      <c r="G65" s="7">
        <v>7</v>
      </c>
      <c r="H65" s="8" t="s">
        <v>350</v>
      </c>
      <c r="I65" s="9"/>
      <c r="J65" s="9"/>
      <c r="K65" s="10"/>
      <c r="L65" s="7" t="s">
        <v>351</v>
      </c>
    </row>
    <row r="66" spans="1:12" ht="56" x14ac:dyDescent="0.35">
      <c r="A66" s="7">
        <v>65</v>
      </c>
      <c r="B66" s="8" t="s">
        <v>352</v>
      </c>
      <c r="C66" s="8" t="s">
        <v>353</v>
      </c>
      <c r="D66" s="7" t="s">
        <v>354</v>
      </c>
      <c r="E66" s="7" t="s">
        <v>355</v>
      </c>
      <c r="F66" s="7" t="s">
        <v>356</v>
      </c>
      <c r="G66" s="7">
        <v>8</v>
      </c>
      <c r="H66" s="8" t="s">
        <v>357</v>
      </c>
      <c r="I66" s="9"/>
      <c r="J66" s="9"/>
      <c r="K66" s="10"/>
      <c r="L66" s="7" t="s">
        <v>358</v>
      </c>
    </row>
    <row r="67" spans="1:12" ht="42" x14ac:dyDescent="0.35">
      <c r="A67" s="7">
        <v>66</v>
      </c>
      <c r="B67" s="8" t="s">
        <v>100</v>
      </c>
      <c r="C67" s="8" t="s">
        <v>359</v>
      </c>
      <c r="D67" s="7" t="s">
        <v>87</v>
      </c>
      <c r="E67" s="7" t="s">
        <v>102</v>
      </c>
      <c r="F67" s="7" t="s">
        <v>103</v>
      </c>
      <c r="G67" s="7">
        <v>9</v>
      </c>
      <c r="H67" s="8" t="s">
        <v>360</v>
      </c>
      <c r="I67" s="9"/>
      <c r="J67" s="9"/>
      <c r="K67" s="10"/>
      <c r="L67" s="7" t="s">
        <v>361</v>
      </c>
    </row>
    <row r="68" spans="1:12" ht="182" x14ac:dyDescent="0.35">
      <c r="A68" s="7">
        <v>67</v>
      </c>
      <c r="B68" s="8" t="s">
        <v>362</v>
      </c>
      <c r="C68" s="8"/>
      <c r="D68" s="7" t="s">
        <v>363</v>
      </c>
      <c r="E68" s="7" t="s">
        <v>364</v>
      </c>
      <c r="F68" s="7" t="s">
        <v>365</v>
      </c>
      <c r="G68" s="7">
        <v>19</v>
      </c>
      <c r="H68" s="8" t="s">
        <v>366</v>
      </c>
      <c r="I68" s="9"/>
      <c r="J68" s="9"/>
      <c r="K68" s="10"/>
      <c r="L68" s="7" t="s">
        <v>367</v>
      </c>
    </row>
    <row r="69" spans="1:12" ht="42" x14ac:dyDescent="0.35">
      <c r="A69" s="7">
        <v>68</v>
      </c>
      <c r="B69" s="8" t="s">
        <v>368</v>
      </c>
      <c r="C69" s="8" t="s">
        <v>369</v>
      </c>
      <c r="D69" s="7" t="s">
        <v>370</v>
      </c>
      <c r="E69" s="7" t="s">
        <v>119</v>
      </c>
      <c r="F69" s="7"/>
      <c r="G69" s="7">
        <v>1</v>
      </c>
      <c r="H69" s="8" t="s">
        <v>371</v>
      </c>
      <c r="I69" s="9"/>
      <c r="J69" s="9"/>
      <c r="K69" s="10"/>
      <c r="L69" s="7" t="s">
        <v>372</v>
      </c>
    </row>
    <row r="70" spans="1:12" ht="56" x14ac:dyDescent="0.35">
      <c r="A70" s="7">
        <v>69</v>
      </c>
      <c r="B70" s="8" t="s">
        <v>373</v>
      </c>
      <c r="C70" s="8" t="s">
        <v>374</v>
      </c>
      <c r="D70" s="7" t="s">
        <v>375</v>
      </c>
      <c r="E70" s="7" t="s">
        <v>114</v>
      </c>
      <c r="F70" s="7"/>
      <c r="G70" s="7">
        <v>1</v>
      </c>
      <c r="H70" s="8" t="s">
        <v>376</v>
      </c>
      <c r="I70" s="9"/>
      <c r="J70" s="9"/>
      <c r="K70" s="10"/>
      <c r="L70" s="7" t="s">
        <v>377</v>
      </c>
    </row>
    <row r="71" spans="1:12" ht="56" x14ac:dyDescent="0.35">
      <c r="A71" s="7">
        <v>70</v>
      </c>
      <c r="B71" s="8" t="s">
        <v>378</v>
      </c>
      <c r="C71" s="8" t="s">
        <v>379</v>
      </c>
      <c r="D71" s="7" t="s">
        <v>380</v>
      </c>
      <c r="E71" s="7" t="s">
        <v>126</v>
      </c>
      <c r="F71" s="7" t="s">
        <v>381</v>
      </c>
      <c r="G71" s="7">
        <v>5</v>
      </c>
      <c r="H71" s="8" t="s">
        <v>382</v>
      </c>
      <c r="I71" s="9"/>
      <c r="J71" s="9"/>
      <c r="K71" s="10"/>
      <c r="L71" s="7" t="s">
        <v>383</v>
      </c>
    </row>
    <row r="72" spans="1:12" ht="42" x14ac:dyDescent="0.35">
      <c r="A72" s="7">
        <v>71</v>
      </c>
      <c r="B72" s="8" t="s">
        <v>384</v>
      </c>
      <c r="C72" s="8"/>
      <c r="D72" s="7" t="s">
        <v>236</v>
      </c>
      <c r="E72" s="7" t="s">
        <v>385</v>
      </c>
      <c r="F72" s="7" t="s">
        <v>386</v>
      </c>
      <c r="G72" s="7">
        <v>6</v>
      </c>
      <c r="H72" s="8" t="s">
        <v>387</v>
      </c>
      <c r="I72" s="9"/>
      <c r="J72" s="9"/>
      <c r="K72" s="10"/>
      <c r="L72" s="7" t="s">
        <v>388</v>
      </c>
    </row>
    <row r="73" spans="1:12" ht="70" x14ac:dyDescent="0.35">
      <c r="A73" s="7">
        <v>72</v>
      </c>
      <c r="B73" s="8" t="s">
        <v>389</v>
      </c>
      <c r="C73" s="8" t="s">
        <v>390</v>
      </c>
      <c r="D73" s="7" t="s">
        <v>77</v>
      </c>
      <c r="E73" s="7" t="s">
        <v>391</v>
      </c>
      <c r="F73" s="7"/>
      <c r="G73" s="7">
        <v>2</v>
      </c>
      <c r="H73" s="8" t="s">
        <v>392</v>
      </c>
      <c r="I73" s="9"/>
      <c r="J73" s="9"/>
      <c r="K73" s="10"/>
      <c r="L73" s="7" t="s">
        <v>393</v>
      </c>
    </row>
    <row r="74" spans="1:12" ht="56" x14ac:dyDescent="0.35">
      <c r="A74" s="7">
        <v>73</v>
      </c>
      <c r="B74" s="8" t="s">
        <v>348</v>
      </c>
      <c r="C74" s="8" t="s">
        <v>394</v>
      </c>
      <c r="D74" s="7" t="s">
        <v>348</v>
      </c>
      <c r="E74" s="7"/>
      <c r="F74" s="7"/>
      <c r="G74" s="7">
        <v>7</v>
      </c>
      <c r="H74" s="8" t="s">
        <v>395</v>
      </c>
      <c r="I74" s="9"/>
      <c r="J74" s="9"/>
      <c r="K74" s="10"/>
      <c r="L74" s="7" t="s">
        <v>396</v>
      </c>
    </row>
    <row r="75" spans="1:12" ht="294" x14ac:dyDescent="0.35">
      <c r="A75" s="7">
        <v>74</v>
      </c>
      <c r="B75" s="8" t="s">
        <v>397</v>
      </c>
      <c r="C75" s="8" t="s">
        <v>398</v>
      </c>
      <c r="D75" s="7" t="s">
        <v>399</v>
      </c>
      <c r="E75" s="7"/>
      <c r="F75" s="7"/>
      <c r="G75" s="7">
        <v>1</v>
      </c>
      <c r="H75" s="8" t="s">
        <v>400</v>
      </c>
      <c r="I75" s="9"/>
      <c r="J75" s="9"/>
      <c r="K75" s="10"/>
      <c r="L75" s="7" t="s">
        <v>401</v>
      </c>
    </row>
    <row r="76" spans="1:12" ht="42" x14ac:dyDescent="0.35">
      <c r="A76" s="7">
        <v>75</v>
      </c>
      <c r="B76" s="8" t="s">
        <v>402</v>
      </c>
      <c r="C76" s="8" t="s">
        <v>403</v>
      </c>
      <c r="D76" s="7" t="s">
        <v>404</v>
      </c>
      <c r="E76" s="7" t="s">
        <v>405</v>
      </c>
      <c r="F76" s="7" t="s">
        <v>109</v>
      </c>
      <c r="G76" s="7">
        <v>1</v>
      </c>
      <c r="H76" s="8" t="s">
        <v>406</v>
      </c>
      <c r="I76" s="9"/>
      <c r="J76" s="9"/>
      <c r="K76" s="10"/>
      <c r="L76" s="7" t="s">
        <v>407</v>
      </c>
    </row>
    <row r="77" spans="1:12" ht="42" x14ac:dyDescent="0.35">
      <c r="A77" s="7">
        <v>76</v>
      </c>
      <c r="B77" s="8" t="s">
        <v>408</v>
      </c>
      <c r="C77" s="8" t="s">
        <v>409</v>
      </c>
      <c r="D77" s="7" t="s">
        <v>410</v>
      </c>
      <c r="E77" s="7" t="s">
        <v>411</v>
      </c>
      <c r="F77" s="7" t="s">
        <v>412</v>
      </c>
      <c r="G77" s="7">
        <v>7</v>
      </c>
      <c r="H77" s="8" t="s">
        <v>413</v>
      </c>
      <c r="I77" s="9"/>
      <c r="J77" s="9"/>
      <c r="K77" s="10"/>
      <c r="L77" s="7" t="s">
        <v>414</v>
      </c>
    </row>
    <row r="78" spans="1:12" ht="56" x14ac:dyDescent="0.35">
      <c r="A78" s="7">
        <v>77</v>
      </c>
      <c r="B78" s="8" t="s">
        <v>415</v>
      </c>
      <c r="C78" s="8"/>
      <c r="D78" s="7" t="s">
        <v>416</v>
      </c>
      <c r="E78" s="7" t="s">
        <v>417</v>
      </c>
      <c r="F78" s="7"/>
      <c r="G78" s="7">
        <v>1</v>
      </c>
      <c r="H78" s="8" t="s">
        <v>418</v>
      </c>
      <c r="I78" s="9"/>
      <c r="J78" s="9"/>
      <c r="K78" s="10"/>
      <c r="L78" s="7" t="s">
        <v>419</v>
      </c>
    </row>
    <row r="79" spans="1:12" ht="210" x14ac:dyDescent="0.35">
      <c r="A79" s="7">
        <v>78</v>
      </c>
      <c r="B79" s="8" t="s">
        <v>420</v>
      </c>
      <c r="C79" s="8"/>
      <c r="D79" s="7" t="s">
        <v>236</v>
      </c>
      <c r="E79" s="7" t="s">
        <v>28</v>
      </c>
      <c r="F79" s="7" t="s">
        <v>421</v>
      </c>
      <c r="G79" s="7">
        <v>44</v>
      </c>
      <c r="H79" s="8" t="s">
        <v>422</v>
      </c>
      <c r="I79" s="9"/>
      <c r="J79" s="9"/>
      <c r="K79" s="10"/>
      <c r="L79" s="7" t="s">
        <v>423</v>
      </c>
    </row>
    <row r="80" spans="1:12" ht="56" x14ac:dyDescent="0.35">
      <c r="A80" s="7">
        <v>79</v>
      </c>
      <c r="B80" s="8" t="s">
        <v>424</v>
      </c>
      <c r="C80" s="8" t="s">
        <v>425</v>
      </c>
      <c r="D80" s="7" t="s">
        <v>426</v>
      </c>
      <c r="E80" s="7" t="s">
        <v>427</v>
      </c>
      <c r="F80" s="7" t="s">
        <v>428</v>
      </c>
      <c r="G80" s="7">
        <v>4</v>
      </c>
      <c r="H80" s="8" t="s">
        <v>429</v>
      </c>
      <c r="I80" s="9"/>
      <c r="J80" s="9"/>
      <c r="K80" s="10"/>
      <c r="L80" s="7" t="s">
        <v>430</v>
      </c>
    </row>
    <row r="81" spans="1:12" ht="56" x14ac:dyDescent="0.35">
      <c r="A81" s="7">
        <v>80</v>
      </c>
      <c r="B81" s="8" t="s">
        <v>431</v>
      </c>
      <c r="C81" s="8"/>
      <c r="D81" s="7" t="s">
        <v>432</v>
      </c>
      <c r="E81" s="7" t="s">
        <v>197</v>
      </c>
      <c r="F81" s="7" t="s">
        <v>433</v>
      </c>
      <c r="G81" s="7">
        <v>8</v>
      </c>
      <c r="H81" s="8" t="s">
        <v>434</v>
      </c>
      <c r="I81" s="9"/>
      <c r="J81" s="9"/>
      <c r="K81" s="10"/>
      <c r="L81" s="7" t="s">
        <v>435</v>
      </c>
    </row>
    <row r="82" spans="1:12" ht="56" x14ac:dyDescent="0.35">
      <c r="A82" s="7">
        <v>81</v>
      </c>
      <c r="B82" s="8" t="s">
        <v>436</v>
      </c>
      <c r="C82" s="8" t="s">
        <v>437</v>
      </c>
      <c r="D82" s="7" t="s">
        <v>438</v>
      </c>
      <c r="E82" s="7" t="s">
        <v>439</v>
      </c>
      <c r="F82" s="7"/>
      <c r="G82" s="7">
        <v>1</v>
      </c>
      <c r="H82" s="8" t="s">
        <v>440</v>
      </c>
      <c r="I82" s="9"/>
      <c r="J82" s="9"/>
      <c r="K82" s="10"/>
      <c r="L82" s="7" t="s">
        <v>441</v>
      </c>
    </row>
    <row r="83" spans="1:12" ht="70" x14ac:dyDescent="0.35">
      <c r="A83" s="7">
        <v>82</v>
      </c>
      <c r="B83" s="8" t="s">
        <v>54</v>
      </c>
      <c r="C83" s="8" t="s">
        <v>442</v>
      </c>
      <c r="D83" s="7" t="s">
        <v>56</v>
      </c>
      <c r="E83" s="7" t="s">
        <v>57</v>
      </c>
      <c r="F83" s="7" t="s">
        <v>58</v>
      </c>
      <c r="G83" s="7">
        <v>13</v>
      </c>
      <c r="H83" s="8" t="s">
        <v>443</v>
      </c>
      <c r="I83" s="9"/>
      <c r="J83" s="9"/>
      <c r="K83" s="10"/>
      <c r="L83" s="7" t="s">
        <v>444</v>
      </c>
    </row>
    <row r="84" spans="1:12" ht="210" x14ac:dyDescent="0.35">
      <c r="A84" s="7">
        <v>83</v>
      </c>
      <c r="B84" s="8" t="s">
        <v>445</v>
      </c>
      <c r="C84" s="8"/>
      <c r="D84" s="7" t="s">
        <v>446</v>
      </c>
      <c r="E84" s="7"/>
      <c r="F84" s="7"/>
      <c r="G84" s="7">
        <v>92</v>
      </c>
      <c r="H84" s="8" t="s">
        <v>447</v>
      </c>
      <c r="I84" s="9"/>
      <c r="J84" s="9"/>
      <c r="K84" s="10"/>
      <c r="L84" s="7" t="s">
        <v>448</v>
      </c>
    </row>
    <row r="85" spans="1:12" ht="70" x14ac:dyDescent="0.35">
      <c r="A85" s="7">
        <v>84</v>
      </c>
      <c r="B85" s="8" t="s">
        <v>449</v>
      </c>
      <c r="C85" s="8" t="s">
        <v>450</v>
      </c>
      <c r="D85" s="7" t="s">
        <v>18</v>
      </c>
      <c r="E85" s="7"/>
      <c r="F85" s="7"/>
      <c r="G85" s="7">
        <v>1</v>
      </c>
      <c r="H85" s="8" t="s">
        <v>451</v>
      </c>
      <c r="I85" s="9"/>
      <c r="J85" s="9"/>
      <c r="K85" s="10"/>
      <c r="L85" s="7" t="s">
        <v>452</v>
      </c>
    </row>
    <row r="86" spans="1:12" ht="70" x14ac:dyDescent="0.35">
      <c r="A86" s="7">
        <v>85</v>
      </c>
      <c r="B86" s="8" t="s">
        <v>453</v>
      </c>
      <c r="C86" s="8" t="s">
        <v>454</v>
      </c>
      <c r="D86" s="7" t="s">
        <v>453</v>
      </c>
      <c r="E86" s="7"/>
      <c r="F86" s="7"/>
      <c r="G86" s="7">
        <v>5</v>
      </c>
      <c r="H86" s="8" t="s">
        <v>455</v>
      </c>
      <c r="I86" s="9"/>
      <c r="J86" s="9"/>
      <c r="K86" s="10"/>
      <c r="L86" s="7" t="s">
        <v>456</v>
      </c>
    </row>
    <row r="87" spans="1:12" ht="56" x14ac:dyDescent="0.35">
      <c r="A87" s="7">
        <v>86</v>
      </c>
      <c r="B87" s="8" t="s">
        <v>457</v>
      </c>
      <c r="C87" s="8" t="s">
        <v>458</v>
      </c>
      <c r="D87" s="7" t="s">
        <v>459</v>
      </c>
      <c r="E87" s="7" t="s">
        <v>460</v>
      </c>
      <c r="F87" s="7" t="s">
        <v>348</v>
      </c>
      <c r="G87" s="7">
        <v>8</v>
      </c>
      <c r="H87" s="8" t="s">
        <v>461</v>
      </c>
      <c r="I87" s="9"/>
      <c r="J87" s="9"/>
      <c r="K87" s="10"/>
      <c r="L87" s="7" t="s">
        <v>462</v>
      </c>
    </row>
    <row r="88" spans="1:12" ht="70" x14ac:dyDescent="0.35">
      <c r="A88" s="7">
        <v>87</v>
      </c>
      <c r="B88" s="8" t="s">
        <v>192</v>
      </c>
      <c r="C88" s="8"/>
      <c r="D88" s="7" t="s">
        <v>463</v>
      </c>
      <c r="E88" s="7"/>
      <c r="F88" s="7"/>
      <c r="G88" s="7">
        <v>1</v>
      </c>
      <c r="H88" s="8" t="s">
        <v>464</v>
      </c>
      <c r="I88" s="9"/>
      <c r="J88" s="9"/>
      <c r="K88" s="10"/>
      <c r="L88" s="7" t="s">
        <v>465</v>
      </c>
    </row>
    <row r="89" spans="1:12" ht="140" x14ac:dyDescent="0.35">
      <c r="A89" s="7">
        <v>88</v>
      </c>
      <c r="B89" s="8" t="s">
        <v>77</v>
      </c>
      <c r="C89" s="8"/>
      <c r="D89" s="7" t="s">
        <v>77</v>
      </c>
      <c r="E89" s="7" t="s">
        <v>391</v>
      </c>
      <c r="F89" s="7"/>
      <c r="G89" s="7">
        <v>49</v>
      </c>
      <c r="H89" s="8" t="s">
        <v>466</v>
      </c>
      <c r="I89" s="9"/>
      <c r="J89" s="9"/>
      <c r="K89" s="10"/>
      <c r="L89" s="7" t="s">
        <v>467</v>
      </c>
    </row>
    <row r="90" spans="1:12" ht="56" x14ac:dyDescent="0.35">
      <c r="A90" s="7">
        <v>89</v>
      </c>
      <c r="B90" s="8" t="s">
        <v>468</v>
      </c>
      <c r="C90" s="8" t="s">
        <v>469</v>
      </c>
      <c r="D90" s="7" t="s">
        <v>470</v>
      </c>
      <c r="E90" s="7" t="s">
        <v>471</v>
      </c>
      <c r="F90" s="7"/>
      <c r="G90" s="7">
        <v>1</v>
      </c>
      <c r="H90" s="8" t="s">
        <v>472</v>
      </c>
      <c r="I90" s="9"/>
      <c r="J90" s="9"/>
      <c r="K90" s="10"/>
      <c r="L90" s="7" t="s">
        <v>473</v>
      </c>
    </row>
    <row r="91" spans="1:12" ht="42" x14ac:dyDescent="0.35">
      <c r="A91" s="7">
        <v>90</v>
      </c>
      <c r="B91" s="8" t="s">
        <v>474</v>
      </c>
      <c r="C91" s="8" t="s">
        <v>475</v>
      </c>
      <c r="D91" s="7" t="s">
        <v>476</v>
      </c>
      <c r="E91" s="7" t="s">
        <v>477</v>
      </c>
      <c r="F91" s="7" t="s">
        <v>478</v>
      </c>
      <c r="G91" s="7">
        <v>1</v>
      </c>
      <c r="H91" s="8" t="s">
        <v>479</v>
      </c>
      <c r="I91" s="9"/>
      <c r="J91" s="9"/>
      <c r="K91" s="10"/>
      <c r="L91" s="7" t="s">
        <v>480</v>
      </c>
    </row>
    <row r="92" spans="1:12" ht="70" x14ac:dyDescent="0.35">
      <c r="A92" s="7">
        <v>91</v>
      </c>
      <c r="B92" s="8" t="s">
        <v>481</v>
      </c>
      <c r="C92" s="8" t="s">
        <v>482</v>
      </c>
      <c r="D92" s="7" t="s">
        <v>245</v>
      </c>
      <c r="E92" s="7"/>
      <c r="F92" s="7"/>
      <c r="G92" s="7">
        <v>1</v>
      </c>
      <c r="H92" s="8" t="s">
        <v>483</v>
      </c>
      <c r="I92" s="9"/>
      <c r="J92" s="9"/>
      <c r="K92" s="10"/>
      <c r="L92" s="7" t="s">
        <v>484</v>
      </c>
    </row>
    <row r="93" spans="1:12" ht="56" x14ac:dyDescent="0.35">
      <c r="A93" s="7">
        <v>92</v>
      </c>
      <c r="B93" s="8" t="s">
        <v>485</v>
      </c>
      <c r="C93" s="8" t="s">
        <v>486</v>
      </c>
      <c r="D93" s="7" t="s">
        <v>63</v>
      </c>
      <c r="E93" s="7" t="s">
        <v>487</v>
      </c>
      <c r="F93" s="7" t="s">
        <v>488</v>
      </c>
      <c r="G93" s="7">
        <v>3</v>
      </c>
      <c r="H93" s="8" t="s">
        <v>489</v>
      </c>
      <c r="I93" s="9"/>
      <c r="J93" s="9"/>
      <c r="K93" s="10"/>
      <c r="L93" s="7" t="s">
        <v>490</v>
      </c>
    </row>
    <row r="94" spans="1:12" ht="56" x14ac:dyDescent="0.35">
      <c r="A94" s="7">
        <v>93</v>
      </c>
      <c r="B94" s="8" t="s">
        <v>491</v>
      </c>
      <c r="C94" s="8"/>
      <c r="D94" s="7" t="s">
        <v>492</v>
      </c>
      <c r="E94" s="7"/>
      <c r="F94" s="7"/>
      <c r="G94" s="7">
        <v>11</v>
      </c>
      <c r="H94" s="8" t="s">
        <v>493</v>
      </c>
      <c r="I94" s="9"/>
      <c r="J94" s="9"/>
      <c r="K94" s="10"/>
      <c r="L94" s="7" t="s">
        <v>494</v>
      </c>
    </row>
    <row r="95" spans="1:12" ht="56" x14ac:dyDescent="0.35">
      <c r="A95" s="7">
        <v>94</v>
      </c>
      <c r="B95" s="8" t="s">
        <v>495</v>
      </c>
      <c r="C95" s="8" t="s">
        <v>496</v>
      </c>
      <c r="D95" s="7" t="s">
        <v>127</v>
      </c>
      <c r="E95" s="7" t="s">
        <v>497</v>
      </c>
      <c r="F95" s="7" t="s">
        <v>498</v>
      </c>
      <c r="G95" s="7">
        <v>1</v>
      </c>
      <c r="H95" s="8" t="s">
        <v>499</v>
      </c>
      <c r="I95" s="9"/>
      <c r="J95" s="9"/>
      <c r="K95" s="10"/>
      <c r="L95" s="7" t="s">
        <v>500</v>
      </c>
    </row>
    <row r="96" spans="1:12" ht="42" x14ac:dyDescent="0.35">
      <c r="A96" s="7">
        <v>95</v>
      </c>
      <c r="B96" s="8" t="s">
        <v>501</v>
      </c>
      <c r="C96" s="8" t="s">
        <v>502</v>
      </c>
      <c r="D96" s="7" t="s">
        <v>501</v>
      </c>
      <c r="E96" s="7"/>
      <c r="F96" s="7"/>
      <c r="G96" s="7">
        <v>3</v>
      </c>
      <c r="H96" s="8" t="s">
        <v>503</v>
      </c>
      <c r="I96" s="9"/>
      <c r="J96" s="9"/>
      <c r="K96" s="10"/>
      <c r="L96" s="7" t="s">
        <v>504</v>
      </c>
    </row>
    <row r="97" spans="1:12" ht="42" x14ac:dyDescent="0.35">
      <c r="A97" s="7">
        <v>96</v>
      </c>
      <c r="B97" s="8" t="s">
        <v>505</v>
      </c>
      <c r="C97" s="8" t="s">
        <v>506</v>
      </c>
      <c r="D97" s="7" t="s">
        <v>81</v>
      </c>
      <c r="E97" s="7"/>
      <c r="F97" s="7"/>
      <c r="G97" s="7">
        <v>2</v>
      </c>
      <c r="H97" s="8" t="s">
        <v>507</v>
      </c>
      <c r="I97" s="9"/>
      <c r="J97" s="9"/>
      <c r="K97" s="10"/>
      <c r="L97" s="7" t="s">
        <v>508</v>
      </c>
    </row>
    <row r="98" spans="1:12" ht="182" x14ac:dyDescent="0.35">
      <c r="A98" s="7">
        <v>97</v>
      </c>
      <c r="B98" s="8" t="s">
        <v>509</v>
      </c>
      <c r="C98" s="8"/>
      <c r="D98" s="7" t="s">
        <v>510</v>
      </c>
      <c r="E98" s="7" t="s">
        <v>492</v>
      </c>
      <c r="F98" s="7" t="s">
        <v>511</v>
      </c>
      <c r="G98" s="7">
        <v>18</v>
      </c>
      <c r="H98" s="8" t="s">
        <v>512</v>
      </c>
      <c r="I98" s="9"/>
      <c r="J98" s="9"/>
      <c r="K98" s="10"/>
      <c r="L98" s="7" t="s">
        <v>513</v>
      </c>
    </row>
    <row r="99" spans="1:12" ht="56" x14ac:dyDescent="0.35">
      <c r="A99" s="7">
        <v>98</v>
      </c>
      <c r="B99" s="8" t="s">
        <v>514</v>
      </c>
      <c r="C99" s="8" t="s">
        <v>515</v>
      </c>
      <c r="D99" s="7" t="s">
        <v>128</v>
      </c>
      <c r="E99" s="7" t="s">
        <v>262</v>
      </c>
      <c r="F99" s="7" t="s">
        <v>127</v>
      </c>
      <c r="G99" s="7">
        <v>10</v>
      </c>
      <c r="H99" s="8" t="s">
        <v>516</v>
      </c>
      <c r="I99" s="9"/>
      <c r="J99" s="9"/>
      <c r="K99" s="10"/>
      <c r="L99" s="7" t="s">
        <v>517</v>
      </c>
    </row>
    <row r="100" spans="1:12" ht="70" x14ac:dyDescent="0.35">
      <c r="A100" s="7">
        <v>99</v>
      </c>
      <c r="B100" s="8" t="s">
        <v>518</v>
      </c>
      <c r="C100" s="8" t="s">
        <v>519</v>
      </c>
      <c r="D100" s="7" t="s">
        <v>520</v>
      </c>
      <c r="E100" s="7"/>
      <c r="F100" s="7"/>
      <c r="G100" s="7">
        <v>2</v>
      </c>
      <c r="H100" s="8" t="s">
        <v>521</v>
      </c>
      <c r="I100" s="9"/>
      <c r="J100" s="9"/>
      <c r="K100" s="10"/>
      <c r="L100" s="7" t="s">
        <v>522</v>
      </c>
    </row>
    <row r="101" spans="1:12" ht="182" x14ac:dyDescent="0.35">
      <c r="A101" s="7">
        <v>100</v>
      </c>
      <c r="B101" s="8" t="s">
        <v>523</v>
      </c>
      <c r="C101" s="8"/>
      <c r="D101" s="7" t="s">
        <v>75</v>
      </c>
      <c r="E101" s="7" t="s">
        <v>76</v>
      </c>
      <c r="F101" s="7" t="s">
        <v>524</v>
      </c>
      <c r="G101" s="7">
        <v>23</v>
      </c>
      <c r="H101" s="8" t="s">
        <v>525</v>
      </c>
      <c r="I101" s="9"/>
      <c r="J101" s="9"/>
      <c r="K101" s="10"/>
      <c r="L101" s="7" t="s">
        <v>526</v>
      </c>
    </row>
    <row r="102" spans="1:12" ht="70" x14ac:dyDescent="0.35">
      <c r="A102" s="7">
        <v>101</v>
      </c>
      <c r="B102" s="8" t="s">
        <v>527</v>
      </c>
      <c r="C102" s="8" t="s">
        <v>528</v>
      </c>
      <c r="D102" s="7" t="s">
        <v>46</v>
      </c>
      <c r="E102" s="7" t="s">
        <v>529</v>
      </c>
      <c r="F102" s="7" t="s">
        <v>530</v>
      </c>
      <c r="G102" s="7">
        <v>2</v>
      </c>
      <c r="H102" s="8" t="s">
        <v>531</v>
      </c>
      <c r="I102" s="9"/>
      <c r="J102" s="9"/>
      <c r="K102" s="10"/>
      <c r="L102" s="7" t="s">
        <v>532</v>
      </c>
    </row>
    <row r="103" spans="1:12" ht="70" x14ac:dyDescent="0.35">
      <c r="A103" s="7">
        <v>102</v>
      </c>
      <c r="B103" s="8" t="s">
        <v>533</v>
      </c>
      <c r="C103" s="8" t="s">
        <v>534</v>
      </c>
      <c r="D103" s="7" t="s">
        <v>533</v>
      </c>
      <c r="E103" s="7"/>
      <c r="F103" s="7"/>
      <c r="G103" s="7">
        <v>2</v>
      </c>
      <c r="H103" s="8" t="s">
        <v>535</v>
      </c>
      <c r="I103" s="9"/>
      <c r="J103" s="9"/>
      <c r="K103" s="10"/>
      <c r="L103" s="7" t="s">
        <v>536</v>
      </c>
    </row>
    <row r="104" spans="1:12" ht="224" x14ac:dyDescent="0.35">
      <c r="A104" s="7">
        <v>103</v>
      </c>
      <c r="B104" s="8" t="s">
        <v>537</v>
      </c>
      <c r="C104" s="8"/>
      <c r="D104" s="7" t="s">
        <v>235</v>
      </c>
      <c r="E104" s="7" t="s">
        <v>236</v>
      </c>
      <c r="F104" s="7" t="s">
        <v>237</v>
      </c>
      <c r="G104" s="7">
        <v>28</v>
      </c>
      <c r="H104" s="8" t="s">
        <v>538</v>
      </c>
      <c r="I104" s="9"/>
      <c r="J104" s="9"/>
      <c r="K104" s="10"/>
      <c r="L104" s="7" t="s">
        <v>539</v>
      </c>
    </row>
    <row r="105" spans="1:12" ht="182" x14ac:dyDescent="0.35">
      <c r="A105" s="7">
        <v>104</v>
      </c>
      <c r="B105" s="8" t="s">
        <v>540</v>
      </c>
      <c r="C105" s="8"/>
      <c r="D105" s="7" t="s">
        <v>541</v>
      </c>
      <c r="E105" s="7" t="s">
        <v>542</v>
      </c>
      <c r="F105" s="7" t="s">
        <v>543</v>
      </c>
      <c r="G105" s="7">
        <v>19</v>
      </c>
      <c r="H105" s="8" t="s">
        <v>544</v>
      </c>
      <c r="I105" s="9"/>
      <c r="J105" s="9"/>
      <c r="K105" s="10"/>
      <c r="L105" s="7" t="s">
        <v>545</v>
      </c>
    </row>
    <row r="106" spans="1:12" ht="56" x14ac:dyDescent="0.35">
      <c r="A106" s="7">
        <v>105</v>
      </c>
      <c r="B106" s="8" t="s">
        <v>546</v>
      </c>
      <c r="C106" s="8" t="s">
        <v>547</v>
      </c>
      <c r="D106" s="7" t="s">
        <v>476</v>
      </c>
      <c r="E106" s="7"/>
      <c r="F106" s="7"/>
      <c r="G106" s="7">
        <v>1</v>
      </c>
      <c r="H106" s="8" t="s">
        <v>548</v>
      </c>
      <c r="I106" s="9"/>
      <c r="J106" s="9"/>
      <c r="K106" s="10"/>
      <c r="L106" s="7" t="s">
        <v>549</v>
      </c>
    </row>
    <row r="107" spans="1:12" ht="42" x14ac:dyDescent="0.35">
      <c r="A107" s="7">
        <v>106</v>
      </c>
      <c r="B107" s="8" t="s">
        <v>431</v>
      </c>
      <c r="C107" s="8" t="s">
        <v>550</v>
      </c>
      <c r="D107" s="7" t="s">
        <v>432</v>
      </c>
      <c r="E107" s="7" t="s">
        <v>197</v>
      </c>
      <c r="F107" s="7" t="s">
        <v>433</v>
      </c>
      <c r="G107" s="7">
        <v>8</v>
      </c>
      <c r="H107" s="8" t="s">
        <v>551</v>
      </c>
      <c r="I107" s="9"/>
      <c r="J107" s="9"/>
      <c r="K107" s="10"/>
      <c r="L107" s="7" t="s">
        <v>552</v>
      </c>
    </row>
    <row r="108" spans="1:12" ht="42" x14ac:dyDescent="0.35">
      <c r="A108" s="7">
        <v>107</v>
      </c>
      <c r="B108" s="8" t="s">
        <v>553</v>
      </c>
      <c r="C108" s="8" t="s">
        <v>554</v>
      </c>
      <c r="D108" s="7" t="s">
        <v>555</v>
      </c>
      <c r="E108" s="7"/>
      <c r="F108" s="7"/>
      <c r="G108" s="7">
        <v>1</v>
      </c>
      <c r="H108" s="8" t="s">
        <v>556</v>
      </c>
      <c r="I108" s="9"/>
      <c r="J108" s="9"/>
      <c r="K108" s="10"/>
      <c r="L108" s="7" t="s">
        <v>557</v>
      </c>
    </row>
    <row r="109" spans="1:12" ht="42" x14ac:dyDescent="0.35">
      <c r="A109" s="7">
        <v>108</v>
      </c>
      <c r="B109" s="8" t="s">
        <v>558</v>
      </c>
      <c r="C109" s="8" t="s">
        <v>559</v>
      </c>
      <c r="D109" s="7" t="s">
        <v>560</v>
      </c>
      <c r="E109" s="7"/>
      <c r="F109" s="7"/>
      <c r="G109" s="7">
        <v>6</v>
      </c>
      <c r="H109" s="8" t="s">
        <v>561</v>
      </c>
      <c r="I109" s="9"/>
      <c r="J109" s="9"/>
      <c r="K109" s="10"/>
      <c r="L109" s="7" t="s">
        <v>562</v>
      </c>
    </row>
    <row r="110" spans="1:12" ht="28" x14ac:dyDescent="0.35">
      <c r="A110" s="7">
        <v>109</v>
      </c>
      <c r="B110" s="8" t="s">
        <v>563</v>
      </c>
      <c r="C110" s="8"/>
      <c r="D110" s="7" t="s">
        <v>192</v>
      </c>
      <c r="E110" s="7" t="s">
        <v>564</v>
      </c>
      <c r="F110" s="7" t="s">
        <v>236</v>
      </c>
      <c r="G110" s="7">
        <v>1</v>
      </c>
      <c r="H110" s="8" t="s">
        <v>565</v>
      </c>
      <c r="I110" s="9"/>
      <c r="J110" s="9"/>
      <c r="K110" s="10"/>
      <c r="L110" s="7" t="s">
        <v>566</v>
      </c>
    </row>
    <row r="111" spans="1:12" ht="56" x14ac:dyDescent="0.35">
      <c r="A111" s="7">
        <v>110</v>
      </c>
      <c r="B111" s="8" t="s">
        <v>567</v>
      </c>
      <c r="C111" s="8"/>
      <c r="D111" s="7" t="s">
        <v>81</v>
      </c>
      <c r="E111" s="7"/>
      <c r="F111" s="7"/>
      <c r="G111" s="7">
        <v>1</v>
      </c>
      <c r="H111" s="8" t="s">
        <v>568</v>
      </c>
      <c r="I111" s="9"/>
      <c r="J111" s="9"/>
      <c r="K111" s="10"/>
      <c r="L111" s="7" t="s">
        <v>569</v>
      </c>
    </row>
    <row r="112" spans="1:12" ht="70" x14ac:dyDescent="0.35">
      <c r="A112" s="7">
        <v>111</v>
      </c>
      <c r="B112" s="8" t="s">
        <v>570</v>
      </c>
      <c r="C112" s="8" t="s">
        <v>571</v>
      </c>
      <c r="D112" s="7" t="s">
        <v>572</v>
      </c>
      <c r="E112" s="7" t="s">
        <v>573</v>
      </c>
      <c r="F112" s="7" t="s">
        <v>574</v>
      </c>
      <c r="G112" s="7">
        <v>1</v>
      </c>
      <c r="H112" s="8" t="s">
        <v>575</v>
      </c>
      <c r="I112" s="9"/>
      <c r="J112" s="9"/>
      <c r="K112" s="10"/>
      <c r="L112" s="7" t="s">
        <v>576</v>
      </c>
    </row>
    <row r="113" spans="1:12" ht="56" x14ac:dyDescent="0.35">
      <c r="A113" s="7">
        <v>112</v>
      </c>
      <c r="B113" s="8" t="s">
        <v>577</v>
      </c>
      <c r="C113" s="8" t="s">
        <v>578</v>
      </c>
      <c r="D113" s="7" t="s">
        <v>245</v>
      </c>
      <c r="E113" s="7"/>
      <c r="F113" s="7"/>
      <c r="G113" s="7">
        <v>5</v>
      </c>
      <c r="H113" s="8" t="s">
        <v>579</v>
      </c>
      <c r="I113" s="9"/>
      <c r="J113" s="9"/>
      <c r="K113" s="10"/>
      <c r="L113" s="7" t="s">
        <v>580</v>
      </c>
    </row>
    <row r="114" spans="1:12" ht="84" x14ac:dyDescent="0.35">
      <c r="A114" s="7">
        <v>113</v>
      </c>
      <c r="B114" s="8" t="s">
        <v>581</v>
      </c>
      <c r="C114" s="8" t="s">
        <v>582</v>
      </c>
      <c r="D114" s="7" t="s">
        <v>583</v>
      </c>
      <c r="E114" s="7" t="s">
        <v>584</v>
      </c>
      <c r="F114" s="7" t="s">
        <v>585</v>
      </c>
      <c r="G114" s="7">
        <v>2</v>
      </c>
      <c r="H114" s="8" t="s">
        <v>586</v>
      </c>
      <c r="I114" s="9"/>
      <c r="J114" s="9"/>
      <c r="K114" s="10"/>
      <c r="L114" s="7" t="s">
        <v>587</v>
      </c>
    </row>
    <row r="115" spans="1:12" ht="42" x14ac:dyDescent="0.35">
      <c r="A115" s="7">
        <v>114</v>
      </c>
      <c r="B115" s="8" t="s">
        <v>588</v>
      </c>
      <c r="C115" s="8" t="s">
        <v>589</v>
      </c>
      <c r="D115" s="7" t="s">
        <v>348</v>
      </c>
      <c r="E115" s="7"/>
      <c r="F115" s="7"/>
      <c r="G115" s="7">
        <v>1</v>
      </c>
      <c r="H115" s="8" t="s">
        <v>590</v>
      </c>
      <c r="I115" s="9"/>
      <c r="J115" s="9"/>
      <c r="K115" s="10"/>
      <c r="L115" s="7" t="s">
        <v>591</v>
      </c>
    </row>
    <row r="116" spans="1:12" ht="56" x14ac:dyDescent="0.35">
      <c r="A116" s="7">
        <v>115</v>
      </c>
      <c r="B116" s="8" t="s">
        <v>592</v>
      </c>
      <c r="C116" s="8" t="s">
        <v>593</v>
      </c>
      <c r="D116" s="7" t="s">
        <v>348</v>
      </c>
      <c r="E116" s="7"/>
      <c r="F116" s="7"/>
      <c r="G116" s="7">
        <v>1</v>
      </c>
      <c r="H116" s="8" t="s">
        <v>594</v>
      </c>
      <c r="I116" s="9"/>
      <c r="J116" s="9"/>
      <c r="K116" s="10"/>
      <c r="L116" s="7" t="s">
        <v>595</v>
      </c>
    </row>
    <row r="117" spans="1:12" ht="70" x14ac:dyDescent="0.35">
      <c r="A117" s="7">
        <v>116</v>
      </c>
      <c r="B117" s="8" t="s">
        <v>596</v>
      </c>
      <c r="C117" s="8" t="s">
        <v>597</v>
      </c>
      <c r="D117" s="7" t="s">
        <v>598</v>
      </c>
      <c r="E117" s="7"/>
      <c r="F117" s="7"/>
      <c r="G117" s="7">
        <v>1</v>
      </c>
      <c r="H117" s="8" t="s">
        <v>599</v>
      </c>
      <c r="I117" s="9"/>
      <c r="J117" s="9"/>
      <c r="K117" s="10"/>
      <c r="L117" s="7" t="s">
        <v>600</v>
      </c>
    </row>
    <row r="118" spans="1:12" x14ac:dyDescent="0.35">
      <c r="A118" s="7">
        <v>117</v>
      </c>
      <c r="B118" s="8" t="s">
        <v>601</v>
      </c>
      <c r="C118" s="8"/>
      <c r="D118" s="7" t="s">
        <v>602</v>
      </c>
      <c r="E118" s="7"/>
      <c r="F118" s="7"/>
      <c r="G118" s="7">
        <v>1</v>
      </c>
      <c r="H118" s="8" t="s">
        <v>603</v>
      </c>
      <c r="I118" s="9"/>
      <c r="J118" s="9"/>
      <c r="K118" s="10"/>
      <c r="L118" s="7" t="s">
        <v>604</v>
      </c>
    </row>
    <row r="119" spans="1:12" ht="56" x14ac:dyDescent="0.35">
      <c r="A119" s="7">
        <v>118</v>
      </c>
      <c r="B119" s="8" t="s">
        <v>605</v>
      </c>
      <c r="C119" s="8" t="s">
        <v>606</v>
      </c>
      <c r="D119" s="7" t="s">
        <v>607</v>
      </c>
      <c r="E119" s="7" t="s">
        <v>608</v>
      </c>
      <c r="F119" s="7" t="s">
        <v>609</v>
      </c>
      <c r="G119" s="7">
        <v>1</v>
      </c>
      <c r="H119" s="8" t="s">
        <v>610</v>
      </c>
      <c r="I119" s="9"/>
      <c r="J119" s="9"/>
      <c r="K119" s="10"/>
      <c r="L119" s="7" t="s">
        <v>611</v>
      </c>
    </row>
    <row r="120" spans="1:12" ht="42" x14ac:dyDescent="0.35">
      <c r="A120" s="7">
        <v>119</v>
      </c>
      <c r="B120" s="8" t="s">
        <v>612</v>
      </c>
      <c r="C120" s="8" t="s">
        <v>613</v>
      </c>
      <c r="D120" s="7" t="s">
        <v>28</v>
      </c>
      <c r="E120" s="7"/>
      <c r="F120" s="7"/>
      <c r="G120" s="7">
        <v>2</v>
      </c>
      <c r="H120" s="8" t="s">
        <v>614</v>
      </c>
      <c r="I120" s="9"/>
      <c r="J120" s="9"/>
      <c r="K120" s="10"/>
      <c r="L120" s="7" t="s">
        <v>615</v>
      </c>
    </row>
    <row r="121" spans="1:12" ht="42" x14ac:dyDescent="0.35">
      <c r="A121" s="7">
        <v>120</v>
      </c>
      <c r="B121" s="8" t="s">
        <v>616</v>
      </c>
      <c r="C121" s="8" t="s">
        <v>617</v>
      </c>
      <c r="D121" s="7" t="s">
        <v>618</v>
      </c>
      <c r="E121" s="7" t="s">
        <v>619</v>
      </c>
      <c r="F121" s="7" t="s">
        <v>620</v>
      </c>
      <c r="G121" s="7">
        <v>1</v>
      </c>
      <c r="H121" s="8" t="s">
        <v>621</v>
      </c>
      <c r="I121" s="9"/>
      <c r="J121" s="9"/>
      <c r="K121" s="10"/>
      <c r="L121" s="7" t="s">
        <v>622</v>
      </c>
    </row>
  </sheetData>
  <dataValidations count="1">
    <dataValidation type="list" allowBlank="1" showErrorMessage="1" errorTitle="Judgement" error="Choose: correct, partial, wrong, unclear" sqref="I2:I121" xr:uid="{00000000-0002-0000-0100-000000000000}">
      <formula1>"correct,partial,wrong,unclear"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1"/>
  <sheetViews>
    <sheetView workbookViewId="0"/>
  </sheetViews>
  <sheetFormatPr defaultRowHeight="14.5" x14ac:dyDescent="0.35"/>
  <sheetData>
    <row r="1" spans="1:10" x14ac:dyDescent="0.35">
      <c r="A1" s="5" t="s">
        <v>0</v>
      </c>
      <c r="B1" s="5" t="s">
        <v>649</v>
      </c>
      <c r="C1" s="5" t="s">
        <v>650</v>
      </c>
      <c r="D1" s="5" t="s">
        <v>651</v>
      </c>
      <c r="E1" s="5" t="s">
        <v>652</v>
      </c>
      <c r="F1" s="5" t="s">
        <v>653</v>
      </c>
      <c r="G1" s="5" t="s">
        <v>654</v>
      </c>
      <c r="H1" s="5" t="s">
        <v>655</v>
      </c>
      <c r="I1" s="5" t="s">
        <v>656</v>
      </c>
      <c r="J1" s="5" t="s">
        <v>657</v>
      </c>
    </row>
    <row r="2" spans="1:10" x14ac:dyDescent="0.35">
      <c r="A2" s="5">
        <v>1</v>
      </c>
      <c r="B2" s="5" t="s">
        <v>658</v>
      </c>
      <c r="C2" s="5" t="s">
        <v>659</v>
      </c>
      <c r="D2" s="5" t="s">
        <v>660</v>
      </c>
      <c r="E2" s="5" t="s">
        <v>661</v>
      </c>
      <c r="F2" s="5">
        <v>0.27760000000000001</v>
      </c>
      <c r="G2" s="5">
        <v>40.700000000000003</v>
      </c>
      <c r="H2" s="5"/>
      <c r="I2" s="5"/>
      <c r="J2" s="5" t="s">
        <v>12</v>
      </c>
    </row>
    <row r="3" spans="1:10" x14ac:dyDescent="0.35">
      <c r="A3" s="5">
        <v>2</v>
      </c>
      <c r="B3" s="5" t="s">
        <v>662</v>
      </c>
      <c r="C3" s="5" t="s">
        <v>662</v>
      </c>
      <c r="D3" s="5" t="s">
        <v>663</v>
      </c>
      <c r="E3" s="5" t="s">
        <v>664</v>
      </c>
      <c r="F3" s="5">
        <v>1</v>
      </c>
      <c r="G3" s="5"/>
      <c r="H3" s="5">
        <v>4</v>
      </c>
      <c r="I3" s="5">
        <v>23</v>
      </c>
      <c r="J3" s="5" t="s">
        <v>17</v>
      </c>
    </row>
    <row r="4" spans="1:10" x14ac:dyDescent="0.35">
      <c r="A4" s="5">
        <v>3</v>
      </c>
      <c r="B4" s="5" t="s">
        <v>658</v>
      </c>
      <c r="C4" s="5" t="s">
        <v>665</v>
      </c>
      <c r="D4" s="5" t="s">
        <v>666</v>
      </c>
      <c r="E4" s="5" t="s">
        <v>661</v>
      </c>
      <c r="F4" s="5">
        <v>0.47349999999999998</v>
      </c>
      <c r="G4" s="5">
        <v>92.9</v>
      </c>
      <c r="H4" s="5"/>
      <c r="I4" s="5"/>
      <c r="J4" s="5" t="s">
        <v>21</v>
      </c>
    </row>
    <row r="5" spans="1:10" x14ac:dyDescent="0.35">
      <c r="A5" s="5">
        <v>4</v>
      </c>
      <c r="B5" s="5" t="s">
        <v>662</v>
      </c>
      <c r="C5" s="5" t="s">
        <v>662</v>
      </c>
      <c r="D5" s="5" t="s">
        <v>663</v>
      </c>
      <c r="E5" s="5" t="s">
        <v>664</v>
      </c>
      <c r="F5" s="5">
        <v>1</v>
      </c>
      <c r="G5" s="5"/>
      <c r="H5" s="5">
        <v>62</v>
      </c>
      <c r="I5" s="5">
        <v>25</v>
      </c>
      <c r="J5" s="5" t="s">
        <v>28</v>
      </c>
    </row>
    <row r="6" spans="1:10" x14ac:dyDescent="0.35">
      <c r="A6" s="5">
        <v>5</v>
      </c>
      <c r="B6" s="5" t="s">
        <v>658</v>
      </c>
      <c r="C6" s="5" t="s">
        <v>667</v>
      </c>
      <c r="D6" s="5" t="s">
        <v>666</v>
      </c>
      <c r="E6" s="5" t="s">
        <v>661</v>
      </c>
      <c r="F6" s="5">
        <v>0.38059999999999999</v>
      </c>
      <c r="G6" s="5">
        <v>68.2</v>
      </c>
      <c r="H6" s="5"/>
      <c r="I6" s="5"/>
      <c r="J6" s="5" t="s">
        <v>31</v>
      </c>
    </row>
    <row r="7" spans="1:10" x14ac:dyDescent="0.35">
      <c r="A7" s="5">
        <v>6</v>
      </c>
      <c r="B7" s="5" t="s">
        <v>658</v>
      </c>
      <c r="C7" s="5" t="s">
        <v>668</v>
      </c>
      <c r="D7" s="5" t="s">
        <v>666</v>
      </c>
      <c r="E7" s="5" t="s">
        <v>661</v>
      </c>
      <c r="F7" s="5">
        <v>0.2621</v>
      </c>
      <c r="G7" s="5">
        <v>36.6</v>
      </c>
      <c r="H7" s="5"/>
      <c r="I7" s="5"/>
      <c r="J7" s="5" t="s">
        <v>37</v>
      </c>
    </row>
    <row r="8" spans="1:10" x14ac:dyDescent="0.35">
      <c r="A8" s="5">
        <v>7</v>
      </c>
      <c r="B8" s="5" t="s">
        <v>662</v>
      </c>
      <c r="C8" s="5" t="s">
        <v>662</v>
      </c>
      <c r="D8" s="5" t="s">
        <v>663</v>
      </c>
      <c r="E8" s="5" t="s">
        <v>661</v>
      </c>
      <c r="F8" s="5">
        <v>0.42309999999999998</v>
      </c>
      <c r="G8" s="5">
        <v>79.5</v>
      </c>
      <c r="H8" s="5">
        <v>10</v>
      </c>
      <c r="I8" s="5">
        <v>13</v>
      </c>
      <c r="J8" s="5" t="s">
        <v>44</v>
      </c>
    </row>
    <row r="9" spans="1:10" x14ac:dyDescent="0.35">
      <c r="A9" s="5">
        <v>8</v>
      </c>
      <c r="B9" s="5" t="s">
        <v>662</v>
      </c>
      <c r="C9" s="5" t="s">
        <v>662</v>
      </c>
      <c r="D9" s="5" t="s">
        <v>663</v>
      </c>
      <c r="E9" s="5" t="s">
        <v>661</v>
      </c>
      <c r="F9" s="5">
        <v>0.22950000000000001</v>
      </c>
      <c r="G9" s="5">
        <v>27.9</v>
      </c>
      <c r="H9" s="5">
        <v>1</v>
      </c>
      <c r="I9" s="5">
        <v>53</v>
      </c>
      <c r="J9" s="5" t="s">
        <v>50</v>
      </c>
    </row>
    <row r="10" spans="1:10" x14ac:dyDescent="0.35">
      <c r="A10" s="5">
        <v>9</v>
      </c>
      <c r="B10" s="5" t="s">
        <v>658</v>
      </c>
      <c r="C10" s="5" t="s">
        <v>667</v>
      </c>
      <c r="D10" s="5" t="s">
        <v>666</v>
      </c>
      <c r="E10" s="5" t="s">
        <v>661</v>
      </c>
      <c r="F10" s="5">
        <v>0.33929999999999999</v>
      </c>
      <c r="G10" s="5">
        <v>57.1</v>
      </c>
      <c r="H10" s="5"/>
      <c r="I10" s="5"/>
      <c r="J10" s="5" t="s">
        <v>54</v>
      </c>
    </row>
    <row r="11" spans="1:10" x14ac:dyDescent="0.35">
      <c r="A11" s="5">
        <v>10</v>
      </c>
      <c r="B11" s="5" t="s">
        <v>658</v>
      </c>
      <c r="C11" s="5" t="s">
        <v>669</v>
      </c>
      <c r="D11" s="5" t="s">
        <v>660</v>
      </c>
      <c r="E11" s="5" t="s">
        <v>661</v>
      </c>
      <c r="F11" s="5">
        <v>0.35320000000000001</v>
      </c>
      <c r="G11" s="5">
        <v>60.9</v>
      </c>
      <c r="H11" s="5"/>
      <c r="I11" s="5"/>
      <c r="J11" s="5" t="s">
        <v>61</v>
      </c>
    </row>
    <row r="12" spans="1:10" x14ac:dyDescent="0.35">
      <c r="A12" s="5">
        <v>11</v>
      </c>
      <c r="B12" s="5" t="s">
        <v>658</v>
      </c>
      <c r="C12" s="5" t="s">
        <v>665</v>
      </c>
      <c r="D12" s="5" t="s">
        <v>666</v>
      </c>
      <c r="E12" s="5" t="s">
        <v>661</v>
      </c>
      <c r="F12" s="5">
        <v>0.40139999999999998</v>
      </c>
      <c r="G12" s="5">
        <v>73.7</v>
      </c>
      <c r="H12" s="5"/>
      <c r="I12" s="5"/>
      <c r="J12" s="5" t="s">
        <v>68</v>
      </c>
    </row>
    <row r="13" spans="1:10" x14ac:dyDescent="0.35">
      <c r="A13" s="5">
        <v>12</v>
      </c>
      <c r="B13" s="5" t="s">
        <v>662</v>
      </c>
      <c r="C13" s="5" t="s">
        <v>662</v>
      </c>
      <c r="D13" s="5" t="s">
        <v>663</v>
      </c>
      <c r="E13" s="5" t="s">
        <v>661</v>
      </c>
      <c r="F13" s="5">
        <v>0.41610000000000003</v>
      </c>
      <c r="G13" s="5">
        <v>77.599999999999994</v>
      </c>
      <c r="H13" s="5">
        <v>9</v>
      </c>
      <c r="I13" s="5">
        <v>9</v>
      </c>
      <c r="J13" s="5" t="s">
        <v>74</v>
      </c>
    </row>
    <row r="14" spans="1:10" x14ac:dyDescent="0.35">
      <c r="A14" s="5">
        <v>13</v>
      </c>
      <c r="B14" s="5" t="s">
        <v>662</v>
      </c>
      <c r="C14" s="5" t="s">
        <v>662</v>
      </c>
      <c r="D14" s="5" t="s">
        <v>663</v>
      </c>
      <c r="E14" s="5" t="s">
        <v>664</v>
      </c>
      <c r="F14" s="5">
        <v>1</v>
      </c>
      <c r="G14" s="5"/>
      <c r="H14" s="5">
        <v>2</v>
      </c>
      <c r="I14" s="5">
        <v>33</v>
      </c>
      <c r="J14" s="5" t="s">
        <v>80</v>
      </c>
    </row>
    <row r="15" spans="1:10" x14ac:dyDescent="0.35">
      <c r="A15" s="5">
        <v>14</v>
      </c>
      <c r="B15" s="5" t="s">
        <v>658</v>
      </c>
      <c r="C15" s="5" t="s">
        <v>669</v>
      </c>
      <c r="D15" s="5" t="s">
        <v>660</v>
      </c>
      <c r="E15" s="5" t="s">
        <v>661</v>
      </c>
      <c r="F15" s="5">
        <v>0.3851</v>
      </c>
      <c r="G15" s="5">
        <v>69.400000000000006</v>
      </c>
      <c r="H15" s="5"/>
      <c r="I15" s="5"/>
      <c r="J15" s="5" t="s">
        <v>84</v>
      </c>
    </row>
    <row r="16" spans="1:10" x14ac:dyDescent="0.35">
      <c r="A16" s="5">
        <v>15</v>
      </c>
      <c r="B16" s="5" t="s">
        <v>658</v>
      </c>
      <c r="C16" s="5" t="s">
        <v>670</v>
      </c>
      <c r="D16" s="5" t="s">
        <v>660</v>
      </c>
      <c r="E16" s="5" t="s">
        <v>664</v>
      </c>
      <c r="F16" s="5">
        <v>0.8</v>
      </c>
      <c r="G16" s="5"/>
      <c r="H16" s="5"/>
      <c r="I16" s="5"/>
      <c r="J16" s="5" t="s">
        <v>81</v>
      </c>
    </row>
    <row r="17" spans="1:10" x14ac:dyDescent="0.35">
      <c r="A17" s="5">
        <v>16</v>
      </c>
      <c r="B17" s="5" t="s">
        <v>658</v>
      </c>
      <c r="C17" s="5" t="s">
        <v>671</v>
      </c>
      <c r="D17" s="5" t="s">
        <v>660</v>
      </c>
      <c r="E17" s="5" t="s">
        <v>672</v>
      </c>
      <c r="F17" s="5">
        <v>0.8</v>
      </c>
      <c r="G17" s="5"/>
      <c r="H17" s="5"/>
      <c r="I17" s="5"/>
      <c r="J17" s="5" t="s">
        <v>95</v>
      </c>
    </row>
    <row r="18" spans="1:10" x14ac:dyDescent="0.35">
      <c r="A18" s="5">
        <v>17</v>
      </c>
      <c r="B18" s="5" t="s">
        <v>658</v>
      </c>
      <c r="C18" s="5" t="s">
        <v>668</v>
      </c>
      <c r="D18" s="5" t="s">
        <v>666</v>
      </c>
      <c r="E18" s="5" t="s">
        <v>661</v>
      </c>
      <c r="F18" s="5">
        <v>0.25800000000000001</v>
      </c>
      <c r="G18" s="5">
        <v>35.5</v>
      </c>
      <c r="H18" s="5"/>
      <c r="I18" s="5"/>
      <c r="J18" s="5" t="s">
        <v>100</v>
      </c>
    </row>
    <row r="19" spans="1:10" x14ac:dyDescent="0.35">
      <c r="A19" s="5">
        <v>18</v>
      </c>
      <c r="B19" s="5" t="s">
        <v>658</v>
      </c>
      <c r="C19" s="5" t="s">
        <v>673</v>
      </c>
      <c r="D19" s="5" t="s">
        <v>660</v>
      </c>
      <c r="E19" s="5" t="s">
        <v>661</v>
      </c>
      <c r="F19" s="5">
        <v>0.44230000000000003</v>
      </c>
      <c r="G19" s="5">
        <v>84.6</v>
      </c>
      <c r="H19" s="5"/>
      <c r="I19" s="5"/>
      <c r="J19" s="5" t="s">
        <v>106</v>
      </c>
    </row>
    <row r="20" spans="1:10" x14ac:dyDescent="0.35">
      <c r="A20" s="5">
        <v>19</v>
      </c>
      <c r="B20" s="5" t="s">
        <v>658</v>
      </c>
      <c r="C20" s="5" t="s">
        <v>659</v>
      </c>
      <c r="D20" s="5" t="s">
        <v>660</v>
      </c>
      <c r="E20" s="5" t="s">
        <v>661</v>
      </c>
      <c r="F20" s="5">
        <v>0.2044</v>
      </c>
      <c r="G20" s="5">
        <v>21.2</v>
      </c>
      <c r="H20" s="5"/>
      <c r="I20" s="5"/>
      <c r="J20" s="5" t="s">
        <v>112</v>
      </c>
    </row>
    <row r="21" spans="1:10" x14ac:dyDescent="0.35">
      <c r="A21" s="5">
        <v>20</v>
      </c>
      <c r="B21" s="5" t="s">
        <v>658</v>
      </c>
      <c r="C21" s="5" t="s">
        <v>659</v>
      </c>
      <c r="D21" s="5" t="s">
        <v>660</v>
      </c>
      <c r="E21" s="5" t="s">
        <v>661</v>
      </c>
      <c r="F21" s="5">
        <v>0.2301</v>
      </c>
      <c r="G21" s="5">
        <v>28</v>
      </c>
      <c r="H21" s="5"/>
      <c r="I21" s="5"/>
      <c r="J21" s="5" t="s">
        <v>117</v>
      </c>
    </row>
    <row r="22" spans="1:10" x14ac:dyDescent="0.35">
      <c r="A22" s="5">
        <v>21</v>
      </c>
      <c r="B22" s="5" t="s">
        <v>658</v>
      </c>
      <c r="C22" s="5" t="s">
        <v>665</v>
      </c>
      <c r="D22" s="5" t="s">
        <v>666</v>
      </c>
      <c r="E22" s="5" t="s">
        <v>661</v>
      </c>
      <c r="F22" s="5">
        <v>0.48770000000000002</v>
      </c>
      <c r="G22" s="5">
        <v>96.7</v>
      </c>
      <c r="H22" s="5"/>
      <c r="I22" s="5"/>
      <c r="J22" s="5" t="s">
        <v>124</v>
      </c>
    </row>
    <row r="23" spans="1:10" x14ac:dyDescent="0.35">
      <c r="A23" s="5">
        <v>22</v>
      </c>
      <c r="B23" s="5" t="s">
        <v>658</v>
      </c>
      <c r="C23" s="5" t="s">
        <v>669</v>
      </c>
      <c r="D23" s="5" t="s">
        <v>660</v>
      </c>
      <c r="E23" s="5" t="s">
        <v>661</v>
      </c>
      <c r="F23" s="5">
        <v>0.33989999999999998</v>
      </c>
      <c r="G23" s="5">
        <v>57.3</v>
      </c>
      <c r="H23" s="5"/>
      <c r="I23" s="5"/>
      <c r="J23" s="5" t="s">
        <v>131</v>
      </c>
    </row>
    <row r="24" spans="1:10" x14ac:dyDescent="0.35">
      <c r="A24" s="5">
        <v>23</v>
      </c>
      <c r="B24" s="5" t="s">
        <v>658</v>
      </c>
      <c r="C24" s="5" t="s">
        <v>673</v>
      </c>
      <c r="D24" s="5" t="s">
        <v>660</v>
      </c>
      <c r="E24" s="5" t="s">
        <v>661</v>
      </c>
      <c r="F24" s="5">
        <v>0.45910000000000001</v>
      </c>
      <c r="G24" s="5">
        <v>89.1</v>
      </c>
      <c r="H24" s="5"/>
      <c r="I24" s="5"/>
      <c r="J24" s="5" t="s">
        <v>138</v>
      </c>
    </row>
    <row r="25" spans="1:10" x14ac:dyDescent="0.35">
      <c r="A25" s="5">
        <v>24</v>
      </c>
      <c r="B25" s="5" t="s">
        <v>662</v>
      </c>
      <c r="C25" s="5" t="s">
        <v>662</v>
      </c>
      <c r="D25" s="5" t="s">
        <v>660</v>
      </c>
      <c r="E25" s="5" t="s">
        <v>661</v>
      </c>
      <c r="F25" s="5">
        <v>0.42359999999999998</v>
      </c>
      <c r="G25" s="5">
        <v>79.599999999999994</v>
      </c>
      <c r="H25" s="5">
        <v>24</v>
      </c>
      <c r="I25" s="5">
        <v>0</v>
      </c>
      <c r="J25" s="5" t="s">
        <v>143</v>
      </c>
    </row>
    <row r="26" spans="1:10" x14ac:dyDescent="0.35">
      <c r="A26" s="5">
        <v>25</v>
      </c>
      <c r="B26" s="5" t="s">
        <v>658</v>
      </c>
      <c r="C26" s="5" t="s">
        <v>665</v>
      </c>
      <c r="D26" s="5" t="s">
        <v>666</v>
      </c>
      <c r="E26" s="5" t="s">
        <v>661</v>
      </c>
      <c r="F26" s="5">
        <v>0.40100000000000002</v>
      </c>
      <c r="G26" s="5">
        <v>73.599999999999994</v>
      </c>
      <c r="H26" s="5"/>
      <c r="I26" s="5"/>
      <c r="J26" s="5" t="s">
        <v>149</v>
      </c>
    </row>
    <row r="27" spans="1:10" x14ac:dyDescent="0.35">
      <c r="A27" s="5">
        <v>26</v>
      </c>
      <c r="B27" s="5" t="s">
        <v>662</v>
      </c>
      <c r="C27" s="5" t="s">
        <v>662</v>
      </c>
      <c r="D27" s="5" t="s">
        <v>663</v>
      </c>
      <c r="E27" s="5" t="s">
        <v>661</v>
      </c>
      <c r="F27" s="5">
        <v>0.36009999999999998</v>
      </c>
      <c r="G27" s="5">
        <v>62.7</v>
      </c>
      <c r="H27" s="5">
        <v>18</v>
      </c>
      <c r="I27" s="5">
        <v>9</v>
      </c>
      <c r="J27" s="5" t="s">
        <v>155</v>
      </c>
    </row>
    <row r="28" spans="1:10" x14ac:dyDescent="0.35">
      <c r="A28" s="5">
        <v>27</v>
      </c>
      <c r="B28" s="5" t="s">
        <v>658</v>
      </c>
      <c r="C28" s="5" t="s">
        <v>659</v>
      </c>
      <c r="D28" s="5" t="s">
        <v>660</v>
      </c>
      <c r="E28" s="5" t="s">
        <v>661</v>
      </c>
      <c r="F28" s="5">
        <v>0.2301</v>
      </c>
      <c r="G28" s="5">
        <v>28</v>
      </c>
      <c r="H28" s="5"/>
      <c r="I28" s="5"/>
      <c r="J28" s="5" t="s">
        <v>117</v>
      </c>
    </row>
    <row r="29" spans="1:10" x14ac:dyDescent="0.35">
      <c r="A29" s="5">
        <v>28</v>
      </c>
      <c r="B29" s="5" t="s">
        <v>658</v>
      </c>
      <c r="C29" s="5" t="s">
        <v>674</v>
      </c>
      <c r="D29" s="5" t="s">
        <v>666</v>
      </c>
      <c r="E29" s="5" t="s">
        <v>664</v>
      </c>
      <c r="F29" s="5">
        <v>1</v>
      </c>
      <c r="G29" s="5"/>
      <c r="H29" s="5"/>
      <c r="I29" s="5"/>
      <c r="J29" s="5" t="s">
        <v>163</v>
      </c>
    </row>
    <row r="30" spans="1:10" x14ac:dyDescent="0.35">
      <c r="A30" s="5">
        <v>29</v>
      </c>
      <c r="B30" s="5" t="s">
        <v>658</v>
      </c>
      <c r="C30" s="5" t="s">
        <v>668</v>
      </c>
      <c r="D30" s="5" t="s">
        <v>666</v>
      </c>
      <c r="E30" s="5" t="s">
        <v>661</v>
      </c>
      <c r="F30" s="5">
        <v>0.26019999999999999</v>
      </c>
      <c r="G30" s="5">
        <v>36.1</v>
      </c>
      <c r="H30" s="5"/>
      <c r="I30" s="5"/>
      <c r="J30" s="5" t="s">
        <v>167</v>
      </c>
    </row>
    <row r="31" spans="1:10" x14ac:dyDescent="0.35">
      <c r="A31" s="5">
        <v>30</v>
      </c>
      <c r="B31" s="5" t="s">
        <v>658</v>
      </c>
      <c r="C31" s="5" t="s">
        <v>673</v>
      </c>
      <c r="D31" s="5" t="s">
        <v>660</v>
      </c>
      <c r="E31" s="5" t="s">
        <v>661</v>
      </c>
      <c r="F31" s="5">
        <v>0.42670000000000002</v>
      </c>
      <c r="G31" s="5">
        <v>80.5</v>
      </c>
      <c r="H31" s="5"/>
      <c r="I31" s="5"/>
      <c r="J31" s="5" t="s">
        <v>172</v>
      </c>
    </row>
    <row r="32" spans="1:10" x14ac:dyDescent="0.35">
      <c r="A32" s="5">
        <v>31</v>
      </c>
      <c r="B32" s="5" t="s">
        <v>658</v>
      </c>
      <c r="C32" s="5" t="s">
        <v>668</v>
      </c>
      <c r="D32" s="5" t="s">
        <v>666</v>
      </c>
      <c r="E32" s="5" t="s">
        <v>661</v>
      </c>
      <c r="F32" s="5">
        <v>0.21929999999999999</v>
      </c>
      <c r="G32" s="5">
        <v>25.1</v>
      </c>
      <c r="H32" s="5"/>
      <c r="I32" s="5"/>
      <c r="J32" s="5" t="s">
        <v>178</v>
      </c>
    </row>
    <row r="33" spans="1:10" x14ac:dyDescent="0.35">
      <c r="A33" s="5">
        <v>32</v>
      </c>
      <c r="B33" s="5" t="s">
        <v>658</v>
      </c>
      <c r="C33" s="5" t="s">
        <v>659</v>
      </c>
      <c r="D33" s="5" t="s">
        <v>660</v>
      </c>
      <c r="E33" s="5" t="s">
        <v>661</v>
      </c>
      <c r="F33" s="5">
        <v>0.2041</v>
      </c>
      <c r="G33" s="5">
        <v>21.1</v>
      </c>
      <c r="H33" s="5"/>
      <c r="I33" s="5"/>
      <c r="J33" s="5" t="s">
        <v>183</v>
      </c>
    </row>
    <row r="34" spans="1:10" x14ac:dyDescent="0.35">
      <c r="A34" s="5">
        <v>33</v>
      </c>
      <c r="B34" s="5" t="s">
        <v>662</v>
      </c>
      <c r="C34" s="5" t="s">
        <v>662</v>
      </c>
      <c r="D34" s="5" t="s">
        <v>663</v>
      </c>
      <c r="E34" s="5" t="s">
        <v>664</v>
      </c>
      <c r="F34" s="5">
        <v>1</v>
      </c>
      <c r="G34" s="5"/>
      <c r="H34" s="5">
        <v>9</v>
      </c>
      <c r="I34" s="5">
        <v>29</v>
      </c>
      <c r="J34" s="5" t="s">
        <v>57</v>
      </c>
    </row>
    <row r="35" spans="1:10" x14ac:dyDescent="0.35">
      <c r="A35" s="5">
        <v>34</v>
      </c>
      <c r="B35" s="5" t="s">
        <v>658</v>
      </c>
      <c r="C35" s="5" t="s">
        <v>668</v>
      </c>
      <c r="D35" s="5" t="s">
        <v>666</v>
      </c>
      <c r="E35" s="5" t="s">
        <v>661</v>
      </c>
      <c r="F35" s="5">
        <v>0.20230000000000001</v>
      </c>
      <c r="G35" s="5">
        <v>20.6</v>
      </c>
      <c r="H35" s="5"/>
      <c r="I35" s="5"/>
      <c r="J35" s="5" t="s">
        <v>190</v>
      </c>
    </row>
    <row r="36" spans="1:10" x14ac:dyDescent="0.35">
      <c r="A36" s="5">
        <v>35</v>
      </c>
      <c r="B36" s="5" t="s">
        <v>658</v>
      </c>
      <c r="C36" s="5" t="s">
        <v>673</v>
      </c>
      <c r="D36" s="5" t="s">
        <v>660</v>
      </c>
      <c r="E36" s="5" t="s">
        <v>661</v>
      </c>
      <c r="F36" s="5">
        <v>0.42470000000000002</v>
      </c>
      <c r="G36" s="5">
        <v>79.900000000000006</v>
      </c>
      <c r="H36" s="5"/>
      <c r="I36" s="5"/>
      <c r="J36" s="5" t="s">
        <v>195</v>
      </c>
    </row>
    <row r="37" spans="1:10" x14ac:dyDescent="0.35">
      <c r="A37" s="5">
        <v>36</v>
      </c>
      <c r="B37" s="5" t="s">
        <v>658</v>
      </c>
      <c r="C37" s="5" t="s">
        <v>659</v>
      </c>
      <c r="D37" s="5" t="s">
        <v>660</v>
      </c>
      <c r="E37" s="5" t="s">
        <v>661</v>
      </c>
      <c r="F37" s="5">
        <v>0.21099999999999999</v>
      </c>
      <c r="G37" s="5">
        <v>22.9</v>
      </c>
      <c r="H37" s="5"/>
      <c r="I37" s="5"/>
      <c r="J37" s="5" t="s">
        <v>202</v>
      </c>
    </row>
    <row r="38" spans="1:10" x14ac:dyDescent="0.35">
      <c r="A38" s="5">
        <v>37</v>
      </c>
      <c r="B38" s="5" t="s">
        <v>658</v>
      </c>
      <c r="C38" s="5" t="s">
        <v>675</v>
      </c>
      <c r="D38" s="5" t="s">
        <v>666</v>
      </c>
      <c r="E38" s="5" t="s">
        <v>672</v>
      </c>
      <c r="F38" s="5">
        <v>0.8</v>
      </c>
      <c r="G38" s="5"/>
      <c r="H38" s="5"/>
      <c r="I38" s="5"/>
      <c r="J38" s="5" t="s">
        <v>208</v>
      </c>
    </row>
    <row r="39" spans="1:10" x14ac:dyDescent="0.35">
      <c r="A39" s="5">
        <v>38</v>
      </c>
      <c r="B39" s="5" t="s">
        <v>658</v>
      </c>
      <c r="C39" s="5" t="s">
        <v>667</v>
      </c>
      <c r="D39" s="5" t="s">
        <v>666</v>
      </c>
      <c r="E39" s="5" t="s">
        <v>661</v>
      </c>
      <c r="F39" s="5">
        <v>0.38350000000000001</v>
      </c>
      <c r="G39" s="5">
        <v>68.900000000000006</v>
      </c>
      <c r="H39" s="5"/>
      <c r="I39" s="5"/>
      <c r="J39" s="5" t="s">
        <v>212</v>
      </c>
    </row>
    <row r="40" spans="1:10" x14ac:dyDescent="0.35">
      <c r="A40" s="5">
        <v>39</v>
      </c>
      <c r="B40" s="5" t="s">
        <v>658</v>
      </c>
      <c r="C40" s="5" t="s">
        <v>673</v>
      </c>
      <c r="D40" s="5" t="s">
        <v>660</v>
      </c>
      <c r="E40" s="5" t="s">
        <v>661</v>
      </c>
      <c r="F40" s="5">
        <v>0.40710000000000002</v>
      </c>
      <c r="G40" s="5">
        <v>75.2</v>
      </c>
      <c r="H40" s="5"/>
      <c r="I40" s="5"/>
      <c r="J40" s="5" t="s">
        <v>217</v>
      </c>
    </row>
    <row r="41" spans="1:10" x14ac:dyDescent="0.35">
      <c r="A41" s="5">
        <v>40</v>
      </c>
      <c r="B41" s="5" t="s">
        <v>658</v>
      </c>
      <c r="C41" s="5" t="s">
        <v>670</v>
      </c>
      <c r="D41" s="5" t="s">
        <v>660</v>
      </c>
      <c r="E41" s="5" t="s">
        <v>664</v>
      </c>
      <c r="F41" s="5">
        <v>1</v>
      </c>
      <c r="G41" s="5"/>
      <c r="H41" s="5"/>
      <c r="I41" s="5"/>
      <c r="J41" s="5" t="s">
        <v>223</v>
      </c>
    </row>
    <row r="42" spans="1:10" x14ac:dyDescent="0.35">
      <c r="A42" s="5">
        <v>41</v>
      </c>
      <c r="B42" s="5" t="s">
        <v>658</v>
      </c>
      <c r="C42" s="5" t="s">
        <v>673</v>
      </c>
      <c r="D42" s="5" t="s">
        <v>660</v>
      </c>
      <c r="E42" s="5" t="s">
        <v>661</v>
      </c>
      <c r="F42" s="5">
        <v>0.43559999999999999</v>
      </c>
      <c r="G42" s="5">
        <v>82.8</v>
      </c>
      <c r="H42" s="5"/>
      <c r="I42" s="5"/>
      <c r="J42" s="5" t="s">
        <v>227</v>
      </c>
    </row>
    <row r="43" spans="1:10" x14ac:dyDescent="0.35">
      <c r="A43" s="5">
        <v>42</v>
      </c>
      <c r="B43" s="5" t="s">
        <v>658</v>
      </c>
      <c r="C43" s="5" t="s">
        <v>665</v>
      </c>
      <c r="D43" s="5" t="s">
        <v>666</v>
      </c>
      <c r="E43" s="5" t="s">
        <v>661</v>
      </c>
      <c r="F43" s="5">
        <v>0.41310000000000002</v>
      </c>
      <c r="G43" s="5">
        <v>76.8</v>
      </c>
      <c r="H43" s="5"/>
      <c r="I43" s="5"/>
      <c r="J43" s="5" t="s">
        <v>234</v>
      </c>
    </row>
    <row r="44" spans="1:10" x14ac:dyDescent="0.35">
      <c r="A44" s="5">
        <v>43</v>
      </c>
      <c r="B44" s="5" t="s">
        <v>658</v>
      </c>
      <c r="C44" s="5" t="s">
        <v>667</v>
      </c>
      <c r="D44" s="5" t="s">
        <v>666</v>
      </c>
      <c r="E44" s="5" t="s">
        <v>661</v>
      </c>
      <c r="F44" s="5">
        <v>0.35449999999999998</v>
      </c>
      <c r="G44" s="5">
        <v>61.2</v>
      </c>
      <c r="H44" s="5"/>
      <c r="I44" s="5"/>
      <c r="J44" s="5" t="s">
        <v>240</v>
      </c>
    </row>
    <row r="45" spans="1:10" x14ac:dyDescent="0.35">
      <c r="A45" s="5">
        <v>44</v>
      </c>
      <c r="B45" s="5" t="s">
        <v>662</v>
      </c>
      <c r="C45" s="5" t="s">
        <v>662</v>
      </c>
      <c r="D45" s="5" t="s">
        <v>663</v>
      </c>
      <c r="E45" s="5" t="s">
        <v>664</v>
      </c>
      <c r="F45" s="5">
        <v>1</v>
      </c>
      <c r="G45" s="5"/>
      <c r="H45" s="5">
        <v>34</v>
      </c>
      <c r="I45" s="5">
        <v>3</v>
      </c>
      <c r="J45" s="5" t="s">
        <v>245</v>
      </c>
    </row>
    <row r="46" spans="1:10" x14ac:dyDescent="0.35">
      <c r="A46" s="5">
        <v>45</v>
      </c>
      <c r="B46" s="5" t="s">
        <v>658</v>
      </c>
      <c r="C46" s="5" t="s">
        <v>674</v>
      </c>
      <c r="D46" s="5" t="s">
        <v>666</v>
      </c>
      <c r="E46" s="5" t="s">
        <v>664</v>
      </c>
      <c r="F46" s="5">
        <v>1</v>
      </c>
      <c r="G46" s="5"/>
      <c r="H46" s="5"/>
      <c r="I46" s="5"/>
      <c r="J46" s="5" t="s">
        <v>248</v>
      </c>
    </row>
    <row r="47" spans="1:10" x14ac:dyDescent="0.35">
      <c r="A47" s="5">
        <v>46</v>
      </c>
      <c r="B47" s="5" t="s">
        <v>658</v>
      </c>
      <c r="C47" s="5" t="s">
        <v>671</v>
      </c>
      <c r="D47" s="5" t="s">
        <v>660</v>
      </c>
      <c r="E47" s="5" t="s">
        <v>672</v>
      </c>
      <c r="F47" s="5">
        <v>0.8</v>
      </c>
      <c r="G47" s="5"/>
      <c r="H47" s="5"/>
      <c r="I47" s="5"/>
      <c r="J47" s="5" t="s">
        <v>253</v>
      </c>
    </row>
    <row r="48" spans="1:10" x14ac:dyDescent="0.35">
      <c r="A48" s="5">
        <v>47</v>
      </c>
      <c r="B48" s="5" t="s">
        <v>662</v>
      </c>
      <c r="C48" s="5" t="s">
        <v>662</v>
      </c>
      <c r="D48" s="5" t="s">
        <v>663</v>
      </c>
      <c r="E48" s="5" t="s">
        <v>664</v>
      </c>
      <c r="F48" s="5">
        <v>1</v>
      </c>
      <c r="G48" s="5"/>
      <c r="H48" s="5">
        <v>23</v>
      </c>
      <c r="I48" s="5">
        <v>6</v>
      </c>
      <c r="J48" s="5" t="s">
        <v>258</v>
      </c>
    </row>
    <row r="49" spans="1:10" x14ac:dyDescent="0.35">
      <c r="A49" s="5">
        <v>48</v>
      </c>
      <c r="B49" s="5" t="s">
        <v>662</v>
      </c>
      <c r="C49" s="5" t="s">
        <v>662</v>
      </c>
      <c r="D49" s="5" t="s">
        <v>663</v>
      </c>
      <c r="E49" s="5" t="s">
        <v>661</v>
      </c>
      <c r="F49" s="5">
        <v>0.47870000000000001</v>
      </c>
      <c r="G49" s="5">
        <v>94.3</v>
      </c>
      <c r="H49" s="5">
        <v>9</v>
      </c>
      <c r="I49" s="5">
        <v>15</v>
      </c>
      <c r="J49" s="5" t="s">
        <v>261</v>
      </c>
    </row>
    <row r="50" spans="1:10" x14ac:dyDescent="0.35">
      <c r="A50" s="5">
        <v>49</v>
      </c>
      <c r="B50" s="5" t="s">
        <v>658</v>
      </c>
      <c r="C50" s="5" t="s">
        <v>674</v>
      </c>
      <c r="D50" s="5" t="s">
        <v>666</v>
      </c>
      <c r="E50" s="5" t="s">
        <v>664</v>
      </c>
      <c r="F50" s="5">
        <v>1</v>
      </c>
      <c r="G50" s="5"/>
      <c r="H50" s="5"/>
      <c r="I50" s="5"/>
      <c r="J50" s="5" t="s">
        <v>266</v>
      </c>
    </row>
    <row r="51" spans="1:10" x14ac:dyDescent="0.35">
      <c r="A51" s="5">
        <v>50</v>
      </c>
      <c r="B51" s="5" t="s">
        <v>658</v>
      </c>
      <c r="C51" s="5" t="s">
        <v>669</v>
      </c>
      <c r="D51" s="5" t="s">
        <v>660</v>
      </c>
      <c r="E51" s="5" t="s">
        <v>661</v>
      </c>
      <c r="F51" s="5">
        <v>0.38329999999999997</v>
      </c>
      <c r="G51" s="5">
        <v>68.900000000000006</v>
      </c>
      <c r="H51" s="5"/>
      <c r="I51" s="5"/>
      <c r="J51" s="5" t="s">
        <v>271</v>
      </c>
    </row>
    <row r="52" spans="1:10" x14ac:dyDescent="0.35">
      <c r="A52" s="5">
        <v>51</v>
      </c>
      <c r="B52" s="5" t="s">
        <v>658</v>
      </c>
      <c r="C52" s="5" t="s">
        <v>665</v>
      </c>
      <c r="D52" s="5" t="s">
        <v>666</v>
      </c>
      <c r="E52" s="5" t="s">
        <v>661</v>
      </c>
      <c r="F52" s="5">
        <v>0.43230000000000002</v>
      </c>
      <c r="G52" s="5">
        <v>81.900000000000006</v>
      </c>
      <c r="H52" s="5"/>
      <c r="I52" s="5"/>
      <c r="J52" s="5" t="s">
        <v>277</v>
      </c>
    </row>
    <row r="53" spans="1:10" x14ac:dyDescent="0.35">
      <c r="A53" s="5">
        <v>52</v>
      </c>
      <c r="B53" s="5" t="s">
        <v>658</v>
      </c>
      <c r="C53" s="5" t="s">
        <v>668</v>
      </c>
      <c r="D53" s="5" t="s">
        <v>666</v>
      </c>
      <c r="E53" s="5" t="s">
        <v>661</v>
      </c>
      <c r="F53" s="5">
        <v>0.27429999999999999</v>
      </c>
      <c r="G53" s="5">
        <v>39.799999999999997</v>
      </c>
      <c r="H53" s="5"/>
      <c r="I53" s="5"/>
      <c r="J53" s="5" t="s">
        <v>283</v>
      </c>
    </row>
    <row r="54" spans="1:10" x14ac:dyDescent="0.35">
      <c r="A54" s="5">
        <v>53</v>
      </c>
      <c r="B54" s="5" t="s">
        <v>658</v>
      </c>
      <c r="C54" s="5" t="s">
        <v>665</v>
      </c>
      <c r="D54" s="5" t="s">
        <v>666</v>
      </c>
      <c r="E54" s="5" t="s">
        <v>661</v>
      </c>
      <c r="F54" s="5">
        <v>0.41610000000000003</v>
      </c>
      <c r="G54" s="5">
        <v>77.599999999999994</v>
      </c>
      <c r="H54" s="5"/>
      <c r="I54" s="5"/>
      <c r="J54" s="5" t="s">
        <v>289</v>
      </c>
    </row>
    <row r="55" spans="1:10" x14ac:dyDescent="0.35">
      <c r="A55" s="5">
        <v>54</v>
      </c>
      <c r="B55" s="5" t="s">
        <v>658</v>
      </c>
      <c r="C55" s="5" t="s">
        <v>659</v>
      </c>
      <c r="D55" s="5" t="s">
        <v>660</v>
      </c>
      <c r="E55" s="5" t="s">
        <v>661</v>
      </c>
      <c r="F55" s="5">
        <v>0.2465</v>
      </c>
      <c r="G55" s="5">
        <v>32.4</v>
      </c>
      <c r="H55" s="5"/>
      <c r="I55" s="5"/>
      <c r="J55" s="5" t="s">
        <v>295</v>
      </c>
    </row>
    <row r="56" spans="1:10" x14ac:dyDescent="0.35">
      <c r="A56" s="5">
        <v>55</v>
      </c>
      <c r="B56" s="5" t="s">
        <v>658</v>
      </c>
      <c r="C56" s="5" t="s">
        <v>669</v>
      </c>
      <c r="D56" s="5" t="s">
        <v>660</v>
      </c>
      <c r="E56" s="5" t="s">
        <v>661</v>
      </c>
      <c r="F56" s="5">
        <v>0.3291</v>
      </c>
      <c r="G56" s="5">
        <v>54.4</v>
      </c>
      <c r="H56" s="5"/>
      <c r="I56" s="5"/>
      <c r="J56" s="5" t="s">
        <v>301</v>
      </c>
    </row>
    <row r="57" spans="1:10" x14ac:dyDescent="0.35">
      <c r="A57" s="5">
        <v>56</v>
      </c>
      <c r="B57" s="5" t="s">
        <v>658</v>
      </c>
      <c r="C57" s="5" t="s">
        <v>671</v>
      </c>
      <c r="D57" s="5" t="s">
        <v>660</v>
      </c>
      <c r="E57" s="5" t="s">
        <v>672</v>
      </c>
      <c r="F57" s="5">
        <v>0.8</v>
      </c>
      <c r="G57" s="5"/>
      <c r="H57" s="5"/>
      <c r="I57" s="5"/>
      <c r="J57" s="5" t="s">
        <v>308</v>
      </c>
    </row>
    <row r="58" spans="1:10" x14ac:dyDescent="0.35">
      <c r="A58" s="5">
        <v>57</v>
      </c>
      <c r="B58" s="5" t="s">
        <v>658</v>
      </c>
      <c r="C58" s="5" t="s">
        <v>668</v>
      </c>
      <c r="D58" s="5" t="s">
        <v>666</v>
      </c>
      <c r="E58" s="5" t="s">
        <v>661</v>
      </c>
      <c r="F58" s="5">
        <v>0.2293</v>
      </c>
      <c r="G58" s="5">
        <v>27.8</v>
      </c>
      <c r="H58" s="5"/>
      <c r="I58" s="5"/>
      <c r="J58" s="5" t="s">
        <v>312</v>
      </c>
    </row>
    <row r="59" spans="1:10" x14ac:dyDescent="0.35">
      <c r="A59" s="5">
        <v>58</v>
      </c>
      <c r="B59" s="5" t="s">
        <v>658</v>
      </c>
      <c r="C59" s="5" t="s">
        <v>665</v>
      </c>
      <c r="D59" s="5" t="s">
        <v>666</v>
      </c>
      <c r="E59" s="5" t="s">
        <v>661</v>
      </c>
      <c r="F59" s="5">
        <v>0.40460000000000002</v>
      </c>
      <c r="G59" s="5">
        <v>74.5</v>
      </c>
      <c r="H59" s="5"/>
      <c r="I59" s="5"/>
      <c r="J59" s="5" t="s">
        <v>317</v>
      </c>
    </row>
    <row r="60" spans="1:10" x14ac:dyDescent="0.35">
      <c r="A60" s="5">
        <v>59</v>
      </c>
      <c r="B60" s="5" t="s">
        <v>658</v>
      </c>
      <c r="C60" s="5" t="s">
        <v>659</v>
      </c>
      <c r="D60" s="5" t="s">
        <v>660</v>
      </c>
      <c r="E60" s="5" t="s">
        <v>661</v>
      </c>
      <c r="F60" s="5">
        <v>0.26600000000000001</v>
      </c>
      <c r="G60" s="5">
        <v>37.6</v>
      </c>
      <c r="H60" s="5"/>
      <c r="I60" s="5"/>
      <c r="J60" s="5" t="s">
        <v>324</v>
      </c>
    </row>
    <row r="61" spans="1:10" x14ac:dyDescent="0.35">
      <c r="A61" s="5">
        <v>60</v>
      </c>
      <c r="B61" s="5" t="s">
        <v>658</v>
      </c>
      <c r="C61" s="5" t="s">
        <v>669</v>
      </c>
      <c r="D61" s="5" t="s">
        <v>660</v>
      </c>
      <c r="E61" s="5" t="s">
        <v>661</v>
      </c>
      <c r="F61" s="5">
        <v>0.34510000000000002</v>
      </c>
      <c r="G61" s="5">
        <v>58.7</v>
      </c>
      <c r="H61" s="5"/>
      <c r="I61" s="5"/>
      <c r="J61" s="5" t="s">
        <v>330</v>
      </c>
    </row>
    <row r="62" spans="1:10" x14ac:dyDescent="0.35">
      <c r="A62" s="5">
        <v>61</v>
      </c>
      <c r="B62" s="5" t="s">
        <v>658</v>
      </c>
      <c r="C62" s="5" t="s">
        <v>671</v>
      </c>
      <c r="D62" s="5" t="s">
        <v>660</v>
      </c>
      <c r="E62" s="5" t="s">
        <v>672</v>
      </c>
      <c r="F62" s="5">
        <v>0.8</v>
      </c>
      <c r="G62" s="5"/>
      <c r="H62" s="5"/>
      <c r="I62" s="5"/>
      <c r="J62" s="5" t="s">
        <v>336</v>
      </c>
    </row>
    <row r="63" spans="1:10" x14ac:dyDescent="0.35">
      <c r="A63" s="5">
        <v>62</v>
      </c>
      <c r="B63" s="5" t="s">
        <v>658</v>
      </c>
      <c r="C63" s="5" t="s">
        <v>665</v>
      </c>
      <c r="D63" s="5" t="s">
        <v>666</v>
      </c>
      <c r="E63" s="5" t="s">
        <v>661</v>
      </c>
      <c r="F63" s="5">
        <v>0.45950000000000002</v>
      </c>
      <c r="G63" s="5">
        <v>89.2</v>
      </c>
      <c r="H63" s="5"/>
      <c r="I63" s="5"/>
      <c r="J63" s="5" t="s">
        <v>340</v>
      </c>
    </row>
    <row r="64" spans="1:10" x14ac:dyDescent="0.35">
      <c r="A64" s="5">
        <v>63</v>
      </c>
      <c r="B64" s="5" t="s">
        <v>658</v>
      </c>
      <c r="C64" s="5" t="s">
        <v>675</v>
      </c>
      <c r="D64" s="5" t="s">
        <v>666</v>
      </c>
      <c r="E64" s="5" t="s">
        <v>672</v>
      </c>
      <c r="F64" s="5">
        <v>0.8</v>
      </c>
      <c r="G64" s="5"/>
      <c r="H64" s="5"/>
      <c r="I64" s="5"/>
      <c r="J64" s="5" t="s">
        <v>344</v>
      </c>
    </row>
    <row r="65" spans="1:10" x14ac:dyDescent="0.35">
      <c r="A65" s="5">
        <v>64</v>
      </c>
      <c r="B65" s="5" t="s">
        <v>658</v>
      </c>
      <c r="C65" s="5" t="s">
        <v>674</v>
      </c>
      <c r="D65" s="5" t="s">
        <v>666</v>
      </c>
      <c r="E65" s="5" t="s">
        <v>664</v>
      </c>
      <c r="F65" s="5">
        <v>1</v>
      </c>
      <c r="G65" s="5"/>
      <c r="H65" s="5"/>
      <c r="I65" s="5"/>
      <c r="J65" s="5" t="s">
        <v>348</v>
      </c>
    </row>
    <row r="66" spans="1:10" x14ac:dyDescent="0.35">
      <c r="A66" s="5">
        <v>65</v>
      </c>
      <c r="B66" s="5" t="s">
        <v>658</v>
      </c>
      <c r="C66" s="5" t="s">
        <v>667</v>
      </c>
      <c r="D66" s="5" t="s">
        <v>666</v>
      </c>
      <c r="E66" s="5" t="s">
        <v>661</v>
      </c>
      <c r="F66" s="5">
        <v>0.32350000000000001</v>
      </c>
      <c r="G66" s="5">
        <v>52.9</v>
      </c>
      <c r="H66" s="5"/>
      <c r="I66" s="5"/>
      <c r="J66" s="5" t="s">
        <v>352</v>
      </c>
    </row>
    <row r="67" spans="1:10" x14ac:dyDescent="0.35">
      <c r="A67" s="5">
        <v>66</v>
      </c>
      <c r="B67" s="5" t="s">
        <v>658</v>
      </c>
      <c r="C67" s="5" t="s">
        <v>668</v>
      </c>
      <c r="D67" s="5" t="s">
        <v>666</v>
      </c>
      <c r="E67" s="5" t="s">
        <v>661</v>
      </c>
      <c r="F67" s="5">
        <v>0.25800000000000001</v>
      </c>
      <c r="G67" s="5">
        <v>35.5</v>
      </c>
      <c r="H67" s="5"/>
      <c r="I67" s="5"/>
      <c r="J67" s="5" t="s">
        <v>100</v>
      </c>
    </row>
    <row r="68" spans="1:10" x14ac:dyDescent="0.35">
      <c r="A68" s="5">
        <v>67</v>
      </c>
      <c r="B68" s="5" t="s">
        <v>662</v>
      </c>
      <c r="C68" s="5" t="s">
        <v>662</v>
      </c>
      <c r="D68" s="5" t="s">
        <v>660</v>
      </c>
      <c r="E68" s="5" t="s">
        <v>661</v>
      </c>
      <c r="F68" s="5">
        <v>0.34920000000000001</v>
      </c>
      <c r="G68" s="5">
        <v>59.8</v>
      </c>
      <c r="H68" s="5">
        <v>19</v>
      </c>
      <c r="I68" s="5">
        <v>0</v>
      </c>
      <c r="J68" s="5" t="s">
        <v>362</v>
      </c>
    </row>
    <row r="69" spans="1:10" x14ac:dyDescent="0.35">
      <c r="A69" s="5">
        <v>68</v>
      </c>
      <c r="B69" s="5" t="s">
        <v>658</v>
      </c>
      <c r="C69" s="5" t="s">
        <v>668</v>
      </c>
      <c r="D69" s="5" t="s">
        <v>666</v>
      </c>
      <c r="E69" s="5" t="s">
        <v>661</v>
      </c>
      <c r="F69" s="5">
        <v>0.22509999999999999</v>
      </c>
      <c r="G69" s="5">
        <v>26.7</v>
      </c>
      <c r="H69" s="5"/>
      <c r="I69" s="5"/>
      <c r="J69" s="5" t="s">
        <v>368</v>
      </c>
    </row>
    <row r="70" spans="1:10" x14ac:dyDescent="0.35">
      <c r="A70" s="5">
        <v>69</v>
      </c>
      <c r="B70" s="5" t="s">
        <v>658</v>
      </c>
      <c r="C70" s="5" t="s">
        <v>659</v>
      </c>
      <c r="D70" s="5" t="s">
        <v>660</v>
      </c>
      <c r="E70" s="5" t="s">
        <v>661</v>
      </c>
      <c r="F70" s="5">
        <v>0.28179999999999999</v>
      </c>
      <c r="G70" s="5">
        <v>41.8</v>
      </c>
      <c r="H70" s="5"/>
      <c r="I70" s="5"/>
      <c r="J70" s="5" t="s">
        <v>373</v>
      </c>
    </row>
    <row r="71" spans="1:10" x14ac:dyDescent="0.35">
      <c r="A71" s="5">
        <v>70</v>
      </c>
      <c r="B71" s="5" t="s">
        <v>658</v>
      </c>
      <c r="C71" s="5" t="s">
        <v>673</v>
      </c>
      <c r="D71" s="5" t="s">
        <v>660</v>
      </c>
      <c r="E71" s="5" t="s">
        <v>661</v>
      </c>
      <c r="F71" s="5">
        <v>0.42370000000000002</v>
      </c>
      <c r="G71" s="5">
        <v>79.7</v>
      </c>
      <c r="H71" s="5"/>
      <c r="I71" s="5"/>
      <c r="J71" s="5" t="s">
        <v>378</v>
      </c>
    </row>
    <row r="72" spans="1:10" x14ac:dyDescent="0.35">
      <c r="A72" s="5">
        <v>71</v>
      </c>
      <c r="B72" s="5" t="s">
        <v>658</v>
      </c>
      <c r="C72" s="5" t="s">
        <v>673</v>
      </c>
      <c r="D72" s="5" t="s">
        <v>660</v>
      </c>
      <c r="E72" s="5" t="s">
        <v>661</v>
      </c>
      <c r="F72" s="5">
        <v>0.48049999999999998</v>
      </c>
      <c r="G72" s="5">
        <v>94.8</v>
      </c>
      <c r="H72" s="5"/>
      <c r="I72" s="5"/>
      <c r="J72" s="5" t="s">
        <v>384</v>
      </c>
    </row>
    <row r="73" spans="1:10" x14ac:dyDescent="0.35">
      <c r="A73" s="5">
        <v>72</v>
      </c>
      <c r="B73" s="5" t="s">
        <v>658</v>
      </c>
      <c r="C73" s="5" t="s">
        <v>675</v>
      </c>
      <c r="D73" s="5" t="s">
        <v>666</v>
      </c>
      <c r="E73" s="5" t="s">
        <v>672</v>
      </c>
      <c r="F73" s="5">
        <v>0.64</v>
      </c>
      <c r="G73" s="5"/>
      <c r="H73" s="5"/>
      <c r="I73" s="5"/>
      <c r="J73" s="5" t="s">
        <v>389</v>
      </c>
    </row>
    <row r="74" spans="1:10" x14ac:dyDescent="0.35">
      <c r="A74" s="5">
        <v>73</v>
      </c>
      <c r="B74" s="5" t="s">
        <v>658</v>
      </c>
      <c r="C74" s="5" t="s">
        <v>674</v>
      </c>
      <c r="D74" s="5" t="s">
        <v>666</v>
      </c>
      <c r="E74" s="5" t="s">
        <v>664</v>
      </c>
      <c r="F74" s="5">
        <v>1</v>
      </c>
      <c r="G74" s="5"/>
      <c r="H74" s="5"/>
      <c r="I74" s="5"/>
      <c r="J74" s="5" t="s">
        <v>348</v>
      </c>
    </row>
    <row r="75" spans="1:10" x14ac:dyDescent="0.35">
      <c r="A75" s="5">
        <v>74</v>
      </c>
      <c r="B75" s="5" t="s">
        <v>658</v>
      </c>
      <c r="C75" s="5" t="s">
        <v>671</v>
      </c>
      <c r="D75" s="5" t="s">
        <v>660</v>
      </c>
      <c r="E75" s="5" t="s">
        <v>676</v>
      </c>
      <c r="F75" s="5">
        <v>0.6</v>
      </c>
      <c r="G75" s="5"/>
      <c r="H75" s="5"/>
      <c r="I75" s="5"/>
      <c r="J75" s="5" t="s">
        <v>397</v>
      </c>
    </row>
    <row r="76" spans="1:10" x14ac:dyDescent="0.35">
      <c r="A76" s="5">
        <v>75</v>
      </c>
      <c r="B76" s="5" t="s">
        <v>658</v>
      </c>
      <c r="C76" s="5" t="s">
        <v>659</v>
      </c>
      <c r="D76" s="5" t="s">
        <v>660</v>
      </c>
      <c r="E76" s="5" t="s">
        <v>661</v>
      </c>
      <c r="F76" s="5">
        <v>0.2762</v>
      </c>
      <c r="G76" s="5">
        <v>40.299999999999997</v>
      </c>
      <c r="H76" s="5"/>
      <c r="I76" s="5"/>
      <c r="J76" s="5" t="s">
        <v>402</v>
      </c>
    </row>
    <row r="77" spans="1:10" x14ac:dyDescent="0.35">
      <c r="A77" s="5">
        <v>76</v>
      </c>
      <c r="B77" s="5" t="s">
        <v>658</v>
      </c>
      <c r="C77" s="5" t="s">
        <v>669</v>
      </c>
      <c r="D77" s="5" t="s">
        <v>660</v>
      </c>
      <c r="E77" s="5" t="s">
        <v>661</v>
      </c>
      <c r="F77" s="5">
        <v>0.32779999999999998</v>
      </c>
      <c r="G77" s="5">
        <v>54.1</v>
      </c>
      <c r="H77" s="5"/>
      <c r="I77" s="5"/>
      <c r="J77" s="5" t="s">
        <v>408</v>
      </c>
    </row>
    <row r="78" spans="1:10" x14ac:dyDescent="0.35">
      <c r="A78" s="5">
        <v>77</v>
      </c>
      <c r="B78" s="5" t="s">
        <v>658</v>
      </c>
      <c r="C78" s="5" t="s">
        <v>668</v>
      </c>
      <c r="D78" s="5" t="s">
        <v>666</v>
      </c>
      <c r="E78" s="5" t="s">
        <v>661</v>
      </c>
      <c r="F78" s="5">
        <v>0.23080000000000001</v>
      </c>
      <c r="G78" s="5">
        <v>28.2</v>
      </c>
      <c r="H78" s="5"/>
      <c r="I78" s="5"/>
      <c r="J78" s="5" t="s">
        <v>415</v>
      </c>
    </row>
    <row r="79" spans="1:10" x14ac:dyDescent="0.35">
      <c r="A79" s="5">
        <v>78</v>
      </c>
      <c r="B79" s="5" t="s">
        <v>662</v>
      </c>
      <c r="C79" s="5" t="s">
        <v>662</v>
      </c>
      <c r="D79" s="5" t="s">
        <v>663</v>
      </c>
      <c r="E79" s="5" t="s">
        <v>661</v>
      </c>
      <c r="F79" s="5">
        <v>0.46250000000000002</v>
      </c>
      <c r="G79" s="5">
        <v>90</v>
      </c>
      <c r="H79" s="5">
        <v>10</v>
      </c>
      <c r="I79" s="5">
        <v>34</v>
      </c>
      <c r="J79" s="5" t="s">
        <v>420</v>
      </c>
    </row>
    <row r="80" spans="1:10" x14ac:dyDescent="0.35">
      <c r="A80" s="5">
        <v>79</v>
      </c>
      <c r="B80" s="5" t="s">
        <v>658</v>
      </c>
      <c r="C80" s="5" t="s">
        <v>669</v>
      </c>
      <c r="D80" s="5" t="s">
        <v>660</v>
      </c>
      <c r="E80" s="5" t="s">
        <v>661</v>
      </c>
      <c r="F80" s="5">
        <v>0.33400000000000002</v>
      </c>
      <c r="G80" s="5">
        <v>55.7</v>
      </c>
      <c r="H80" s="5"/>
      <c r="I80" s="5"/>
      <c r="J80" s="5" t="s">
        <v>424</v>
      </c>
    </row>
    <row r="81" spans="1:10" x14ac:dyDescent="0.35">
      <c r="A81" s="5">
        <v>80</v>
      </c>
      <c r="B81" s="5" t="s">
        <v>658</v>
      </c>
      <c r="C81" s="5" t="s">
        <v>669</v>
      </c>
      <c r="D81" s="5" t="s">
        <v>660</v>
      </c>
      <c r="E81" s="5" t="s">
        <v>661</v>
      </c>
      <c r="F81" s="5">
        <v>0.33360000000000001</v>
      </c>
      <c r="G81" s="5">
        <v>55.6</v>
      </c>
      <c r="H81" s="5"/>
      <c r="I81" s="5"/>
      <c r="J81" s="5" t="s">
        <v>431</v>
      </c>
    </row>
    <row r="82" spans="1:10" x14ac:dyDescent="0.35">
      <c r="A82" s="5">
        <v>81</v>
      </c>
      <c r="B82" s="5" t="s">
        <v>658</v>
      </c>
      <c r="C82" s="5" t="s">
        <v>669</v>
      </c>
      <c r="D82" s="5" t="s">
        <v>660</v>
      </c>
      <c r="E82" s="5" t="s">
        <v>661</v>
      </c>
      <c r="F82" s="5">
        <v>0.35099999999999998</v>
      </c>
      <c r="G82" s="5">
        <v>60.3</v>
      </c>
      <c r="H82" s="5"/>
      <c r="I82" s="5"/>
      <c r="J82" s="5" t="s">
        <v>436</v>
      </c>
    </row>
    <row r="83" spans="1:10" x14ac:dyDescent="0.35">
      <c r="A83" s="5">
        <v>82</v>
      </c>
      <c r="B83" s="5" t="s">
        <v>658</v>
      </c>
      <c r="C83" s="5" t="s">
        <v>667</v>
      </c>
      <c r="D83" s="5" t="s">
        <v>666</v>
      </c>
      <c r="E83" s="5" t="s">
        <v>661</v>
      </c>
      <c r="F83" s="5">
        <v>0.33929999999999999</v>
      </c>
      <c r="G83" s="5">
        <v>57.1</v>
      </c>
      <c r="H83" s="5"/>
      <c r="I83" s="5"/>
      <c r="J83" s="5" t="s">
        <v>54</v>
      </c>
    </row>
    <row r="84" spans="1:10" x14ac:dyDescent="0.35">
      <c r="A84" s="5">
        <v>83</v>
      </c>
      <c r="B84" s="5" t="s">
        <v>662</v>
      </c>
      <c r="C84" s="5" t="s">
        <v>662</v>
      </c>
      <c r="D84" s="5" t="s">
        <v>663</v>
      </c>
      <c r="E84" s="5" t="s">
        <v>661</v>
      </c>
      <c r="F84" s="5">
        <v>0.41699999999999998</v>
      </c>
      <c r="G84" s="5">
        <v>77.900000000000006</v>
      </c>
      <c r="H84" s="5">
        <v>7</v>
      </c>
      <c r="I84" s="5">
        <v>85</v>
      </c>
      <c r="J84" s="5" t="s">
        <v>445</v>
      </c>
    </row>
    <row r="85" spans="1:10" x14ac:dyDescent="0.35">
      <c r="A85" s="5">
        <v>84</v>
      </c>
      <c r="B85" s="5" t="s">
        <v>658</v>
      </c>
      <c r="C85" s="5" t="s">
        <v>671</v>
      </c>
      <c r="D85" s="5" t="s">
        <v>660</v>
      </c>
      <c r="E85" s="5" t="s">
        <v>676</v>
      </c>
      <c r="F85" s="5">
        <v>0.6</v>
      </c>
      <c r="G85" s="5"/>
      <c r="H85" s="5"/>
      <c r="I85" s="5"/>
      <c r="J85" s="5" t="s">
        <v>449</v>
      </c>
    </row>
    <row r="86" spans="1:10" x14ac:dyDescent="0.35">
      <c r="A86" s="5">
        <v>85</v>
      </c>
      <c r="B86" s="5" t="s">
        <v>658</v>
      </c>
      <c r="C86" s="5" t="s">
        <v>670</v>
      </c>
      <c r="D86" s="5" t="s">
        <v>660</v>
      </c>
      <c r="E86" s="5" t="s">
        <v>664</v>
      </c>
      <c r="F86" s="5">
        <v>1</v>
      </c>
      <c r="G86" s="5"/>
      <c r="H86" s="5"/>
      <c r="I86" s="5"/>
      <c r="J86" s="5" t="s">
        <v>453</v>
      </c>
    </row>
    <row r="87" spans="1:10" x14ac:dyDescent="0.35">
      <c r="A87" s="5">
        <v>86</v>
      </c>
      <c r="B87" s="5" t="s">
        <v>658</v>
      </c>
      <c r="C87" s="5" t="s">
        <v>673</v>
      </c>
      <c r="D87" s="5" t="s">
        <v>660</v>
      </c>
      <c r="E87" s="5" t="s">
        <v>661</v>
      </c>
      <c r="F87" s="5">
        <v>0.43930000000000002</v>
      </c>
      <c r="G87" s="5">
        <v>83.8</v>
      </c>
      <c r="H87" s="5"/>
      <c r="I87" s="5"/>
      <c r="J87" s="5" t="s">
        <v>457</v>
      </c>
    </row>
    <row r="88" spans="1:10" x14ac:dyDescent="0.35">
      <c r="A88" s="5">
        <v>87</v>
      </c>
      <c r="B88" s="5" t="s">
        <v>658</v>
      </c>
      <c r="C88" s="5" t="s">
        <v>670</v>
      </c>
      <c r="D88" s="5" t="s">
        <v>660</v>
      </c>
      <c r="E88" s="5" t="s">
        <v>664</v>
      </c>
      <c r="F88" s="5">
        <v>1</v>
      </c>
      <c r="G88" s="5"/>
      <c r="H88" s="5"/>
      <c r="I88" s="5"/>
      <c r="J88" s="5" t="s">
        <v>192</v>
      </c>
    </row>
    <row r="89" spans="1:10" x14ac:dyDescent="0.35">
      <c r="A89" s="5">
        <v>88</v>
      </c>
      <c r="B89" s="5" t="s">
        <v>662</v>
      </c>
      <c r="C89" s="5" t="s">
        <v>662</v>
      </c>
      <c r="D89" s="5" t="s">
        <v>663</v>
      </c>
      <c r="E89" s="5" t="s">
        <v>664</v>
      </c>
      <c r="F89" s="5">
        <v>0.8</v>
      </c>
      <c r="G89" s="5"/>
      <c r="H89" s="5">
        <v>27</v>
      </c>
      <c r="I89" s="5">
        <v>22</v>
      </c>
      <c r="J89" s="5" t="s">
        <v>77</v>
      </c>
    </row>
    <row r="90" spans="1:10" x14ac:dyDescent="0.35">
      <c r="A90" s="5">
        <v>89</v>
      </c>
      <c r="B90" s="5" t="s">
        <v>658</v>
      </c>
      <c r="C90" s="5" t="s">
        <v>667</v>
      </c>
      <c r="D90" s="5" t="s">
        <v>666</v>
      </c>
      <c r="E90" s="5" t="s">
        <v>661</v>
      </c>
      <c r="F90" s="5">
        <v>0.32590000000000002</v>
      </c>
      <c r="G90" s="5">
        <v>53.6</v>
      </c>
      <c r="H90" s="5"/>
      <c r="I90" s="5"/>
      <c r="J90" s="5" t="s">
        <v>468</v>
      </c>
    </row>
    <row r="91" spans="1:10" x14ac:dyDescent="0.35">
      <c r="A91" s="5">
        <v>90</v>
      </c>
      <c r="B91" s="5" t="s">
        <v>658</v>
      </c>
      <c r="C91" s="5" t="s">
        <v>665</v>
      </c>
      <c r="D91" s="5" t="s">
        <v>666</v>
      </c>
      <c r="E91" s="5" t="s">
        <v>661</v>
      </c>
      <c r="F91" s="5">
        <v>0.46550000000000002</v>
      </c>
      <c r="G91" s="5">
        <v>90.8</v>
      </c>
      <c r="H91" s="5"/>
      <c r="I91" s="5"/>
      <c r="J91" s="5" t="s">
        <v>474</v>
      </c>
    </row>
    <row r="92" spans="1:10" x14ac:dyDescent="0.35">
      <c r="A92" s="5">
        <v>91</v>
      </c>
      <c r="B92" s="5" t="s">
        <v>658</v>
      </c>
      <c r="C92" s="5" t="s">
        <v>671</v>
      </c>
      <c r="D92" s="5" t="s">
        <v>660</v>
      </c>
      <c r="E92" s="5" t="s">
        <v>672</v>
      </c>
      <c r="F92" s="5">
        <v>0.8</v>
      </c>
      <c r="G92" s="5"/>
      <c r="H92" s="5"/>
      <c r="I92" s="5"/>
      <c r="J92" s="5" t="s">
        <v>481</v>
      </c>
    </row>
    <row r="93" spans="1:10" x14ac:dyDescent="0.35">
      <c r="A93" s="5">
        <v>92</v>
      </c>
      <c r="B93" s="5" t="s">
        <v>658</v>
      </c>
      <c r="C93" s="5" t="s">
        <v>667</v>
      </c>
      <c r="D93" s="5" t="s">
        <v>666</v>
      </c>
      <c r="E93" s="5" t="s">
        <v>661</v>
      </c>
      <c r="F93" s="5">
        <v>0.3105</v>
      </c>
      <c r="G93" s="5">
        <v>49.5</v>
      </c>
      <c r="H93" s="5"/>
      <c r="I93" s="5"/>
      <c r="J93" s="5" t="s">
        <v>485</v>
      </c>
    </row>
    <row r="94" spans="1:10" x14ac:dyDescent="0.35">
      <c r="A94" s="5">
        <v>93</v>
      </c>
      <c r="B94" s="5" t="s">
        <v>658</v>
      </c>
      <c r="C94" s="5" t="s">
        <v>671</v>
      </c>
      <c r="D94" s="5" t="s">
        <v>660</v>
      </c>
      <c r="E94" s="5" t="s">
        <v>672</v>
      </c>
      <c r="F94" s="5">
        <v>0.8</v>
      </c>
      <c r="G94" s="5"/>
      <c r="H94" s="5"/>
      <c r="I94" s="5"/>
      <c r="J94" s="5" t="s">
        <v>491</v>
      </c>
    </row>
    <row r="95" spans="1:10" x14ac:dyDescent="0.35">
      <c r="A95" s="5">
        <v>94</v>
      </c>
      <c r="B95" s="5" t="s">
        <v>658</v>
      </c>
      <c r="C95" s="5" t="s">
        <v>668</v>
      </c>
      <c r="D95" s="5" t="s">
        <v>666</v>
      </c>
      <c r="E95" s="5" t="s">
        <v>661</v>
      </c>
      <c r="F95" s="5">
        <v>0.28649999999999998</v>
      </c>
      <c r="G95" s="5">
        <v>43.1</v>
      </c>
      <c r="H95" s="5"/>
      <c r="I95" s="5"/>
      <c r="J95" s="5" t="s">
        <v>495</v>
      </c>
    </row>
    <row r="96" spans="1:10" x14ac:dyDescent="0.35">
      <c r="A96" s="5">
        <v>95</v>
      </c>
      <c r="B96" s="5" t="s">
        <v>658</v>
      </c>
      <c r="C96" s="5" t="s">
        <v>670</v>
      </c>
      <c r="D96" s="5" t="s">
        <v>660</v>
      </c>
      <c r="E96" s="5" t="s">
        <v>664</v>
      </c>
      <c r="F96" s="5">
        <v>1</v>
      </c>
      <c r="G96" s="5"/>
      <c r="H96" s="5"/>
      <c r="I96" s="5"/>
      <c r="J96" s="5" t="s">
        <v>501</v>
      </c>
    </row>
    <row r="97" spans="1:10" x14ac:dyDescent="0.35">
      <c r="A97" s="5">
        <v>96</v>
      </c>
      <c r="B97" s="5" t="s">
        <v>658</v>
      </c>
      <c r="C97" s="5" t="s">
        <v>674</v>
      </c>
      <c r="D97" s="5" t="s">
        <v>666</v>
      </c>
      <c r="E97" s="5" t="s">
        <v>664</v>
      </c>
      <c r="F97" s="5">
        <v>1</v>
      </c>
      <c r="G97" s="5"/>
      <c r="H97" s="5"/>
      <c r="I97" s="5"/>
      <c r="J97" s="5" t="s">
        <v>505</v>
      </c>
    </row>
    <row r="98" spans="1:10" x14ac:dyDescent="0.35">
      <c r="A98" s="5">
        <v>97</v>
      </c>
      <c r="B98" s="5" t="s">
        <v>662</v>
      </c>
      <c r="C98" s="5" t="s">
        <v>662</v>
      </c>
      <c r="D98" s="5" t="s">
        <v>666</v>
      </c>
      <c r="E98" s="5" t="s">
        <v>661</v>
      </c>
      <c r="F98" s="5">
        <v>0.47749999999999998</v>
      </c>
      <c r="G98" s="5">
        <v>94</v>
      </c>
      <c r="H98" s="5">
        <v>0</v>
      </c>
      <c r="I98" s="5">
        <v>18</v>
      </c>
      <c r="J98" s="5" t="s">
        <v>509</v>
      </c>
    </row>
    <row r="99" spans="1:10" x14ac:dyDescent="0.35">
      <c r="A99" s="5">
        <v>98</v>
      </c>
      <c r="B99" s="5" t="s">
        <v>658</v>
      </c>
      <c r="C99" s="5" t="s">
        <v>673</v>
      </c>
      <c r="D99" s="5" t="s">
        <v>660</v>
      </c>
      <c r="E99" s="5" t="s">
        <v>661</v>
      </c>
      <c r="F99" s="5">
        <v>0.48139999999999999</v>
      </c>
      <c r="G99" s="5">
        <v>95</v>
      </c>
      <c r="H99" s="5"/>
      <c r="I99" s="5"/>
      <c r="J99" s="5" t="s">
        <v>514</v>
      </c>
    </row>
    <row r="100" spans="1:10" x14ac:dyDescent="0.35">
      <c r="A100" s="5">
        <v>99</v>
      </c>
      <c r="B100" s="5" t="s">
        <v>658</v>
      </c>
      <c r="C100" s="5" t="s">
        <v>670</v>
      </c>
      <c r="D100" s="5" t="s">
        <v>660</v>
      </c>
      <c r="E100" s="5" t="s">
        <v>664</v>
      </c>
      <c r="F100" s="5">
        <v>1</v>
      </c>
      <c r="G100" s="5"/>
      <c r="H100" s="5"/>
      <c r="I100" s="5"/>
      <c r="J100" s="5" t="s">
        <v>518</v>
      </c>
    </row>
    <row r="101" spans="1:10" x14ac:dyDescent="0.35">
      <c r="A101" s="5">
        <v>100</v>
      </c>
      <c r="B101" s="5" t="s">
        <v>662</v>
      </c>
      <c r="C101" s="5" t="s">
        <v>662</v>
      </c>
      <c r="D101" s="5" t="s">
        <v>663</v>
      </c>
      <c r="E101" s="5" t="s">
        <v>661</v>
      </c>
      <c r="F101" s="5">
        <v>0.48060000000000003</v>
      </c>
      <c r="G101" s="5">
        <v>94.8</v>
      </c>
      <c r="H101" s="5">
        <v>1</v>
      </c>
      <c r="I101" s="5">
        <v>22</v>
      </c>
      <c r="J101" s="5" t="s">
        <v>523</v>
      </c>
    </row>
    <row r="102" spans="1:10" x14ac:dyDescent="0.35">
      <c r="A102" s="5">
        <v>101</v>
      </c>
      <c r="B102" s="5" t="s">
        <v>658</v>
      </c>
      <c r="C102" s="5" t="s">
        <v>667</v>
      </c>
      <c r="D102" s="5" t="s">
        <v>666</v>
      </c>
      <c r="E102" s="5" t="s">
        <v>661</v>
      </c>
      <c r="F102" s="5">
        <v>0.31790000000000002</v>
      </c>
      <c r="G102" s="5">
        <v>51.4</v>
      </c>
      <c r="H102" s="5"/>
      <c r="I102" s="5"/>
      <c r="J102" s="5" t="s">
        <v>527</v>
      </c>
    </row>
    <row r="103" spans="1:10" x14ac:dyDescent="0.35">
      <c r="A103" s="5">
        <v>102</v>
      </c>
      <c r="B103" s="5" t="s">
        <v>658</v>
      </c>
      <c r="C103" s="5" t="s">
        <v>670</v>
      </c>
      <c r="D103" s="5" t="s">
        <v>660</v>
      </c>
      <c r="E103" s="5" t="s">
        <v>664</v>
      </c>
      <c r="F103" s="5">
        <v>1</v>
      </c>
      <c r="G103" s="5"/>
      <c r="H103" s="5"/>
      <c r="I103" s="5"/>
      <c r="J103" s="5" t="s">
        <v>533</v>
      </c>
    </row>
    <row r="104" spans="1:10" x14ac:dyDescent="0.35">
      <c r="A104" s="5">
        <v>103</v>
      </c>
      <c r="B104" s="5" t="s">
        <v>662</v>
      </c>
      <c r="C104" s="5" t="s">
        <v>662</v>
      </c>
      <c r="D104" s="5" t="s">
        <v>663</v>
      </c>
      <c r="E104" s="5" t="s">
        <v>661</v>
      </c>
      <c r="F104" s="5">
        <v>0.48409999999999997</v>
      </c>
      <c r="G104" s="5">
        <v>95.8</v>
      </c>
      <c r="H104" s="5">
        <v>21</v>
      </c>
      <c r="I104" s="5">
        <v>7</v>
      </c>
      <c r="J104" s="5" t="s">
        <v>537</v>
      </c>
    </row>
    <row r="105" spans="1:10" x14ac:dyDescent="0.35">
      <c r="A105" s="5">
        <v>104</v>
      </c>
      <c r="B105" s="5" t="s">
        <v>662</v>
      </c>
      <c r="C105" s="5" t="s">
        <v>662</v>
      </c>
      <c r="D105" s="5" t="s">
        <v>660</v>
      </c>
      <c r="E105" s="5" t="s">
        <v>661</v>
      </c>
      <c r="F105" s="5">
        <v>0.4451</v>
      </c>
      <c r="G105" s="5">
        <v>85.4</v>
      </c>
      <c r="H105" s="5">
        <v>19</v>
      </c>
      <c r="I105" s="5">
        <v>0</v>
      </c>
      <c r="J105" s="5" t="s">
        <v>540</v>
      </c>
    </row>
    <row r="106" spans="1:10" x14ac:dyDescent="0.35">
      <c r="A106" s="5">
        <v>105</v>
      </c>
      <c r="B106" s="5" t="s">
        <v>658</v>
      </c>
      <c r="C106" s="5" t="s">
        <v>659</v>
      </c>
      <c r="D106" s="5" t="s">
        <v>660</v>
      </c>
      <c r="E106" s="5" t="s">
        <v>661</v>
      </c>
      <c r="F106" s="5">
        <v>0.2026</v>
      </c>
      <c r="G106" s="5">
        <v>20.7</v>
      </c>
      <c r="H106" s="5"/>
      <c r="I106" s="5"/>
      <c r="J106" s="5" t="s">
        <v>546</v>
      </c>
    </row>
    <row r="107" spans="1:10" x14ac:dyDescent="0.35">
      <c r="A107" s="5">
        <v>106</v>
      </c>
      <c r="B107" s="5" t="s">
        <v>658</v>
      </c>
      <c r="C107" s="5" t="s">
        <v>669</v>
      </c>
      <c r="D107" s="5" t="s">
        <v>660</v>
      </c>
      <c r="E107" s="5" t="s">
        <v>661</v>
      </c>
      <c r="F107" s="5">
        <v>0.33360000000000001</v>
      </c>
      <c r="G107" s="5">
        <v>55.6</v>
      </c>
      <c r="H107" s="5"/>
      <c r="I107" s="5"/>
      <c r="J107" s="5" t="s">
        <v>431</v>
      </c>
    </row>
    <row r="108" spans="1:10" x14ac:dyDescent="0.35">
      <c r="A108" s="5">
        <v>107</v>
      </c>
      <c r="B108" s="5" t="s">
        <v>658</v>
      </c>
      <c r="C108" s="5" t="s">
        <v>674</v>
      </c>
      <c r="D108" s="5" t="s">
        <v>666</v>
      </c>
      <c r="E108" s="5" t="s">
        <v>664</v>
      </c>
      <c r="F108" s="5">
        <v>1</v>
      </c>
      <c r="G108" s="5"/>
      <c r="H108" s="5"/>
      <c r="I108" s="5"/>
      <c r="J108" s="5" t="s">
        <v>553</v>
      </c>
    </row>
    <row r="109" spans="1:10" x14ac:dyDescent="0.35">
      <c r="A109" s="5">
        <v>108</v>
      </c>
      <c r="B109" s="5" t="s">
        <v>658</v>
      </c>
      <c r="C109" s="5" t="s">
        <v>670</v>
      </c>
      <c r="D109" s="5" t="s">
        <v>660</v>
      </c>
      <c r="E109" s="5" t="s">
        <v>664</v>
      </c>
      <c r="F109" s="5">
        <v>1</v>
      </c>
      <c r="G109" s="5"/>
      <c r="H109" s="5"/>
      <c r="I109" s="5"/>
      <c r="J109" s="5" t="s">
        <v>558</v>
      </c>
    </row>
    <row r="110" spans="1:10" x14ac:dyDescent="0.35">
      <c r="A110" s="5">
        <v>109</v>
      </c>
      <c r="B110" s="5" t="s">
        <v>658</v>
      </c>
      <c r="C110" s="5" t="s">
        <v>667</v>
      </c>
      <c r="D110" s="5" t="s">
        <v>666</v>
      </c>
      <c r="E110" s="5" t="s">
        <v>661</v>
      </c>
      <c r="F110" s="5">
        <v>0.3947</v>
      </c>
      <c r="G110" s="5">
        <v>71.900000000000006</v>
      </c>
      <c r="H110" s="5"/>
      <c r="I110" s="5"/>
      <c r="J110" s="5" t="s">
        <v>563</v>
      </c>
    </row>
    <row r="111" spans="1:10" x14ac:dyDescent="0.35">
      <c r="A111" s="5">
        <v>110</v>
      </c>
      <c r="B111" s="5" t="s">
        <v>658</v>
      </c>
      <c r="C111" s="5" t="s">
        <v>675</v>
      </c>
      <c r="D111" s="5" t="s">
        <v>666</v>
      </c>
      <c r="E111" s="5" t="s">
        <v>672</v>
      </c>
      <c r="F111" s="5">
        <v>0.8</v>
      </c>
      <c r="G111" s="5"/>
      <c r="H111" s="5"/>
      <c r="I111" s="5"/>
      <c r="J111" s="5" t="s">
        <v>567</v>
      </c>
    </row>
    <row r="112" spans="1:10" x14ac:dyDescent="0.35">
      <c r="A112" s="5">
        <v>111</v>
      </c>
      <c r="B112" s="5" t="s">
        <v>658</v>
      </c>
      <c r="C112" s="5" t="s">
        <v>673</v>
      </c>
      <c r="D112" s="5" t="s">
        <v>660</v>
      </c>
      <c r="E112" s="5" t="s">
        <v>661</v>
      </c>
      <c r="F112" s="5">
        <v>0.48209999999999997</v>
      </c>
      <c r="G112" s="5">
        <v>95.2</v>
      </c>
      <c r="H112" s="5"/>
      <c r="I112" s="5"/>
      <c r="J112" s="5" t="s">
        <v>570</v>
      </c>
    </row>
    <row r="113" spans="1:10" x14ac:dyDescent="0.35">
      <c r="A113" s="5">
        <v>112</v>
      </c>
      <c r="B113" s="5" t="s">
        <v>658</v>
      </c>
      <c r="C113" s="5" t="s">
        <v>675</v>
      </c>
      <c r="D113" s="5" t="s">
        <v>666</v>
      </c>
      <c r="E113" s="5" t="s">
        <v>676</v>
      </c>
      <c r="F113" s="5">
        <v>0.6</v>
      </c>
      <c r="G113" s="5"/>
      <c r="H113" s="5"/>
      <c r="I113" s="5"/>
      <c r="J113" s="5" t="s">
        <v>577</v>
      </c>
    </row>
    <row r="114" spans="1:10" x14ac:dyDescent="0.35">
      <c r="A114" s="5">
        <v>113</v>
      </c>
      <c r="B114" s="5" t="s">
        <v>658</v>
      </c>
      <c r="C114" s="5" t="s">
        <v>665</v>
      </c>
      <c r="D114" s="5" t="s">
        <v>666</v>
      </c>
      <c r="E114" s="5" t="s">
        <v>661</v>
      </c>
      <c r="F114" s="5">
        <v>0.46729999999999999</v>
      </c>
      <c r="G114" s="5">
        <v>91.3</v>
      </c>
      <c r="H114" s="5"/>
      <c r="I114" s="5"/>
      <c r="J114" s="5" t="s">
        <v>581</v>
      </c>
    </row>
    <row r="115" spans="1:10" x14ac:dyDescent="0.35">
      <c r="A115" s="5">
        <v>114</v>
      </c>
      <c r="B115" s="5" t="s">
        <v>658</v>
      </c>
      <c r="C115" s="5" t="s">
        <v>675</v>
      </c>
      <c r="D115" s="5" t="s">
        <v>666</v>
      </c>
      <c r="E115" s="5" t="s">
        <v>672</v>
      </c>
      <c r="F115" s="5">
        <v>0.8</v>
      </c>
      <c r="G115" s="5"/>
      <c r="H115" s="5"/>
      <c r="I115" s="5"/>
      <c r="J115" s="5" t="s">
        <v>588</v>
      </c>
    </row>
    <row r="116" spans="1:10" x14ac:dyDescent="0.35">
      <c r="A116" s="5">
        <v>115</v>
      </c>
      <c r="B116" s="5" t="s">
        <v>658</v>
      </c>
      <c r="C116" s="5" t="s">
        <v>675</v>
      </c>
      <c r="D116" s="5" t="s">
        <v>666</v>
      </c>
      <c r="E116" s="5" t="s">
        <v>672</v>
      </c>
      <c r="F116" s="5">
        <v>0.8</v>
      </c>
      <c r="G116" s="5"/>
      <c r="H116" s="5"/>
      <c r="I116" s="5"/>
      <c r="J116" s="5" t="s">
        <v>592</v>
      </c>
    </row>
    <row r="117" spans="1:10" x14ac:dyDescent="0.35">
      <c r="A117" s="5">
        <v>116</v>
      </c>
      <c r="B117" s="5" t="s">
        <v>658</v>
      </c>
      <c r="C117" s="5" t="s">
        <v>669</v>
      </c>
      <c r="D117" s="5" t="s">
        <v>660</v>
      </c>
      <c r="E117" s="5" t="s">
        <v>661</v>
      </c>
      <c r="F117" s="5">
        <v>0.34250000000000003</v>
      </c>
      <c r="G117" s="5">
        <v>58</v>
      </c>
      <c r="H117" s="5"/>
      <c r="I117" s="5"/>
      <c r="J117" s="5" t="s">
        <v>596</v>
      </c>
    </row>
    <row r="118" spans="1:10" x14ac:dyDescent="0.35">
      <c r="A118" s="5">
        <v>117</v>
      </c>
      <c r="B118" s="5" t="s">
        <v>658</v>
      </c>
      <c r="C118" s="5" t="s">
        <v>674</v>
      </c>
      <c r="D118" s="5" t="s">
        <v>666</v>
      </c>
      <c r="E118" s="5" t="s">
        <v>664</v>
      </c>
      <c r="F118" s="5">
        <v>1</v>
      </c>
      <c r="G118" s="5"/>
      <c r="H118" s="5"/>
      <c r="I118" s="5"/>
      <c r="J118" s="5" t="s">
        <v>601</v>
      </c>
    </row>
    <row r="119" spans="1:10" x14ac:dyDescent="0.35">
      <c r="A119" s="5">
        <v>118</v>
      </c>
      <c r="B119" s="5" t="s">
        <v>658</v>
      </c>
      <c r="C119" s="5" t="s">
        <v>665</v>
      </c>
      <c r="D119" s="5" t="s">
        <v>666</v>
      </c>
      <c r="E119" s="5" t="s">
        <v>661</v>
      </c>
      <c r="F119" s="5">
        <v>0.4829</v>
      </c>
      <c r="G119" s="5">
        <v>95.5</v>
      </c>
      <c r="H119" s="5"/>
      <c r="I119" s="5"/>
      <c r="J119" s="5" t="s">
        <v>605</v>
      </c>
    </row>
    <row r="120" spans="1:10" x14ac:dyDescent="0.35">
      <c r="A120" s="5">
        <v>119</v>
      </c>
      <c r="B120" s="5" t="s">
        <v>658</v>
      </c>
      <c r="C120" s="5" t="s">
        <v>675</v>
      </c>
      <c r="D120" s="5" t="s">
        <v>666</v>
      </c>
      <c r="E120" s="5" t="s">
        <v>672</v>
      </c>
      <c r="F120" s="5">
        <v>0.8</v>
      </c>
      <c r="G120" s="5"/>
      <c r="H120" s="5"/>
      <c r="I120" s="5"/>
      <c r="J120" s="5" t="s">
        <v>612</v>
      </c>
    </row>
    <row r="121" spans="1:10" x14ac:dyDescent="0.35">
      <c r="A121" s="5">
        <v>120</v>
      </c>
      <c r="B121" s="5" t="s">
        <v>658</v>
      </c>
      <c r="C121" s="5" t="s">
        <v>667</v>
      </c>
      <c r="D121" s="5" t="s">
        <v>666</v>
      </c>
      <c r="E121" s="5" t="s">
        <v>661</v>
      </c>
      <c r="F121" s="5">
        <v>0.3891</v>
      </c>
      <c r="G121" s="5">
        <v>70.400000000000006</v>
      </c>
      <c r="H121" s="5"/>
      <c r="I121" s="5"/>
      <c r="J121" s="5" t="s">
        <v>616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3"/>
  <sheetViews>
    <sheetView workbookViewId="0"/>
  </sheetViews>
  <sheetFormatPr defaultRowHeight="14.5" x14ac:dyDescent="0.35"/>
  <cols>
    <col min="1" max="1" width="32" customWidth="1"/>
    <col min="2" max="2" width="30" customWidth="1"/>
    <col min="3" max="4" width="14" customWidth="1"/>
    <col min="5" max="5" width="9" customWidth="1"/>
    <col min="6" max="6" width="13" customWidth="1"/>
    <col min="7" max="7" width="12" customWidth="1"/>
    <col min="8" max="8" width="60" customWidth="1"/>
    <col min="9" max="9" width="2" customWidth="1"/>
    <col min="10" max="12" width="12" customWidth="1"/>
  </cols>
  <sheetData>
    <row r="1" spans="1:8" ht="16.5" x14ac:dyDescent="0.35">
      <c r="A1" s="1" t="s">
        <v>677</v>
      </c>
    </row>
    <row r="2" spans="1:8" ht="330" customHeight="1" x14ac:dyDescent="0.35">
      <c r="A2" s="21" t="s">
        <v>678</v>
      </c>
      <c r="B2" s="22"/>
      <c r="C2" s="22"/>
      <c r="D2" s="22"/>
      <c r="E2" s="22"/>
      <c r="F2" s="22"/>
      <c r="G2" s="22"/>
      <c r="H2" s="22"/>
    </row>
    <row r="4" spans="1:8" ht="42" x14ac:dyDescent="0.35">
      <c r="A4" s="4" t="s">
        <v>650</v>
      </c>
      <c r="B4" s="4" t="s">
        <v>651</v>
      </c>
      <c r="C4" s="4" t="s">
        <v>679</v>
      </c>
      <c r="D4" s="4" t="s">
        <v>680</v>
      </c>
      <c r="E4" s="4" t="s">
        <v>681</v>
      </c>
      <c r="F4" s="4" t="s">
        <v>682</v>
      </c>
    </row>
    <row r="5" spans="1:8" ht="126" x14ac:dyDescent="0.35">
      <c r="A5" s="12" t="s">
        <v>683</v>
      </c>
      <c r="B5" s="12" t="s">
        <v>660</v>
      </c>
      <c r="C5" s="13">
        <v>309</v>
      </c>
      <c r="D5" s="14">
        <f t="shared" ref="D5:D16" si="0">IFERROR(C5/SUMIF($B$5:$B$16,B5,$C$5:$C$16),0)</f>
        <v>0.12189349112426036</v>
      </c>
      <c r="E5" s="12">
        <v>20</v>
      </c>
      <c r="F5" s="11" t="s">
        <v>684</v>
      </c>
    </row>
    <row r="6" spans="1:8" ht="84" x14ac:dyDescent="0.35">
      <c r="A6" s="12" t="s">
        <v>670</v>
      </c>
      <c r="B6" s="12" t="s">
        <v>660</v>
      </c>
      <c r="C6" s="13">
        <v>111</v>
      </c>
      <c r="D6" s="14">
        <f t="shared" si="0"/>
        <v>4.3786982248520713E-2</v>
      </c>
      <c r="E6" s="12">
        <v>8</v>
      </c>
      <c r="F6" s="11" t="s">
        <v>685</v>
      </c>
    </row>
    <row r="7" spans="1:8" ht="168" x14ac:dyDescent="0.35">
      <c r="A7" s="12" t="s">
        <v>671</v>
      </c>
      <c r="B7" s="12" t="s">
        <v>660</v>
      </c>
      <c r="C7" s="13">
        <v>318</v>
      </c>
      <c r="D7" s="14">
        <f t="shared" si="0"/>
        <v>0.12544378698224853</v>
      </c>
      <c r="E7" s="12">
        <v>8</v>
      </c>
      <c r="F7" s="11" t="s">
        <v>686</v>
      </c>
    </row>
    <row r="8" spans="1:8" ht="112" x14ac:dyDescent="0.35">
      <c r="A8" s="12" t="s">
        <v>659</v>
      </c>
      <c r="B8" s="12" t="s">
        <v>660</v>
      </c>
      <c r="C8" s="13">
        <v>570</v>
      </c>
      <c r="D8" s="14">
        <f t="shared" si="0"/>
        <v>0.22485207100591717</v>
      </c>
      <c r="E8" s="12">
        <v>11</v>
      </c>
      <c r="F8" s="11" t="s">
        <v>687</v>
      </c>
    </row>
    <row r="9" spans="1:8" ht="112" x14ac:dyDescent="0.35">
      <c r="A9" s="12" t="s">
        <v>669</v>
      </c>
      <c r="B9" s="12" t="s">
        <v>660</v>
      </c>
      <c r="C9" s="13">
        <v>646</v>
      </c>
      <c r="D9" s="14">
        <f t="shared" si="0"/>
        <v>0.25483234714003944</v>
      </c>
      <c r="E9" s="12">
        <v>12</v>
      </c>
      <c r="F9" s="11" t="s">
        <v>688</v>
      </c>
    </row>
    <row r="10" spans="1:8" ht="126" x14ac:dyDescent="0.35">
      <c r="A10" s="12" t="s">
        <v>673</v>
      </c>
      <c r="B10" s="12" t="s">
        <v>660</v>
      </c>
      <c r="C10" s="13">
        <v>581</v>
      </c>
      <c r="D10" s="14">
        <f t="shared" si="0"/>
        <v>0.22919132149901381</v>
      </c>
      <c r="E10" s="12">
        <v>11</v>
      </c>
      <c r="F10" s="11" t="s">
        <v>689</v>
      </c>
    </row>
    <row r="11" spans="1:8" ht="126" x14ac:dyDescent="0.35">
      <c r="A11" s="12" t="s">
        <v>690</v>
      </c>
      <c r="B11" s="12" t="s">
        <v>666</v>
      </c>
      <c r="C11" s="13">
        <v>406</v>
      </c>
      <c r="D11" s="14">
        <f t="shared" si="0"/>
        <v>0.22924901185770752</v>
      </c>
      <c r="E11" s="12">
        <v>20</v>
      </c>
      <c r="F11" s="11" t="s">
        <v>691</v>
      </c>
    </row>
    <row r="12" spans="1:8" ht="84" x14ac:dyDescent="0.35">
      <c r="A12" s="12" t="s">
        <v>674</v>
      </c>
      <c r="B12" s="12" t="s">
        <v>666</v>
      </c>
      <c r="C12" s="13">
        <v>55</v>
      </c>
      <c r="D12" s="14">
        <f t="shared" si="0"/>
        <v>3.1055900621118012E-2</v>
      </c>
      <c r="E12" s="12">
        <v>8</v>
      </c>
      <c r="F12" s="11" t="s">
        <v>685</v>
      </c>
    </row>
    <row r="13" spans="1:8" ht="168" x14ac:dyDescent="0.35">
      <c r="A13" s="12" t="s">
        <v>675</v>
      </c>
      <c r="B13" s="12" t="s">
        <v>666</v>
      </c>
      <c r="C13" s="13">
        <v>161</v>
      </c>
      <c r="D13" s="14">
        <f t="shared" si="0"/>
        <v>9.0909090909090912E-2</v>
      </c>
      <c r="E13" s="12">
        <v>8</v>
      </c>
      <c r="F13" s="11" t="s">
        <v>686</v>
      </c>
    </row>
    <row r="14" spans="1:8" ht="112" x14ac:dyDescent="0.35">
      <c r="A14" s="12" t="s">
        <v>668</v>
      </c>
      <c r="B14" s="12" t="s">
        <v>666</v>
      </c>
      <c r="C14" s="13">
        <v>371</v>
      </c>
      <c r="D14" s="14">
        <f t="shared" si="0"/>
        <v>0.20948616600790515</v>
      </c>
      <c r="E14" s="12">
        <v>11</v>
      </c>
      <c r="F14" s="11" t="s">
        <v>687</v>
      </c>
    </row>
    <row r="15" spans="1:8" ht="112" x14ac:dyDescent="0.35">
      <c r="A15" s="12" t="s">
        <v>667</v>
      </c>
      <c r="B15" s="12" t="s">
        <v>666</v>
      </c>
      <c r="C15" s="13">
        <v>364</v>
      </c>
      <c r="D15" s="14">
        <f t="shared" si="0"/>
        <v>0.20553359683794467</v>
      </c>
      <c r="E15" s="12">
        <v>11</v>
      </c>
      <c r="F15" s="11" t="s">
        <v>688</v>
      </c>
    </row>
    <row r="16" spans="1:8" ht="126" x14ac:dyDescent="0.35">
      <c r="A16" s="12" t="s">
        <v>665</v>
      </c>
      <c r="B16" s="12" t="s">
        <v>666</v>
      </c>
      <c r="C16" s="13">
        <v>414</v>
      </c>
      <c r="D16" s="14">
        <f t="shared" si="0"/>
        <v>0.23376623376623376</v>
      </c>
      <c r="E16" s="12">
        <v>12</v>
      </c>
      <c r="F16" s="11" t="s">
        <v>689</v>
      </c>
    </row>
    <row r="18" spans="1:12" x14ac:dyDescent="0.35">
      <c r="A18" s="15" t="s">
        <v>692</v>
      </c>
    </row>
    <row r="19" spans="1:12" x14ac:dyDescent="0.35">
      <c r="A19" s="4"/>
      <c r="B19" s="4" t="s">
        <v>660</v>
      </c>
      <c r="C19" s="4" t="s">
        <v>666</v>
      </c>
    </row>
    <row r="20" spans="1:12" x14ac:dyDescent="0.35">
      <c r="A20" s="12" t="s">
        <v>693</v>
      </c>
      <c r="B20" s="13">
        <v>3109</v>
      </c>
      <c r="C20" s="13">
        <v>2150</v>
      </c>
    </row>
    <row r="21" spans="1:12" x14ac:dyDescent="0.35">
      <c r="A21" s="12" t="s">
        <v>694</v>
      </c>
      <c r="B21" s="13">
        <v>2936</v>
      </c>
      <c r="C21" s="13">
        <v>2020</v>
      </c>
    </row>
    <row r="22" spans="1:12" x14ac:dyDescent="0.35">
      <c r="A22" s="12" t="s">
        <v>695</v>
      </c>
      <c r="B22" s="13">
        <v>2535</v>
      </c>
      <c r="C22" s="13">
        <v>1771</v>
      </c>
    </row>
    <row r="23" spans="1:12" x14ac:dyDescent="0.35">
      <c r="A23" s="12" t="s">
        <v>696</v>
      </c>
      <c r="B23" s="13">
        <v>401</v>
      </c>
      <c r="C23" s="13">
        <v>249</v>
      </c>
    </row>
    <row r="24" spans="1:12" x14ac:dyDescent="0.35">
      <c r="A24" s="12" t="s">
        <v>697</v>
      </c>
      <c r="B24" s="13">
        <v>126</v>
      </c>
      <c r="C24" s="13">
        <v>138</v>
      </c>
    </row>
    <row r="25" spans="1:12" x14ac:dyDescent="0.35">
      <c r="A25" s="12" t="s">
        <v>698</v>
      </c>
      <c r="B25" s="13">
        <v>347</v>
      </c>
      <c r="C25" s="13">
        <v>149</v>
      </c>
    </row>
    <row r="26" spans="1:12" x14ac:dyDescent="0.35">
      <c r="A26" s="12" t="s">
        <v>699</v>
      </c>
      <c r="B26" s="14">
        <f>IFERROR(B23/B21,0)</f>
        <v>0.13658038147138965</v>
      </c>
      <c r="C26" s="14">
        <f>IFERROR(C23/C21,0)</f>
        <v>0.12326732673267327</v>
      </c>
    </row>
    <row r="27" spans="1:12" x14ac:dyDescent="0.35">
      <c r="A27" s="12" t="s">
        <v>700</v>
      </c>
      <c r="B27" s="14">
        <f>IFERROR(B24/B20,0)</f>
        <v>4.052750080411708E-2</v>
      </c>
      <c r="C27" s="14">
        <f>IFERROR(C24/C20,0)</f>
        <v>6.4186046511627903E-2</v>
      </c>
    </row>
    <row r="29" spans="1:12" ht="15.5" x14ac:dyDescent="0.35">
      <c r="A29" s="16" t="s">
        <v>701</v>
      </c>
    </row>
    <row r="30" spans="1:12" ht="300" customHeight="1" x14ac:dyDescent="0.35">
      <c r="A30" s="21" t="s">
        <v>702</v>
      </c>
      <c r="B30" s="22"/>
      <c r="C30" s="22"/>
      <c r="D30" s="22"/>
      <c r="E30" s="22"/>
      <c r="F30" s="22"/>
      <c r="G30" s="22"/>
      <c r="H30" s="22"/>
    </row>
    <row r="32" spans="1:12" ht="42" x14ac:dyDescent="0.35">
      <c r="A32" s="4" t="s">
        <v>703</v>
      </c>
      <c r="B32" s="4" t="s">
        <v>657</v>
      </c>
      <c r="C32" s="4" t="s">
        <v>704</v>
      </c>
      <c r="D32" s="4" t="s">
        <v>705</v>
      </c>
      <c r="E32" s="4" t="s">
        <v>706</v>
      </c>
      <c r="F32" s="4" t="s">
        <v>707</v>
      </c>
      <c r="G32" s="4" t="s">
        <v>708</v>
      </c>
      <c r="H32" s="4" t="s">
        <v>709</v>
      </c>
      <c r="J32" s="4" t="s">
        <v>710</v>
      </c>
      <c r="K32" s="4" t="s">
        <v>711</v>
      </c>
      <c r="L32" s="4" t="s">
        <v>712</v>
      </c>
    </row>
    <row r="33" spans="1:12" ht="28" x14ac:dyDescent="0.35">
      <c r="A33" s="12">
        <v>1</v>
      </c>
      <c r="B33" s="12" t="s">
        <v>445</v>
      </c>
      <c r="C33" s="12">
        <v>7</v>
      </c>
      <c r="D33" s="12">
        <v>85</v>
      </c>
      <c r="E33" s="12">
        <f t="shared" ref="E33:E52" si="1">C33+D33</f>
        <v>92</v>
      </c>
      <c r="F33" s="14">
        <f t="shared" ref="F33:F52" si="2">E33/4306</f>
        <v>2.1365536460752437E-2</v>
      </c>
      <c r="G33" s="14">
        <f>SUM($E$33:E33)/4306</f>
        <v>2.1365536460752437E-2</v>
      </c>
      <c r="H33" s="11" t="s">
        <v>713</v>
      </c>
      <c r="J33" s="12">
        <v>5</v>
      </c>
      <c r="K33" s="14">
        <v>4.2209072978303751E-2</v>
      </c>
      <c r="L33" s="14">
        <v>0.1236589497459063</v>
      </c>
    </row>
    <row r="34" spans="1:12" ht="28" x14ac:dyDescent="0.35">
      <c r="A34" s="12">
        <v>2</v>
      </c>
      <c r="B34" s="12" t="s">
        <v>28</v>
      </c>
      <c r="C34" s="12">
        <v>62</v>
      </c>
      <c r="D34" s="12">
        <v>25</v>
      </c>
      <c r="E34" s="12">
        <f t="shared" si="1"/>
        <v>87</v>
      </c>
      <c r="F34" s="14">
        <f t="shared" si="2"/>
        <v>2.0204366000928935E-2</v>
      </c>
      <c r="G34" s="14">
        <f>SUM($E$33:E34)/4306</f>
        <v>4.1569902461681373E-2</v>
      </c>
      <c r="H34" s="11" t="s">
        <v>714</v>
      </c>
      <c r="J34" s="12">
        <v>10</v>
      </c>
      <c r="K34" s="14">
        <v>7.7317554240631164E-2</v>
      </c>
      <c r="L34" s="14">
        <v>0.16770186335403731</v>
      </c>
    </row>
    <row r="35" spans="1:12" ht="28" x14ac:dyDescent="0.35">
      <c r="A35" s="12">
        <v>3</v>
      </c>
      <c r="B35" s="12" t="s">
        <v>50</v>
      </c>
      <c r="C35" s="12">
        <v>1</v>
      </c>
      <c r="D35" s="12">
        <v>53</v>
      </c>
      <c r="E35" s="12">
        <f t="shared" si="1"/>
        <v>54</v>
      </c>
      <c r="F35" s="14">
        <f t="shared" si="2"/>
        <v>1.2540640966093822E-2</v>
      </c>
      <c r="G35" s="14">
        <f>SUM($E$33:E35)/4306</f>
        <v>5.4110543427775194E-2</v>
      </c>
      <c r="H35" s="11" t="s">
        <v>715</v>
      </c>
      <c r="J35" s="17">
        <v>20</v>
      </c>
      <c r="K35" s="18">
        <v>0.1218934911242604</v>
      </c>
      <c r="L35" s="18">
        <v>0.22924901185770749</v>
      </c>
    </row>
    <row r="36" spans="1:12" ht="28" x14ac:dyDescent="0.35">
      <c r="A36" s="12">
        <v>4</v>
      </c>
      <c r="B36" s="12" t="s">
        <v>77</v>
      </c>
      <c r="C36" s="12">
        <v>27</v>
      </c>
      <c r="D36" s="12">
        <v>22</v>
      </c>
      <c r="E36" s="12">
        <f t="shared" si="1"/>
        <v>49</v>
      </c>
      <c r="F36" s="14">
        <f t="shared" si="2"/>
        <v>1.137947050627032E-2</v>
      </c>
      <c r="G36" s="14">
        <f>SUM($E$33:E36)/4306</f>
        <v>6.5490013934045521E-2</v>
      </c>
      <c r="H36" s="11" t="s">
        <v>716</v>
      </c>
      <c r="J36" s="12">
        <v>30</v>
      </c>
      <c r="K36" s="14">
        <v>0.15384615384615391</v>
      </c>
      <c r="L36" s="14">
        <v>0.26764539808018067</v>
      </c>
    </row>
    <row r="37" spans="1:12" ht="28" x14ac:dyDescent="0.35">
      <c r="A37" s="12">
        <v>5</v>
      </c>
      <c r="B37" s="12" t="s">
        <v>420</v>
      </c>
      <c r="C37" s="12">
        <v>10</v>
      </c>
      <c r="D37" s="12">
        <v>34</v>
      </c>
      <c r="E37" s="12">
        <f t="shared" si="1"/>
        <v>44</v>
      </c>
      <c r="F37" s="14">
        <f t="shared" si="2"/>
        <v>1.0218300046446818E-2</v>
      </c>
      <c r="G37" s="14">
        <f>SUM($E$33:E37)/4306</f>
        <v>7.5708313980492339E-2</v>
      </c>
      <c r="H37" s="11" t="s">
        <v>717</v>
      </c>
      <c r="J37" s="12">
        <v>50</v>
      </c>
      <c r="K37" s="14">
        <v>0.19289940828402369</v>
      </c>
      <c r="L37" s="14">
        <v>0.32523997741389038</v>
      </c>
    </row>
    <row r="38" spans="1:12" ht="28" x14ac:dyDescent="0.35">
      <c r="A38" s="12">
        <v>6</v>
      </c>
      <c r="B38" s="12" t="s">
        <v>57</v>
      </c>
      <c r="C38" s="12">
        <v>9</v>
      </c>
      <c r="D38" s="12">
        <v>29</v>
      </c>
      <c r="E38" s="12">
        <f t="shared" si="1"/>
        <v>38</v>
      </c>
      <c r="F38" s="14">
        <f t="shared" si="2"/>
        <v>8.8248954946586154E-3</v>
      </c>
      <c r="G38" s="14">
        <f>SUM($E$33:E38)/4306</f>
        <v>8.4533209475150958E-2</v>
      </c>
      <c r="H38" s="11" t="s">
        <v>718</v>
      </c>
      <c r="J38" s="12">
        <v>100</v>
      </c>
      <c r="K38" s="14">
        <v>0.26666666666666672</v>
      </c>
      <c r="L38" s="14">
        <v>0.39695087521174482</v>
      </c>
    </row>
    <row r="39" spans="1:12" ht="28" x14ac:dyDescent="0.35">
      <c r="A39" s="12">
        <v>7</v>
      </c>
      <c r="B39" s="12" t="s">
        <v>245</v>
      </c>
      <c r="C39" s="12">
        <v>34</v>
      </c>
      <c r="D39" s="12">
        <v>3</v>
      </c>
      <c r="E39" s="12">
        <f t="shared" si="1"/>
        <v>37</v>
      </c>
      <c r="F39" s="14">
        <f t="shared" si="2"/>
        <v>8.5926614026939161E-3</v>
      </c>
      <c r="G39" s="14">
        <f>SUM($E$33:E39)/4306</f>
        <v>9.3125870877844866E-2</v>
      </c>
      <c r="H39" s="11" t="s">
        <v>719</v>
      </c>
    </row>
    <row r="40" spans="1:12" ht="28" x14ac:dyDescent="0.35">
      <c r="A40" s="12">
        <v>8</v>
      </c>
      <c r="B40" s="12" t="s">
        <v>80</v>
      </c>
      <c r="C40" s="12">
        <v>2</v>
      </c>
      <c r="D40" s="12">
        <v>33</v>
      </c>
      <c r="E40" s="12">
        <f t="shared" si="1"/>
        <v>35</v>
      </c>
      <c r="F40" s="14">
        <f t="shared" si="2"/>
        <v>8.128193218764514E-3</v>
      </c>
      <c r="G40" s="14">
        <f>SUM($E$33:E40)/4306</f>
        <v>0.10125406409660938</v>
      </c>
      <c r="H40" s="11" t="s">
        <v>720</v>
      </c>
    </row>
    <row r="41" spans="1:12" ht="28" x14ac:dyDescent="0.35">
      <c r="A41" s="12">
        <v>9</v>
      </c>
      <c r="B41" s="12" t="s">
        <v>258</v>
      </c>
      <c r="C41" s="12">
        <v>23</v>
      </c>
      <c r="D41" s="12">
        <v>6</v>
      </c>
      <c r="E41" s="12">
        <f t="shared" si="1"/>
        <v>29</v>
      </c>
      <c r="F41" s="14">
        <f t="shared" si="2"/>
        <v>6.7347886669763121E-3</v>
      </c>
      <c r="G41" s="14">
        <f>SUM($E$33:E41)/4306</f>
        <v>0.10798885276358569</v>
      </c>
      <c r="H41" s="11" t="s">
        <v>721</v>
      </c>
    </row>
    <row r="42" spans="1:12" ht="28" x14ac:dyDescent="0.35">
      <c r="A42" s="12">
        <v>10</v>
      </c>
      <c r="B42" s="12" t="s">
        <v>537</v>
      </c>
      <c r="C42" s="12">
        <v>21</v>
      </c>
      <c r="D42" s="12">
        <v>7</v>
      </c>
      <c r="E42" s="12">
        <f t="shared" si="1"/>
        <v>28</v>
      </c>
      <c r="F42" s="14">
        <f t="shared" si="2"/>
        <v>6.5025545750116119E-3</v>
      </c>
      <c r="G42" s="14">
        <f>SUM($E$33:E42)/4306</f>
        <v>0.11449140733859731</v>
      </c>
      <c r="H42" s="11" t="s">
        <v>722</v>
      </c>
    </row>
    <row r="43" spans="1:12" ht="28" x14ac:dyDescent="0.35">
      <c r="A43" s="12">
        <v>11</v>
      </c>
      <c r="B43" s="12" t="s">
        <v>155</v>
      </c>
      <c r="C43" s="12">
        <v>18</v>
      </c>
      <c r="D43" s="12">
        <v>9</v>
      </c>
      <c r="E43" s="12">
        <f t="shared" si="1"/>
        <v>27</v>
      </c>
      <c r="F43" s="14">
        <f t="shared" si="2"/>
        <v>6.2703204830469109E-3</v>
      </c>
      <c r="G43" s="14">
        <f>SUM($E$33:E43)/4306</f>
        <v>0.12076172782164422</v>
      </c>
      <c r="H43" s="11" t="s">
        <v>723</v>
      </c>
    </row>
    <row r="44" spans="1:12" ht="28" x14ac:dyDescent="0.35">
      <c r="A44" s="12">
        <v>12</v>
      </c>
      <c r="B44" s="12" t="s">
        <v>17</v>
      </c>
      <c r="C44" s="12">
        <v>4</v>
      </c>
      <c r="D44" s="12">
        <v>23</v>
      </c>
      <c r="E44" s="12">
        <f t="shared" si="1"/>
        <v>27</v>
      </c>
      <c r="F44" s="14">
        <f t="shared" si="2"/>
        <v>6.2703204830469109E-3</v>
      </c>
      <c r="G44" s="14">
        <f>SUM($E$33:E44)/4306</f>
        <v>0.12703204830469114</v>
      </c>
      <c r="H44" s="11" t="s">
        <v>724</v>
      </c>
    </row>
    <row r="45" spans="1:12" ht="28" x14ac:dyDescent="0.35">
      <c r="A45" s="12">
        <v>13</v>
      </c>
      <c r="B45" s="12" t="s">
        <v>261</v>
      </c>
      <c r="C45" s="12">
        <v>9</v>
      </c>
      <c r="D45" s="12">
        <v>15</v>
      </c>
      <c r="E45" s="12">
        <f t="shared" si="1"/>
        <v>24</v>
      </c>
      <c r="F45" s="14">
        <f t="shared" si="2"/>
        <v>5.5736182071528103E-3</v>
      </c>
      <c r="G45" s="14">
        <f>SUM($E$33:E45)/4306</f>
        <v>0.13260566651184394</v>
      </c>
      <c r="H45" s="11" t="s">
        <v>725</v>
      </c>
    </row>
    <row r="46" spans="1:12" ht="28" x14ac:dyDescent="0.35">
      <c r="A46" s="12">
        <v>14</v>
      </c>
      <c r="B46" s="12" t="s">
        <v>143</v>
      </c>
      <c r="C46" s="12">
        <v>24</v>
      </c>
      <c r="D46" s="12">
        <v>0</v>
      </c>
      <c r="E46" s="12">
        <f t="shared" si="1"/>
        <v>24</v>
      </c>
      <c r="F46" s="14">
        <f t="shared" si="2"/>
        <v>5.5736182071528103E-3</v>
      </c>
      <c r="G46" s="14">
        <f>SUM($E$33:E46)/4306</f>
        <v>0.13817928471899674</v>
      </c>
      <c r="H46" s="11" t="s">
        <v>726</v>
      </c>
    </row>
    <row r="47" spans="1:12" ht="28" x14ac:dyDescent="0.35">
      <c r="A47" s="12">
        <v>15</v>
      </c>
      <c r="B47" s="12" t="s">
        <v>44</v>
      </c>
      <c r="C47" s="12">
        <v>10</v>
      </c>
      <c r="D47" s="12">
        <v>13</v>
      </c>
      <c r="E47" s="12">
        <f t="shared" si="1"/>
        <v>23</v>
      </c>
      <c r="F47" s="14">
        <f t="shared" si="2"/>
        <v>5.3413841151881093E-3</v>
      </c>
      <c r="G47" s="14">
        <f>SUM($E$33:E47)/4306</f>
        <v>0.14352066883418485</v>
      </c>
      <c r="H47" s="11" t="s">
        <v>727</v>
      </c>
    </row>
    <row r="48" spans="1:12" ht="28" x14ac:dyDescent="0.35">
      <c r="A48" s="12">
        <v>16</v>
      </c>
      <c r="B48" s="12" t="s">
        <v>523</v>
      </c>
      <c r="C48" s="12">
        <v>1</v>
      </c>
      <c r="D48" s="12">
        <v>22</v>
      </c>
      <c r="E48" s="12">
        <f t="shared" si="1"/>
        <v>23</v>
      </c>
      <c r="F48" s="14">
        <f t="shared" si="2"/>
        <v>5.3413841151881093E-3</v>
      </c>
      <c r="G48" s="14">
        <f>SUM($E$33:E48)/4306</f>
        <v>0.14886205294937296</v>
      </c>
      <c r="H48" s="11" t="s">
        <v>728</v>
      </c>
    </row>
    <row r="49" spans="1:8" ht="28" x14ac:dyDescent="0.35">
      <c r="A49" s="12">
        <v>17</v>
      </c>
      <c r="B49" s="12" t="s">
        <v>362</v>
      </c>
      <c r="C49" s="12">
        <v>19</v>
      </c>
      <c r="D49" s="12">
        <v>0</v>
      </c>
      <c r="E49" s="12">
        <f t="shared" si="1"/>
        <v>19</v>
      </c>
      <c r="F49" s="14">
        <f t="shared" si="2"/>
        <v>4.4124477473293077E-3</v>
      </c>
      <c r="G49" s="14">
        <f>SUM($E$33:E49)/4306</f>
        <v>0.15327450069670229</v>
      </c>
      <c r="H49" s="11" t="s">
        <v>729</v>
      </c>
    </row>
    <row r="50" spans="1:8" ht="28" x14ac:dyDescent="0.35">
      <c r="A50" s="12">
        <v>18</v>
      </c>
      <c r="B50" s="12" t="s">
        <v>540</v>
      </c>
      <c r="C50" s="12">
        <v>19</v>
      </c>
      <c r="D50" s="12">
        <v>0</v>
      </c>
      <c r="E50" s="12">
        <f t="shared" si="1"/>
        <v>19</v>
      </c>
      <c r="F50" s="14">
        <f t="shared" si="2"/>
        <v>4.4124477473293077E-3</v>
      </c>
      <c r="G50" s="14">
        <f>SUM($E$33:E50)/4306</f>
        <v>0.15768694844403158</v>
      </c>
      <c r="H50" s="11" t="s">
        <v>730</v>
      </c>
    </row>
    <row r="51" spans="1:8" ht="28" x14ac:dyDescent="0.35">
      <c r="A51" s="12">
        <v>19</v>
      </c>
      <c r="B51" s="12" t="s">
        <v>509</v>
      </c>
      <c r="C51" s="12">
        <v>0</v>
      </c>
      <c r="D51" s="12">
        <v>18</v>
      </c>
      <c r="E51" s="12">
        <f t="shared" si="1"/>
        <v>18</v>
      </c>
      <c r="F51" s="14">
        <f t="shared" si="2"/>
        <v>4.1802136553646075E-3</v>
      </c>
      <c r="G51" s="14">
        <f>SUM($E$33:E51)/4306</f>
        <v>0.16186716209939619</v>
      </c>
      <c r="H51" s="11" t="s">
        <v>731</v>
      </c>
    </row>
    <row r="52" spans="1:8" ht="28" x14ac:dyDescent="0.35">
      <c r="A52" s="12">
        <v>20</v>
      </c>
      <c r="B52" s="12" t="s">
        <v>74</v>
      </c>
      <c r="C52" s="12">
        <v>9</v>
      </c>
      <c r="D52" s="12">
        <v>9</v>
      </c>
      <c r="E52" s="12">
        <f t="shared" si="1"/>
        <v>18</v>
      </c>
      <c r="F52" s="14">
        <f t="shared" si="2"/>
        <v>4.1802136553646075E-3</v>
      </c>
      <c r="G52" s="14">
        <f>SUM($E$33:E52)/4306</f>
        <v>0.16604737575476081</v>
      </c>
      <c r="H52" s="11" t="s">
        <v>732</v>
      </c>
    </row>
    <row r="53" spans="1:8" x14ac:dyDescent="0.35">
      <c r="B53" s="19" t="s">
        <v>733</v>
      </c>
    </row>
  </sheetData>
  <mergeCells count="2">
    <mergeCell ref="A2:H2"/>
    <mergeCell ref="A30:H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
  <sheetViews>
    <sheetView workbookViewId="0"/>
  </sheetViews>
  <sheetFormatPr defaultRowHeight="14.5" x14ac:dyDescent="0.35"/>
  <cols>
    <col min="1" max="1" width="34" customWidth="1"/>
    <col min="2" max="2" width="14" customWidth="1"/>
    <col min="3" max="3" width="7" customWidth="1"/>
    <col min="4" max="8" width="8" customWidth="1"/>
    <col min="9" max="9" width="15" customWidth="1"/>
    <col min="10" max="10" width="16" customWidth="1"/>
    <col min="11" max="12" width="14" customWidth="1"/>
  </cols>
  <sheetData>
    <row r="1" spans="1:14" ht="28" x14ac:dyDescent="0.35">
      <c r="A1" s="4" t="s">
        <v>650</v>
      </c>
      <c r="B1" s="4" t="s">
        <v>734</v>
      </c>
      <c r="C1" s="4" t="s">
        <v>735</v>
      </c>
      <c r="D1" s="4" t="s">
        <v>736</v>
      </c>
      <c r="E1" s="4" t="s">
        <v>647</v>
      </c>
      <c r="F1" s="4" t="s">
        <v>737</v>
      </c>
      <c r="G1" s="4" t="s">
        <v>738</v>
      </c>
      <c r="H1" s="4" t="s">
        <v>739</v>
      </c>
      <c r="I1" s="4" t="s">
        <v>740</v>
      </c>
      <c r="J1" s="4" t="s">
        <v>741</v>
      </c>
      <c r="K1" s="4" t="s">
        <v>742</v>
      </c>
      <c r="L1" s="4" t="s">
        <v>743</v>
      </c>
      <c r="N1" t="s">
        <v>744</v>
      </c>
    </row>
    <row r="2" spans="1:14" x14ac:dyDescent="0.35">
      <c r="A2" s="12" t="s">
        <v>662</v>
      </c>
      <c r="B2" s="12">
        <v>20</v>
      </c>
      <c r="C2" s="12">
        <f>COUNTIFS(key!$C$2:$C$121,A2)</f>
        <v>20</v>
      </c>
      <c r="D2" s="12">
        <f>COUNTIFS(key!$C$2:$C$121,A2,Validate!$I$2:$I$121,"&lt;&gt;")</f>
        <v>0</v>
      </c>
      <c r="E2" s="12">
        <f>COUNTIFS(key!$C$2:$C$121,A2,Validate!$I$2:$I$121,"correct")</f>
        <v>0</v>
      </c>
      <c r="F2" s="12">
        <f>COUNTIFS(key!$C$2:$C$121,A2,Validate!$I$2:$I$121,"partial")</f>
        <v>0</v>
      </c>
      <c r="G2" s="12">
        <f>COUNTIFS(key!$C$2:$C$121,A2,Validate!$I$2:$I$121,"wrong")</f>
        <v>0</v>
      </c>
      <c r="H2" s="12">
        <f>COUNTIFS(key!$C$2:$C$121,A2,Validate!$I$2:$I$121,"unclear")</f>
        <v>0</v>
      </c>
      <c r="I2" s="20" t="str">
        <f t="shared" ref="I2:I12" si="0">IFERROR(E2/(D2-H2),"")</f>
        <v/>
      </c>
      <c r="J2" s="20" t="str">
        <f t="shared" ref="J2:J12" si="1">IFERROR((E2+F2)/(D2-H2),"")</f>
        <v/>
      </c>
      <c r="K2" s="20" t="str">
        <f t="shared" ref="K2:K12" si="2">IFERROR(MAX(0,(I2+$N$2^2/(2*(D2-H2)))/(1+$N$2^2/(D2-H2))-$N$2*SQRT(I2*(1-I2)/(D2-H2)+$N$2^2/(4*(D2-H2)^2))/(1+$N$2^2/(D2-H2))),"")</f>
        <v/>
      </c>
      <c r="L2" s="20" t="str">
        <f t="shared" ref="L2:L12" si="3">IFERROR(MIN(1,(I2+$N$2^2/(2*(D2-H2)))/(1+$N$2^2/(D2-H2))+$N$2*SQRT(I2*(1-I2)/(D2-H2)+$N$2^2/(4*(D2-H2)^2))/(1+$N$2^2/(D2-H2))),"")</f>
        <v/>
      </c>
      <c r="N2">
        <v>1.96</v>
      </c>
    </row>
    <row r="3" spans="1:14" x14ac:dyDescent="0.35">
      <c r="A3" s="12" t="s">
        <v>670</v>
      </c>
      <c r="B3" s="12">
        <v>111</v>
      </c>
      <c r="C3" s="12">
        <f>COUNTIFS(key!$C$2:$C$121,A3)</f>
        <v>8</v>
      </c>
      <c r="D3" s="12">
        <f>COUNTIFS(key!$C$2:$C$121,A3,Validate!$I$2:$I$121,"&lt;&gt;")</f>
        <v>0</v>
      </c>
      <c r="E3" s="12">
        <f>COUNTIFS(key!$C$2:$C$121,A3,Validate!$I$2:$I$121,"correct")</f>
        <v>0</v>
      </c>
      <c r="F3" s="12">
        <f>COUNTIFS(key!$C$2:$C$121,A3,Validate!$I$2:$I$121,"partial")</f>
        <v>0</v>
      </c>
      <c r="G3" s="12">
        <f>COUNTIFS(key!$C$2:$C$121,A3,Validate!$I$2:$I$121,"wrong")</f>
        <v>0</v>
      </c>
      <c r="H3" s="12">
        <f>COUNTIFS(key!$C$2:$C$121,A3,Validate!$I$2:$I$121,"unclear")</f>
        <v>0</v>
      </c>
      <c r="I3" s="20" t="str">
        <f t="shared" si="0"/>
        <v/>
      </c>
      <c r="J3" s="20" t="str">
        <f t="shared" si="1"/>
        <v/>
      </c>
      <c r="K3" s="20" t="str">
        <f t="shared" si="2"/>
        <v/>
      </c>
      <c r="L3" s="20" t="str">
        <f t="shared" si="3"/>
        <v/>
      </c>
    </row>
    <row r="4" spans="1:14" x14ac:dyDescent="0.35">
      <c r="A4" s="12" t="s">
        <v>671</v>
      </c>
      <c r="B4" s="12">
        <v>318</v>
      </c>
      <c r="C4" s="12">
        <f>COUNTIFS(key!$C$2:$C$121,A4)</f>
        <v>8</v>
      </c>
      <c r="D4" s="12">
        <f>COUNTIFS(key!$C$2:$C$121,A4,Validate!$I$2:$I$121,"&lt;&gt;")</f>
        <v>0</v>
      </c>
      <c r="E4" s="12">
        <f>COUNTIFS(key!$C$2:$C$121,A4,Validate!$I$2:$I$121,"correct")</f>
        <v>0</v>
      </c>
      <c r="F4" s="12">
        <f>COUNTIFS(key!$C$2:$C$121,A4,Validate!$I$2:$I$121,"partial")</f>
        <v>0</v>
      </c>
      <c r="G4" s="12">
        <f>COUNTIFS(key!$C$2:$C$121,A4,Validate!$I$2:$I$121,"wrong")</f>
        <v>0</v>
      </c>
      <c r="H4" s="12">
        <f>COUNTIFS(key!$C$2:$C$121,A4,Validate!$I$2:$I$121,"unclear")</f>
        <v>0</v>
      </c>
      <c r="I4" s="20" t="str">
        <f t="shared" si="0"/>
        <v/>
      </c>
      <c r="J4" s="20" t="str">
        <f t="shared" si="1"/>
        <v/>
      </c>
      <c r="K4" s="20" t="str">
        <f t="shared" si="2"/>
        <v/>
      </c>
      <c r="L4" s="20" t="str">
        <f t="shared" si="3"/>
        <v/>
      </c>
    </row>
    <row r="5" spans="1:14" x14ac:dyDescent="0.35">
      <c r="A5" s="12" t="s">
        <v>659</v>
      </c>
      <c r="B5" s="12">
        <v>570</v>
      </c>
      <c r="C5" s="12">
        <f>COUNTIFS(key!$C$2:$C$121,A5)</f>
        <v>11</v>
      </c>
      <c r="D5" s="12">
        <f>COUNTIFS(key!$C$2:$C$121,A5,Validate!$I$2:$I$121,"&lt;&gt;")</f>
        <v>0</v>
      </c>
      <c r="E5" s="12">
        <f>COUNTIFS(key!$C$2:$C$121,A5,Validate!$I$2:$I$121,"correct")</f>
        <v>0</v>
      </c>
      <c r="F5" s="12">
        <f>COUNTIFS(key!$C$2:$C$121,A5,Validate!$I$2:$I$121,"partial")</f>
        <v>0</v>
      </c>
      <c r="G5" s="12">
        <f>COUNTIFS(key!$C$2:$C$121,A5,Validate!$I$2:$I$121,"wrong")</f>
        <v>0</v>
      </c>
      <c r="H5" s="12">
        <f>COUNTIFS(key!$C$2:$C$121,A5,Validate!$I$2:$I$121,"unclear")</f>
        <v>0</v>
      </c>
      <c r="I5" s="20" t="str">
        <f t="shared" si="0"/>
        <v/>
      </c>
      <c r="J5" s="20" t="str">
        <f t="shared" si="1"/>
        <v/>
      </c>
      <c r="K5" s="20" t="str">
        <f t="shared" si="2"/>
        <v/>
      </c>
      <c r="L5" s="20" t="str">
        <f t="shared" si="3"/>
        <v/>
      </c>
    </row>
    <row r="6" spans="1:14" x14ac:dyDescent="0.35">
      <c r="A6" s="12" t="s">
        <v>669</v>
      </c>
      <c r="B6" s="12">
        <v>646</v>
      </c>
      <c r="C6" s="12">
        <f>COUNTIFS(key!$C$2:$C$121,A6)</f>
        <v>12</v>
      </c>
      <c r="D6" s="12">
        <f>COUNTIFS(key!$C$2:$C$121,A6,Validate!$I$2:$I$121,"&lt;&gt;")</f>
        <v>0</v>
      </c>
      <c r="E6" s="12">
        <f>COUNTIFS(key!$C$2:$C$121,A6,Validate!$I$2:$I$121,"correct")</f>
        <v>0</v>
      </c>
      <c r="F6" s="12">
        <f>COUNTIFS(key!$C$2:$C$121,A6,Validate!$I$2:$I$121,"partial")</f>
        <v>0</v>
      </c>
      <c r="G6" s="12">
        <f>COUNTIFS(key!$C$2:$C$121,A6,Validate!$I$2:$I$121,"wrong")</f>
        <v>0</v>
      </c>
      <c r="H6" s="12">
        <f>COUNTIFS(key!$C$2:$C$121,A6,Validate!$I$2:$I$121,"unclear")</f>
        <v>0</v>
      </c>
      <c r="I6" s="20" t="str">
        <f t="shared" si="0"/>
        <v/>
      </c>
      <c r="J6" s="20" t="str">
        <f t="shared" si="1"/>
        <v/>
      </c>
      <c r="K6" s="20" t="str">
        <f t="shared" si="2"/>
        <v/>
      </c>
      <c r="L6" s="20" t="str">
        <f t="shared" si="3"/>
        <v/>
      </c>
    </row>
    <row r="7" spans="1:14" x14ac:dyDescent="0.35">
      <c r="A7" s="12" t="s">
        <v>673</v>
      </c>
      <c r="B7" s="12">
        <v>581</v>
      </c>
      <c r="C7" s="12">
        <f>COUNTIFS(key!$C$2:$C$121,A7)</f>
        <v>11</v>
      </c>
      <c r="D7" s="12">
        <f>COUNTIFS(key!$C$2:$C$121,A7,Validate!$I$2:$I$121,"&lt;&gt;")</f>
        <v>0</v>
      </c>
      <c r="E7" s="12">
        <f>COUNTIFS(key!$C$2:$C$121,A7,Validate!$I$2:$I$121,"correct")</f>
        <v>0</v>
      </c>
      <c r="F7" s="12">
        <f>COUNTIFS(key!$C$2:$C$121,A7,Validate!$I$2:$I$121,"partial")</f>
        <v>0</v>
      </c>
      <c r="G7" s="12">
        <f>COUNTIFS(key!$C$2:$C$121,A7,Validate!$I$2:$I$121,"wrong")</f>
        <v>0</v>
      </c>
      <c r="H7" s="12">
        <f>COUNTIFS(key!$C$2:$C$121,A7,Validate!$I$2:$I$121,"unclear")</f>
        <v>0</v>
      </c>
      <c r="I7" s="20" t="str">
        <f t="shared" si="0"/>
        <v/>
      </c>
      <c r="J7" s="20" t="str">
        <f t="shared" si="1"/>
        <v/>
      </c>
      <c r="K7" s="20" t="str">
        <f t="shared" si="2"/>
        <v/>
      </c>
      <c r="L7" s="20" t="str">
        <f t="shared" si="3"/>
        <v/>
      </c>
    </row>
    <row r="8" spans="1:14" x14ac:dyDescent="0.35">
      <c r="A8" s="12" t="s">
        <v>674</v>
      </c>
      <c r="B8" s="12">
        <v>55</v>
      </c>
      <c r="C8" s="12">
        <f>COUNTIFS(key!$C$2:$C$121,A8)</f>
        <v>8</v>
      </c>
      <c r="D8" s="12">
        <f>COUNTIFS(key!$C$2:$C$121,A8,Validate!$I$2:$I$121,"&lt;&gt;")</f>
        <v>0</v>
      </c>
      <c r="E8" s="12">
        <f>COUNTIFS(key!$C$2:$C$121,A8,Validate!$I$2:$I$121,"correct")</f>
        <v>0</v>
      </c>
      <c r="F8" s="12">
        <f>COUNTIFS(key!$C$2:$C$121,A8,Validate!$I$2:$I$121,"partial")</f>
        <v>0</v>
      </c>
      <c r="G8" s="12">
        <f>COUNTIFS(key!$C$2:$C$121,A8,Validate!$I$2:$I$121,"wrong")</f>
        <v>0</v>
      </c>
      <c r="H8" s="12">
        <f>COUNTIFS(key!$C$2:$C$121,A8,Validate!$I$2:$I$121,"unclear")</f>
        <v>0</v>
      </c>
      <c r="I8" s="20" t="str">
        <f t="shared" si="0"/>
        <v/>
      </c>
      <c r="J8" s="20" t="str">
        <f t="shared" si="1"/>
        <v/>
      </c>
      <c r="K8" s="20" t="str">
        <f t="shared" si="2"/>
        <v/>
      </c>
      <c r="L8" s="20" t="str">
        <f t="shared" si="3"/>
        <v/>
      </c>
    </row>
    <row r="9" spans="1:14" x14ac:dyDescent="0.35">
      <c r="A9" s="12" t="s">
        <v>675</v>
      </c>
      <c r="B9" s="12">
        <v>161</v>
      </c>
      <c r="C9" s="12">
        <f>COUNTIFS(key!$C$2:$C$121,A9)</f>
        <v>8</v>
      </c>
      <c r="D9" s="12">
        <f>COUNTIFS(key!$C$2:$C$121,A9,Validate!$I$2:$I$121,"&lt;&gt;")</f>
        <v>0</v>
      </c>
      <c r="E9" s="12">
        <f>COUNTIFS(key!$C$2:$C$121,A9,Validate!$I$2:$I$121,"correct")</f>
        <v>0</v>
      </c>
      <c r="F9" s="12">
        <f>COUNTIFS(key!$C$2:$C$121,A9,Validate!$I$2:$I$121,"partial")</f>
        <v>0</v>
      </c>
      <c r="G9" s="12">
        <f>COUNTIFS(key!$C$2:$C$121,A9,Validate!$I$2:$I$121,"wrong")</f>
        <v>0</v>
      </c>
      <c r="H9" s="12">
        <f>COUNTIFS(key!$C$2:$C$121,A9,Validate!$I$2:$I$121,"unclear")</f>
        <v>0</v>
      </c>
      <c r="I9" s="20" t="str">
        <f t="shared" si="0"/>
        <v/>
      </c>
      <c r="J9" s="20" t="str">
        <f t="shared" si="1"/>
        <v/>
      </c>
      <c r="K9" s="20" t="str">
        <f t="shared" si="2"/>
        <v/>
      </c>
      <c r="L9" s="20" t="str">
        <f t="shared" si="3"/>
        <v/>
      </c>
    </row>
    <row r="10" spans="1:14" x14ac:dyDescent="0.35">
      <c r="A10" s="12" t="s">
        <v>668</v>
      </c>
      <c r="B10" s="12">
        <v>371</v>
      </c>
      <c r="C10" s="12">
        <f>COUNTIFS(key!$C$2:$C$121,A10)</f>
        <v>11</v>
      </c>
      <c r="D10" s="12">
        <f>COUNTIFS(key!$C$2:$C$121,A10,Validate!$I$2:$I$121,"&lt;&gt;")</f>
        <v>0</v>
      </c>
      <c r="E10" s="12">
        <f>COUNTIFS(key!$C$2:$C$121,A10,Validate!$I$2:$I$121,"correct")</f>
        <v>0</v>
      </c>
      <c r="F10" s="12">
        <f>COUNTIFS(key!$C$2:$C$121,A10,Validate!$I$2:$I$121,"partial")</f>
        <v>0</v>
      </c>
      <c r="G10" s="12">
        <f>COUNTIFS(key!$C$2:$C$121,A10,Validate!$I$2:$I$121,"wrong")</f>
        <v>0</v>
      </c>
      <c r="H10" s="12">
        <f>COUNTIFS(key!$C$2:$C$121,A10,Validate!$I$2:$I$121,"unclear")</f>
        <v>0</v>
      </c>
      <c r="I10" s="20" t="str">
        <f t="shared" si="0"/>
        <v/>
      </c>
      <c r="J10" s="20" t="str">
        <f t="shared" si="1"/>
        <v/>
      </c>
      <c r="K10" s="20" t="str">
        <f t="shared" si="2"/>
        <v/>
      </c>
      <c r="L10" s="20" t="str">
        <f t="shared" si="3"/>
        <v/>
      </c>
    </row>
    <row r="11" spans="1:14" x14ac:dyDescent="0.35">
      <c r="A11" s="12" t="s">
        <v>667</v>
      </c>
      <c r="B11" s="12">
        <v>364</v>
      </c>
      <c r="C11" s="12">
        <f>COUNTIFS(key!$C$2:$C$121,A11)</f>
        <v>11</v>
      </c>
      <c r="D11" s="12">
        <f>COUNTIFS(key!$C$2:$C$121,A11,Validate!$I$2:$I$121,"&lt;&gt;")</f>
        <v>0</v>
      </c>
      <c r="E11" s="12">
        <f>COUNTIFS(key!$C$2:$C$121,A11,Validate!$I$2:$I$121,"correct")</f>
        <v>0</v>
      </c>
      <c r="F11" s="12">
        <f>COUNTIFS(key!$C$2:$C$121,A11,Validate!$I$2:$I$121,"partial")</f>
        <v>0</v>
      </c>
      <c r="G11" s="12">
        <f>COUNTIFS(key!$C$2:$C$121,A11,Validate!$I$2:$I$121,"wrong")</f>
        <v>0</v>
      </c>
      <c r="H11" s="12">
        <f>COUNTIFS(key!$C$2:$C$121,A11,Validate!$I$2:$I$121,"unclear")</f>
        <v>0</v>
      </c>
      <c r="I11" s="20" t="str">
        <f t="shared" si="0"/>
        <v/>
      </c>
      <c r="J11" s="20" t="str">
        <f t="shared" si="1"/>
        <v/>
      </c>
      <c r="K11" s="20" t="str">
        <f t="shared" si="2"/>
        <v/>
      </c>
      <c r="L11" s="20" t="str">
        <f t="shared" si="3"/>
        <v/>
      </c>
    </row>
    <row r="12" spans="1:14" x14ac:dyDescent="0.35">
      <c r="A12" s="12" t="s">
        <v>665</v>
      </c>
      <c r="B12" s="12">
        <v>414</v>
      </c>
      <c r="C12" s="12">
        <f>COUNTIFS(key!$C$2:$C$121,A12)</f>
        <v>12</v>
      </c>
      <c r="D12" s="12">
        <f>COUNTIFS(key!$C$2:$C$121,A12,Validate!$I$2:$I$121,"&lt;&gt;")</f>
        <v>0</v>
      </c>
      <c r="E12" s="12">
        <f>COUNTIFS(key!$C$2:$C$121,A12,Validate!$I$2:$I$121,"correct")</f>
        <v>0</v>
      </c>
      <c r="F12" s="12">
        <f>COUNTIFS(key!$C$2:$C$121,A12,Validate!$I$2:$I$121,"partial")</f>
        <v>0</v>
      </c>
      <c r="G12" s="12">
        <f>COUNTIFS(key!$C$2:$C$121,A12,Validate!$I$2:$I$121,"wrong")</f>
        <v>0</v>
      </c>
      <c r="H12" s="12">
        <f>COUNTIFS(key!$C$2:$C$121,A12,Validate!$I$2:$I$121,"unclear")</f>
        <v>0</v>
      </c>
      <c r="I12" s="20" t="str">
        <f t="shared" si="0"/>
        <v/>
      </c>
      <c r="J12" s="20" t="str">
        <f t="shared" si="1"/>
        <v/>
      </c>
      <c r="K12" s="20" t="str">
        <f t="shared" si="2"/>
        <v/>
      </c>
      <c r="L12" s="20" t="str">
        <f t="shared" si="3"/>
        <v/>
      </c>
    </row>
    <row r="14" spans="1:14" x14ac:dyDescent="0.35">
      <c r="A14" s="19" t="s">
        <v>745</v>
      </c>
    </row>
    <row r="15" spans="1:14" x14ac:dyDescent="0.35">
      <c r="A15" s="19" t="s">
        <v>746</v>
      </c>
    </row>
    <row r="16" spans="1:14" x14ac:dyDescent="0.35">
      <c r="A16" s="19" t="s">
        <v>747</v>
      </c>
    </row>
    <row r="17" spans="1:1" x14ac:dyDescent="0.35">
      <c r="A17" s="19" t="s">
        <v>748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Validate</vt:lpstr>
      <vt:lpstr>key</vt:lpstr>
      <vt:lpstr>Design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2026-10-27T10:01:58Z</dcterms:created>
  <dcterms:modified xsi:type="dcterms:W3CDTF">2026-10-27T10:03:56Z</dcterms:modified>
</cp:coreProperties>
</file>