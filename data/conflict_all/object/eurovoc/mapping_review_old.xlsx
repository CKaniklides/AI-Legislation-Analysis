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8c8c9cd31f35923/0 QIST/Year 2/JIP/AI-Legislation-Analysis/data/conflict_all/object/eurovoc/"/>
    </mc:Choice>
  </mc:AlternateContent>
  <xr:revisionPtr revIDLastSave="0" documentId="11_AA55F33796632EBEF8AED741CD05BA8F6F51B60C" xr6:coauthVersionLast="47" xr6:coauthVersionMax="47" xr10:uidLastSave="{00000000-0000-0000-0000-000000000000}"/>
  <bookViews>
    <workbookView xWindow="-110" yWindow="-110" windowWidth="19420" windowHeight="11500" activeTab="1" xr2:uid="{00000000-000D-0000-FFFF-FFFF00000000}"/>
  </bookViews>
  <sheets>
    <sheet name="README" sheetId="1" r:id="rId1"/>
    <sheet name="Validate" sheetId="2" r:id="rId2"/>
    <sheet name="Summary" sheetId="3" r:id="rId3"/>
    <sheet name="Norms" sheetId="4" r:id="rId4"/>
  </sheets>
  <definedNames>
    <definedName name="_xlnm._FilterDatabase" localSheetId="3" hidden="1">Norms!$A$1:$I$397</definedName>
    <definedName name="_xlnm._FilterDatabase" localSheetId="1" hidden="1">Validate!$A$1:$U$75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H10" i="3"/>
  <c r="G10" i="3"/>
  <c r="F10" i="3"/>
  <c r="E10" i="3"/>
  <c r="D10" i="3"/>
  <c r="C10" i="3"/>
  <c r="H9" i="3"/>
  <c r="G9" i="3"/>
  <c r="F9" i="3"/>
  <c r="E9" i="3"/>
  <c r="D9" i="3"/>
  <c r="C9" i="3"/>
  <c r="H8" i="3"/>
  <c r="G8" i="3"/>
  <c r="F8" i="3"/>
  <c r="E8" i="3"/>
  <c r="D8" i="3"/>
  <c r="C8" i="3"/>
  <c r="H7" i="3"/>
  <c r="G7" i="3"/>
  <c r="F7" i="3"/>
  <c r="E7" i="3"/>
  <c r="D7" i="3"/>
  <c r="C7" i="3"/>
  <c r="H6" i="3"/>
  <c r="G6" i="3"/>
  <c r="F6" i="3"/>
  <c r="E6" i="3"/>
  <c r="D6" i="3"/>
  <c r="C6" i="3"/>
  <c r="H5" i="3"/>
  <c r="G5" i="3"/>
  <c r="F5" i="3"/>
  <c r="E5" i="3"/>
  <c r="D5" i="3"/>
  <c r="C5" i="3"/>
  <c r="H4" i="3"/>
  <c r="G4" i="3"/>
  <c r="F4" i="3"/>
  <c r="E4" i="3"/>
  <c r="D4" i="3"/>
  <c r="C4" i="3"/>
  <c r="H3" i="3"/>
  <c r="G3" i="3"/>
  <c r="F3" i="3"/>
  <c r="E3" i="3"/>
  <c r="D3" i="3"/>
  <c r="C3" i="3"/>
  <c r="H2" i="3"/>
  <c r="H11" i="3" s="1"/>
  <c r="G2" i="3"/>
  <c r="G11" i="3" s="1"/>
  <c r="F2" i="3"/>
  <c r="F11" i="3" s="1"/>
  <c r="E2" i="3"/>
  <c r="D2" i="3"/>
  <c r="D11" i="3" s="1"/>
  <c r="C2" i="3"/>
  <c r="C11" i="3" s="1"/>
  <c r="J10" i="3" l="1"/>
  <c r="I10" i="3"/>
  <c r="I9" i="3"/>
  <c r="J9" i="3"/>
  <c r="J8" i="3"/>
  <c r="I8" i="3"/>
  <c r="J7" i="3"/>
  <c r="I7" i="3"/>
  <c r="J6" i="3"/>
  <c r="I6" i="3"/>
  <c r="J5" i="3"/>
  <c r="I5" i="3"/>
  <c r="J4" i="3"/>
  <c r="I4" i="3"/>
  <c r="J3" i="3"/>
  <c r="I3" i="3"/>
  <c r="E11" i="3"/>
  <c r="J2" i="3"/>
  <c r="I2" i="3"/>
  <c r="I11" i="3" l="1"/>
  <c r="J11" i="3"/>
</calcChain>
</file>

<file path=xl/sharedStrings.xml><?xml version="1.0" encoding="utf-8"?>
<sst xmlns="http://schemas.openxmlformats.org/spreadsheetml/2006/main" count="3343" uniqueCount="1309">
  <si>
    <t>in_sample</t>
  </si>
  <si>
    <t>stratum</t>
  </si>
  <si>
    <t>object</t>
  </si>
  <si>
    <t>raw_object</t>
  </si>
  <si>
    <t>norm_type</t>
  </si>
  <si>
    <t>head</t>
  </si>
  <si>
    <t>level</t>
  </si>
  <si>
    <t>matched_label</t>
  </si>
  <si>
    <t>cand_1</t>
  </si>
  <si>
    <t>conf_1</t>
  </si>
  <si>
    <t>pct_1</t>
  </si>
  <si>
    <t>cand_2</t>
  </si>
  <si>
    <t>conf_2</t>
  </si>
  <si>
    <t>cand_3</t>
  </si>
  <si>
    <t>conf_3</t>
  </si>
  <si>
    <t>n_norms</t>
  </si>
  <si>
    <t>example_norm</t>
  </si>
  <si>
    <t>context</t>
  </si>
  <si>
    <t>judgement</t>
  </si>
  <si>
    <t>better_concept</t>
  </si>
  <si>
    <t>notes</t>
  </si>
  <si>
    <t>yes</t>
  </si>
  <si>
    <t>phrase</t>
  </si>
  <si>
    <t>aanbieder</t>
  </si>
  <si>
    <t>een aanbieder die voor 16 januari 2023 op grond van de Wet beveiliging netwerk- en informatiesystemen is aangewezen als aanbieder van een essentiële dienst</t>
  </si>
  <si>
    <t>provider</t>
  </si>
  <si>
    <t>BWBR0052872:10:whole:1</t>
  </si>
  <si>
    <t>Bij regeling of besluit van Onze Minister die het aangaat, na overleg met Onze Minister, kan worden aangewezen als essentiële entiteit: een aanbieder die voor 16 januari 2023 op grond van de Wet beveiliging netwerk- en informatiesystemen is aangewezen als aanbieder van een essentiële dienst.</t>
  </si>
  <si>
    <t>advies</t>
  </si>
  <si>
    <t>informatie en advies over dreigingen en incidenten met betrekking tot hun netwerk- en informatiesystemen</t>
  </si>
  <si>
    <t>advies (EU)</t>
  </si>
  <si>
    <t>BWBR0052872:96:1:2</t>
  </si>
  <si>
    <t>…stellen door Onze Minister of een andere in afwijking hiervan bij of krachtens algemene maatregel van bestuur hiervoor aan te wijzen instantie; en b. informatie en advies over dreigingen en incidenten met betrekking tot hun netwerk- en informatiesystemen van Onze Minister of een andere in afwijking hiervan bij of krachtens algemene maatregel van bestuur hiervoor aan te wijzen instantie.</t>
  </si>
  <si>
    <t>Enisa</t>
  </si>
  <si>
    <t>de Europese Commissie en Enisa</t>
  </si>
  <si>
    <t>enisa</t>
  </si>
  <si>
    <t>Agentschap van de Europese Unie voor cyberbeveiliging</t>
  </si>
  <si>
    <t>BWBR0052872:60:4:5</t>
  </si>
  <si>
    <t>… de betrokken bevoegde autoriteit van de andere lidstaat van de Europese Unie over de voorgenomen afwijzing en, wanneer de lidstaat daartoe verzoekt, de Europese Commissie en Enisa.</t>
  </si>
  <si>
    <t>Europese Commissie</t>
  </si>
  <si>
    <t>europese</t>
  </si>
  <si>
    <t>europees commissie</t>
  </si>
  <si>
    <t>informatie</t>
  </si>
  <si>
    <t>de informatie die overeenkomstig de artikelen 26 tot en met 29 is ontvangen</t>
  </si>
  <si>
    <t>BWBR0052872:39:2:3</t>
  </si>
  <si>
    <t>…contactpunten van de andere getroffen lidstaten en Enisa onverwijld daarvan in kennis. Die kennisgeving omvat, in geval van een significant incident, de informatie die overeenkomstig de artikelen 26 tot en met 29 is ontvangen. Daarbij beschermt het centrale contactpunt de beveiligingsbelangen en commerciële belangen van de entiteit en de vertrouwelijkheid van de verstrekte…</t>
  </si>
  <si>
    <t>pseudonimisering</t>
  </si>
  <si>
    <t>pseudonimisering als bedoeld in artikel 4, onderdeel 5, van de verordening</t>
  </si>
  <si>
    <t>anonimisering</t>
  </si>
  <si>
    <t>BWBR0040940:23a:2:2</t>
  </si>
  <si>
    <t>… Burgerlijk Wetboek rust dan wel heeft gerust, wordt voor aanvang van de verwerking van persoonsgegevens voor de opdracht, bedoeld in het eerste lid, pseudonimisering als bedoeld in artikel 4, onderdeel 5, van de verordening toegepast en vervolgens onafgebroken gecontinueerd.</t>
  </si>
  <si>
    <t>recht</t>
  </si>
  <si>
    <t>het recht</t>
  </si>
  <si>
    <t>juridische wetenschap</t>
  </si>
  <si>
    <t>BWBR0040940:48:10:7</t>
  </si>
  <si>
    <t>… van artikel 50 van de Wet bescherming persoonsgegevens, die op het moment van inwerkingtreding van deze wet reeds aanhangig zijn bij de rechtbank is het recht van toepassing zoals dit gold voorafgaand aan de inwerkingtreding van deze wet.</t>
  </si>
  <si>
    <t>rechten</t>
  </si>
  <si>
    <t>deze rechten</t>
  </si>
  <si>
    <t>BWBR0040940:5:4:4</t>
  </si>
  <si>
    <t>… bedoeld in hoofdstuk III van de verordening, geldt het volgende: a. indien de betrokkene de leeftijd van twaalf jaren nog niet heeft bereikt, worden deze rechten uitgeoefend door diens wettelijke vertegenwoordiger; b. indien de betrokkene de leeftijd van twaalf jaren, maar nog niet die van zestien jaren heeft …</t>
  </si>
  <si>
    <t>voorschriften</t>
  </si>
  <si>
    <t>beperkingen en voorschriften</t>
  </si>
  <si>
    <t>voorschrift</t>
  </si>
  <si>
    <t>verordening</t>
  </si>
  <si>
    <t>BWBR0040940:3:4:2</t>
  </si>
  <si>
    <t>In een besluit of ministeriële regeling als bedoeld in het derde lid, onderdeel a, kunnen beperkingen en voorschriften worden gegeven.</t>
  </si>
  <si>
    <t>wet</t>
  </si>
  <si>
    <t>deze wet</t>
  </si>
  <si>
    <t>BWBR0052872:5:2:1</t>
  </si>
  <si>
    <t>In afwijking van het eerste lid is deze wet wel van toepassing op overheidsinstanties als bedoeld in het eerste lid, wanneer en voor zover zij optreden als verleners van vertrouwensdiensten die…</t>
  </si>
  <si>
    <t>aanbevelingen naar aanleiding van het onderzoek</t>
  </si>
  <si>
    <t>de aanbevelingen naar aanleiding van het onderzoek</t>
  </si>
  <si>
    <t>aanbeveling</t>
  </si>
  <si>
    <t>aanbeveling (EU)</t>
  </si>
  <si>
    <t>BWBR0052872:72:1:4</t>
  </si>
  <si>
    <t>…opese Unie; b. de resultaten van dat onderzoek binnen een bij het besluit gestelde redelijke termijn te verstrekken aan de bevoegde autoriteit; of c. de aanbevelingen naar aanleiding van het onderzoek binnen een redelijke termijn uit te voeren.</t>
  </si>
  <si>
    <t>herhaalde overtredingen</t>
  </si>
  <si>
    <t>de omstandigheden van elk afzonderlijk geval, alsmede: a. de ernst van de overtreding en het belang van de geschonden bepalingen, waarbij onder meer het volgende in ieder geval een ernstige overtreding vormt: 1°. herhaalde overtredingen; 2°. het niet melden of niet verhelpen van significante incidenten; 3°. het niet verhelpen van tekortkomingen naar aanleiding van bindende aanwijzingen van de bevoegde autoriteit; 4°. het belemmeren van audits of monitoringsactiviteiten waartoe de bevoegde autoriteit opdracht heeft gegeven naar aanleiding van de vaststelling van een overtreding; 5°. het verstrekken van valse of zeer onnauwkeurige informatie met betrekking tot de verplichtingen, bedoeld in de artikelen 21 en 25 tot en met 30; b. de duur van de overtreding; c. eventuele relevante eerdere overtredingen door de betrokken entiteit; d. elke veroorzaakte materiële of immateriële schade, met inbegrip van elke financiële of economische schade, effecten op andere diensten en het aantal getroffen gebruikers; e. opzet of nalatigheid van de overtreder; f. door de entiteit genomen maatregelen om de materiële of immateriële schade te voorkomen of te beperken; g. de naleving van goedgekeurde gedragscodes of goedgekeurde certificeringsmechanismen; en h. de mate waarin de overtreder meewerkt met de bevoegde autoriteiten</t>
  </si>
  <si>
    <t>overtreding</t>
  </si>
  <si>
    <t>BWBR0052872:69:whole:1</t>
  </si>
  <si>
    <t>…an de artikelen 70, 72, eerste lid, onderdeel c, 73 tot en met 78, 80, 83, eerste lid, onderdeel c, 84 tot en met 87 en 89 tot en met 93 rekening met de omstandigheden van elk afzonderlijk geval, alsmede: a. de ernst van de overtreding en het belang van de geschonden bepalingen, waarbij onder meer het volgende in ieder geval een ernstige overtreding vormt: 1°. herhaalde overtredingen; 2°. het niet melden of niet verhelpen van significante incidenten; 3°. het niet verhelpen van tekortkomingen naar aanleiding van bindende aanwijzingen van de bevoegde autoriteit; 4°. het belemmeren van audits of monitoringsactiviteiten waartoe de bevoegde autoriteit opdracht heeft gegeven naar aanleiding van de vaststelling van een overtreding; 5°. het verstrekken van valse of zeer onnauwkeurige informatie met betrekking tot de verplichtingen, bedoeld in de artikelen 21 en 25 tot en met 30; b. de duur van de overtreding; c. eventuele relevante eerdere overtredingen door de betrokken entiteit; d. elke veroorzaakte materiële of immateriële schade, met inbegrip van elke financiële of economische schade, effecten op andere diensten en het aantal getroffen gebruikers; e. opzet of nalatigheid van de overtreder; f. door de entiteit genomen maatregelen om de materiële of immateriële schade te voorkomen of te beperken; g. de naleving van goedgekeurde gedragscodes of goedgekeurde certificeringsmechanismen; en h. de mate waarin de overtreder meewerkt met de bevoegde autoriteiten.</t>
  </si>
  <si>
    <t>informatie over dreigingen en incidenten met betrekking tot hun netwerk- en informatiesystemen</t>
  </si>
  <si>
    <t>informatie over een incident, bijna-incident of cyberdreiging</t>
  </si>
  <si>
    <t>BWBR0052872:40:2:2</t>
  </si>
  <si>
    <t>Het CSIRT verstrekt de bevoegde autoriteit, bedoeld in artikel 8 van de Wet weerbaarheid kritieke entiteiten, informatie over een incident, bijna-incident of cyberdreiging dat overeenkomstig artikel 33, eerste lid, onderdeel a, is gemeld door een essentiële entiteit die tevens een kritieke entiteit is als bedoeld in de …</t>
  </si>
  <si>
    <t>informatie over een significant incident</t>
  </si>
  <si>
    <t>BWBR0052872:40:1:1</t>
  </si>
  <si>
    <t>De bevoegde autoriteit verstrekt de bevoegde autoriteit, bedoeld in artikel 8 van de Wet weerbaarheid kritieke entiteiten, informatie over een significant incident dat overeenkomstig artikel 25 is gemeld door een essentiële entiteit die tevens een kritieke entiteit is als bedoeld in de Wet weerbaarheid kritieke …</t>
  </si>
  <si>
    <t>openbaar toegankelijk netwerk- en informatiesysteem van een essentiële entiteit en belangrijke entiteit</t>
  </si>
  <si>
    <t>een openbaar toegankelijk netwerk- en informatiesysteem van een essentiële entiteit en belangrijke entiteit</t>
  </si>
  <si>
    <t>informatiesysteem</t>
  </si>
  <si>
    <t>BWBR0052872:16:3:2</t>
  </si>
  <si>
    <t>Het CSIRT kan een openbaar toegankelijk netwerk- en informatiesysteem van een essentiële entiteit en belangrijke entiteit proactief en niet-intrusief scannen met het oog op het opsporen van een kwetsbaar of onveilig geconfigureerd netwerk- en informatiesysteem en het inf…</t>
  </si>
  <si>
    <t>relevante informatie over cyberbeveiliging</t>
  </si>
  <si>
    <t>BWBR0052872:62:1:1</t>
  </si>
  <si>
    <t>…eiten die domeinnaamregistratiediensten verlenen en andere entiteiten die niet de hiervoor genoemde entiteiten betreffen, kunnen op vrijwillige basis relevante informatie over cyberbeveiliging uitwisselen om incidenten te voorkomen, te detecteren, erop te reageren of ervan te herstellen of de gevolgen ervan te beperken en om het cyberbeveil…</t>
  </si>
  <si>
    <t>Staat dan wel Onze Minister</t>
  </si>
  <si>
    <t>de Staat dan wel Onze Minister</t>
  </si>
  <si>
    <t>minister</t>
  </si>
  <si>
    <t>BWBR0040940:48a:7:5</t>
  </si>
  <si>
    <t>…Autoriteit persoonsgegevens is betrokken, treedt op het tijdstip van inwerkingtreding van dit artikel de Autoriteit persoonsgegevens in de plaats van de Staat dan wel Onze Minister.</t>
  </si>
  <si>
    <t>verslag over de doeltreffendheid</t>
  </si>
  <si>
    <t>een verslag over de doeltreffendheid en de effecten van deze wet in de praktijk</t>
  </si>
  <si>
    <t>verslag</t>
  </si>
  <si>
    <t>BWBR0052872:94:2:2</t>
  </si>
  <si>
    <t>Onze Minister zendt binnen twee jaar na de inwerkingtreding van deze wet aan de Staten-Generaal een verslag over de doeltreffendheid en de effecten van deze wet in de praktijk, en vervolgens elke drie jaar.</t>
  </si>
  <si>
    <t>voor recht</t>
  </si>
  <si>
    <t>dat voor recht</t>
  </si>
  <si>
    <t>BWBR0040940:20:6:5</t>
  </si>
  <si>
    <t>…f van Justitie van de Europese Unie, tot het oordeel komt dat het aan haar voorgelegde besluit van de Europese Commissie geldig is, dan verklaart zij dat voor recht. Komt zij, na prejudiciële verwijzing aan het Hof van Justitie van de Europese Unie, tot het oordeel dat het aan haar voorgelegde besluit ongeldig is…</t>
  </si>
  <si>
    <t>compound</t>
  </si>
  <si>
    <t>eindverslag</t>
  </si>
  <si>
    <t>een eindverslag</t>
  </si>
  <si>
    <t>BWBR0052872:29:1:1</t>
  </si>
  <si>
    <t>De essentiële entiteit of belangrijke entiteit dient uiterlijk één maand na de melding, bedoeld in artikel 27, eerste lid, een eindverslag in bij haar CSIRT en haar bevoegde autoriteit waarin het volgende is opgenomen: a. een gedetailleerde beschrijving van het incident, de ernst en de g…</t>
  </si>
  <si>
    <t>oversightforum</t>
  </si>
  <si>
    <t>het oversightforum dat is opgericht op grond van artikel 32, eerste lid, van de Verordening (EU) 2022/2554</t>
  </si>
  <si>
    <t>forum</t>
  </si>
  <si>
    <t>BWBR0052872:57:2:3</t>
  </si>
  <si>
    <t>De bevoegde autoriteit stelt het oversightforum dat is opgericht op grond van artikel 32, eerste lid, van de Verordening (EU) 2022/2554 in kennis wanneer zij haar toezichts- en handhavingsbevoegdheden uitoefent om ervoor te zorgen dat een essentiële entiteit of belangrijke entiteit, d…</t>
  </si>
  <si>
    <t>samenwerkingsprotocol</t>
  </si>
  <si>
    <t>Een samenwerkingsprotocol</t>
  </si>
  <si>
    <t>protocol</t>
  </si>
  <si>
    <t>protocol (EU)</t>
  </si>
  <si>
    <t>BWBR0040940:19:1:3</t>
  </si>
  <si>
    <t>…soonsgegevens afspraken te maken met andere toezichthouders en daartoe gezamenlijk met deze toezichthouders samenwerkingsprotocollen vast te stellen. Een samenwerkingsprotocol wordt bekendgemaakt in de Staatscourant.</t>
  </si>
  <si>
    <t>voortgangsverslag</t>
  </si>
  <si>
    <t>een voortgangsverslag</t>
  </si>
  <si>
    <t>BWBR0052872:29:2:2</t>
  </si>
  <si>
    <t>…ent dat het eindverslag had moeten worden ingediend, dient de essentiële entiteit of belangrijke entiteit op dat moment in plaats van een eindverslag een voortgangsverslag in waarin wordt ingegaan op de aspecten, genoemd in het eerste lid. Zij dient een eindverslag in binnen één maand nadat het incident is afgehandeld.</t>
  </si>
  <si>
    <t>embedding p20-47</t>
  </si>
  <si>
    <t>toezicht op de naleving van de verordening en op de verwerking van persoonsgegevens overeenkomstig het</t>
  </si>
  <si>
    <t>het toezicht op de naleving van de verordening en op de verwerking van persoonsgegevens overeenkomstig het bij of krachtens de wet bepaalde</t>
  </si>
  <si>
    <t>embedding</t>
  </si>
  <si>
    <t>toezicht</t>
  </si>
  <si>
    <t>Europese Toezichthouder voor gegevensbescherming</t>
  </si>
  <si>
    <t>gegevensbescherming</t>
  </si>
  <si>
    <t>toezicht op de grondwettigheid</t>
  </si>
  <si>
    <t>BWBR0040940:15:1:1</t>
  </si>
  <si>
    <t>Met het toezicht op de naleving van de verordening en op de verwerking van persoonsgegevens overeenkomstig het bij of krachtens de wet bepaalde zijn belast de leden en buitengewone leden van de Autoriteit persoonsgegevens, de ambtenaren van het secretariaat van de Autoriteit persoonsgegevens,…</t>
  </si>
  <si>
    <t>last onder dwangsom</t>
  </si>
  <si>
    <t>een last onder dwangsom</t>
  </si>
  <si>
    <t>last</t>
  </si>
  <si>
    <t>door de EU opgelegde dwangsom</t>
  </si>
  <si>
    <t>gedwongen verdwijning</t>
  </si>
  <si>
    <t>wrede en onterende behandeling</t>
  </si>
  <si>
    <t>BWBR0052872:90:whole:1</t>
  </si>
  <si>
    <t>De bevoegde autoriteit kan een entiteit die domeinnaamregistratiediensten verleent een last onder dwangsom opleggen in geval van overtreding van het bepaalde bij of krachtens de artikelen 42, 44, 47, 49 en 50.</t>
  </si>
  <si>
    <t>omstandigheden van elk afzonderlijk geval</t>
  </si>
  <si>
    <t>omstandigheid</t>
  </si>
  <si>
    <t>verzachtende omstandigheid</t>
  </si>
  <si>
    <t>effecten in de praktijk</t>
  </si>
  <si>
    <t>effect</t>
  </si>
  <si>
    <t>effecten van informatietechnologie</t>
  </si>
  <si>
    <t>politieke praktijk</t>
  </si>
  <si>
    <t>onmiddellijke werking</t>
  </si>
  <si>
    <t>melding van het significante incident</t>
  </si>
  <si>
    <t>een melding van het significante incident</t>
  </si>
  <si>
    <t>melding</t>
  </si>
  <si>
    <t>informatietechnologisch incident</t>
  </si>
  <si>
    <t>informatiebeveiligingsincident</t>
  </si>
  <si>
    <t>nota van toelichting</t>
  </si>
  <si>
    <t>BWBR0052872:27:2:2</t>
  </si>
  <si>
    <t>…en vertrouwensdienst aanbiedt onverwijld of, indien dat niet mogelijk is, binnen 24 uur nadat zij kennis heeft gekregen van het significante incident een melding van het significante incident in bij haar CSIRT en haar bevoegde autoriteit als dat incident gevolgen heeft voor de verlening van haar vertrouwensdienst.</t>
  </si>
  <si>
    <t>nummer</t>
  </si>
  <si>
    <t>Een nummer dat ter identificatie van een persoon bij wet is voorgeschreven</t>
  </si>
  <si>
    <t>telefoon</t>
  </si>
  <si>
    <t>numerieke besturing</t>
  </si>
  <si>
    <t>BWBR0040940:46:whole:1</t>
  </si>
  <si>
    <t>Een nummer dat ter identificatie van een persoon bij wet is voorgeschreven, wordt bij de verwerking van persoonsgegevens slechts gebruikt ter uitvoering van de desbetreffende wet dan wel voor doeleinden bij de wet bepaald.</t>
  </si>
  <si>
    <t>controlefunctionaris</t>
  </si>
  <si>
    <t>een controlefunctionaris</t>
  </si>
  <si>
    <t>directiesecretaris</t>
  </si>
  <si>
    <t>beheerscontrole</t>
  </si>
  <si>
    <t>BWBR0052872:70:1:1</t>
  </si>
  <si>
    <t>De bevoegde autoriteit kan voor een bepaalde periode een controlefunctionaris aanwijzen bij een essentiële entiteit.</t>
  </si>
  <si>
    <t>niet verhelpen van tekortkomingen naar aanleiding van bindende aanwijzingen van de bevoegde autoriteit</t>
  </si>
  <si>
    <t>tekortkoming</t>
  </si>
  <si>
    <t>klacht ten gevolge van in gebreke blijven</t>
  </si>
  <si>
    <t>ernst van de overtreding en het belang van de geschonden bepalingen</t>
  </si>
  <si>
    <t>ernst</t>
  </si>
  <si>
    <t>schending van de rechten van de mens</t>
  </si>
  <si>
    <t>straf in het algemeen belang</t>
  </si>
  <si>
    <t>opzet van de overtreder</t>
  </si>
  <si>
    <t>opzet</t>
  </si>
  <si>
    <t>administratieve overtreding</t>
  </si>
  <si>
    <t>verkeersovertreding</t>
  </si>
  <si>
    <t>embedding p47-73</t>
  </si>
  <si>
    <t>termijn</t>
  </si>
  <si>
    <t>een termijn</t>
  </si>
  <si>
    <t>procestermijn</t>
  </si>
  <si>
    <t>BWBR0052872:21a:3:3</t>
  </si>
  <si>
    <t>…ensten ten behoeve van de daarbij aangewezen onderdelen, stelt Onze Minister die het aangaat in het belang van de continuïteit van de dienstverlening een termijn vast voor het vervangen respectievelijk beëindigen van de betreffende producten en diensten.</t>
  </si>
  <si>
    <t>bijstand</t>
  </si>
  <si>
    <t>rechtsbijstand</t>
  </si>
  <si>
    <t>opstand</t>
  </si>
  <si>
    <t>rechtstoestand</t>
  </si>
  <si>
    <t>BWBR0052872:60:3:2</t>
  </si>
  <si>
    <t>Na de ontvangst van het gemotiveerde verzoek om bijstand, genoemd in het eerste en tweede lid, verleent de bevoegde autoriteit bijstand in verhouding tot haar eigen middelen. De bevoegde autoriteit wijst he…</t>
  </si>
  <si>
    <t>grensoverschrijdende samenwerking van de autoriteiten van Nederland met de relevante autoriteiten van andere lidstaten van de Europese Unie, de Europese Commissie en Enisa</t>
  </si>
  <si>
    <t>voor grensoverschrijdende samenwerking van de autoriteiten van Nederland met de relevante autoriteiten van andere lidstaten van de Europese Unie, de Europese Commissie en Enisa</t>
  </si>
  <si>
    <t>samenwerking</t>
  </si>
  <si>
    <t>Europees Agentschap voor het beheer van de operationele samenwerking aan de buitengrenzen van de lidstaten van de Europese Unie</t>
  </si>
  <si>
    <t>interinstitutionele samenwerking (EU)</t>
  </si>
  <si>
    <t>BWBR0052872:14:whole:3</t>
  </si>
  <si>
    <t>Onze Minister is het centrale contactpunt en heeft in die hoedanigheid de volgende taken: a. het zorgen voor grensoverschrijdende samenwerking van de autoriteiten van Nederland met de relevante autoriteiten van andere lidstaten van de Europese Unie, de Europese Commissie en Enisa, door middel van het vervullen van een verbindingsfunctie; b. het zorgen voor sectoroverschrijdende samenwerking tussen de bevoegde autoriteiten binn…</t>
  </si>
  <si>
    <t>maatregelen</t>
  </si>
  <si>
    <t>De maatregelen, bedoeld in artikel 21</t>
  </si>
  <si>
    <t>maatregel</t>
  </si>
  <si>
    <t>bestuursmaatregel</t>
  </si>
  <si>
    <t>beheer</t>
  </si>
  <si>
    <t>besluit</t>
  </si>
  <si>
    <t>BWBR0052872:24:1:1</t>
  </si>
  <si>
    <t>De maatregelen, bedoeld in artikel 21, behoeven de goedkeuring van het bestuur van de essentiële entiteit of belangrijke entiteit.</t>
  </si>
  <si>
    <t>goedgekeurde certificeringsmechanismen</t>
  </si>
  <si>
    <t>certificeringsmechanism</t>
  </si>
  <si>
    <t>kwaliteitscertifiëring</t>
  </si>
  <si>
    <t>biologische certificering</t>
  </si>
  <si>
    <t>termijn voor het geven van een beschikking op het verzoek om handhaving</t>
  </si>
  <si>
    <t>de termijn voor het geven van een beschikking op het verzoek om handhaving</t>
  </si>
  <si>
    <t>termijn voor toepassing van de wet</t>
  </si>
  <si>
    <t>termijn voor publikatie</t>
  </si>
  <si>
    <t>termijn voor omzetting</t>
  </si>
  <si>
    <t>BWBR0040940:20:4:4</t>
  </si>
  <si>
    <t>Onverminderd artikel 4:15 van de Algemene wet bestuursrecht wordt de termijn voor het geven van een beschikking op het verzoek om handhaving opgeschort gerekend vanaf de dag na die waarop de Autoriteit persoonsgegevens de verzoeker meedeelt dat toepassing is gegeven aan het eerste lid, tot…</t>
  </si>
  <si>
    <t>entiteit</t>
  </si>
  <si>
    <t>een in bijlage 1 of bijlage 2 van deze wet genoemde entiteit</t>
  </si>
  <si>
    <t>nationaliteit</t>
  </si>
  <si>
    <t>indemniteit</t>
  </si>
  <si>
    <t>meeteenheid</t>
  </si>
  <si>
    <t>BWBR0052872:9:1:1</t>
  </si>
  <si>
    <t>Bij regeling of besluit van Onze Minister die het aangaat, na overleg met Onze Minister, wordt een in bijlage 1 of bijlage 2 van deze wet genoemde entiteit aangewezen als essentiële entiteit, op grond van de toepasselijkheid van één of meer van de volgende criteria: a. de entiteit is in Nederland de enig…</t>
  </si>
  <si>
    <t>audits of monitoringsactiviteiten</t>
  </si>
  <si>
    <t>monitoringsactiviteiot</t>
  </si>
  <si>
    <t>financiële audit</t>
  </si>
  <si>
    <t>toezicht op de onderneming</t>
  </si>
  <si>
    <t>auditing</t>
  </si>
  <si>
    <t>beperkingen</t>
  </si>
  <si>
    <t>beperking</t>
  </si>
  <si>
    <t>beperking van bewegingsvrijheid</t>
  </si>
  <si>
    <t>verplichting</t>
  </si>
  <si>
    <t>beroepsverbod</t>
  </si>
  <si>
    <t>overige genoemde taken</t>
  </si>
  <si>
    <t>de overige in deze wet genoemde taken</t>
  </si>
  <si>
    <t>taak</t>
  </si>
  <si>
    <t>aangevulde realiteit</t>
  </si>
  <si>
    <t>aanbeveling van de Raad</t>
  </si>
  <si>
    <t>opkomende technologieën</t>
  </si>
  <si>
    <t>BWBR0052872:14:whole:5</t>
  </si>
  <si>
    <t>… sectoroverschrijdende samenwerking tussen de bevoegde autoriteiten binnen Nederland, door middel van het vervullen van een verbindingsfunctie; en c. de overige in deze wet genoemde taken.</t>
  </si>
  <si>
    <t>embedding p73-100</t>
  </si>
  <si>
    <t>vertrouwelijke gegevens</t>
  </si>
  <si>
    <t>gegeven</t>
  </si>
  <si>
    <t>vertrouwelijke informatie</t>
  </si>
  <si>
    <t>gegevensintegriteit</t>
  </si>
  <si>
    <t>beveiliging van gegevens</t>
  </si>
  <si>
    <t>BWBR0052872:66:1:1</t>
  </si>
  <si>
    <t>… bevoegde autoriteit, het centrale contactpunt, het CSIRT en Onze Minister kunnen in het kader van de uitoefening van hun taken op grond van deze wet vertrouwelijke gegevens verstrekken, doch uitsluitend voor zover: a. dat noodzakelijk is ter uitvoering van hun taken uit hoofde van deze wet; b. de verstrekking beperkt bli…</t>
  </si>
  <si>
    <t>vergunning</t>
  </si>
  <si>
    <t>Een vergunning als bedoeld in het vierde lid, onderdeel c</t>
  </si>
  <si>
    <t>verkoopvergunning</t>
  </si>
  <si>
    <t>wapenvergunning</t>
  </si>
  <si>
    <t>wetgeving</t>
  </si>
  <si>
    <t>BWBR0040940:33:6:7</t>
  </si>
  <si>
    <t>Een vergunning als bedoeld in het vierde lid, onderdeel c, kan slechts worden verleend, indien de verwerking noodzakelijk is met het oog op een zwaarwegend belang van derden en bij de uitvoering is voorzien …</t>
  </si>
  <si>
    <t>nalatigheid</t>
  </si>
  <si>
    <t>nalatigheidsdelict</t>
  </si>
  <si>
    <t>nalatenschap</t>
  </si>
  <si>
    <t>beroep wegens nalatigheid</t>
  </si>
  <si>
    <t>mededeling</t>
  </si>
  <si>
    <t>medeëigendom</t>
  </si>
  <si>
    <t>mededeling van de regering</t>
  </si>
  <si>
    <t>medeplichtigheid</t>
  </si>
  <si>
    <t>BWBR0040940:3:5:3</t>
  </si>
  <si>
    <t>Van een besluit of ministeriële regeling als bedoeld in het derde lid, onderdeel a, wordt zo spoedig mogelijk mededeling gedaan aan de Autoriteit persoonsgegevens.</t>
  </si>
  <si>
    <t>registratie</t>
  </si>
  <si>
    <t>een in het eerste lid bedoelde registratie</t>
  </si>
  <si>
    <t>registratie van documenten</t>
  </si>
  <si>
    <t>registratie van maatschappij</t>
  </si>
  <si>
    <t>publicatie</t>
  </si>
  <si>
    <t>BWBR0052872:43:3:4</t>
  </si>
  <si>
    <t>Onze Minister wijzigt, weigert of beëindigt in overeenstemming met de bevoegde autoriteit die het aangaat een in het eerste lid bedoelde registratie, indien de grond voor registratie is gewijzigd, vervallen of ontbreekt.</t>
  </si>
  <si>
    <t>potentiële inbreuk in verband met persoonsgegevens</t>
  </si>
  <si>
    <t>de potentiële inbreuk in verband met persoonsgegevens, bedoeld in het tweede lid</t>
  </si>
  <si>
    <t>inbreuk</t>
  </si>
  <si>
    <t>inbreuk op de informatiebeveiliging</t>
  </si>
  <si>
    <t>identiteitsdiefstal</t>
  </si>
  <si>
    <t>BWBR0052872:58:4:5</t>
  </si>
  <si>
    <t>…udende autoriteit in een andere lidstaat van de Europese Unie is gevestigd, stelt de bevoegde autoriteit de Autoriteit persoonsgegevens in kennis van de potentiële inbreuk in verband met persoonsgegevens, bedoeld in het tweede lid.</t>
  </si>
  <si>
    <t>geschillenbeslechtingsregeling</t>
  </si>
  <si>
    <t>een geschillenbeslechtingsregeling als bedoeld in artikel 40, tweede lid, onderdeel k, van de verordening</t>
  </si>
  <si>
    <t>geschillencommissie</t>
  </si>
  <si>
    <t>alternatieve geschillenbeslechting</t>
  </si>
  <si>
    <t>klacht inzake bestuurlijke geschillen</t>
  </si>
  <si>
    <t>BWBR0040940:36:1:3</t>
  </si>
  <si>
    <t>… persoonsgegevens wenden met het verzoek te bemiddelen of te adviseren in zijn geschil met de verwerkingsverantwoordelijke, dan wel gebruik maken van een geschillenbeslechtingsregeling als bedoeld in artikel 40, tweede lid, onderdeel k, van de verordening, op grond van een goedgekeurde gedragscode als bedoeld in artikel 40, vijfde lid, van de verordening. In dat geval kan het beroep in afwijking van ar…</t>
  </si>
  <si>
    <t>over de uitvoering van de wet in de praktijk</t>
  </si>
  <si>
    <t>een verslag over de effecten van deze wet in de praktijk en over de uitvoering van de wet in de praktijk</t>
  </si>
  <si>
    <t>uitvoering</t>
  </si>
  <si>
    <t>toepassing van de wet</t>
  </si>
  <si>
    <t>uitwerking van EU-wetgeving</t>
  </si>
  <si>
    <t>uitvoeringsverordening van de Raad</t>
  </si>
  <si>
    <t>BWBR0040940:50:whole:1</t>
  </si>
  <si>
    <t>Onze Minister zendt binnen drie jaar na de inwerkingtreding van deze wet, en vervolgens telkens na vier jaar, aan de Staten-Generaal een verslag over de effecten van deze wet in de praktijk en over de uitvoering van de wet in de praktijk.</t>
  </si>
  <si>
    <t>afschrift</t>
  </si>
  <si>
    <t>een afschrift</t>
  </si>
  <si>
    <t>gedenkschrift</t>
  </si>
  <si>
    <t>geheimschrift</t>
  </si>
  <si>
    <t>BWBR0040940:20:3:2</t>
  </si>
  <si>
    <t>Bij het verzoekschrift wordt een afschrift overgelegd van het verzoek van de belanghebbende om handhaving van bij of krachtens wet bepaalde regels inzake de bescherming van persoonsgegevens, w…</t>
  </si>
  <si>
    <t>samenwerkingsrelatie</t>
  </si>
  <si>
    <t>een samenwerkingsrelatie</t>
  </si>
  <si>
    <t>samenwerkingsprocedure</t>
  </si>
  <si>
    <t>samenwerking tussen ondernemingen</t>
  </si>
  <si>
    <t>administratieve samenwerking</t>
  </si>
  <si>
    <t>BWBR0052872:54:1:1</t>
  </si>
  <si>
    <t>Een CSIRT kan een samenwerkingsrelatie tot stand brengen met een gelijkwaardig orgaan van een derde land. Binnen die samenwerkingsrelatie kan relevante informatie worden uitgewisseld, met …</t>
  </si>
  <si>
    <t>unmapped</t>
  </si>
  <si>
    <t>belangrijke entiteit of entiteit</t>
  </si>
  <si>
    <t>een essentiële entiteit, een belangrijke entiteit of entiteit die domeinnaamregistratiediensten verleent</t>
  </si>
  <si>
    <t>unknown</t>
  </si>
  <si>
    <t>BWBR0052872:45:1:1</t>
  </si>
  <si>
    <t>Onze Minister die het aangaat kan bij regeling of besluit, in overeenstemming met Onze Minister, een essentiële entiteit, een belangrijke entiteit of entiteit die domeinnaamregistratiediensten verleent ontheffen van de verplichtingen, bedoeld in artikel 44, indien de desbetreffende entiteit uitsluitend activiteiten verricht op het gebied van nationa…</t>
  </si>
  <si>
    <t>CSIRT</t>
  </si>
  <si>
    <t>het CSIRT</t>
  </si>
  <si>
    <t>csirt</t>
  </si>
  <si>
    <t>BWBR0052872:16:1:1</t>
  </si>
  <si>
    <t>Bij of krachtens algemene maatregel van bestuur wordt het CSIRT aangewezen voor elke essentiële entiteit en belangrijke entiteit.</t>
  </si>
  <si>
    <t>door de entiteit genomen maatregelen om de materiële of immateriële schade te voorkomen of te beperken</t>
  </si>
  <si>
    <t>eventuele relevante eerdere overtredingen door de betrokken entiteit</t>
  </si>
  <si>
    <t>relevante</t>
  </si>
  <si>
    <t>gebruik van gemeenschappelijke of gestandaardiseerde praktijken, classificatieschema’s en taxonomieën</t>
  </si>
  <si>
    <t>de invoering en het gebruik van gemeenschappelijke of gestandaardiseerde praktijken, classificatieschema’s en taxonomieën</t>
  </si>
  <si>
    <t>gebruik</t>
  </si>
  <si>
    <t>BWBR0052872:16:6:6</t>
  </si>
  <si>
    <t>Met het oog op de samenwerking, bedoeld in het vijfde lid, bevordert het CSIRT de invoering en het gebruik van gemeenschappelijke of gestandaardiseerde praktijken, classificatieschema’s en taxonomieën met betrekking tot: a. procedures voor de incidentenbehandeling; b. crisisbeheer; en c. gecoördineerde bekendmaking van kwetsbaarheden.</t>
  </si>
  <si>
    <t>mate</t>
  </si>
  <si>
    <t>niet melden of niet verhelpen van significante incidenten</t>
  </si>
  <si>
    <t>incident</t>
  </si>
  <si>
    <t>nummers</t>
  </si>
  <si>
    <t>nummers die dienen ter identificatie als bedoeld in artikel 46</t>
  </si>
  <si>
    <t>BWBR0040940:47a:2:2</t>
  </si>
  <si>
    <t>…llingsbesluit worden bepaald dat de commissie of het adviescollege ten behoeve van het in de instellingsregeling of instellingsbesluit opgenomen doel nummers die dienen ter identificatie als bedoeld in artikel 46 kan verwerken. In de instellingsregeling worden passende waarborgen voor de rechten en vrijheden van de betrokkene vastgesteld.</t>
  </si>
  <si>
    <t>of het significante incident vermoedelijk door een onrechtmatige of kwaadwillige handeling is veroorzaakt</t>
  </si>
  <si>
    <t>aan of het significante incident vermoedelijk door een onrechtmatige of kwaadwillige handeling is veroorzaakt</t>
  </si>
  <si>
    <t>BWBR0052872:26:2:2</t>
  </si>
  <si>
    <t>Bij de vroegtijdige waarschuwing, bedoeld in het eerste lid: a. geeft de entiteit aan of het significante incident vermoedelijk door een onrechtmatige of kwaadwillige handeling is veroorzaakt; b. geeft de entiteit aan of het significante incident grensoverschrijdende gevolgen kan hebben; en c. verstrekt de entiteit de contactgegevens van d…</t>
  </si>
  <si>
    <t>specifieke behoeften van kleine, middelgrote en micro-ondernemingen bij Aanbeveling 2003/361/EG van de Commissie van 6 mei 2003 betreffende de definitie van kleine, middelgrote en micro-ondernemingen (PbEU 2003 L124)</t>
  </si>
  <si>
    <t>de specifieke behoeften van kleine, middelgrote en micro-ondernemingen als bedoeld in artikel 2 van de bijlage bij Aanbeveling 2003/361/EG van de Commissie van 6 mei 2003 betreffende de definitie van kleine, middelgrote en micro-ondernemingen (PbEU 2003 L124)</t>
  </si>
  <si>
    <t>behoeft</t>
  </si>
  <si>
    <t>BWBR0040940:2a:whole:1</t>
  </si>
  <si>
    <t>De Autoriteit persoonsgegevens neemt bij de toepassing van de verordening de specifieke behoeften van kleine, middelgrote en micro-ondernemingen als bedoeld in artikel 2 van de bijlage bij Aanbeveling 2003/361/EG van de Commissie van 6 mei 2003 betreffende de definitie van kleine, middelgrote en micro-ondernemingen (PbEU 2003 L124) in aanmerking.</t>
  </si>
  <si>
    <t>no unit: no_object</t>
  </si>
  <si>
    <t>no_object</t>
  </si>
  <si>
    <t>BWBR0052872:21:4:5</t>
  </si>
  <si>
    <t>Wanneer de entiteit overweegt welke maatregelen als bedoeld in het derde lid, onderdeel d, passend zijn, houdt zij rekening met: a. de specifieke kwetsbaarheden van elke rechtstreekse leverancier en dienstverlener; b. de algemene kwaliteit van de producten en de cyberbeveiligingspraktijken van haar …</t>
  </si>
  <si>
    <t>BWBR0052872:49:5:6</t>
  </si>
  <si>
    <t>De registers voor topleveldomeinnamen en de entiteiten die domeinnaamregistratiediensten verlenen werken samen om te voorkomen dat domeinnaamregistratiegegevens tweemaal worden verzameld.</t>
  </si>
  <si>
    <t>BWBR0040940:21a:5:3</t>
  </si>
  <si>
    <t>De bestuurlijke boete en de te betalen geldsom van een verbeurde dwangsom komen toe aan de Staat.</t>
  </si>
  <si>
    <t>BWBR0040940:30a:6:7</t>
  </si>
  <si>
    <t>In situaties als bedoeld in het eerste lid, mag de overdracht van dossiers plaatsvinden zonder de toestemming van de patiënt als bedoeld in artikel 457, eerste lid, eerste volzin, van Boek 7 van het Burgerlijk Wetboek.</t>
  </si>
  <si>
    <t>BWBR0040940:48:1:1</t>
  </si>
  <si>
    <t>Degene die voorafgaand aan de inwerkingtreding van deze wet is benoemd als lid van het College bescherming persoonsgegevens, is van rechtswege benoemd als lid van de Autoriteit persoonsgegevens.</t>
  </si>
  <si>
    <t>no unit: unknown</t>
  </si>
  <si>
    <t>Artikel 20 van de Kaderwet zelfstandige bestuursorganen</t>
  </si>
  <si>
    <t>BWBR0040940:12:whole:1</t>
  </si>
  <si>
    <t>Artikel 20 van de Kaderwet zelfstandige bestuursorganen is niet van toepassing indien de Autoriteit persoonsgegevens de informatie van derden heeft verkregen onder de voorwaarde dat het geheime karakter da…</t>
  </si>
  <si>
    <t>artikel 21</t>
  </si>
  <si>
    <t>BWBR0052872:22:1:1</t>
  </si>
  <si>
    <t>…ersmaatregelen op het gebied van cyberbeveiliging neemt en indien deze verplichtingen ten minste gelijkwaardig zijn aan de verplichtingen, bedoeld in artikel 21, is artikel 21 niet van toepassing op die entiteit.</t>
  </si>
  <si>
    <t>De artikelen 15, 16, 18 en 19 van de verordening</t>
  </si>
  <si>
    <t>BWBR0040940:47:1:1</t>
  </si>
  <si>
    <t>De artikelen 15, 16, 18 en 19 van de verordening zijn niet van toepassing op bij de wet ingestelde openbare registers, indien bij of krachtens die wet een bijzondere procedure voor de verbetering, a…</t>
  </si>
  <si>
    <t>Het eerste tot en met vierde lid</t>
  </si>
  <si>
    <t>BWBR0040940:5:7:7</t>
  </si>
  <si>
    <t>Het eerste tot en met vierde lid zijn niet van toepassing voor zover een bijzondere regeling geldt op grond van Afdeling 5, titel 7, van Boek 7 van het Burgerlijk Wetboek.</t>
  </si>
  <si>
    <t>het volgende</t>
  </si>
  <si>
    <t>BWBR0052872:21:3:1</t>
  </si>
  <si>
    <t>…omvat en tot doel heeft netwerk- en informatiesystemen en de fysieke omgeving van die systemen tegen incidenten te beschermen, en omvatten ten minste het volgende: a. beleid inzake risicoanalyse en beveiliging van informatiesystemen; b. incidentenbehandeling; c. bedrijfscontinuïteit, zoals back-upbeheer en hers…</t>
  </si>
  <si>
    <t>Validation of the object → EuroVoc mapping (Step 7)</t>
  </si>
  <si>
    <t>What to do</t>
  </si>
  <si>
    <t>1. Go to the Validate sheet. Rows with in_sample = yes (green) come first: judge those.</t>
  </si>
  <si>
    <t>2. Fill in the yellow columns only: judgement (drop-down), better_concept (optional), notes.</t>
  </si>
  <si>
    <t>3. Judge candidate 1 mainly; use candidates 2-3 to decide 'partial'.</t>
  </si>
  <si>
    <t>4. The Summary sheet updates automatically as you fill in judgements.</t>
  </si>
  <si>
    <t>Judgement codes</t>
  </si>
  <si>
    <t>correct  – candidate 1 is the right concept, or an acceptable close one.</t>
  </si>
  <si>
    <t>partial  – candidate 1 is in the right area but too broad/narrow, or a lower candidate is right.</t>
  </si>
  <si>
    <t>wrong    – no candidate fits the object.</t>
  </si>
  <si>
    <t>unclear  – the object itself cannot be judged (placeholder, fragment, unresolved reference).</t>
  </si>
  <si>
    <t>For unmapped objects: 'correct' = rightly left unmapped; 'wrong' = a EuroVoc concept clearly exists.</t>
  </si>
  <si>
    <t>Columns</t>
  </si>
  <si>
    <t>stratum     – cascade level; embedding matches are split into three percentile bands.</t>
  </si>
  <si>
    <t>object      – the text that was mapped (a cleaned unit from Step 6).</t>
  </si>
  <si>
    <t>raw_object  – the original object it came from, if different (judge the unit in that light).</t>
  </si>
  <si>
    <t>norm_type   – Step 6 type of the norms that contain this text (unchanged, cleaned, split, …).</t>
  </si>
  <si>
    <t>no unit: …  – strata of norms that kept no unit; object shows the raw object (empty for no_object).</t>
  </si>
  <si>
    <t xml:space="preserve">              Judge: correct = rightly no unit; wrong = a real object was lost.</t>
  </si>
  <si>
    <t>level       – phrase / head / compound / embedding, or empty if unmapped.</t>
  </si>
  <si>
    <t>cand_n, conf_n – candidate concept label and its confidence.</t>
  </si>
  <si>
    <t>pct_1       – percentile of candidate 1 in the Step 4 top-1 distribution (embedding only).</t>
  </si>
  <si>
    <t>n_norms     – how many norms share this object; context shows text around it in an example norm.</t>
  </si>
  <si>
    <t>Example of a filled-in row (not part of the data)</t>
  </si>
  <si>
    <t>ten minste de in lid 6 bepaalde informatie</t>
  </si>
  <si>
    <t>partial</t>
  </si>
  <si>
    <t>concept right but generic; the object refers to lid 6</t>
  </si>
  <si>
    <t>objects</t>
  </si>
  <si>
    <t>in sample</t>
  </si>
  <si>
    <t>judged</t>
  </si>
  <si>
    <t>correct</t>
  </si>
  <si>
    <t>wrong</t>
  </si>
  <si>
    <t>unclear</t>
  </si>
  <si>
    <t>precision (strict)</t>
  </si>
  <si>
    <t>precision (lenient)</t>
  </si>
  <si>
    <t>total</t>
  </si>
  <si>
    <t>Precision excludes 'unclear'. Strict = correct only; lenient = correct + partial.</t>
  </si>
  <si>
    <t>For 'unmapped', precision means: share of objects rightly left unmapped. For 'no unit' strata: share of norms that rightly have no unit.</t>
  </si>
  <si>
    <t>Embedding bands split the range above the fallback percentile (20) into three equal parts.</t>
  </si>
  <si>
    <t>'objects' is the full count per stratum; Validate holds only the sample.</t>
  </si>
  <si>
    <t>With 10 judged per stratum, precision per stratum is a rough indication (about ±31 points at worst, 95%); the total is much tighter.</t>
  </si>
  <si>
    <t>norms</t>
  </si>
  <si>
    <t>rows in sample</t>
  </si>
  <si>
    <t>norm_id</t>
  </si>
  <si>
    <t>units</t>
  </si>
  <si>
    <t>BWBR0052872:3:whole:1</t>
  </si>
  <si>
    <t>regels</t>
  </si>
  <si>
    <t>reglement</t>
  </si>
  <si>
    <t>BWBR0052872:9:2:2</t>
  </si>
  <si>
    <t>de aanwijzing</t>
  </si>
  <si>
    <t>aanwijzing</t>
  </si>
  <si>
    <t>uitwijzing</t>
  </si>
  <si>
    <t>gebruiksaanwijzing</t>
  </si>
  <si>
    <t>bekendmaking</t>
  </si>
  <si>
    <t>BWBR0052872:11:1:1</t>
  </si>
  <si>
    <t>een instelling voor hoger onderwijs als bedoeld in artikel 1.1, onder g, van de Wet op het hoger onderwijs en wetenschappelijk onderzoek</t>
  </si>
  <si>
    <t>instelling voor hoger onderwijs</t>
  </si>
  <si>
    <t>instelling voor normalisatie</t>
  </si>
  <si>
    <t>secretariaat van de instelling</t>
  </si>
  <si>
    <t>hoger beroep</t>
  </si>
  <si>
    <t>BWBR0052872:11:2:2</t>
  </si>
  <si>
    <t>de aanwijzing, bedoeld in het eerste lid</t>
  </si>
  <si>
    <t>BWBR0052872:13:1:1</t>
  </si>
  <si>
    <t>BWBR0052872:13:2:2</t>
  </si>
  <si>
    <t>BWBR0052872:14:whole:1</t>
  </si>
  <si>
    <t>het centrale contactpunt</t>
  </si>
  <si>
    <t>centrale contactpunt</t>
  </si>
  <si>
    <t>telefooncentrale</t>
  </si>
  <si>
    <t>centrale gegevensbank</t>
  </si>
  <si>
    <t>BWBR0052872:14:whole:2</t>
  </si>
  <si>
    <t>de volgende taken</t>
  </si>
  <si>
    <t>taken</t>
  </si>
  <si>
    <t>BWBR0052872:14:whole:4</t>
  </si>
  <si>
    <t>voor sectoroverschrijdende samenwerking tussen de bevoegde autoriteiten binnen Nederland</t>
  </si>
  <si>
    <t>sectoroverschrijdende samenwerking tussen de bevoegde autoriteiten binnen Nederland</t>
  </si>
  <si>
    <t>samenwerking tussen Instellingen</t>
  </si>
  <si>
    <t>samenwerking tussen gemeenten</t>
  </si>
  <si>
    <t>BWBR0052872:15:6:1</t>
  </si>
  <si>
    <t>de bestuursrechtelijke handhaving van het bepaalde bij of krachtens deze wet</t>
  </si>
  <si>
    <t>bestuursrechtelijke handhaving van het bepaalde</t>
  </si>
  <si>
    <t>bestuursrecht</t>
  </si>
  <si>
    <t>bestuursrechtelijke sanctie</t>
  </si>
  <si>
    <t>bestuurlijke verantwoordelijkheid</t>
  </si>
  <si>
    <t>BWBR0052872:15:6:2</t>
  </si>
  <si>
    <t>de bestuursrechtelijke handhaving van het bepaalde in de op grond van de artikelen 21, vijfde lid, en 23, elfde lid, van de NIS2-richtlijn vastgestelde uitvoeringshandelingen en de op grond van artikel 24, tweede lid, van de NIS2-richtlijn vastgestelde gedelegeerde handelingen</t>
  </si>
  <si>
    <t>bestuursrechtelijke handhaving van het bepaalde in de uitvoeringshandelingen en de gedelegeerde handelingen</t>
  </si>
  <si>
    <t>BWBR0052872:15:6:3</t>
  </si>
  <si>
    <t>de overige in deze wet genoemde taken van de bevoegde autoriteit</t>
  </si>
  <si>
    <t>overige genoemde taken van de bevoegde autoriteit</t>
  </si>
  <si>
    <t>bevoegde nationale autoriteit</t>
  </si>
  <si>
    <t>verordenende bevoegdheid</t>
  </si>
  <si>
    <t>bevoegdheid van de Lid-Staten</t>
  </si>
  <si>
    <t>BWBR0052872:16:3:3</t>
  </si>
  <si>
    <t>tot negatieve gevolgen voor de dienstverlening van de betrokken entiteit</t>
  </si>
  <si>
    <t>negatieve gevolgen voor de dienstverlening van de betrokken entiteit</t>
  </si>
  <si>
    <t>BWBR0052872:16:4:4</t>
  </si>
  <si>
    <t>prioriteit</t>
  </si>
  <si>
    <t>BWBR0052872:16:5:5</t>
  </si>
  <si>
    <t>samenwerkingsrelaties</t>
  </si>
  <si>
    <t>invoering | gebruik van gemeenschappelijke of gestandaardiseerde praktijken, classificatieschema’s en taxonomieën</t>
  </si>
  <si>
    <t>invoer van gegevens</t>
  </si>
  <si>
    <t>invoering van vernieuwingen</t>
  </si>
  <si>
    <t>ontvoering</t>
  </si>
  <si>
    <t>BWBR0052872:16:7:7</t>
  </si>
  <si>
    <t>BWBR0052872:17:1:1</t>
  </si>
  <si>
    <t>een CSIRT</t>
  </si>
  <si>
    <t>BWBR0052872:19:1:1</t>
  </si>
  <si>
    <t>een nationale cyberbeveiligingsstrategie als bedoeld in artikel 7, eerste lid, van de NIS2-richtlijn</t>
  </si>
  <si>
    <t>nationale cyberbeveiligingsstrategie</t>
  </si>
  <si>
    <t>cyberbeveiliging</t>
  </si>
  <si>
    <t>nationale veiligheid</t>
  </si>
  <si>
    <t>cyberdefensie</t>
  </si>
  <si>
    <t>BWBR0052872:19:2:2</t>
  </si>
  <si>
    <t>beleid</t>
  </si>
  <si>
    <t>beleidsvorming</t>
  </si>
  <si>
    <t>beleidsanalyse</t>
  </si>
  <si>
    <t>overheidsbeleid</t>
  </si>
  <si>
    <t>BWBR0052872:19:3:3</t>
  </si>
  <si>
    <t>de nationale cyberbeveiligingsstrategie</t>
  </si>
  <si>
    <t>BWBR0052872:19:3:4</t>
  </si>
  <si>
    <t>BWBR0052872:20:whole:1</t>
  </si>
  <si>
    <t>een nationaal plan voor grootschalige cyberbeveiligingsincidenten en crisisrespons</t>
  </si>
  <si>
    <t>nationaal plan voor grootschalige cyberbeveiligingsincidenten en crisisrespons</t>
  </si>
  <si>
    <t>netwerk- en internetbeveiliging</t>
  </si>
  <si>
    <t>weerbaarheid op het gebied van cyberbeveiliging</t>
  </si>
  <si>
    <t>BWBR0052872:21:4:2</t>
  </si>
  <si>
    <t>de specifieke kwetsbaarheden van elke rechtstreekse leverancier en dienstverlener</t>
  </si>
  <si>
    <t>specifieke kwetsbaarheden van elke rechtstreekse leverancier en dienstverlener</t>
  </si>
  <si>
    <t>BWBR0052872:21:4:3</t>
  </si>
  <si>
    <t>de algemene kwaliteit van de producten en de cyberbeveiligingspraktijken van haar leveranciers en dienstverleners, met inbegrip van hun veilige ontwikkelingsprocedures</t>
  </si>
  <si>
    <t>algemene kwaliteit van de producten | cyberbeveiligingspraktijken van haar leveranciers en dienstverleners, met inbegrip van hun veilige ontwikkelingsprocedures</t>
  </si>
  <si>
    <t>kwaliteitsbeheersing van industrieproducten</t>
  </si>
  <si>
    <t>perfectionering van producten</t>
  </si>
  <si>
    <t>BWBR0052872:21:4:4</t>
  </si>
  <si>
    <t>de resultaten van de door de samenwerkingsgroep op grond van artikel 22, eerste lid, van de NIS2-richtlijn uitgevoerde gecoördineerde beveiligingsrisicobeoordelingen van kritieke toeleveringsketens</t>
  </si>
  <si>
    <t>resultaten van de door de samenwerkingsgroep uitgevoerde gecoördineerde beveiligingsrisicobeoordelingen van kritieke toeleveringsketens</t>
  </si>
  <si>
    <t>BWBR0052872:21:5:6</t>
  </si>
  <si>
    <t>BWBR0052872:21:5:7</t>
  </si>
  <si>
    <t>eisen</t>
  </si>
  <si>
    <t>BWBR0052872:21a:1:1</t>
  </si>
  <si>
    <t>producten of diensten van anderen dan de daarbij door Onze Minister die het aangaat genoemde partij</t>
  </si>
  <si>
    <t>producten dan de daarbij door Onze Minister | diensten van anderen</t>
  </si>
  <si>
    <t>openbare dienst</t>
  </si>
  <si>
    <t>extern personeel</t>
  </si>
  <si>
    <t>klantenservice</t>
  </si>
  <si>
    <t>BWBR0052872:21a:2:2</t>
  </si>
  <si>
    <t>of beheersmaatregelen mogelijk en realiseerbaar zijn die de nationale veiligheidsrisico’s die in het geding zijn voldoende beschermen</t>
  </si>
  <si>
    <t>BWBR0052872:21a:4:4</t>
  </si>
  <si>
    <t>Het eerste lid</t>
  </si>
  <si>
    <t>BWBR0052872:23:1:1</t>
  </si>
  <si>
    <t>een essentiële entiteit respectievelijk een belangrijke entiteit</t>
  </si>
  <si>
    <t>essentiële entiteit respectievelijk een belangrijke entiteit</t>
  </si>
  <si>
    <t>BWBR0052872:23:2:2</t>
  </si>
  <si>
    <t>BWBR0052872:24:2:2</t>
  </si>
  <si>
    <t>kennis en vaardigheden</t>
  </si>
  <si>
    <t>kennis | vaardigheden</t>
  </si>
  <si>
    <t>kennisbeheer</t>
  </si>
  <si>
    <t>digitale kennis</t>
  </si>
  <si>
    <t>BWBR0052872:24:3:3</t>
  </si>
  <si>
    <t>aan het bepaalde in het tweede lid</t>
  </si>
  <si>
    <t>BWBR0052872:24:4:4</t>
  </si>
  <si>
    <t>de kennis en vaardigheden, bedoeld in het tweede lid</t>
  </si>
  <si>
    <t>BWBR0052872:24:5:5</t>
  </si>
  <si>
    <t>een certificaat</t>
  </si>
  <si>
    <t>certificaat</t>
  </si>
  <si>
    <t>kwaliteitscertificaat</t>
  </si>
  <si>
    <t>citaat</t>
  </si>
  <si>
    <t>certificaat van herkomst</t>
  </si>
  <si>
    <t>BWBR0052872:24:6:6</t>
  </si>
  <si>
    <t>BWBR0052872:24:8:7</t>
  </si>
  <si>
    <t>het bepaalde bij of krachtens het eerste tot en met zesde lid</t>
  </si>
  <si>
    <t>BWBR0052872:24:9:8</t>
  </si>
  <si>
    <t>BWBR0052872:24:10:9</t>
  </si>
  <si>
    <t>BWBR0052872:24:11:10</t>
  </si>
  <si>
    <t>BWBR0052872:25:1:1</t>
  </si>
  <si>
    <t>ieder significant incident</t>
  </si>
  <si>
    <t>significant incident</t>
  </si>
  <si>
    <t>BWBR0052872:25:3:2</t>
  </si>
  <si>
    <t>de criteria</t>
  </si>
  <si>
    <t>criteria</t>
  </si>
  <si>
    <t>BWBR0052872:25:4:3</t>
  </si>
  <si>
    <t>aanvullende criteria</t>
  </si>
  <si>
    <t>uitbreidingskaart</t>
  </si>
  <si>
    <t>vereenvoudigde procedure</t>
  </si>
  <si>
    <t>BWBR0052872:26:1:1</t>
  </si>
  <si>
    <t>een vroegtijdige waarschuwing over het significante incident</t>
  </si>
  <si>
    <t>vroegtijdige waarschuwing over het significante incident</t>
  </si>
  <si>
    <t>vroegtijdig waarschuwingssysteem</t>
  </si>
  <si>
    <t>BWBR0052872:26:2:3</t>
  </si>
  <si>
    <t>aan of het significante incident grensoverschrijdende gevolgen kan hebben</t>
  </si>
  <si>
    <t>of het significante incident grensoverschrijdende gevolgen kan hebben</t>
  </si>
  <si>
    <t>BWBR0052872:26:2:4</t>
  </si>
  <si>
    <t>de contactgegevens van de functionaris die verantwoordelijk is voor de melding</t>
  </si>
  <si>
    <t>contactgegevens van de functionaris</t>
  </si>
  <si>
    <t>tijdelijk functionaris (EU)</t>
  </si>
  <si>
    <t>adres van de website</t>
  </si>
  <si>
    <t>functioneren van de instellingen</t>
  </si>
  <si>
    <t>BWBR0052872:27:1:1</t>
  </si>
  <si>
    <t>een melding</t>
  </si>
  <si>
    <t>manifest</t>
  </si>
  <si>
    <t>BWBR0052872:28:whole:1</t>
  </si>
  <si>
    <t>een tussentijds verslag</t>
  </si>
  <si>
    <t>tussentijds verslag</t>
  </si>
  <si>
    <t>BWBR0052872:29:2:3</t>
  </si>
  <si>
    <t>BWBR0052872:30:1:1</t>
  </si>
  <si>
    <t>significante incidenten</t>
  </si>
  <si>
    <t>BWBR0052872:30:2:2</t>
  </si>
  <si>
    <t>welke maatregelen die ontvangers kunnen nemen in reactie op die dreiging</t>
  </si>
  <si>
    <t>BWBR0052872:30:2:3</t>
  </si>
  <si>
    <t>de desbetreffende significante cyberdreiging</t>
  </si>
  <si>
    <t>significante cyberdreiging</t>
  </si>
  <si>
    <t>cybervandalisme</t>
  </si>
  <si>
    <t>cyberintimidatie</t>
  </si>
  <si>
    <t>BWBR0052872:31:1:1</t>
  </si>
  <si>
    <t>de verplichtingen uit de artikelen 25 tot en met 30</t>
  </si>
  <si>
    <t>verplichtingen</t>
  </si>
  <si>
    <t>contract</t>
  </si>
  <si>
    <t>BWBR0052872:32:1:1</t>
  </si>
  <si>
    <t>een essentiële entiteit of belangrijke entiteit</t>
  </si>
  <si>
    <t>essentiële entiteit | belangrijke entiteit</t>
  </si>
  <si>
    <t>BWBR0052872:32:2:2</t>
  </si>
  <si>
    <t>BWBR0052872:33:1:1</t>
  </si>
  <si>
    <t>BWBR0052872:33:2:2</t>
  </si>
  <si>
    <t>de vrijwillige meldingen</t>
  </si>
  <si>
    <t>vrijwillige meldingen</t>
  </si>
  <si>
    <t>vrije omroep</t>
  </si>
  <si>
    <t>vrij ontvangen van uitzendingen</t>
  </si>
  <si>
    <t>vrij toegankelijke publicatie</t>
  </si>
  <si>
    <t>BWBR0052872:33:2:3</t>
  </si>
  <si>
    <t>voorrang</t>
  </si>
  <si>
    <t>BWBR0052872:33:3:4</t>
  </si>
  <si>
    <t>de vrijwillige melding</t>
  </si>
  <si>
    <t>vrijwillige melding</t>
  </si>
  <si>
    <t>vrije heruitzending</t>
  </si>
  <si>
    <t>BWBR0052872:34:1:1</t>
  </si>
  <si>
    <t>BWBR0052872:34:2:2</t>
  </si>
  <si>
    <t>De melding</t>
  </si>
  <si>
    <t>BWBR0052872:35:whole:1</t>
  </si>
  <si>
    <t>BWBR0052872:36:2:1</t>
  </si>
  <si>
    <t>aanvullende technische ondersteuning</t>
  </si>
  <si>
    <t>aanpassing aan technische vooruitgang</t>
  </si>
  <si>
    <t>ondersteunende bevoegdheid</t>
  </si>
  <si>
    <t>BWBR0052872:36:3:2</t>
  </si>
  <si>
    <t>richtsnoeren</t>
  </si>
  <si>
    <t>penitentiair recht</t>
  </si>
  <si>
    <t>BWBR0052872:37:whole:1</t>
  </si>
  <si>
    <t>het publiek</t>
  </si>
  <si>
    <t>publiek</t>
  </si>
  <si>
    <t>publiek recht</t>
  </si>
  <si>
    <t>publieke dienst</t>
  </si>
  <si>
    <t>publiek eigendom</t>
  </si>
  <si>
    <t>BWBR0052872:37:whole:2</t>
  </si>
  <si>
    <t>de entiteit</t>
  </si>
  <si>
    <t>BWBR0052872:38:whole:1</t>
  </si>
  <si>
    <t>de essentiële entiteit of belangrijke entiteit</t>
  </si>
  <si>
    <t>BWBR0052872:39:1:1</t>
  </si>
  <si>
    <t>BWBR0052872:39:1:2</t>
  </si>
  <si>
    <t>dat de relevante informatie die hierover is gemeld tijdig aan het centrale contactpunt wordt verstrekt</t>
  </si>
  <si>
    <t>relevante informatie</t>
  </si>
  <si>
    <t>BWBR0052872:39:2:4</t>
  </si>
  <si>
    <t>de beveiligingsbelangen en commerciële belangen van de entiteit en de vertrouwelijkheid van de verstrekte informatie</t>
  </si>
  <si>
    <t>beveiligingsbelangen en commerciële belangen van de entiteit en de vertrouwelijkheid van de verstrekte informatie</t>
  </si>
  <si>
    <t>informatiebeveiliging</t>
  </si>
  <si>
    <t>BWBR0052872:39:2:5</t>
  </si>
  <si>
    <t>het aan het CSIRT gemelde incident, bijna-incident of cyberdreiging</t>
  </si>
  <si>
    <t>aan het CSIRT gemelde incident | bijna-incident | cyberdreiging</t>
  </si>
  <si>
    <t>cyberdelict</t>
  </si>
  <si>
    <t>klacht aan de Commissie</t>
  </si>
  <si>
    <t>inbreuk op het communautaire recht</t>
  </si>
  <si>
    <t>BWBR0052872:39:3:6</t>
  </si>
  <si>
    <t>de op grond van de artikelen 25 en 33 ontvangen meldingen</t>
  </si>
  <si>
    <t>ontvangen meldingen</t>
  </si>
  <si>
    <t>monitoringverslag</t>
  </si>
  <si>
    <t>ontvanger</t>
  </si>
  <si>
    <t>BWBR0052872:39:4:7</t>
  </si>
  <si>
    <t>daarvan</t>
  </si>
  <si>
    <t>BWBR0052872:39:5:8</t>
  </si>
  <si>
    <t>een samenvattend verslag</t>
  </si>
  <si>
    <t>samenvattend verslag</t>
  </si>
  <si>
    <t>BWBR0052872:41:whole:1</t>
  </si>
  <si>
    <t>deze informatie</t>
  </si>
  <si>
    <t>BWBR0052872:42:1:1</t>
  </si>
  <si>
    <t>een vertegenwoordiger</t>
  </si>
  <si>
    <t>vertegenwoordiger</t>
  </si>
  <si>
    <t>politieke vertegenwoordiging</t>
  </si>
  <si>
    <t>bemiddelaar</t>
  </si>
  <si>
    <t>BWBR0052872:42:2:2</t>
  </si>
  <si>
    <t>BWBR0052872:43:1:1</t>
  </si>
  <si>
    <t>een nationaal register van essentiële entiteiten, belangrijke entiteiten en entiteiten die domeinnaamregistratiediensten verlenen</t>
  </si>
  <si>
    <t>nationaal register van essentiële entiteiten, belangrijke entiteiten en entiteiten</t>
  </si>
  <si>
    <t>bevoegde nationale instantie</t>
  </si>
  <si>
    <t>bevolkingsregister</t>
  </si>
  <si>
    <t>BWBR0052872:43:2:2</t>
  </si>
  <si>
    <t>het nationale register</t>
  </si>
  <si>
    <t>nationale register</t>
  </si>
  <si>
    <t>kadastraal register</t>
  </si>
  <si>
    <t>nationale bibliografie</t>
  </si>
  <si>
    <t>BWBR0052872:43:2:3</t>
  </si>
  <si>
    <t>het</t>
  </si>
  <si>
    <t>BWBR0052872:43:3:5</t>
  </si>
  <si>
    <t>BWBR0052872:43:3:6</t>
  </si>
  <si>
    <t>BWBR0052872:44:1:1</t>
  </si>
  <si>
    <t>de volgende informatie</t>
  </si>
  <si>
    <t>BWBR0052872:44:2:2</t>
  </si>
  <si>
    <t>elke wijziging van de informatie die zij op grond van het eerste lid hebben verstrekt</t>
  </si>
  <si>
    <t>wijziging van de informatie</t>
  </si>
  <si>
    <t>uitwisseling van informatie</t>
  </si>
  <si>
    <t>toegang tot de informatie</t>
  </si>
  <si>
    <t>BWBR0052872:44:3:3</t>
  </si>
  <si>
    <t>essentiële entiteit | belangrijke entiteit of entiteit</t>
  </si>
  <si>
    <t>BWBR0052872:45:2:2</t>
  </si>
  <si>
    <t>BWBR0052872:46:whole:1</t>
  </si>
  <si>
    <t>toegang tot het nationale register, bedoeld in artikel 43</t>
  </si>
  <si>
    <t>toegang tot het nationale register</t>
  </si>
  <si>
    <t>toegang tot de rechter</t>
  </si>
  <si>
    <t>toegang tot de communautaire informatie</t>
  </si>
  <si>
    <t>BWBR0052872:47:1:1</t>
  </si>
  <si>
    <t>de informatie</t>
  </si>
  <si>
    <t>BWBR0052872:47:2:2</t>
  </si>
  <si>
    <t>de informatie, bedoeld in het derde lid van dit artikel</t>
  </si>
  <si>
    <t>BWBR0052872:47:4:3</t>
  </si>
  <si>
    <t>de informatie, bedoeld in het derde lid</t>
  </si>
  <si>
    <t>BWBR0052872:47:5:4</t>
  </si>
  <si>
    <t>wijzigingen van de gegevens, bedoeld in het derde lid</t>
  </si>
  <si>
    <t>wijzigingen van de gegevens</t>
  </si>
  <si>
    <t>persoonlijke gegevens</t>
  </si>
  <si>
    <t>gegevensverwerking</t>
  </si>
  <si>
    <t>BWBR0052872:48:1:1</t>
  </si>
  <si>
    <t>een entiteit als bedoeld in artikel 47, eerste en tweede lid</t>
  </si>
  <si>
    <t>BWBR0052872:48:2:2</t>
  </si>
  <si>
    <t>BWBR0052872:49:1:1</t>
  </si>
  <si>
    <t>nauwkeurige en volledige domeinnaamregistratiegegevens</t>
  </si>
  <si>
    <t>domeinnaam voor internet</t>
  </si>
  <si>
    <t>BWBR0052872:49:1:2</t>
  </si>
  <si>
    <t>die gegevens</t>
  </si>
  <si>
    <t>gegevens</t>
  </si>
  <si>
    <t>gegevensmateriaal</t>
  </si>
  <si>
    <t>BWBR0052872:49:3:3</t>
  </si>
  <si>
    <t>het beleid en de procedures</t>
  </si>
  <si>
    <t>beleid | procedures</t>
  </si>
  <si>
    <t>BWBR0052872:49:3:4</t>
  </si>
  <si>
    <t>dat beleid en die procedures</t>
  </si>
  <si>
    <t>BWBR0052872:49:4:5</t>
  </si>
  <si>
    <t>de domeinnaamregistratiegegevens, die geen persoonsgegevens zijn</t>
  </si>
  <si>
    <t>domeinnaamregistratiegegevens</t>
  </si>
  <si>
    <t>BWBR0052872:49:6:7</t>
  </si>
  <si>
    <t>nadere regels</t>
  </si>
  <si>
    <t>betere regelgeving</t>
  </si>
  <si>
    <t>BWBR0052872:50:1:1</t>
  </si>
  <si>
    <t>toegang tot specifieke gegevens over de registratie van domeinnamen</t>
  </si>
  <si>
    <t>BWBR0052872:50:2:2</t>
  </si>
  <si>
    <t>een verzoek om toegang als bedoeld in het eerste lid</t>
  </si>
  <si>
    <t>verzoek om toegang</t>
  </si>
  <si>
    <t>recht van toegang</t>
  </si>
  <si>
    <t>beschikking van de Raad</t>
  </si>
  <si>
    <t>BWBR0052872:50:3:3</t>
  </si>
  <si>
    <t>het beleid en de procedures met betrekking tot de bekendmaking van de gegevens, bedoeld in het eerste lid</t>
  </si>
  <si>
    <t>beleid | procedures met betrekking tot de bekendmaking van de gegevens</t>
  </si>
  <si>
    <t>BWBR0052872:50:3:4</t>
  </si>
  <si>
    <t>BWBR0052872:50:4:5</t>
  </si>
  <si>
    <t>BWBR0052872:51:1:1</t>
  </si>
  <si>
    <t>alle daarvoor noodzakelijke gegevens</t>
  </si>
  <si>
    <t>noodzakelijke gegevens</t>
  </si>
  <si>
    <t>publieke gegevens</t>
  </si>
  <si>
    <t>BWBR0052872:51:1:2</t>
  </si>
  <si>
    <t>BWBR0052872:51:2:3</t>
  </si>
  <si>
    <t>BWBR0052872:51:2:4</t>
  </si>
  <si>
    <t>BWBR0052872:51:3:5</t>
  </si>
  <si>
    <t>BWBR0052872:52:whole:1</t>
  </si>
  <si>
    <t>BWBR0052872:52:whole:2</t>
  </si>
  <si>
    <t>BWBR0052872:53:whole:1</t>
  </si>
  <si>
    <t>BWBR0052872:54:1:2</t>
  </si>
  <si>
    <t>BWBR0052872:54:1:3</t>
  </si>
  <si>
    <t>de uitwisseling van persoonsgegevens</t>
  </si>
  <si>
    <t>uitwisseling van persoonsgegevens</t>
  </si>
  <si>
    <t>uitwisseling van publikaties</t>
  </si>
  <si>
    <t>BWBR0052872:54:2:4</t>
  </si>
  <si>
    <t>uit het verlenen van bijstand op het gebied van cyberbeveiliging</t>
  </si>
  <si>
    <t>bijstand op het gebied van cyberbeveiliging</t>
  </si>
  <si>
    <t>cybercriminaliteit</t>
  </si>
  <si>
    <t>BWBR0052872:54:2:5</t>
  </si>
  <si>
    <t>BWBR0052872:55:whole:1</t>
  </si>
  <si>
    <t>BWBR0052872:55:whole:2</t>
  </si>
  <si>
    <t>BWBR0052872:56:1:1</t>
  </si>
  <si>
    <t>BWBR0052872:56:1:2</t>
  </si>
  <si>
    <t>BWBR0052872:56:2:3</t>
  </si>
  <si>
    <t>de betrokken bevoegde autoriteit, bedoeld in artikel 8 van de Wet weerbaarheid kritieke entiteiten</t>
  </si>
  <si>
    <t>bevoegde autoriteit</t>
  </si>
  <si>
    <t>administratieve bevoegdheid</t>
  </si>
  <si>
    <t>BWBR0052872:56:4:4</t>
  </si>
  <si>
    <t>BWBR0052872:57:1:1</t>
  </si>
  <si>
    <t>BWBR0052872:57:1:2</t>
  </si>
  <si>
    <t>BWBR0052872:58:1:1</t>
  </si>
  <si>
    <t>BWBR0052872:58:1:2</t>
  </si>
  <si>
    <t>BWBR0052872:58:2:3</t>
  </si>
  <si>
    <t>BWBR0052872:58:3:4</t>
  </si>
  <si>
    <t>bestuurlijke boete</t>
  </si>
  <si>
    <t>administratieve boete</t>
  </si>
  <si>
    <t>geldboete</t>
  </si>
  <si>
    <t>BWBR0052872:59:whole:1</t>
  </si>
  <si>
    <t>BWBR0052872:60:2:1</t>
  </si>
  <si>
    <t>toezichts- en handhavingsmaatregelen</t>
  </si>
  <si>
    <t>beslag op bezittingen</t>
  </si>
  <si>
    <t>BWBR0052872:60:3:3</t>
  </si>
  <si>
    <t>het verzoek</t>
  </si>
  <si>
    <t>verzoek</t>
  </si>
  <si>
    <t>beschikking</t>
  </si>
  <si>
    <t>oproepen van gegevens</t>
  </si>
  <si>
    <t>BWBR0052872:60:4:4</t>
  </si>
  <si>
    <t>de betrokken bevoegde autoriteit</t>
  </si>
  <si>
    <t>Europese Commissie | Enisa</t>
  </si>
  <si>
    <t>BWBR0052872:60:5:6</t>
  </si>
  <si>
    <t>de betrokken bevoegde autoriteit van een andere lidstaat van de Europese Unie</t>
  </si>
  <si>
    <t>bevoegde autoriteit van een andere lidstaat van de Europese Unie</t>
  </si>
  <si>
    <t>externe bevoegdheid van de Europese Gemeenschap</t>
  </si>
  <si>
    <t>bevoegdheid van de Europese Unie</t>
  </si>
  <si>
    <t>bevoegdheid van de lidstaten</t>
  </si>
  <si>
    <t>BWBR0052872:60:5:7</t>
  </si>
  <si>
    <t>BWBR0052872:60:6:8</t>
  </si>
  <si>
    <t>op het verstrekken van informatie en het nemen van toezichts- en handhavingsmaatregelen, met inbegrip van inspecties ter plaatse, toezicht elders en beveiligingsaudits</t>
  </si>
  <si>
    <t>informatie en het nemen van toezichts- en handhavingsmaatregelen, met inbegrip van inspecties ter plaatse, toezicht elders en beveiligingsaudits</t>
  </si>
  <si>
    <t>BWBR0052872:61:1:1</t>
  </si>
  <si>
    <t>om bijstand</t>
  </si>
  <si>
    <t>BWBR0052872:61:2:2</t>
  </si>
  <si>
    <t>een bevoegde autoriteit van een andere lidstaat van de Europese Unie</t>
  </si>
  <si>
    <t>BWBR0052872:62:3:2</t>
  </si>
  <si>
    <t>BWBR0052872:64:1:1</t>
  </si>
  <si>
    <t>De verwerking van persoonsgegevens waaruit ras of etnische afkomst, politieke opvattingen, religieuze of levensbeschouwelijke overtuigingen, of het lidmaatschap van een vakbond blijken, of gegevens over gezondheid, of gegevens met betrekking tot iemands seksueel gedrag of seksuele gerichtheid</t>
  </si>
  <si>
    <t>verwerking van persoonsgegevens met betrekking tot iemands seksueel gedrag of seksuele gerichtheid | gegevens over gezondheid, of gegevens</t>
  </si>
  <si>
    <t>BWBR0052872:64:2:2</t>
  </si>
  <si>
    <t>BWBR0052872:68:1:1</t>
  </si>
  <si>
    <t>het toezicht op de naleving van het bepaalde bij of krachtens deze wet en het bepaalde in de op grond van de artikelen 21, vijfde lid, en 23, elfde lid, van de NIS2-richtlijn vastgestelde uitvoeringshandelingen en de op grond van artikel 24, tweede lid, van de NIS2-richtlijn vastgestelde gedelegeerde handelingen</t>
  </si>
  <si>
    <t>toezicht op de naleving van het bepaalde en het bepaalde in de uitvoeringshandelingen en de gedelegeerde handelingen</t>
  </si>
  <si>
    <t>BWBR0052872:68:2:2</t>
  </si>
  <si>
    <t>het verlenen van bijstand als bedoeld in artikel 60</t>
  </si>
  <si>
    <t>BWBR0052872:68:3:3</t>
  </si>
  <si>
    <t>hun toezichthoudende bevoegdheden</t>
  </si>
  <si>
    <t>toezichthoudende bevoegdheden</t>
  </si>
  <si>
    <t>regelgevende bevoegdheid</t>
  </si>
  <si>
    <t>administratief toezicht</t>
  </si>
  <si>
    <t>BWBR0052872:68:4:4</t>
  </si>
  <si>
    <t>Van een besluit als bedoeld in het eerste lid</t>
  </si>
  <si>
    <t>besluit (EU)</t>
  </si>
  <si>
    <t>omstandigheden van elk afzonderlijk geval | ernst van de overtreding en het belang van de geschonden bepalingen | herhaalde overtredingen | niet melden of niet verhelpen van significante incidenten | niet verhelpen van tekortkomingen naar aanleiding van bindende aanwijzingen van de bevoegde autoriteit | audits of monitoringsactiviteiten | valse of zeer onnauwkeurige informatie met betrekking tot de verplichtingen | duur van de overtreding | eventuele relevante eerdere overtredingen door de betrokken entiteit | veroorzaakte materiële of immateriële schade, met inbegrip van elke financiële of economische schade, effecten op andere diensten en het aantal getroffen gebruikers | opzet van de overtreder | nalatigheid | door de entiteit genomen maatregelen om de materiële of immateriële schade te voorkomen of te beperken | goedgekeurde gedragscodes | goedgekeurde certificeringsmechanismen | mate</t>
  </si>
  <si>
    <t>schade</t>
  </si>
  <si>
    <t>BWBR0052872:70:3:2</t>
  </si>
  <si>
    <t>de kosten van de controlefunctionaris</t>
  </si>
  <si>
    <t>kosten van de controlefunctionaris</t>
  </si>
  <si>
    <t>administratieve kosten</t>
  </si>
  <si>
    <t>BWBR0052872:70:4:3</t>
  </si>
  <si>
    <t>BWBR0052872:71:1:1</t>
  </si>
  <si>
    <t>een beveiligingsscan</t>
  </si>
  <si>
    <t>beveiligingsscan</t>
  </si>
  <si>
    <t>documenten scannen</t>
  </si>
  <si>
    <t>BWBR0052872:71:1:2</t>
  </si>
  <si>
    <t>BWBR0052872:71:2:3</t>
  </si>
  <si>
    <t>de kosten van de beveiligingsscan</t>
  </si>
  <si>
    <t>kosten van de beveiligingsscan</t>
  </si>
  <si>
    <t>BWBR0052872:72:1:1</t>
  </si>
  <si>
    <t>een essentiële entiteit</t>
  </si>
  <si>
    <t>essentiële entiteit</t>
  </si>
  <si>
    <t>BWBR0052872:72:1:2</t>
  </si>
  <si>
    <t>of de entiteit voldoet aan het bepaalde bij of krachtens deze wet en het bepaalde in de op grond van de artikelen 21, vijfde lid, en 23, elfde lid, van de NIS2-richtlijn vastgestelde uitvoeringshandelingen en de op grond van artikel 24, tweede lid, van de NIS2-richtlijn vastgestelde gedelegeerde handelingen</t>
  </si>
  <si>
    <t>of de entiteit voldoet aan het bepaalde en het bepaalde in de uitvoeringshandelingen en de gedelegeerde handelingen</t>
  </si>
  <si>
    <t>BWBR0052872:72:1:3</t>
  </si>
  <si>
    <t>de resultaten van dat onderzoek</t>
  </si>
  <si>
    <t>resultaten van dat onderzoek</t>
  </si>
  <si>
    <t>onderzoeksverslag</t>
  </si>
  <si>
    <t>onderzoek naar de consumptie</t>
  </si>
  <si>
    <t>EU-onderzoeksverslag</t>
  </si>
  <si>
    <t>BWBR0052872:72:3:5</t>
  </si>
  <si>
    <t>Het onderzoek</t>
  </si>
  <si>
    <t>onderzoek</t>
  </si>
  <si>
    <t>deskundig onderzoek</t>
  </si>
  <si>
    <t>disciplinair onderzoek</t>
  </si>
  <si>
    <t>BWBR0052872:72:4:6</t>
  </si>
  <si>
    <t>de kosten van het onderzoek</t>
  </si>
  <si>
    <t>kosten van het onderzoek</t>
  </si>
  <si>
    <t>BWBR0052872:72:5:7</t>
  </si>
  <si>
    <t>BWBR0052872:73:whole:1</t>
  </si>
  <si>
    <t>BWBR0052872:74:whole:1</t>
  </si>
  <si>
    <t>een bindende aanwijzing</t>
  </si>
  <si>
    <t>bindende aanwijzing</t>
  </si>
  <si>
    <t>verplicht advies</t>
  </si>
  <si>
    <t>BWBR0052872:75:whole:1</t>
  </si>
  <si>
    <t>een last onder bestuursdwang</t>
  </si>
  <si>
    <t>last onder bestuursdwang</t>
  </si>
  <si>
    <t>openbaarheid van het bestuur</t>
  </si>
  <si>
    <t>departementaal bestuur</t>
  </si>
  <si>
    <t>misbruik van bevoegdheid</t>
  </si>
  <si>
    <t>BWBR0052872:76:1:1</t>
  </si>
  <si>
    <t>een einddatum</t>
  </si>
  <si>
    <t>einddatum</t>
  </si>
  <si>
    <t>BWBR0052872:76:2:2</t>
  </si>
  <si>
    <t>het besluit, bedoeld in het eerste lid</t>
  </si>
  <si>
    <t>BWBR0052872:77:whole:1</t>
  </si>
  <si>
    <t>die certificering of vergunning tijdelijk op te schorten</t>
  </si>
  <si>
    <t>certificering of vergunning tijdelijk op te schorten</t>
  </si>
  <si>
    <t>BWBR0052872:78:1:1</t>
  </si>
  <si>
    <t>één of meer leden van het bestuur van de betrokken essentiële entiteit te schorsen</t>
  </si>
  <si>
    <t>BWBR0052872:78:2:2</t>
  </si>
  <si>
    <t>alle overige gevolgen van de door haar uitgesproken schorsing</t>
  </si>
  <si>
    <t>overige gevolgen van de door haar uitgesproken schorsing</t>
  </si>
  <si>
    <t>BWBR0052872:78:3:3</t>
  </si>
  <si>
    <t>een afschrift van de onherroepelijke uitspraak waarin een schorsing is opgelegd</t>
  </si>
  <si>
    <t>afschrift van de onherroepelijke uitspraak</t>
  </si>
  <si>
    <t>BWBR0052872:78:3:4</t>
  </si>
  <si>
    <t>de schorsing</t>
  </si>
  <si>
    <t>schorsing</t>
  </si>
  <si>
    <t>verschoning</t>
  </si>
  <si>
    <t>schenking</t>
  </si>
  <si>
    <t>onshoring</t>
  </si>
  <si>
    <t>BWBR0052872:78:4:5</t>
  </si>
  <si>
    <t>de opname van de schorsing uit het Handelsregister</t>
  </si>
  <si>
    <t>opname van de schorsing uit het Handelsregister</t>
  </si>
  <si>
    <t>voorbespeelde beeld- of geluidsdrager</t>
  </si>
  <si>
    <t>BWBR0052872:80:2:1</t>
  </si>
  <si>
    <t>een bestuurlijke boete</t>
  </si>
  <si>
    <t>BWBR0052872:80:4:2</t>
  </si>
  <si>
    <t>De werking van het besluit tot oplegging van de boete</t>
  </si>
  <si>
    <t>werking van het besluit tot oplegging van de boete</t>
  </si>
  <si>
    <t>uitvoeringsbesluit van de Raad</t>
  </si>
  <si>
    <t>tenuitvoerlegging van het vonnis</t>
  </si>
  <si>
    <t>gedelegeerd besluit van de Commissie</t>
  </si>
  <si>
    <t>BWBR0052872:80:5:3</t>
  </si>
  <si>
    <t>de tenuitvoerlegging van een dwangbevel dat strekt tot invordering van de boete</t>
  </si>
  <si>
    <t>tenuitvoerlegging van een dwangbevel</t>
  </si>
  <si>
    <t>tenuitvoerlegging van de wet</t>
  </si>
  <si>
    <t>ontslag van strafvervolging</t>
  </si>
  <si>
    <t>BWBR0052872:80:6:4</t>
  </si>
  <si>
    <t>Artikel 184 van het Wetboek van Strafrecht</t>
  </si>
  <si>
    <t>BWBR0052872:82:1:1</t>
  </si>
  <si>
    <t>BWBR0052872:82:1:2</t>
  </si>
  <si>
    <t>BWBR0052872:82:2:3</t>
  </si>
  <si>
    <t>BWBR0052872:83:1:1</t>
  </si>
  <si>
    <t>een belangrijke entiteit</t>
  </si>
  <si>
    <t>belangrijke entiteit</t>
  </si>
  <si>
    <t>BWBR0052872:83:1:2</t>
  </si>
  <si>
    <t>BWBR0052872:83:1:3</t>
  </si>
  <si>
    <t>BWBR0052872:83:1:4</t>
  </si>
  <si>
    <t>BWBR0052872:83:3:5</t>
  </si>
  <si>
    <t>BWBR0052872:83:4:6</t>
  </si>
  <si>
    <t>BWBR0052872:83:5:7</t>
  </si>
  <si>
    <t>BWBR0052872:84:whole:1</t>
  </si>
  <si>
    <t>BWBR0052872:85:whole:1</t>
  </si>
  <si>
    <t>BWBR0052872:86:whole:1</t>
  </si>
  <si>
    <t>BWBR0052872:87:1:1</t>
  </si>
  <si>
    <t>BWBR0052872:87:2:2</t>
  </si>
  <si>
    <t>BWBR0052872:87:4:3</t>
  </si>
  <si>
    <t>BWBR0052872:87:5:4</t>
  </si>
  <si>
    <t>de tenuitvoerlegging van een dwangbevel</t>
  </si>
  <si>
    <t>BWBR0052872:89:whole:1</t>
  </si>
  <si>
    <t>BWBR0052872:91:1:1</t>
  </si>
  <si>
    <t>BWBR0052872:91:2:2</t>
  </si>
  <si>
    <t>De boete</t>
  </si>
  <si>
    <t>boete</t>
  </si>
  <si>
    <t>boetvaardige</t>
  </si>
  <si>
    <t>BWBR0052872:91:3:3</t>
  </si>
  <si>
    <t>BWBR0052872:91:4:4</t>
  </si>
  <si>
    <t>BWBR0052872:92:whole:1</t>
  </si>
  <si>
    <t>BWBR0052872:93:1:1</t>
  </si>
  <si>
    <t>BWBR0052872:93:2:2</t>
  </si>
  <si>
    <t>De boete, bedoeld in het eerste lid</t>
  </si>
  <si>
    <t>BWBR0052872:93:3:3</t>
  </si>
  <si>
    <t>BWBR0052872:93:4:4</t>
  </si>
  <si>
    <t>BWBR0052872:93:5:5</t>
  </si>
  <si>
    <t>BWBR0052872:94:1:1</t>
  </si>
  <si>
    <t>een verslag waarin de resultaten van een invoeringstoets over de uitvoerbaarheid, de handhaafbaarheid, de regeldruk, de samenloop en de werkbaarheid van deze wet in de praktijk zijn opgenomen</t>
  </si>
  <si>
    <t>verslag over de doeltreffendheid | effecten in de praktijk</t>
  </si>
  <si>
    <t>BWBR0052872:95:1:1</t>
  </si>
  <si>
    <t>het oude recht</t>
  </si>
  <si>
    <t>oude recht</t>
  </si>
  <si>
    <t>BWBR0052872:95:2:2</t>
  </si>
  <si>
    <t>de melding</t>
  </si>
  <si>
    <t>BWBR0052872:95:2:3</t>
  </si>
  <si>
    <t>de op grond van de Wet beveiliging netwerk- en informatiesystemen gedane melding</t>
  </si>
  <si>
    <t>BWBR0052872:96:1:1</t>
  </si>
  <si>
    <t>informatie over dreigingen en incidenten met betrekking tot hun netwerk- en informatiesystemen | advies</t>
  </si>
  <si>
    <t>BWBR0052872:96:2:3</t>
  </si>
  <si>
    <t>analyses en technisch onderzoek</t>
  </si>
  <si>
    <t>analyses | technisch onderzoek</t>
  </si>
  <si>
    <t>technologische evaluatie</t>
  </si>
  <si>
    <t>technologische ontwikkeling</t>
  </si>
  <si>
    <t>BWBR0052872:98:whole:1</t>
  </si>
  <si>
    <t>BWBR0040940:2:2:1</t>
  </si>
  <si>
    <t>BWBR0040940:3:3:1</t>
  </si>
  <si>
    <t>Het eerste en het tweede lid</t>
  </si>
  <si>
    <t>beperkingen | voorschriften</t>
  </si>
  <si>
    <t>BWBR0040940:5:1:1</t>
  </si>
  <si>
    <t>de toestemming</t>
  </si>
  <si>
    <t>toestemming</t>
  </si>
  <si>
    <t>BWBR0040940:5:2:2</t>
  </si>
  <si>
    <t>die van zijn wettelijk vertegenwoordiger</t>
  </si>
  <si>
    <t>BWBR0040940:5:3:3</t>
  </si>
  <si>
    <t>Toestemming</t>
  </si>
  <si>
    <t>besluitvorming</t>
  </si>
  <si>
    <t>verkiesbaarheid</t>
  </si>
  <si>
    <t>BWBR0040940:5:4:5</t>
  </si>
  <si>
    <t>BWBR0040940:5:5:6</t>
  </si>
  <si>
    <t>BWBR0040940:6:3:1</t>
  </si>
  <si>
    <t>de verwerking van persoonsgegevens</t>
  </si>
  <si>
    <t>verwerking van persoonsgegevens</t>
  </si>
  <si>
    <t>BWBR0040940:6:4:2</t>
  </si>
  <si>
    <t>BWBR0040940:7:3:1</t>
  </si>
  <si>
    <t>De voorzitter, de andere leden en de buitengewone leden van de Autoriteit persoonsgegevens</t>
  </si>
  <si>
    <t>voorzitter | leden | buitengewone leden van de Autoriteit</t>
  </si>
  <si>
    <t>voorzitter van de instelling</t>
  </si>
  <si>
    <t>burgemeester</t>
  </si>
  <si>
    <t>voorzitter van de Commissie</t>
  </si>
  <si>
    <t>BWBR0040940:7:4:2</t>
  </si>
  <si>
    <t>aan de bij of krachtens artikel 5 van de Wet rechtspositie rechterlijke ambtenaren gestelde vereisten voor benoembaarheid tot rechter in een rechtbank</t>
  </si>
  <si>
    <t>vereisten voor benoembaarheid tot rechter in een rechtbank</t>
  </si>
  <si>
    <t>recht om voor het gerecht te treden</t>
  </si>
  <si>
    <t>beroep bij het Hof van justitie</t>
  </si>
  <si>
    <t>BWBR0040940:7:6:3</t>
  </si>
  <si>
    <t>De benoeming, bedoeld in het derde lid</t>
  </si>
  <si>
    <t>benoeming</t>
  </si>
  <si>
    <t>BWBR0040940:7:7:4</t>
  </si>
  <si>
    <t>BWBR0040940:7:8:5</t>
  </si>
  <si>
    <t>de voorzitter, de andere leden en de buitengewone leden van de Autoriteit persoonsgegevens</t>
  </si>
  <si>
    <t>BWBR0040940:7:10:6</t>
  </si>
  <si>
    <t>algemene aspecten van de bescherming van persoonsgegevens</t>
  </si>
  <si>
    <t>recht op privacy</t>
  </si>
  <si>
    <t>BWBR0040940:7:10:7</t>
  </si>
  <si>
    <t>De leden</t>
  </si>
  <si>
    <t>leden</t>
  </si>
  <si>
    <t>mandaat van de leden</t>
  </si>
  <si>
    <t>BWBR0040940:7:10:8</t>
  </si>
  <si>
    <t>Herbenoeming</t>
  </si>
  <si>
    <t>BWBR0040940:7:10:9</t>
  </si>
  <si>
    <t>de vergoeding van de kosten</t>
  </si>
  <si>
    <t>vergoeding van de kosten</t>
  </si>
  <si>
    <t>vergoeding</t>
  </si>
  <si>
    <t>BWBR0040940:9:whole:1</t>
  </si>
  <si>
    <t>De rechtspositie van de voorzitter, de andere leden en de buitengewone leden</t>
  </si>
  <si>
    <t>rechtspositie van de voorzitter, de andere leden en de buitengewone leden</t>
  </si>
  <si>
    <t>recht van vergadering</t>
  </si>
  <si>
    <t>aanstelling van de leden</t>
  </si>
  <si>
    <t>BWBR0040940:11:1:1</t>
  </si>
  <si>
    <t>een ontwerpbegroting</t>
  </si>
  <si>
    <t>ontwerpbegroting</t>
  </si>
  <si>
    <t>ontwerpautomatisering</t>
  </si>
  <si>
    <t>softwareontwerp</t>
  </si>
  <si>
    <t>reclamebudget</t>
  </si>
  <si>
    <t>BWBR0040940:11:2:2</t>
  </si>
  <si>
    <t>een budget</t>
  </si>
  <si>
    <t>budget</t>
  </si>
  <si>
    <t>BWBR0040940:11:3:3</t>
  </si>
  <si>
    <t>de begroting</t>
  </si>
  <si>
    <t>begroting</t>
  </si>
  <si>
    <t>begrotingspact (EU)</t>
  </si>
  <si>
    <t>belediging</t>
  </si>
  <si>
    <t>bedrog</t>
  </si>
  <si>
    <t>BWBR0040940:11:4:4</t>
  </si>
  <si>
    <t>De Autoriteit persoonsgegevens</t>
  </si>
  <si>
    <t>Autoriteit persoonsgegevens</t>
  </si>
  <si>
    <t>BWBR0040940:11:5:5</t>
  </si>
  <si>
    <t>de buitengewone leden</t>
  </si>
  <si>
    <t>buitengewone leden</t>
  </si>
  <si>
    <t>ontslag van de leden</t>
  </si>
  <si>
    <t>gemeenteraadslid</t>
  </si>
  <si>
    <t>BWBR0040940:11:5:6</t>
  </si>
  <si>
    <t>een verdeling van taken</t>
  </si>
  <si>
    <t>verdeling van taken</t>
  </si>
  <si>
    <t>verdeling van de bevoegdheden</t>
  </si>
  <si>
    <t>onverdeeldheid</t>
  </si>
  <si>
    <t>splitsing van onderneming</t>
  </si>
  <si>
    <t>BWBR0040940:13:1:1</t>
  </si>
  <si>
    <t>De artikelen 21 en 22 van de Kaderwet zelfstandige bestuursorganen</t>
  </si>
  <si>
    <t>BWBR0040940:14:1:1</t>
  </si>
  <si>
    <t>de taken</t>
  </si>
  <si>
    <t>BWBR0040940:14:1:2</t>
  </si>
  <si>
    <t>de bevoegdheden</t>
  </si>
  <si>
    <t>bevoegdheden</t>
  </si>
  <si>
    <t>institutionele bevoegdheid</t>
  </si>
  <si>
    <t>BWBR0040940:14:3:3</t>
  </si>
  <si>
    <t>BWBR0040940:14:5:4</t>
  </si>
  <si>
    <t>de termijn voor het geven van een beschikking</t>
  </si>
  <si>
    <t>termijn voor het geven van een beschikking</t>
  </si>
  <si>
    <t>BWBR0040940:14:7:5</t>
  </si>
  <si>
    <t>BWBR0040940:14:7:6</t>
  </si>
  <si>
    <t>hetgeen in de consultatie naar voren is gebracht</t>
  </si>
  <si>
    <t>BWBR0040940:14:8:7</t>
  </si>
  <si>
    <t>BWBR0040940:15:2:2</t>
  </si>
  <si>
    <t>een woning</t>
  </si>
  <si>
    <t>woning</t>
  </si>
  <si>
    <t>huiszoeking</t>
  </si>
  <si>
    <t>gemeente</t>
  </si>
  <si>
    <t>gevangenis</t>
  </si>
  <si>
    <t>BWBR0040940:15:3:3</t>
  </si>
  <si>
    <t>de uitdrukkelijke en bijzondere volmacht van de Autoriteit persoonsgegevens</t>
  </si>
  <si>
    <t>uitdrukkelijke en bijzondere volmacht van de Autoriteit persoonsgegevens</t>
  </si>
  <si>
    <t>BWBR0040940:15:4:4</t>
  </si>
  <si>
    <t>een geheimhoudingsplicht</t>
  </si>
  <si>
    <t>geheimhoudingsplicht</t>
  </si>
  <si>
    <t>geheimhouding van het vooronderzoek</t>
  </si>
  <si>
    <t>gehoorzaamheidsplicht</t>
  </si>
  <si>
    <t>BWBR0040940:16:1:1</t>
  </si>
  <si>
    <t>BWBR0040940:16:2:2</t>
  </si>
  <si>
    <t>De te betalen geldsom van een verbeurde dwangsom</t>
  </si>
  <si>
    <t>geldsom van een verbeurde dwangsom</t>
  </si>
  <si>
    <t>vervalste rekening</t>
  </si>
  <si>
    <t>BWBR0040940:17:1:1</t>
  </si>
  <si>
    <t>BWBR0040940:18:1:1</t>
  </si>
  <si>
    <t>BWBR0040940:18:3:2</t>
  </si>
  <si>
    <t>De bestuurlijke boete</t>
  </si>
  <si>
    <t>BWBR0040940:19:1:1</t>
  </si>
  <si>
    <t>afspraken</t>
  </si>
  <si>
    <t>communicatie</t>
  </si>
  <si>
    <t>afspraak tussen ondernemingen</t>
  </si>
  <si>
    <t>BWBR0040940:19:1:2</t>
  </si>
  <si>
    <t>samenwerkingsprotocollen</t>
  </si>
  <si>
    <t>publiek-private samenwerking</t>
  </si>
  <si>
    <t>intercommunale samenwerking</t>
  </si>
  <si>
    <t>BWBR0040940:19:2:4</t>
  </si>
  <si>
    <t>de gegevens betreffende de verwerking van persoonsgegevens</t>
  </si>
  <si>
    <t>gegevens betreffende de verwerking van persoonsgegevens</t>
  </si>
  <si>
    <t>BWBR0040940:19:2:5</t>
  </si>
  <si>
    <t>BWBR0040940:20:1:1</t>
  </si>
  <si>
    <t>een verzoek</t>
  </si>
  <si>
    <t>BWBR0040940:20:3:3</t>
  </si>
  <si>
    <t>andere op de zaak betrekking hebbende stukken</t>
  </si>
  <si>
    <t>op de zaak betrekking hebbende stukken</t>
  </si>
  <si>
    <t>verslag over de werkzaamheden (EU)</t>
  </si>
  <si>
    <t>BWBR0040940:20:6:6</t>
  </si>
  <si>
    <t>BWBR0040940:20:7:7</t>
  </si>
  <si>
    <t>BWBR0040940:20:8:8</t>
  </si>
  <si>
    <t>voorziening</t>
  </si>
  <si>
    <t>telefoonvoorziening</t>
  </si>
  <si>
    <t>BWBR0040940:21a:3:1</t>
  </si>
  <si>
    <t>een last</t>
  </si>
  <si>
    <t>BWBR0040940:21a:4:2</t>
  </si>
  <si>
    <t>BWBR0040940:21b:1:1</t>
  </si>
  <si>
    <t>een door haar genomen beschikking tot het opleggen van een bestuurlijke sanctie</t>
  </si>
  <si>
    <t>door haar genomen beschikking tot het opleggen van een bestuurlijke sanctie</t>
  </si>
  <si>
    <t>beschikking van de EG</t>
  </si>
  <si>
    <t>BWBR0040940:21b:2:2</t>
  </si>
  <si>
    <t>BWBR0040940:21b:3:3</t>
  </si>
  <si>
    <t>de openbaarmaking van de beschikking</t>
  </si>
  <si>
    <t>openbaarmaking van de beschikking</t>
  </si>
  <si>
    <t>openbaarheid van het besluitvormingsproces</t>
  </si>
  <si>
    <t>BWBR0040940:22:1:1</t>
  </si>
  <si>
    <t>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t>
  </si>
  <si>
    <t>verwerking van persoonsgegevens met betrekking tot iemands seksueel gedrag of seksuele gerichtheid | verwerking van genetische gegevens, biometrische gegevens met het oog op de unieke identificatie van een persoon | gegevens over gezondheid, of gegevens</t>
  </si>
  <si>
    <t>BWBR0040940:23:whole:1</t>
  </si>
  <si>
    <t>het verbod om bijzondere categorieën van persoonsgegevens te verwerken</t>
  </si>
  <si>
    <t>verbod om bijzondere categorieën van persoonsgegevens te verwerken</t>
  </si>
  <si>
    <t>beperking van de verblijfsvergunning</t>
  </si>
  <si>
    <t>BWBR0040940:23a:1:1</t>
  </si>
  <si>
    <t>BWBR0040940:23a:2:3</t>
  </si>
  <si>
    <t>BWBR0040940:24:whole:1</t>
  </si>
  <si>
    <t>BWBR0040940:25:whole:1</t>
  </si>
  <si>
    <t>het verbod om persoonsgegevens te verwerken waaruit ras of etnische afkomst blijkt</t>
  </si>
  <si>
    <t>verbod om persoonsgegevens te verwerken waaruit ras of etnische afkomst blijkt</t>
  </si>
  <si>
    <t>discriminatie op grond van nationaliteit</t>
  </si>
  <si>
    <t>etnische discriminatie</t>
  </si>
  <si>
    <t>BWBR0040940:26:whole:1</t>
  </si>
  <si>
    <t>het verbod om persoonsgegevens te verwerken waaruit politieke opvattingen blijken</t>
  </si>
  <si>
    <t>verbod om persoonsgegevens te verwerken waaruit politieke opvattingen blijken</t>
  </si>
  <si>
    <t>discriminatie op grond van politieke opvatting</t>
  </si>
  <si>
    <t>BWBR0040940:27:1:1</t>
  </si>
  <si>
    <t>het verbod om persoonsgegevens te verwerken waaruit religieuze of levensbeschouwelijke overtuigingen blijken</t>
  </si>
  <si>
    <t>verbod om persoonsgegevens te verwerken waaruit religieuze of levensbeschouwelijke overtuigingen blijken</t>
  </si>
  <si>
    <t>vrijheid van religie</t>
  </si>
  <si>
    <t>BWBR0040940:27:2:2</t>
  </si>
  <si>
    <t>persoonsgegevens</t>
  </si>
  <si>
    <t>BWBR0040940:28:1:1</t>
  </si>
  <si>
    <t>het verbod om genetische gegevens te verwerken</t>
  </si>
  <si>
    <t>verbod om genetische gegevens te verwerken</t>
  </si>
  <si>
    <t>BWBR0040940:28:2:2</t>
  </si>
  <si>
    <t>BWBR0040940:28:3:3</t>
  </si>
  <si>
    <t>Toestemming als bedoeld in het tweede lid, onderdeel b</t>
  </si>
  <si>
    <t>BWBR0040940:29:whole:1</t>
  </si>
  <si>
    <t>het verbod om biometrische gegevens met het oog op de unieke identificatie van een persoon te verwerken</t>
  </si>
  <si>
    <t>verbod om biometrische gegevens met het oog op de unieke identificatie van een persoon te verwerken</t>
  </si>
  <si>
    <t>BWBR0040940:30:2:1</t>
  </si>
  <si>
    <t>het verbod om gegevens over gezondheid te verwerken</t>
  </si>
  <si>
    <t>verbod om gegevens over gezondheid te verwerken</t>
  </si>
  <si>
    <t>recht op gezondheid</t>
  </si>
  <si>
    <t>BWBR0040940:30:3:2</t>
  </si>
  <si>
    <t>BWBR0040940:30:4:3</t>
  </si>
  <si>
    <t>de gegevens</t>
  </si>
  <si>
    <t>BWBR0040940:30:4:4</t>
  </si>
  <si>
    <t>BWBR0040940:30:5:5</t>
  </si>
  <si>
    <t>Het verbod om andere bijzondere categorieën van persoonsgegevens te verwerken</t>
  </si>
  <si>
    <t>verbod om andere bijzondere categorieën van persoonsgegevens te verwerken</t>
  </si>
  <si>
    <t>BWBR0040940:30:6:6</t>
  </si>
  <si>
    <t>BWBR0040940:30a:2:1</t>
  </si>
  <si>
    <t>de betrokkene</t>
  </si>
  <si>
    <t>betrokkene</t>
  </si>
  <si>
    <t>politieke betrokkenheid</t>
  </si>
  <si>
    <t>participatie</t>
  </si>
  <si>
    <t>beschuldigde</t>
  </si>
  <si>
    <t>BWBR0040940:30a:2:2</t>
  </si>
  <si>
    <t>de van toepassing zijnde rechten</t>
  </si>
  <si>
    <t>BWBR0040940:30a:2:3</t>
  </si>
  <si>
    <t>brede kenbaarheid</t>
  </si>
  <si>
    <t>brede maatschappelijke discussie</t>
  </si>
  <si>
    <t>alomvattende aanpak</t>
  </si>
  <si>
    <t>BWBR0040940:30a:3:4</t>
  </si>
  <si>
    <t>BWBR0040940:30a:4:5</t>
  </si>
  <si>
    <t>Het overdragen van dossiers</t>
  </si>
  <si>
    <t>dossiers</t>
  </si>
  <si>
    <t>document</t>
  </si>
  <si>
    <t>BWBR0040940:30a:5:6</t>
  </si>
  <si>
    <t>BWBR0040940:30b:1:1</t>
  </si>
  <si>
    <t>BWBR0040940:31:whole:1</t>
  </si>
  <si>
    <t>persoonsgegevens van strafrechtelijke aard</t>
  </si>
  <si>
    <t>strafrechtelijke aansprakelijkheid</t>
  </si>
  <si>
    <t>BWBR0040940:32:whole:1</t>
  </si>
  <si>
    <t>BWBR0040940:33:1:1</t>
  </si>
  <si>
    <t>BWBR0040940:33:1:2</t>
  </si>
  <si>
    <t>de verwerking</t>
  </si>
  <si>
    <t>verwerking</t>
  </si>
  <si>
    <t>beeldverwerking</t>
  </si>
  <si>
    <t>informatieverwerking</t>
  </si>
  <si>
    <t>tekstverwerking</t>
  </si>
  <si>
    <t>BWBR0040940:33:2:3</t>
  </si>
  <si>
    <t>Persoonsgegevens van strafrechtelijke aard</t>
  </si>
  <si>
    <t>BWBR0040940:33:3:4</t>
  </si>
  <si>
    <t>Persoonsgegevens van strafrechtelijke aard over personeel in dienst van de verwerkingsverantwoordelijke</t>
  </si>
  <si>
    <t>BWBR0040940:33:4:5</t>
  </si>
  <si>
    <t>BWBR0040940:33:5:6</t>
  </si>
  <si>
    <t>BWBR0040940:33:6:8</t>
  </si>
  <si>
    <t>BWBR0040940:34:whole:1</t>
  </si>
  <si>
    <t>Een schriftelijke beslissing op een verzoek als bedoeld in de artikelen 15 tot en met 22 van de verordening</t>
  </si>
  <si>
    <t>schriftelijke beslissing op een verzoek</t>
  </si>
  <si>
    <t>beslissing</t>
  </si>
  <si>
    <t>BWBR0040940:35:1:1</t>
  </si>
  <si>
    <t>het schriftelijk verzoek de verwerkingsverantwoordelijke te bevelen het verzoek als bedoeld in de artikelen 15 tot en met 22 van de verordening alsnog toe of af te wijzen</t>
  </si>
  <si>
    <t>schriftelijk verzoek de verwerkingsverantwoordelijke te bevelen het verzoek van de verordening alsnog toe of af te wijzen</t>
  </si>
  <si>
    <t>BWBR0040940:35:2:2</t>
  </si>
  <si>
    <t>Het verzoekschrift</t>
  </si>
  <si>
    <t>verzoekschrift</t>
  </si>
  <si>
    <t>proefschrift</t>
  </si>
  <si>
    <t>BWBR0040940:35:2:3</t>
  </si>
  <si>
    <t>de indiening van het verzoekschrift</t>
  </si>
  <si>
    <t>BWBR0040940:35:3:4</t>
  </si>
  <si>
    <t>de belanghebbenden</t>
  </si>
  <si>
    <t>belanghebbenden</t>
  </si>
  <si>
    <t>belangengroep</t>
  </si>
  <si>
    <t>algemeen belang</t>
  </si>
  <si>
    <t>BWBR0040940:35:3:5</t>
  </si>
  <si>
    <t>BWBR0040940:35:4:6</t>
  </si>
  <si>
    <t>BWBR0040940:36:1:1</t>
  </si>
  <si>
    <t>het beroep</t>
  </si>
  <si>
    <t>beroep</t>
  </si>
  <si>
    <t>beroepsrecht</t>
  </si>
  <si>
    <t>beroep door het personeel</t>
  </si>
  <si>
    <t>BWBR0040940:36:1:2</t>
  </si>
  <si>
    <t>de procedure ingevolge artikel 35</t>
  </si>
  <si>
    <t>procedure</t>
  </si>
  <si>
    <t>algemene procedure</t>
  </si>
  <si>
    <t>administratieve procedure</t>
  </si>
  <si>
    <t>comitéprocedure</t>
  </si>
  <si>
    <t>BWBR0040940:36:1:4</t>
  </si>
  <si>
    <t>BWBR0040940:36:2:5</t>
  </si>
  <si>
    <t>BWBR0040940:37:whole:1</t>
  </si>
  <si>
    <t>Een verwerking</t>
  </si>
  <si>
    <t>BWBR0040940:38:whole:1</t>
  </si>
  <si>
    <t>De werking van de beschikking tot oplegging van de bestuurlijke boete</t>
  </si>
  <si>
    <t>werking van de beschikking tot oplegging van de bestuurlijke boete</t>
  </si>
  <si>
    <t>vordering tot administratieve aansprakelijkheid</t>
  </si>
  <si>
    <t>BWBR0040940:39:whole:1</t>
  </si>
  <si>
    <t>hetgeen hem op grond van een klacht of een verzoek van betrokkene is bekend geworden</t>
  </si>
  <si>
    <t>BWBR0040940:40:1:1</t>
  </si>
  <si>
    <t>Artikel 22, eerste lid, van de verordening</t>
  </si>
  <si>
    <t>BWBR0040940:40:2:2</t>
  </si>
  <si>
    <t>passende maatregelen</t>
  </si>
  <si>
    <t>BWBR0040940:40:3:3</t>
  </si>
  <si>
    <t>passende maatregelen als bedoeld in het tweede lid</t>
  </si>
  <si>
    <t>BWBR0040940:41:1:1</t>
  </si>
  <si>
    <t>de verplichtingen en rechten, bedoeld in de artikelen 12 tot en met 21 en artikel 34 van de verordening</t>
  </si>
  <si>
    <t>verplichtingen | rechten</t>
  </si>
  <si>
    <t>BWBR0040940:43:2:1</t>
  </si>
  <si>
    <t>de navolgende hoofdstukken en artikelen van de verordening</t>
  </si>
  <si>
    <t>BWBR0040940:43:3:2</t>
  </si>
  <si>
    <t>De artikelen 9 en 10 van de verordening</t>
  </si>
  <si>
    <t>BWBR0040940:44:whole:1</t>
  </si>
  <si>
    <t>de artikelen 15, 16 en 18 van de verordening</t>
  </si>
  <si>
    <t>BWBR0040940:45:2:1</t>
  </si>
  <si>
    <t>inzage</t>
  </si>
  <si>
    <t>BWBR0040940:45:3:2</t>
  </si>
  <si>
    <t>zijn eigen lezing</t>
  </si>
  <si>
    <t>eigen lezing</t>
  </si>
  <si>
    <t>BWBR0040940:47:2:2</t>
  </si>
  <si>
    <t>Artikel 21 van de verordening</t>
  </si>
  <si>
    <t>BWBR0040940:47a:1:1</t>
  </si>
  <si>
    <t>BWBR0040940:47a:2:3</t>
  </si>
  <si>
    <t>passende waarborgen voor de rechten en vrijheden van de betrokkene</t>
  </si>
  <si>
    <t>bescherming van de rechten van de mens</t>
  </si>
  <si>
    <t>bescherming van vrijheden</t>
  </si>
  <si>
    <t>rechten van het individu</t>
  </si>
  <si>
    <t>BWBR0040940:47a:3:4</t>
  </si>
  <si>
    <t>het verbod om bijzondere categorieën van persoonsgegevens en persoonsgegevens van strafrechtelijke aard te verwerken</t>
  </si>
  <si>
    <t>verbod om bijzondere categorieën van persoonsgegevens en persoonsgegevens van strafrechtelijke aard te verwerken</t>
  </si>
  <si>
    <t>BWBR0040940:47a:4:5</t>
  </si>
  <si>
    <t>een verslag</t>
  </si>
  <si>
    <t>BWBR0040940:47a:6:6</t>
  </si>
  <si>
    <t>De instellingsregeling of het instellingsbesluit waarin een commissie als bedoeld in het eerste lid wordt ingesteld en waarin een regeling wordt getroffen met betrekking tot de verwerking van bijzondere categorieën van persoonsgegevens of strafrechtelijke persoonsgegevens</t>
  </si>
  <si>
    <t>instellingsregeling of het instellingsbesluit waarin een commissie wordt ingesteld en waarin een regeling wordt getroffen met betrekking tot de verwerking van bijzondere categorieën van persoonsgegevens of strafrechtelijke persoonsgegevens</t>
  </si>
  <si>
    <t>BWBR0040940:48:2:2</t>
  </si>
  <si>
    <t>BWBR0040940:48:4:3</t>
  </si>
  <si>
    <t>artikel 53, derde lid, eerste, tweede en derde volzin, van de Wet bescherming persoonsgegevens</t>
  </si>
  <si>
    <t>BWBR0040940:48:5:4</t>
  </si>
  <si>
    <t>BWBR0040940:48:7:5</t>
  </si>
  <si>
    <t>BWBR0040940:48:9:6</t>
  </si>
  <si>
    <t>het College bescherming persoonsgegevens</t>
  </si>
  <si>
    <t>College bescherming persoonsgegevens</t>
  </si>
  <si>
    <t>BWBR0040940:48:12:8</t>
  </si>
  <si>
    <t>regels of nadere regels</t>
  </si>
  <si>
    <t>regels | nadere regels</t>
  </si>
  <si>
    <t>BWBR0040940:48a:4:1</t>
  </si>
  <si>
    <t>welke vermogensbestanddelen van de Staat worden toebedeeld aan de Autoriteit persoonsgegevens</t>
  </si>
  <si>
    <t>vermogensbestanddelen van de Staat worden toebedeeld aan de Autoriteit persoonsgegevens</t>
  </si>
  <si>
    <t>BWBR0040940:48a:5:2</t>
  </si>
  <si>
    <t>De in het vierde lid bedoelde vermogensbestanddelen</t>
  </si>
  <si>
    <t>vermogensbestanddelen</t>
  </si>
  <si>
    <t>BWBR0040940:48a:6:3</t>
  </si>
  <si>
    <t>de overgang van die registergoederen</t>
  </si>
  <si>
    <t>overgang van die registergoederen</t>
  </si>
  <si>
    <t>verkoop op afbetaling</t>
  </si>
  <si>
    <t>aankoop op krediet</t>
  </si>
  <si>
    <t>BWBR0040940:48a:6:4</t>
  </si>
  <si>
    <t>Artikel 24, eerste lid, van Boek 3 van het Burgerlijk Wetboek</t>
  </si>
  <si>
    <t>BWBR0040940:48a:8:6</t>
  </si>
  <si>
    <t>BWBR0040940:48b:whole:1</t>
  </si>
  <si>
    <t>Het tweede lid van artikel 46</t>
  </si>
  <si>
    <t>verslag over de effecten in de praktijk | over de uitvoering van de wet in de praktijk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</si>
</sst>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name val="Arial"/>
    </font>
    <font>
      <sz val="11"/>
      <name val="Arial"/>
    </font>
    <font>
      <b/>
      <sz val="11"/>
      <name val="Arial"/>
    </font>
    <font>
      <sz val="11"/>
      <name val="Arial"/>
    </font>
    <font>
      <b/>
      <sz val="11"/>
      <color rgb="FFFFFFFF"/>
      <name val="Arial"/>
    </font>
    <font>
      <b/>
      <sz val="11"/>
      <name val="Arial"/>
    </font>
    <font>
      <i/>
      <sz val="11"/>
      <name val="Arial"/>
    </font>
  </fonts>
  <fills count="5">
    <fill>
      <patternFill patternType="none"/>
    </fill>
    <fill>
      <patternFill patternType="gray125"/>
    </fill>
    <fill>
      <patternFill patternType="solid">
        <fgColor rgb="FFFFF2CC"/>
      </patternFill>
    </fill>
    <fill>
      <patternFill patternType="solid">
        <fgColor rgb="FF1F3864"/>
      </patternFill>
    </fill>
    <fill>
      <patternFill patternType="solid">
        <fgColor rgb="FFEAF1DD"/>
      </patternFill>
    </fill>
  </fills>
  <borders count="2">
    <border>
      <left/>
      <right/>
      <top/>
      <bottom/>
      <diagonal/>
    </border>
    <border>
      <left/>
      <right/>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5" fillId="3" borderId="0" xfId="0" applyFont="1" applyFill="1" applyAlignment="1">
      <alignment vertical="center" wrapText="1"/>
    </xf>
    <xf numFmtId="0" fontId="4" fillId="0" borderId="0" xfId="0" applyFont="1"/>
    <xf numFmtId="0" fontId="4" fillId="2" borderId="0" xfId="0" applyFont="1" applyFill="1"/>
    <xf numFmtId="0" fontId="4" fillId="4" borderId="1" xfId="0" applyFont="1" applyFill="1" applyBorder="1" applyAlignment="1">
      <alignment vertical="top"/>
    </xf>
    <xf numFmtId="0" fontId="4" fillId="4" borderId="1" xfId="0" applyFont="1" applyFill="1" applyBorder="1" applyAlignment="1">
      <alignment vertical="top" wrapText="1"/>
    </xf>
    <xf numFmtId="2" fontId="4" fillId="4" borderId="1" xfId="0" applyNumberFormat="1"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9" fontId="4" fillId="0" borderId="0" xfId="0" applyNumberFormat="1" applyFont="1"/>
    <xf numFmtId="0" fontId="6" fillId="0" borderId="0" xfId="0" applyFont="1"/>
    <xf numFmtId="9" fontId="6" fillId="0" borderId="0" xfId="0" applyNumberFormat="1" applyFont="1"/>
    <xf numFmtId="0" fontId="7" fillId="0" borderId="0" xfId="0" applyFont="1"/>
    <xf numFmtId="0" fontId="4"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workbookViewId="0"/>
  </sheetViews>
  <sheetFormatPr defaultRowHeight="14.5" x14ac:dyDescent="0.35"/>
  <cols>
    <col min="1" max="1" width="45" customWidth="1"/>
    <col min="2" max="7" width="18" customWidth="1"/>
  </cols>
  <sheetData>
    <row r="1" spans="1:1" ht="16.5" x14ac:dyDescent="0.35">
      <c r="A1" s="1" t="s">
        <v>380</v>
      </c>
    </row>
    <row r="2" spans="1:1" x14ac:dyDescent="0.35">
      <c r="A2" s="2"/>
    </row>
    <row r="3" spans="1:1" x14ac:dyDescent="0.35">
      <c r="A3" s="3" t="s">
        <v>381</v>
      </c>
    </row>
    <row r="4" spans="1:1" x14ac:dyDescent="0.35">
      <c r="A4" s="2" t="s">
        <v>382</v>
      </c>
    </row>
    <row r="5" spans="1:1" x14ac:dyDescent="0.35">
      <c r="A5" s="2" t="s">
        <v>383</v>
      </c>
    </row>
    <row r="6" spans="1:1" x14ac:dyDescent="0.35">
      <c r="A6" s="2" t="s">
        <v>384</v>
      </c>
    </row>
    <row r="7" spans="1:1" x14ac:dyDescent="0.35">
      <c r="A7" s="2" t="s">
        <v>385</v>
      </c>
    </row>
    <row r="8" spans="1:1" x14ac:dyDescent="0.35">
      <c r="A8" s="2"/>
    </row>
    <row r="9" spans="1:1" x14ac:dyDescent="0.35">
      <c r="A9" s="3" t="s">
        <v>386</v>
      </c>
    </row>
    <row r="10" spans="1:1" x14ac:dyDescent="0.35">
      <c r="A10" s="2" t="s">
        <v>387</v>
      </c>
    </row>
    <row r="11" spans="1:1" x14ac:dyDescent="0.35">
      <c r="A11" s="2" t="s">
        <v>388</v>
      </c>
    </row>
    <row r="12" spans="1:1" x14ac:dyDescent="0.35">
      <c r="A12" s="2" t="s">
        <v>389</v>
      </c>
    </row>
    <row r="13" spans="1:1" x14ac:dyDescent="0.35">
      <c r="A13" s="2" t="s">
        <v>390</v>
      </c>
    </row>
    <row r="14" spans="1:1" x14ac:dyDescent="0.35">
      <c r="A14" s="2" t="s">
        <v>391</v>
      </c>
    </row>
    <row r="15" spans="1:1" x14ac:dyDescent="0.35">
      <c r="A15" s="2"/>
    </row>
    <row r="16" spans="1:1" x14ac:dyDescent="0.35">
      <c r="A16" s="3" t="s">
        <v>392</v>
      </c>
    </row>
    <row r="17" spans="1:7" x14ac:dyDescent="0.35">
      <c r="A17" s="2" t="s">
        <v>393</v>
      </c>
    </row>
    <row r="18" spans="1:7" x14ac:dyDescent="0.35">
      <c r="A18" s="2" t="s">
        <v>394</v>
      </c>
    </row>
    <row r="19" spans="1:7" x14ac:dyDescent="0.35">
      <c r="A19" s="2" t="s">
        <v>395</v>
      </c>
    </row>
    <row r="20" spans="1:7" x14ac:dyDescent="0.35">
      <c r="A20" s="2" t="s">
        <v>396</v>
      </c>
    </row>
    <row r="21" spans="1:7" x14ac:dyDescent="0.35">
      <c r="A21" s="2" t="s">
        <v>397</v>
      </c>
    </row>
    <row r="22" spans="1:7" x14ac:dyDescent="0.35">
      <c r="A22" s="2" t="s">
        <v>398</v>
      </c>
    </row>
    <row r="23" spans="1:7" x14ac:dyDescent="0.35">
      <c r="A23" s="2" t="s">
        <v>399</v>
      </c>
    </row>
    <row r="24" spans="1:7" x14ac:dyDescent="0.35">
      <c r="A24" s="2" t="s">
        <v>400</v>
      </c>
    </row>
    <row r="25" spans="1:7" x14ac:dyDescent="0.35">
      <c r="A25" s="2" t="s">
        <v>401</v>
      </c>
    </row>
    <row r="26" spans="1:7" x14ac:dyDescent="0.35">
      <c r="A26" s="2" t="s">
        <v>402</v>
      </c>
    </row>
    <row r="27" spans="1:7" x14ac:dyDescent="0.35">
      <c r="A27" s="2"/>
    </row>
    <row r="28" spans="1:7" x14ac:dyDescent="0.35">
      <c r="A28" s="3" t="s">
        <v>403</v>
      </c>
    </row>
    <row r="29" spans="1:7" x14ac:dyDescent="0.35">
      <c r="A29" s="4" t="s">
        <v>2</v>
      </c>
      <c r="B29" s="4" t="s">
        <v>6</v>
      </c>
      <c r="C29" s="4" t="s">
        <v>8</v>
      </c>
      <c r="D29" s="4" t="s">
        <v>9</v>
      </c>
      <c r="E29" s="4" t="s">
        <v>18</v>
      </c>
      <c r="F29" s="4" t="s">
        <v>19</v>
      </c>
      <c r="G29" s="4" t="s">
        <v>20</v>
      </c>
    </row>
    <row r="30" spans="1:7" x14ac:dyDescent="0.35">
      <c r="A30" s="5" t="s">
        <v>404</v>
      </c>
      <c r="B30" s="5" t="s">
        <v>5</v>
      </c>
      <c r="C30" s="5" t="s">
        <v>42</v>
      </c>
      <c r="D30" s="5">
        <v>0.8</v>
      </c>
      <c r="E30" s="6" t="s">
        <v>405</v>
      </c>
      <c r="F30" s="6" t="s">
        <v>158</v>
      </c>
      <c r="G30" s="6" t="s">
        <v>406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5"/>
  <sheetViews>
    <sheetView tabSelected="1" workbookViewId="0">
      <pane xSplit="3" ySplit="1" topLeftCell="R2" activePane="bottomRight" state="frozen"/>
      <selection pane="topRight"/>
      <selection pane="bottomLeft"/>
      <selection pane="bottomRight" activeCell="S2" sqref="S2"/>
    </sheetView>
  </sheetViews>
  <sheetFormatPr defaultRowHeight="14.5" x14ac:dyDescent="0.35"/>
  <cols>
    <col min="1" max="1" width="11" customWidth="1"/>
    <col min="2" max="2" width="18" customWidth="1"/>
    <col min="3" max="4" width="40" customWidth="1"/>
    <col min="5" max="6" width="16" customWidth="1"/>
    <col min="7" max="7" width="11" customWidth="1"/>
    <col min="8" max="8" width="16" customWidth="1"/>
    <col min="9" max="9" width="26" customWidth="1"/>
    <col min="10" max="10" width="8" customWidth="1"/>
    <col min="11" max="11" width="7" customWidth="1"/>
    <col min="12" max="12" width="22" customWidth="1"/>
    <col min="13" max="13" width="8" customWidth="1"/>
    <col min="14" max="14" width="22" customWidth="1"/>
    <col min="15" max="15" width="8" customWidth="1"/>
    <col min="16" max="16" width="9" customWidth="1"/>
    <col min="17" max="17" width="18" customWidth="1"/>
    <col min="18" max="18" width="60" customWidth="1"/>
    <col min="19" max="19" width="12" customWidth="1"/>
    <col min="20" max="20" width="22" customWidth="1"/>
    <col min="21" max="21" width="30" customWidth="1"/>
  </cols>
  <sheetData>
    <row r="1" spans="1:2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ht="70" x14ac:dyDescent="0.35">
      <c r="A2" s="7" t="s">
        <v>21</v>
      </c>
      <c r="B2" s="7" t="s">
        <v>22</v>
      </c>
      <c r="C2" s="8" t="s">
        <v>23</v>
      </c>
      <c r="D2" s="8" t="s">
        <v>24</v>
      </c>
      <c r="E2" s="7" t="s">
        <v>22</v>
      </c>
      <c r="F2" s="7" t="s">
        <v>23</v>
      </c>
      <c r="G2" s="7" t="s">
        <v>22</v>
      </c>
      <c r="H2" s="7" t="s">
        <v>23</v>
      </c>
      <c r="I2" s="7" t="s">
        <v>25</v>
      </c>
      <c r="J2" s="9">
        <v>1</v>
      </c>
      <c r="K2" s="7"/>
      <c r="L2" s="7"/>
      <c r="M2" s="9"/>
      <c r="N2" s="7"/>
      <c r="O2" s="9"/>
      <c r="P2" s="7">
        <v>1</v>
      </c>
      <c r="Q2" s="7" t="s">
        <v>26</v>
      </c>
      <c r="R2" s="8" t="s">
        <v>27</v>
      </c>
      <c r="S2" s="10"/>
      <c r="T2" s="10"/>
      <c r="U2" s="11"/>
    </row>
    <row r="3" spans="1:21" ht="98" x14ac:dyDescent="0.35">
      <c r="A3" s="7" t="s">
        <v>21</v>
      </c>
      <c r="B3" s="7" t="s">
        <v>22</v>
      </c>
      <c r="C3" s="8" t="s">
        <v>28</v>
      </c>
      <c r="D3" s="8" t="s">
        <v>29</v>
      </c>
      <c r="E3" s="7" t="s">
        <v>22</v>
      </c>
      <c r="F3" s="7" t="s">
        <v>28</v>
      </c>
      <c r="G3" s="7" t="s">
        <v>22</v>
      </c>
      <c r="H3" s="7" t="s">
        <v>28</v>
      </c>
      <c r="I3" s="7" t="s">
        <v>30</v>
      </c>
      <c r="J3" s="9">
        <v>1</v>
      </c>
      <c r="K3" s="7"/>
      <c r="L3" s="7"/>
      <c r="M3" s="9"/>
      <c r="N3" s="7"/>
      <c r="O3" s="9"/>
      <c r="P3" s="7">
        <v>2</v>
      </c>
      <c r="Q3" s="7" t="s">
        <v>31</v>
      </c>
      <c r="R3" s="8" t="s">
        <v>32</v>
      </c>
      <c r="S3" s="10"/>
      <c r="T3" s="10"/>
      <c r="U3" s="11"/>
    </row>
    <row r="4" spans="1:21" ht="42" x14ac:dyDescent="0.35">
      <c r="A4" s="7" t="s">
        <v>21</v>
      </c>
      <c r="B4" s="7" t="s">
        <v>22</v>
      </c>
      <c r="C4" s="8" t="s">
        <v>33</v>
      </c>
      <c r="D4" s="8" t="s">
        <v>34</v>
      </c>
      <c r="E4" s="7" t="s">
        <v>22</v>
      </c>
      <c r="F4" s="7" t="s">
        <v>35</v>
      </c>
      <c r="G4" s="7" t="s">
        <v>22</v>
      </c>
      <c r="H4" s="7" t="s">
        <v>35</v>
      </c>
      <c r="I4" s="7" t="s">
        <v>36</v>
      </c>
      <c r="J4" s="9">
        <v>1</v>
      </c>
      <c r="K4" s="7"/>
      <c r="L4" s="7"/>
      <c r="M4" s="9"/>
      <c r="N4" s="7"/>
      <c r="O4" s="9"/>
      <c r="P4" s="7">
        <v>1</v>
      </c>
      <c r="Q4" s="7" t="s">
        <v>37</v>
      </c>
      <c r="R4" s="8" t="s">
        <v>38</v>
      </c>
      <c r="S4" s="10"/>
      <c r="T4" s="10"/>
      <c r="U4" s="11"/>
    </row>
    <row r="5" spans="1:21" ht="42" x14ac:dyDescent="0.35">
      <c r="A5" s="7" t="s">
        <v>21</v>
      </c>
      <c r="B5" s="7" t="s">
        <v>22</v>
      </c>
      <c r="C5" s="8" t="s">
        <v>39</v>
      </c>
      <c r="D5" s="8" t="s">
        <v>34</v>
      </c>
      <c r="E5" s="7" t="s">
        <v>22</v>
      </c>
      <c r="F5" s="7" t="s">
        <v>40</v>
      </c>
      <c r="G5" s="7" t="s">
        <v>22</v>
      </c>
      <c r="H5" s="7" t="s">
        <v>41</v>
      </c>
      <c r="I5" s="7" t="s">
        <v>39</v>
      </c>
      <c r="J5" s="9">
        <v>1</v>
      </c>
      <c r="K5" s="7"/>
      <c r="L5" s="7"/>
      <c r="M5" s="9"/>
      <c r="N5" s="7"/>
      <c r="O5" s="9"/>
      <c r="P5" s="7">
        <v>1</v>
      </c>
      <c r="Q5" s="7" t="s">
        <v>37</v>
      </c>
      <c r="R5" s="8" t="s">
        <v>38</v>
      </c>
      <c r="S5" s="10"/>
      <c r="T5" s="10"/>
      <c r="U5" s="11"/>
    </row>
    <row r="6" spans="1:21" ht="84" x14ac:dyDescent="0.35">
      <c r="A6" s="7" t="s">
        <v>21</v>
      </c>
      <c r="B6" s="7" t="s">
        <v>22</v>
      </c>
      <c r="C6" s="8" t="s">
        <v>42</v>
      </c>
      <c r="D6" s="8" t="s">
        <v>43</v>
      </c>
      <c r="E6" s="7" t="s">
        <v>22</v>
      </c>
      <c r="F6" s="7" t="s">
        <v>42</v>
      </c>
      <c r="G6" s="7" t="s">
        <v>22</v>
      </c>
      <c r="H6" s="7" t="s">
        <v>42</v>
      </c>
      <c r="I6" s="7" t="s">
        <v>42</v>
      </c>
      <c r="J6" s="9">
        <v>1</v>
      </c>
      <c r="K6" s="7"/>
      <c r="L6" s="7"/>
      <c r="M6" s="9"/>
      <c r="N6" s="7"/>
      <c r="O6" s="9"/>
      <c r="P6" s="7">
        <v>8</v>
      </c>
      <c r="Q6" s="7" t="s">
        <v>44</v>
      </c>
      <c r="R6" s="8" t="s">
        <v>45</v>
      </c>
      <c r="S6" s="10"/>
      <c r="T6" s="10"/>
      <c r="U6" s="11"/>
    </row>
    <row r="7" spans="1:21" ht="70" x14ac:dyDescent="0.35">
      <c r="A7" s="7" t="s">
        <v>21</v>
      </c>
      <c r="B7" s="7" t="s">
        <v>22</v>
      </c>
      <c r="C7" s="8" t="s">
        <v>46</v>
      </c>
      <c r="D7" s="8" t="s">
        <v>47</v>
      </c>
      <c r="E7" s="7" t="s">
        <v>22</v>
      </c>
      <c r="F7" s="7" t="s">
        <v>46</v>
      </c>
      <c r="G7" s="7" t="s">
        <v>22</v>
      </c>
      <c r="H7" s="7" t="s">
        <v>46</v>
      </c>
      <c r="I7" s="7" t="s">
        <v>48</v>
      </c>
      <c r="J7" s="9">
        <v>1</v>
      </c>
      <c r="K7" s="7"/>
      <c r="L7" s="7"/>
      <c r="M7" s="9"/>
      <c r="N7" s="7"/>
      <c r="O7" s="9"/>
      <c r="P7" s="7">
        <v>2</v>
      </c>
      <c r="Q7" s="7" t="s">
        <v>49</v>
      </c>
      <c r="R7" s="8" t="s">
        <v>50</v>
      </c>
      <c r="S7" s="10"/>
      <c r="T7" s="10"/>
      <c r="U7" s="11"/>
    </row>
    <row r="8" spans="1:21" ht="56" x14ac:dyDescent="0.35">
      <c r="A8" s="7" t="s">
        <v>21</v>
      </c>
      <c r="B8" s="7" t="s">
        <v>22</v>
      </c>
      <c r="C8" s="8" t="s">
        <v>51</v>
      </c>
      <c r="D8" s="8" t="s">
        <v>52</v>
      </c>
      <c r="E8" s="7" t="s">
        <v>22</v>
      </c>
      <c r="F8" s="7" t="s">
        <v>51</v>
      </c>
      <c r="G8" s="7" t="s">
        <v>22</v>
      </c>
      <c r="H8" s="7" t="s">
        <v>51</v>
      </c>
      <c r="I8" s="7" t="s">
        <v>53</v>
      </c>
      <c r="J8" s="9">
        <v>1</v>
      </c>
      <c r="K8" s="7"/>
      <c r="L8" s="7"/>
      <c r="M8" s="9"/>
      <c r="N8" s="7"/>
      <c r="O8" s="9"/>
      <c r="P8" s="7">
        <v>1</v>
      </c>
      <c r="Q8" s="7" t="s">
        <v>54</v>
      </c>
      <c r="R8" s="8" t="s">
        <v>55</v>
      </c>
      <c r="S8" s="10"/>
      <c r="T8" s="10"/>
      <c r="U8" s="11"/>
    </row>
    <row r="9" spans="1:21" ht="70" x14ac:dyDescent="0.35">
      <c r="A9" s="7" t="s">
        <v>21</v>
      </c>
      <c r="B9" s="7" t="s">
        <v>22</v>
      </c>
      <c r="C9" s="8" t="s">
        <v>56</v>
      </c>
      <c r="D9" s="8" t="s">
        <v>57</v>
      </c>
      <c r="E9" s="7" t="s">
        <v>22</v>
      </c>
      <c r="F9" s="7" t="s">
        <v>51</v>
      </c>
      <c r="G9" s="7" t="s">
        <v>22</v>
      </c>
      <c r="H9" s="7" t="s">
        <v>51</v>
      </c>
      <c r="I9" s="7" t="s">
        <v>53</v>
      </c>
      <c r="J9" s="9">
        <v>1</v>
      </c>
      <c r="K9" s="7"/>
      <c r="L9" s="7"/>
      <c r="M9" s="9"/>
      <c r="N9" s="7"/>
      <c r="O9" s="9"/>
      <c r="P9" s="7">
        <v>4</v>
      </c>
      <c r="Q9" s="7" t="s">
        <v>58</v>
      </c>
      <c r="R9" s="8" t="s">
        <v>59</v>
      </c>
      <c r="S9" s="10"/>
      <c r="T9" s="10"/>
      <c r="U9" s="11"/>
    </row>
    <row r="10" spans="1:21" ht="42" x14ac:dyDescent="0.35">
      <c r="A10" s="7" t="s">
        <v>21</v>
      </c>
      <c r="B10" s="7" t="s">
        <v>22</v>
      </c>
      <c r="C10" s="8" t="s">
        <v>60</v>
      </c>
      <c r="D10" s="8" t="s">
        <v>61</v>
      </c>
      <c r="E10" s="7" t="s">
        <v>22</v>
      </c>
      <c r="F10" s="7" t="s">
        <v>62</v>
      </c>
      <c r="G10" s="7" t="s">
        <v>22</v>
      </c>
      <c r="H10" s="7" t="s">
        <v>62</v>
      </c>
      <c r="I10" s="7" t="s">
        <v>63</v>
      </c>
      <c r="J10" s="9">
        <v>1</v>
      </c>
      <c r="K10" s="7"/>
      <c r="L10" s="7"/>
      <c r="M10" s="9"/>
      <c r="N10" s="7"/>
      <c r="O10" s="9"/>
      <c r="P10" s="7">
        <v>2</v>
      </c>
      <c r="Q10" s="7" t="s">
        <v>64</v>
      </c>
      <c r="R10" s="8" t="s">
        <v>65</v>
      </c>
      <c r="S10" s="10"/>
      <c r="T10" s="10"/>
      <c r="U10" s="11"/>
    </row>
    <row r="11" spans="1:21" ht="42" x14ac:dyDescent="0.35">
      <c r="A11" s="7" t="s">
        <v>21</v>
      </c>
      <c r="B11" s="7" t="s">
        <v>22</v>
      </c>
      <c r="C11" s="8" t="s">
        <v>66</v>
      </c>
      <c r="D11" s="8" t="s">
        <v>67</v>
      </c>
      <c r="E11" s="7" t="s">
        <v>22</v>
      </c>
      <c r="F11" s="7" t="s">
        <v>66</v>
      </c>
      <c r="G11" s="7" t="s">
        <v>22</v>
      </c>
      <c r="H11" s="7" t="s">
        <v>66</v>
      </c>
      <c r="I11" s="7" t="s">
        <v>66</v>
      </c>
      <c r="J11" s="9">
        <v>1</v>
      </c>
      <c r="K11" s="7"/>
      <c r="L11" s="7"/>
      <c r="M11" s="9"/>
      <c r="N11" s="7"/>
      <c r="O11" s="9"/>
      <c r="P11" s="7">
        <v>2</v>
      </c>
      <c r="Q11" s="7" t="s">
        <v>68</v>
      </c>
      <c r="R11" s="8" t="s">
        <v>69</v>
      </c>
      <c r="S11" s="10"/>
      <c r="T11" s="10"/>
      <c r="U11" s="11"/>
    </row>
    <row r="12" spans="1:21" ht="56" x14ac:dyDescent="0.35">
      <c r="A12" s="7" t="s">
        <v>21</v>
      </c>
      <c r="B12" s="7" t="s">
        <v>5</v>
      </c>
      <c r="C12" s="8" t="s">
        <v>70</v>
      </c>
      <c r="D12" s="8" t="s">
        <v>71</v>
      </c>
      <c r="E12" s="7" t="s">
        <v>5</v>
      </c>
      <c r="F12" s="7" t="s">
        <v>72</v>
      </c>
      <c r="G12" s="7" t="s">
        <v>5</v>
      </c>
      <c r="H12" s="7" t="s">
        <v>72</v>
      </c>
      <c r="I12" s="7" t="s">
        <v>73</v>
      </c>
      <c r="J12" s="9">
        <v>0.8</v>
      </c>
      <c r="K12" s="7"/>
      <c r="L12" s="7"/>
      <c r="M12" s="9"/>
      <c r="N12" s="7"/>
      <c r="O12" s="9"/>
      <c r="P12" s="7">
        <v>2</v>
      </c>
      <c r="Q12" s="7" t="s">
        <v>74</v>
      </c>
      <c r="R12" s="8" t="s">
        <v>75</v>
      </c>
      <c r="S12" s="10"/>
      <c r="T12" s="10"/>
      <c r="U12" s="11"/>
    </row>
    <row r="13" spans="1:21" ht="409.5" x14ac:dyDescent="0.35">
      <c r="A13" s="7" t="s">
        <v>21</v>
      </c>
      <c r="B13" s="7" t="s">
        <v>5</v>
      </c>
      <c r="C13" s="8" t="s">
        <v>76</v>
      </c>
      <c r="D13" s="8" t="s">
        <v>77</v>
      </c>
      <c r="E13" s="7" t="s">
        <v>5</v>
      </c>
      <c r="F13" s="7" t="s">
        <v>78</v>
      </c>
      <c r="G13" s="7" t="s">
        <v>5</v>
      </c>
      <c r="H13" s="7" t="s">
        <v>78</v>
      </c>
      <c r="I13" s="7" t="s">
        <v>78</v>
      </c>
      <c r="J13" s="9">
        <v>0.8</v>
      </c>
      <c r="K13" s="7"/>
      <c r="L13" s="7"/>
      <c r="M13" s="9"/>
      <c r="N13" s="7"/>
      <c r="O13" s="9"/>
      <c r="P13" s="7">
        <v>1</v>
      </c>
      <c r="Q13" s="7" t="s">
        <v>79</v>
      </c>
      <c r="R13" s="8" t="s">
        <v>80</v>
      </c>
      <c r="S13" s="10"/>
      <c r="T13" s="10"/>
      <c r="U13" s="11"/>
    </row>
    <row r="14" spans="1:21" ht="98" x14ac:dyDescent="0.35">
      <c r="A14" s="7" t="s">
        <v>21</v>
      </c>
      <c r="B14" s="7" t="s">
        <v>5</v>
      </c>
      <c r="C14" s="8" t="s">
        <v>81</v>
      </c>
      <c r="D14" s="8" t="s">
        <v>29</v>
      </c>
      <c r="E14" s="7" t="s">
        <v>22</v>
      </c>
      <c r="F14" s="7" t="s">
        <v>42</v>
      </c>
      <c r="G14" s="7" t="s">
        <v>5</v>
      </c>
      <c r="H14" s="7" t="s">
        <v>42</v>
      </c>
      <c r="I14" s="7" t="s">
        <v>42</v>
      </c>
      <c r="J14" s="9">
        <v>0.8</v>
      </c>
      <c r="K14" s="7"/>
      <c r="L14" s="7"/>
      <c r="M14" s="9"/>
      <c r="N14" s="7"/>
      <c r="O14" s="9"/>
      <c r="P14" s="7">
        <v>1</v>
      </c>
      <c r="Q14" s="7" t="s">
        <v>31</v>
      </c>
      <c r="R14" s="8" t="s">
        <v>32</v>
      </c>
      <c r="S14" s="10"/>
      <c r="T14" s="10"/>
      <c r="U14" s="11"/>
    </row>
    <row r="15" spans="1:21" ht="70" x14ac:dyDescent="0.35">
      <c r="A15" s="7" t="s">
        <v>21</v>
      </c>
      <c r="B15" s="7" t="s">
        <v>5</v>
      </c>
      <c r="C15" s="8" t="s">
        <v>82</v>
      </c>
      <c r="D15" s="8"/>
      <c r="E15" s="7" t="s">
        <v>5</v>
      </c>
      <c r="F15" s="7" t="s">
        <v>42</v>
      </c>
      <c r="G15" s="7" t="s">
        <v>5</v>
      </c>
      <c r="H15" s="7" t="s">
        <v>42</v>
      </c>
      <c r="I15" s="7" t="s">
        <v>42</v>
      </c>
      <c r="J15" s="9">
        <v>0.8</v>
      </c>
      <c r="K15" s="7"/>
      <c r="L15" s="7"/>
      <c r="M15" s="9"/>
      <c r="N15" s="7"/>
      <c r="O15" s="9"/>
      <c r="P15" s="7">
        <v>1</v>
      </c>
      <c r="Q15" s="7" t="s">
        <v>83</v>
      </c>
      <c r="R15" s="8" t="s">
        <v>84</v>
      </c>
      <c r="S15" s="10"/>
      <c r="T15" s="10"/>
      <c r="U15" s="11"/>
    </row>
    <row r="16" spans="1:21" ht="70" x14ac:dyDescent="0.35">
      <c r="A16" s="7" t="s">
        <v>21</v>
      </c>
      <c r="B16" s="7" t="s">
        <v>5</v>
      </c>
      <c r="C16" s="8" t="s">
        <v>85</v>
      </c>
      <c r="D16" s="8"/>
      <c r="E16" s="7" t="s">
        <v>5</v>
      </c>
      <c r="F16" s="7" t="s">
        <v>42</v>
      </c>
      <c r="G16" s="7" t="s">
        <v>5</v>
      </c>
      <c r="H16" s="7" t="s">
        <v>42</v>
      </c>
      <c r="I16" s="7" t="s">
        <v>42</v>
      </c>
      <c r="J16" s="9">
        <v>0.8</v>
      </c>
      <c r="K16" s="7"/>
      <c r="L16" s="7"/>
      <c r="M16" s="9"/>
      <c r="N16" s="7"/>
      <c r="O16" s="9"/>
      <c r="P16" s="7">
        <v>1</v>
      </c>
      <c r="Q16" s="7" t="s">
        <v>86</v>
      </c>
      <c r="R16" s="8" t="s">
        <v>87</v>
      </c>
      <c r="S16" s="10"/>
      <c r="T16" s="10"/>
      <c r="U16" s="11"/>
    </row>
    <row r="17" spans="1:21" ht="70" x14ac:dyDescent="0.35">
      <c r="A17" s="7" t="s">
        <v>21</v>
      </c>
      <c r="B17" s="7" t="s">
        <v>5</v>
      </c>
      <c r="C17" s="8" t="s">
        <v>88</v>
      </c>
      <c r="D17" s="8" t="s">
        <v>89</v>
      </c>
      <c r="E17" s="7" t="s">
        <v>5</v>
      </c>
      <c r="F17" s="7" t="s">
        <v>90</v>
      </c>
      <c r="G17" s="7" t="s">
        <v>5</v>
      </c>
      <c r="H17" s="7" t="s">
        <v>90</v>
      </c>
      <c r="I17" s="7" t="s">
        <v>90</v>
      </c>
      <c r="J17" s="9">
        <v>0.8</v>
      </c>
      <c r="K17" s="7"/>
      <c r="L17" s="7"/>
      <c r="M17" s="9"/>
      <c r="N17" s="7"/>
      <c r="O17" s="9"/>
      <c r="P17" s="7">
        <v>1</v>
      </c>
      <c r="Q17" s="7" t="s">
        <v>91</v>
      </c>
      <c r="R17" s="8" t="s">
        <v>92</v>
      </c>
      <c r="S17" s="10"/>
      <c r="T17" s="10"/>
      <c r="U17" s="11"/>
    </row>
    <row r="18" spans="1:21" ht="84" x14ac:dyDescent="0.35">
      <c r="A18" s="7" t="s">
        <v>21</v>
      </c>
      <c r="B18" s="7" t="s">
        <v>5</v>
      </c>
      <c r="C18" s="8" t="s">
        <v>93</v>
      </c>
      <c r="D18" s="8"/>
      <c r="E18" s="7" t="s">
        <v>5</v>
      </c>
      <c r="F18" s="7" t="s">
        <v>42</v>
      </c>
      <c r="G18" s="7" t="s">
        <v>5</v>
      </c>
      <c r="H18" s="7" t="s">
        <v>42</v>
      </c>
      <c r="I18" s="7" t="s">
        <v>42</v>
      </c>
      <c r="J18" s="9">
        <v>0.8</v>
      </c>
      <c r="K18" s="7"/>
      <c r="L18" s="7"/>
      <c r="M18" s="9"/>
      <c r="N18" s="7"/>
      <c r="O18" s="9"/>
      <c r="P18" s="7">
        <v>1</v>
      </c>
      <c r="Q18" s="7" t="s">
        <v>94</v>
      </c>
      <c r="R18" s="8" t="s">
        <v>95</v>
      </c>
      <c r="S18" s="10"/>
      <c r="T18" s="10"/>
      <c r="U18" s="11"/>
    </row>
    <row r="19" spans="1:21" ht="42" x14ac:dyDescent="0.35">
      <c r="A19" s="7" t="s">
        <v>21</v>
      </c>
      <c r="B19" s="7" t="s">
        <v>5</v>
      </c>
      <c r="C19" s="8" t="s">
        <v>96</v>
      </c>
      <c r="D19" s="8" t="s">
        <v>97</v>
      </c>
      <c r="E19" s="7" t="s">
        <v>5</v>
      </c>
      <c r="F19" s="7" t="s">
        <v>98</v>
      </c>
      <c r="G19" s="7" t="s">
        <v>5</v>
      </c>
      <c r="H19" s="7" t="s">
        <v>98</v>
      </c>
      <c r="I19" s="7" t="s">
        <v>98</v>
      </c>
      <c r="J19" s="9">
        <v>0.8</v>
      </c>
      <c r="K19" s="7"/>
      <c r="L19" s="7"/>
      <c r="M19" s="9"/>
      <c r="N19" s="7"/>
      <c r="O19" s="9"/>
      <c r="P19" s="7">
        <v>1</v>
      </c>
      <c r="Q19" s="7" t="s">
        <v>99</v>
      </c>
      <c r="R19" s="8" t="s">
        <v>100</v>
      </c>
      <c r="S19" s="10"/>
      <c r="T19" s="10"/>
      <c r="U19" s="11"/>
    </row>
    <row r="20" spans="1:21" ht="56" x14ac:dyDescent="0.35">
      <c r="A20" s="7" t="s">
        <v>21</v>
      </c>
      <c r="B20" s="7" t="s">
        <v>5</v>
      </c>
      <c r="C20" s="8" t="s">
        <v>101</v>
      </c>
      <c r="D20" s="8" t="s">
        <v>102</v>
      </c>
      <c r="E20" s="7" t="s">
        <v>5</v>
      </c>
      <c r="F20" s="7" t="s">
        <v>103</v>
      </c>
      <c r="G20" s="7" t="s">
        <v>5</v>
      </c>
      <c r="H20" s="7" t="s">
        <v>103</v>
      </c>
      <c r="I20" s="7" t="s">
        <v>103</v>
      </c>
      <c r="J20" s="9">
        <v>0.8</v>
      </c>
      <c r="K20" s="7"/>
      <c r="L20" s="7"/>
      <c r="M20" s="9"/>
      <c r="N20" s="7"/>
      <c r="O20" s="9"/>
      <c r="P20" s="7">
        <v>1</v>
      </c>
      <c r="Q20" s="7" t="s">
        <v>104</v>
      </c>
      <c r="R20" s="8" t="s">
        <v>105</v>
      </c>
      <c r="S20" s="10"/>
      <c r="T20" s="10"/>
      <c r="U20" s="11"/>
    </row>
    <row r="21" spans="1:21" ht="70" x14ac:dyDescent="0.35">
      <c r="A21" s="7" t="s">
        <v>21</v>
      </c>
      <c r="B21" s="7" t="s">
        <v>5</v>
      </c>
      <c r="C21" s="8" t="s">
        <v>106</v>
      </c>
      <c r="D21" s="8" t="s">
        <v>107</v>
      </c>
      <c r="E21" s="7" t="s">
        <v>5</v>
      </c>
      <c r="F21" s="7" t="s">
        <v>51</v>
      </c>
      <c r="G21" s="7" t="s">
        <v>5</v>
      </c>
      <c r="H21" s="7" t="s">
        <v>51</v>
      </c>
      <c r="I21" s="7" t="s">
        <v>53</v>
      </c>
      <c r="J21" s="9">
        <v>0.8</v>
      </c>
      <c r="K21" s="7"/>
      <c r="L21" s="7"/>
      <c r="M21" s="9"/>
      <c r="N21" s="7"/>
      <c r="O21" s="9"/>
      <c r="P21" s="7">
        <v>1</v>
      </c>
      <c r="Q21" s="7" t="s">
        <v>108</v>
      </c>
      <c r="R21" s="8" t="s">
        <v>109</v>
      </c>
      <c r="S21" s="10"/>
      <c r="T21" s="10"/>
      <c r="U21" s="11"/>
    </row>
    <row r="22" spans="1:21" ht="70" x14ac:dyDescent="0.35">
      <c r="A22" s="7" t="s">
        <v>21</v>
      </c>
      <c r="B22" s="7" t="s">
        <v>110</v>
      </c>
      <c r="C22" s="8" t="s">
        <v>111</v>
      </c>
      <c r="D22" s="8" t="s">
        <v>112</v>
      </c>
      <c r="E22" s="7" t="s">
        <v>110</v>
      </c>
      <c r="F22" s="7" t="s">
        <v>111</v>
      </c>
      <c r="G22" s="7" t="s">
        <v>110</v>
      </c>
      <c r="H22" s="7" t="s">
        <v>103</v>
      </c>
      <c r="I22" s="7" t="s">
        <v>103</v>
      </c>
      <c r="J22" s="9">
        <v>0.6</v>
      </c>
      <c r="K22" s="7"/>
      <c r="L22" s="7"/>
      <c r="M22" s="9"/>
      <c r="N22" s="7"/>
      <c r="O22" s="9"/>
      <c r="P22" s="7">
        <v>2</v>
      </c>
      <c r="Q22" s="7" t="s">
        <v>113</v>
      </c>
      <c r="R22" s="8" t="s">
        <v>114</v>
      </c>
      <c r="S22" s="10"/>
      <c r="T22" s="10"/>
      <c r="U22" s="11"/>
    </row>
    <row r="23" spans="1:21" ht="70" x14ac:dyDescent="0.35">
      <c r="A23" s="7" t="s">
        <v>21</v>
      </c>
      <c r="B23" s="7" t="s">
        <v>110</v>
      </c>
      <c r="C23" s="8" t="s">
        <v>115</v>
      </c>
      <c r="D23" s="8" t="s">
        <v>116</v>
      </c>
      <c r="E23" s="7" t="s">
        <v>110</v>
      </c>
      <c r="F23" s="7" t="s">
        <v>115</v>
      </c>
      <c r="G23" s="7" t="s">
        <v>110</v>
      </c>
      <c r="H23" s="7" t="s">
        <v>117</v>
      </c>
      <c r="I23" s="7" t="s">
        <v>117</v>
      </c>
      <c r="J23" s="9">
        <v>0.6</v>
      </c>
      <c r="K23" s="7"/>
      <c r="L23" s="7"/>
      <c r="M23" s="9"/>
      <c r="N23" s="7"/>
      <c r="O23" s="9"/>
      <c r="P23" s="7">
        <v>1</v>
      </c>
      <c r="Q23" s="7" t="s">
        <v>118</v>
      </c>
      <c r="R23" s="8" t="s">
        <v>119</v>
      </c>
      <c r="S23" s="10"/>
      <c r="T23" s="10"/>
      <c r="U23" s="11"/>
    </row>
    <row r="24" spans="1:21" ht="56" x14ac:dyDescent="0.35">
      <c r="A24" s="7" t="s">
        <v>21</v>
      </c>
      <c r="B24" s="7" t="s">
        <v>110</v>
      </c>
      <c r="C24" s="8" t="s">
        <v>120</v>
      </c>
      <c r="D24" s="8" t="s">
        <v>121</v>
      </c>
      <c r="E24" s="7" t="s">
        <v>110</v>
      </c>
      <c r="F24" s="7" t="s">
        <v>120</v>
      </c>
      <c r="G24" s="7" t="s">
        <v>110</v>
      </c>
      <c r="H24" s="7" t="s">
        <v>122</v>
      </c>
      <c r="I24" s="7" t="s">
        <v>123</v>
      </c>
      <c r="J24" s="9">
        <v>0.6</v>
      </c>
      <c r="K24" s="7"/>
      <c r="L24" s="7"/>
      <c r="M24" s="9"/>
      <c r="N24" s="7"/>
      <c r="O24" s="9"/>
      <c r="P24" s="7">
        <v>1</v>
      </c>
      <c r="Q24" s="7" t="s">
        <v>124</v>
      </c>
      <c r="R24" s="8" t="s">
        <v>125</v>
      </c>
      <c r="S24" s="10"/>
      <c r="T24" s="10"/>
      <c r="U24" s="11"/>
    </row>
    <row r="25" spans="1:21" ht="70" x14ac:dyDescent="0.35">
      <c r="A25" s="7" t="s">
        <v>21</v>
      </c>
      <c r="B25" s="7" t="s">
        <v>110</v>
      </c>
      <c r="C25" s="8" t="s">
        <v>126</v>
      </c>
      <c r="D25" s="8" t="s">
        <v>127</v>
      </c>
      <c r="E25" s="7" t="s">
        <v>110</v>
      </c>
      <c r="F25" s="7" t="s">
        <v>126</v>
      </c>
      <c r="G25" s="7" t="s">
        <v>110</v>
      </c>
      <c r="H25" s="7" t="s">
        <v>103</v>
      </c>
      <c r="I25" s="7" t="s">
        <v>103</v>
      </c>
      <c r="J25" s="9">
        <v>0.6</v>
      </c>
      <c r="K25" s="7"/>
      <c r="L25" s="7"/>
      <c r="M25" s="9"/>
      <c r="N25" s="7"/>
      <c r="O25" s="9"/>
      <c r="P25" s="7">
        <v>1</v>
      </c>
      <c r="Q25" s="7" t="s">
        <v>128</v>
      </c>
      <c r="R25" s="8" t="s">
        <v>129</v>
      </c>
      <c r="S25" s="10"/>
      <c r="T25" s="10"/>
      <c r="U25" s="11"/>
    </row>
    <row r="26" spans="1:21" ht="70" x14ac:dyDescent="0.35">
      <c r="A26" s="7" t="s">
        <v>21</v>
      </c>
      <c r="B26" s="7" t="s">
        <v>130</v>
      </c>
      <c r="C26" s="8" t="s">
        <v>131</v>
      </c>
      <c r="D26" s="8" t="s">
        <v>132</v>
      </c>
      <c r="E26" s="7" t="s">
        <v>133</v>
      </c>
      <c r="F26" s="7" t="s">
        <v>134</v>
      </c>
      <c r="G26" s="7" t="s">
        <v>133</v>
      </c>
      <c r="H26" s="7"/>
      <c r="I26" s="7" t="s">
        <v>135</v>
      </c>
      <c r="J26" s="9">
        <v>0.28199999999999997</v>
      </c>
      <c r="K26" s="7">
        <v>41.9</v>
      </c>
      <c r="L26" s="7" t="s">
        <v>136</v>
      </c>
      <c r="M26" s="9">
        <v>0.27810000000000001</v>
      </c>
      <c r="N26" s="7" t="s">
        <v>137</v>
      </c>
      <c r="O26" s="9">
        <v>0.24129999999999999</v>
      </c>
      <c r="P26" s="7">
        <v>1</v>
      </c>
      <c r="Q26" s="7" t="s">
        <v>138</v>
      </c>
      <c r="R26" s="8" t="s">
        <v>139</v>
      </c>
      <c r="S26" s="10"/>
      <c r="T26" s="10"/>
      <c r="U26" s="11"/>
    </row>
    <row r="27" spans="1:21" ht="56" x14ac:dyDescent="0.35">
      <c r="A27" s="7" t="s">
        <v>21</v>
      </c>
      <c r="B27" s="7" t="s">
        <v>130</v>
      </c>
      <c r="C27" s="8" t="s">
        <v>140</v>
      </c>
      <c r="D27" s="8" t="s">
        <v>141</v>
      </c>
      <c r="E27" s="7" t="s">
        <v>133</v>
      </c>
      <c r="F27" s="7" t="s">
        <v>142</v>
      </c>
      <c r="G27" s="7" t="s">
        <v>133</v>
      </c>
      <c r="H27" s="7"/>
      <c r="I27" s="7" t="s">
        <v>143</v>
      </c>
      <c r="J27" s="9">
        <v>0.27710000000000001</v>
      </c>
      <c r="K27" s="7">
        <v>40.6</v>
      </c>
      <c r="L27" s="7" t="s">
        <v>144</v>
      </c>
      <c r="M27" s="9">
        <v>0.22159999999999999</v>
      </c>
      <c r="N27" s="7" t="s">
        <v>145</v>
      </c>
      <c r="O27" s="9">
        <v>0.2177</v>
      </c>
      <c r="P27" s="7">
        <v>2</v>
      </c>
      <c r="Q27" s="7" t="s">
        <v>146</v>
      </c>
      <c r="R27" s="8" t="s">
        <v>147</v>
      </c>
      <c r="S27" s="10"/>
      <c r="T27" s="10"/>
      <c r="U27" s="11"/>
    </row>
    <row r="28" spans="1:21" ht="409.5" x14ac:dyDescent="0.35">
      <c r="A28" s="7" t="s">
        <v>21</v>
      </c>
      <c r="B28" s="7" t="s">
        <v>130</v>
      </c>
      <c r="C28" s="8" t="s">
        <v>148</v>
      </c>
      <c r="D28" s="8" t="s">
        <v>77</v>
      </c>
      <c r="E28" s="7" t="s">
        <v>5</v>
      </c>
      <c r="F28" s="7" t="s">
        <v>149</v>
      </c>
      <c r="G28" s="7" t="s">
        <v>133</v>
      </c>
      <c r="H28" s="7"/>
      <c r="I28" s="7" t="s">
        <v>150</v>
      </c>
      <c r="J28" s="9">
        <v>0.25519999999999998</v>
      </c>
      <c r="K28" s="7">
        <v>34.700000000000003</v>
      </c>
      <c r="L28" s="7"/>
      <c r="M28" s="9"/>
      <c r="N28" s="7"/>
      <c r="O28" s="9"/>
      <c r="P28" s="7">
        <v>1</v>
      </c>
      <c r="Q28" s="7" t="s">
        <v>79</v>
      </c>
      <c r="R28" s="8" t="s">
        <v>80</v>
      </c>
      <c r="S28" s="10"/>
      <c r="T28" s="10"/>
      <c r="U28" s="11"/>
    </row>
    <row r="29" spans="1:21" ht="56" x14ac:dyDescent="0.35">
      <c r="A29" s="7" t="s">
        <v>21</v>
      </c>
      <c r="B29" s="7" t="s">
        <v>130</v>
      </c>
      <c r="C29" s="8" t="s">
        <v>151</v>
      </c>
      <c r="D29" s="8" t="s">
        <v>102</v>
      </c>
      <c r="E29" s="7" t="s">
        <v>5</v>
      </c>
      <c r="F29" s="7" t="s">
        <v>152</v>
      </c>
      <c r="G29" s="7" t="s">
        <v>133</v>
      </c>
      <c r="H29" s="7"/>
      <c r="I29" s="7" t="s">
        <v>153</v>
      </c>
      <c r="J29" s="9">
        <v>0.24679999999999999</v>
      </c>
      <c r="K29" s="7">
        <v>32.5</v>
      </c>
      <c r="L29" s="7" t="s">
        <v>154</v>
      </c>
      <c r="M29" s="9">
        <v>0.21110000000000001</v>
      </c>
      <c r="N29" s="7" t="s">
        <v>155</v>
      </c>
      <c r="O29" s="9">
        <v>0.20469999999999999</v>
      </c>
      <c r="P29" s="7">
        <v>1</v>
      </c>
      <c r="Q29" s="7" t="s">
        <v>104</v>
      </c>
      <c r="R29" s="8" t="s">
        <v>105</v>
      </c>
      <c r="S29" s="10"/>
      <c r="T29" s="10"/>
      <c r="U29" s="11"/>
    </row>
    <row r="30" spans="1:21" ht="70" x14ac:dyDescent="0.35">
      <c r="A30" s="7" t="s">
        <v>21</v>
      </c>
      <c r="B30" s="7" t="s">
        <v>130</v>
      </c>
      <c r="C30" s="8" t="s">
        <v>156</v>
      </c>
      <c r="D30" s="8" t="s">
        <v>157</v>
      </c>
      <c r="E30" s="7" t="s">
        <v>133</v>
      </c>
      <c r="F30" s="7" t="s">
        <v>158</v>
      </c>
      <c r="G30" s="7" t="s">
        <v>133</v>
      </c>
      <c r="H30" s="7"/>
      <c r="I30" s="7" t="s">
        <v>159</v>
      </c>
      <c r="J30" s="9">
        <v>0.24160000000000001</v>
      </c>
      <c r="K30" s="7">
        <v>31.1</v>
      </c>
      <c r="L30" s="7" t="s">
        <v>160</v>
      </c>
      <c r="M30" s="9">
        <v>0.20419999999999999</v>
      </c>
      <c r="N30" s="7" t="s">
        <v>161</v>
      </c>
      <c r="O30" s="9">
        <v>0.20200000000000001</v>
      </c>
      <c r="P30" s="7">
        <v>1</v>
      </c>
      <c r="Q30" s="7" t="s">
        <v>162</v>
      </c>
      <c r="R30" s="8" t="s">
        <v>163</v>
      </c>
      <c r="S30" s="10"/>
      <c r="T30" s="10"/>
      <c r="U30" s="11"/>
    </row>
    <row r="31" spans="1:21" ht="56" x14ac:dyDescent="0.35">
      <c r="A31" s="7" t="s">
        <v>21</v>
      </c>
      <c r="B31" s="7" t="s">
        <v>130</v>
      </c>
      <c r="C31" s="8" t="s">
        <v>164</v>
      </c>
      <c r="D31" s="8" t="s">
        <v>165</v>
      </c>
      <c r="E31" s="7" t="s">
        <v>133</v>
      </c>
      <c r="F31" s="7" t="s">
        <v>164</v>
      </c>
      <c r="G31" s="7" t="s">
        <v>133</v>
      </c>
      <c r="H31" s="7"/>
      <c r="I31" s="7" t="s">
        <v>166</v>
      </c>
      <c r="J31" s="9">
        <v>0.2366</v>
      </c>
      <c r="K31" s="7">
        <v>29.8</v>
      </c>
      <c r="L31" s="7" t="s">
        <v>167</v>
      </c>
      <c r="M31" s="9">
        <v>0.2021</v>
      </c>
      <c r="N31" s="7"/>
      <c r="O31" s="9"/>
      <c r="P31" s="7">
        <v>1</v>
      </c>
      <c r="Q31" s="7" t="s">
        <v>168</v>
      </c>
      <c r="R31" s="8" t="s">
        <v>169</v>
      </c>
      <c r="S31" s="10"/>
      <c r="T31" s="10"/>
      <c r="U31" s="11"/>
    </row>
    <row r="32" spans="1:21" ht="28" x14ac:dyDescent="0.35">
      <c r="A32" s="7" t="s">
        <v>21</v>
      </c>
      <c r="B32" s="7" t="s">
        <v>130</v>
      </c>
      <c r="C32" s="8" t="s">
        <v>170</v>
      </c>
      <c r="D32" s="8" t="s">
        <v>171</v>
      </c>
      <c r="E32" s="7" t="s">
        <v>133</v>
      </c>
      <c r="F32" s="7" t="s">
        <v>170</v>
      </c>
      <c r="G32" s="7" t="s">
        <v>133</v>
      </c>
      <c r="H32" s="7"/>
      <c r="I32" s="7" t="s">
        <v>172</v>
      </c>
      <c r="J32" s="9">
        <v>0.23549999999999999</v>
      </c>
      <c r="K32" s="7">
        <v>29.5</v>
      </c>
      <c r="L32" s="7" t="s">
        <v>173</v>
      </c>
      <c r="M32" s="9">
        <v>0.2114</v>
      </c>
      <c r="N32" s="7"/>
      <c r="O32" s="9"/>
      <c r="P32" s="7">
        <v>1</v>
      </c>
      <c r="Q32" s="7" t="s">
        <v>174</v>
      </c>
      <c r="R32" s="8" t="s">
        <v>175</v>
      </c>
      <c r="S32" s="10"/>
      <c r="T32" s="10"/>
      <c r="U32" s="11"/>
    </row>
    <row r="33" spans="1:21" ht="409.5" x14ac:dyDescent="0.35">
      <c r="A33" s="7" t="s">
        <v>21</v>
      </c>
      <c r="B33" s="7" t="s">
        <v>130</v>
      </c>
      <c r="C33" s="8" t="s">
        <v>176</v>
      </c>
      <c r="D33" s="8" t="s">
        <v>77</v>
      </c>
      <c r="E33" s="7" t="s">
        <v>5</v>
      </c>
      <c r="F33" s="7" t="s">
        <v>177</v>
      </c>
      <c r="G33" s="7" t="s">
        <v>133</v>
      </c>
      <c r="H33" s="7"/>
      <c r="I33" s="7" t="s">
        <v>178</v>
      </c>
      <c r="J33" s="9">
        <v>0.218</v>
      </c>
      <c r="K33" s="7">
        <v>24.8</v>
      </c>
      <c r="L33" s="7"/>
      <c r="M33" s="9"/>
      <c r="N33" s="7"/>
      <c r="O33" s="9"/>
      <c r="P33" s="7">
        <v>1</v>
      </c>
      <c r="Q33" s="7" t="s">
        <v>79</v>
      </c>
      <c r="R33" s="8" t="s">
        <v>80</v>
      </c>
      <c r="S33" s="10"/>
      <c r="T33" s="10"/>
      <c r="U33" s="11"/>
    </row>
    <row r="34" spans="1:21" ht="409.5" x14ac:dyDescent="0.35">
      <c r="A34" s="7" t="s">
        <v>21</v>
      </c>
      <c r="B34" s="7" t="s">
        <v>130</v>
      </c>
      <c r="C34" s="8" t="s">
        <v>179</v>
      </c>
      <c r="D34" s="8" t="s">
        <v>77</v>
      </c>
      <c r="E34" s="7" t="s">
        <v>5</v>
      </c>
      <c r="F34" s="7" t="s">
        <v>180</v>
      </c>
      <c r="G34" s="7" t="s">
        <v>133</v>
      </c>
      <c r="H34" s="7"/>
      <c r="I34" s="7" t="s">
        <v>181</v>
      </c>
      <c r="J34" s="9">
        <v>0.2099</v>
      </c>
      <c r="K34" s="7">
        <v>22.7</v>
      </c>
      <c r="L34" s="7" t="s">
        <v>182</v>
      </c>
      <c r="M34" s="9">
        <v>0.20599999999999999</v>
      </c>
      <c r="N34" s="7"/>
      <c r="O34" s="9"/>
      <c r="P34" s="7">
        <v>1</v>
      </c>
      <c r="Q34" s="7" t="s">
        <v>79</v>
      </c>
      <c r="R34" s="8" t="s">
        <v>80</v>
      </c>
      <c r="S34" s="10"/>
      <c r="T34" s="10"/>
      <c r="U34" s="11"/>
    </row>
    <row r="35" spans="1:21" ht="409.5" x14ac:dyDescent="0.35">
      <c r="A35" s="7" t="s">
        <v>21</v>
      </c>
      <c r="B35" s="7" t="s">
        <v>130</v>
      </c>
      <c r="C35" s="8" t="s">
        <v>183</v>
      </c>
      <c r="D35" s="8" t="s">
        <v>77</v>
      </c>
      <c r="E35" s="7" t="s">
        <v>5</v>
      </c>
      <c r="F35" s="7" t="s">
        <v>184</v>
      </c>
      <c r="G35" s="7" t="s">
        <v>133</v>
      </c>
      <c r="H35" s="7"/>
      <c r="I35" s="7" t="s">
        <v>78</v>
      </c>
      <c r="J35" s="9">
        <v>0.2049</v>
      </c>
      <c r="K35" s="7">
        <v>21.3</v>
      </c>
      <c r="L35" s="7" t="s">
        <v>185</v>
      </c>
      <c r="M35" s="9">
        <v>0.2044</v>
      </c>
      <c r="N35" s="7" t="s">
        <v>186</v>
      </c>
      <c r="O35" s="9">
        <v>0.20319999999999999</v>
      </c>
      <c r="P35" s="7">
        <v>1</v>
      </c>
      <c r="Q35" s="7" t="s">
        <v>79</v>
      </c>
      <c r="R35" s="8" t="s">
        <v>80</v>
      </c>
      <c r="S35" s="10"/>
      <c r="T35" s="10"/>
      <c r="U35" s="11"/>
    </row>
    <row r="36" spans="1:21" ht="70" x14ac:dyDescent="0.35">
      <c r="A36" s="7" t="s">
        <v>21</v>
      </c>
      <c r="B36" s="7" t="s">
        <v>187</v>
      </c>
      <c r="C36" s="8" t="s">
        <v>188</v>
      </c>
      <c r="D36" s="8" t="s">
        <v>189</v>
      </c>
      <c r="E36" s="7" t="s">
        <v>133</v>
      </c>
      <c r="F36" s="7" t="s">
        <v>188</v>
      </c>
      <c r="G36" s="7" t="s">
        <v>133</v>
      </c>
      <c r="H36" s="7"/>
      <c r="I36" s="7" t="s">
        <v>190</v>
      </c>
      <c r="J36" s="9">
        <v>0.39560000000000001</v>
      </c>
      <c r="K36" s="7">
        <v>72.2</v>
      </c>
      <c r="L36" s="7"/>
      <c r="M36" s="9"/>
      <c r="N36" s="7"/>
      <c r="O36" s="9"/>
      <c r="P36" s="7">
        <v>1</v>
      </c>
      <c r="Q36" s="7" t="s">
        <v>191</v>
      </c>
      <c r="R36" s="8" t="s">
        <v>192</v>
      </c>
      <c r="S36" s="10"/>
      <c r="T36" s="10"/>
      <c r="U36" s="11"/>
    </row>
    <row r="37" spans="1:21" ht="56" x14ac:dyDescent="0.35">
      <c r="A37" s="7" t="s">
        <v>21</v>
      </c>
      <c r="B37" s="7" t="s">
        <v>187</v>
      </c>
      <c r="C37" s="8" t="s">
        <v>193</v>
      </c>
      <c r="D37" s="8"/>
      <c r="E37" s="7" t="s">
        <v>133</v>
      </c>
      <c r="F37" s="7" t="s">
        <v>193</v>
      </c>
      <c r="G37" s="7" t="s">
        <v>133</v>
      </c>
      <c r="H37" s="7"/>
      <c r="I37" s="7" t="s">
        <v>194</v>
      </c>
      <c r="J37" s="9">
        <v>0.3735</v>
      </c>
      <c r="K37" s="7">
        <v>66.3</v>
      </c>
      <c r="L37" s="7" t="s">
        <v>195</v>
      </c>
      <c r="M37" s="9">
        <v>0.2258</v>
      </c>
      <c r="N37" s="7" t="s">
        <v>196</v>
      </c>
      <c r="O37" s="9">
        <v>0.20580000000000001</v>
      </c>
      <c r="P37" s="7">
        <v>2</v>
      </c>
      <c r="Q37" s="7" t="s">
        <v>197</v>
      </c>
      <c r="R37" s="8" t="s">
        <v>198</v>
      </c>
      <c r="S37" s="10"/>
      <c r="T37" s="10"/>
      <c r="U37" s="11"/>
    </row>
    <row r="38" spans="1:21" ht="112" x14ac:dyDescent="0.35">
      <c r="A38" s="7" t="s">
        <v>21</v>
      </c>
      <c r="B38" s="7" t="s">
        <v>187</v>
      </c>
      <c r="C38" s="8" t="s">
        <v>199</v>
      </c>
      <c r="D38" s="8" t="s">
        <v>200</v>
      </c>
      <c r="E38" s="7" t="s">
        <v>133</v>
      </c>
      <c r="F38" s="7" t="s">
        <v>201</v>
      </c>
      <c r="G38" s="7" t="s">
        <v>133</v>
      </c>
      <c r="H38" s="7"/>
      <c r="I38" s="7" t="s">
        <v>202</v>
      </c>
      <c r="J38" s="9">
        <v>0.33729999999999999</v>
      </c>
      <c r="K38" s="7">
        <v>56.6</v>
      </c>
      <c r="L38" s="7" t="s">
        <v>203</v>
      </c>
      <c r="M38" s="9">
        <v>0.21560000000000001</v>
      </c>
      <c r="N38" s="7"/>
      <c r="O38" s="9"/>
      <c r="P38" s="7">
        <v>1</v>
      </c>
      <c r="Q38" s="7" t="s">
        <v>204</v>
      </c>
      <c r="R38" s="8" t="s">
        <v>205</v>
      </c>
      <c r="S38" s="10"/>
      <c r="T38" s="10"/>
      <c r="U38" s="11"/>
    </row>
    <row r="39" spans="1:21" ht="28" x14ac:dyDescent="0.35">
      <c r="A39" s="7" t="s">
        <v>21</v>
      </c>
      <c r="B39" s="7" t="s">
        <v>187</v>
      </c>
      <c r="C39" s="8" t="s">
        <v>206</v>
      </c>
      <c r="D39" s="8" t="s">
        <v>207</v>
      </c>
      <c r="E39" s="7" t="s">
        <v>133</v>
      </c>
      <c r="F39" s="7" t="s">
        <v>208</v>
      </c>
      <c r="G39" s="7" t="s">
        <v>133</v>
      </c>
      <c r="H39" s="7"/>
      <c r="I39" s="7" t="s">
        <v>209</v>
      </c>
      <c r="J39" s="9">
        <v>0.33179999999999998</v>
      </c>
      <c r="K39" s="7">
        <v>55.1</v>
      </c>
      <c r="L39" s="7" t="s">
        <v>210</v>
      </c>
      <c r="M39" s="9">
        <v>0.23630000000000001</v>
      </c>
      <c r="N39" s="7" t="s">
        <v>211</v>
      </c>
      <c r="O39" s="9">
        <v>0.2361</v>
      </c>
      <c r="P39" s="7">
        <v>3</v>
      </c>
      <c r="Q39" s="7" t="s">
        <v>212</v>
      </c>
      <c r="R39" s="8" t="s">
        <v>213</v>
      </c>
      <c r="S39" s="10"/>
      <c r="T39" s="10"/>
      <c r="U39" s="11"/>
    </row>
    <row r="40" spans="1:21" ht="409.5" x14ac:dyDescent="0.35">
      <c r="A40" s="7" t="s">
        <v>21</v>
      </c>
      <c r="B40" s="7" t="s">
        <v>187</v>
      </c>
      <c r="C40" s="8" t="s">
        <v>214</v>
      </c>
      <c r="D40" s="8" t="s">
        <v>77</v>
      </c>
      <c r="E40" s="7" t="s">
        <v>5</v>
      </c>
      <c r="F40" s="7" t="s">
        <v>215</v>
      </c>
      <c r="G40" s="7" t="s">
        <v>133</v>
      </c>
      <c r="H40" s="7"/>
      <c r="I40" s="7" t="s">
        <v>216</v>
      </c>
      <c r="J40" s="9">
        <v>0.32540000000000002</v>
      </c>
      <c r="K40" s="7">
        <v>53.5</v>
      </c>
      <c r="L40" s="7" t="s">
        <v>217</v>
      </c>
      <c r="M40" s="9">
        <v>0.31950000000000001</v>
      </c>
      <c r="N40" s="7"/>
      <c r="O40" s="9"/>
      <c r="P40" s="7">
        <v>1</v>
      </c>
      <c r="Q40" s="7" t="s">
        <v>79</v>
      </c>
      <c r="R40" s="8" t="s">
        <v>80</v>
      </c>
      <c r="S40" s="10"/>
      <c r="T40" s="10"/>
      <c r="U40" s="11"/>
    </row>
    <row r="41" spans="1:21" ht="70" x14ac:dyDescent="0.35">
      <c r="A41" s="7" t="s">
        <v>21</v>
      </c>
      <c r="B41" s="7" t="s">
        <v>187</v>
      </c>
      <c r="C41" s="8" t="s">
        <v>218</v>
      </c>
      <c r="D41" s="8" t="s">
        <v>219</v>
      </c>
      <c r="E41" s="7" t="s">
        <v>133</v>
      </c>
      <c r="F41" s="7" t="s">
        <v>188</v>
      </c>
      <c r="G41" s="7" t="s">
        <v>133</v>
      </c>
      <c r="H41" s="7"/>
      <c r="I41" s="7" t="s">
        <v>220</v>
      </c>
      <c r="J41" s="9">
        <v>0.32579999999999998</v>
      </c>
      <c r="K41" s="7">
        <v>53.5</v>
      </c>
      <c r="L41" s="7" t="s">
        <v>221</v>
      </c>
      <c r="M41" s="9">
        <v>0.2394</v>
      </c>
      <c r="N41" s="7" t="s">
        <v>222</v>
      </c>
      <c r="O41" s="9">
        <v>0.2288</v>
      </c>
      <c r="P41" s="7">
        <v>1</v>
      </c>
      <c r="Q41" s="7" t="s">
        <v>223</v>
      </c>
      <c r="R41" s="8" t="s">
        <v>224</v>
      </c>
      <c r="S41" s="10"/>
      <c r="T41" s="10"/>
      <c r="U41" s="11"/>
    </row>
    <row r="42" spans="1:21" ht="70" x14ac:dyDescent="0.35">
      <c r="A42" s="7" t="s">
        <v>21</v>
      </c>
      <c r="B42" s="7" t="s">
        <v>187</v>
      </c>
      <c r="C42" s="8" t="s">
        <v>225</v>
      </c>
      <c r="D42" s="8" t="s">
        <v>226</v>
      </c>
      <c r="E42" s="7" t="s">
        <v>133</v>
      </c>
      <c r="F42" s="7" t="s">
        <v>225</v>
      </c>
      <c r="G42" s="7" t="s">
        <v>133</v>
      </c>
      <c r="H42" s="7"/>
      <c r="I42" s="7" t="s">
        <v>227</v>
      </c>
      <c r="J42" s="9">
        <v>0.31759999999999999</v>
      </c>
      <c r="K42" s="7">
        <v>51.4</v>
      </c>
      <c r="L42" s="7" t="s">
        <v>228</v>
      </c>
      <c r="M42" s="9">
        <v>0.23139999999999999</v>
      </c>
      <c r="N42" s="7" t="s">
        <v>229</v>
      </c>
      <c r="O42" s="9">
        <v>0.2094</v>
      </c>
      <c r="P42" s="7">
        <v>3</v>
      </c>
      <c r="Q42" s="7" t="s">
        <v>230</v>
      </c>
      <c r="R42" s="8" t="s">
        <v>231</v>
      </c>
      <c r="S42" s="10"/>
      <c r="T42" s="10"/>
      <c r="U42" s="11"/>
    </row>
    <row r="43" spans="1:21" ht="409.5" x14ac:dyDescent="0.35">
      <c r="A43" s="7" t="s">
        <v>21</v>
      </c>
      <c r="B43" s="7" t="s">
        <v>187</v>
      </c>
      <c r="C43" s="8" t="s">
        <v>232</v>
      </c>
      <c r="D43" s="8" t="s">
        <v>77</v>
      </c>
      <c r="E43" s="7" t="s">
        <v>5</v>
      </c>
      <c r="F43" s="7" t="s">
        <v>233</v>
      </c>
      <c r="G43" s="7" t="s">
        <v>133</v>
      </c>
      <c r="H43" s="7"/>
      <c r="I43" s="7" t="s">
        <v>234</v>
      </c>
      <c r="J43" s="9">
        <v>0.3125</v>
      </c>
      <c r="K43" s="7">
        <v>50</v>
      </c>
      <c r="L43" s="7" t="s">
        <v>235</v>
      </c>
      <c r="M43" s="9">
        <v>0.30740000000000001</v>
      </c>
      <c r="N43" s="7" t="s">
        <v>236</v>
      </c>
      <c r="O43" s="9">
        <v>0.28360000000000002</v>
      </c>
      <c r="P43" s="7">
        <v>1</v>
      </c>
      <c r="Q43" s="7" t="s">
        <v>79</v>
      </c>
      <c r="R43" s="8" t="s">
        <v>80</v>
      </c>
      <c r="S43" s="10"/>
      <c r="T43" s="10"/>
      <c r="U43" s="11"/>
    </row>
    <row r="44" spans="1:21" ht="42" x14ac:dyDescent="0.35">
      <c r="A44" s="7" t="s">
        <v>21</v>
      </c>
      <c r="B44" s="7" t="s">
        <v>187</v>
      </c>
      <c r="C44" s="8" t="s">
        <v>237</v>
      </c>
      <c r="D44" s="8" t="s">
        <v>61</v>
      </c>
      <c r="E44" s="7" t="s">
        <v>22</v>
      </c>
      <c r="F44" s="7" t="s">
        <v>238</v>
      </c>
      <c r="G44" s="7" t="s">
        <v>133</v>
      </c>
      <c r="H44" s="7"/>
      <c r="I44" s="7" t="s">
        <v>239</v>
      </c>
      <c r="J44" s="9">
        <v>0.30980000000000002</v>
      </c>
      <c r="K44" s="7">
        <v>49.3</v>
      </c>
      <c r="L44" s="7" t="s">
        <v>240</v>
      </c>
      <c r="M44" s="9">
        <v>0.24379999999999999</v>
      </c>
      <c r="N44" s="7" t="s">
        <v>241</v>
      </c>
      <c r="O44" s="9">
        <v>0.23369999999999999</v>
      </c>
      <c r="P44" s="7">
        <v>1</v>
      </c>
      <c r="Q44" s="7" t="s">
        <v>64</v>
      </c>
      <c r="R44" s="8" t="s">
        <v>65</v>
      </c>
      <c r="S44" s="10"/>
      <c r="T44" s="10"/>
      <c r="U44" s="11"/>
    </row>
    <row r="45" spans="1:21" ht="56" x14ac:dyDescent="0.35">
      <c r="A45" s="7" t="s">
        <v>21</v>
      </c>
      <c r="B45" s="7" t="s">
        <v>187</v>
      </c>
      <c r="C45" s="8" t="s">
        <v>242</v>
      </c>
      <c r="D45" s="8" t="s">
        <v>243</v>
      </c>
      <c r="E45" s="7" t="s">
        <v>133</v>
      </c>
      <c r="F45" s="7" t="s">
        <v>244</v>
      </c>
      <c r="G45" s="7" t="s">
        <v>133</v>
      </c>
      <c r="H45" s="7"/>
      <c r="I45" s="7" t="s">
        <v>245</v>
      </c>
      <c r="J45" s="9">
        <v>0.3054</v>
      </c>
      <c r="K45" s="7">
        <v>48.1</v>
      </c>
      <c r="L45" s="7" t="s">
        <v>246</v>
      </c>
      <c r="M45" s="9">
        <v>0.26950000000000002</v>
      </c>
      <c r="N45" s="7" t="s">
        <v>247</v>
      </c>
      <c r="O45" s="9">
        <v>0.24579999999999999</v>
      </c>
      <c r="P45" s="7">
        <v>1</v>
      </c>
      <c r="Q45" s="7" t="s">
        <v>248</v>
      </c>
      <c r="R45" s="8" t="s">
        <v>249</v>
      </c>
      <c r="S45" s="10"/>
      <c r="T45" s="10"/>
      <c r="U45" s="11"/>
    </row>
    <row r="46" spans="1:21" ht="70" x14ac:dyDescent="0.35">
      <c r="A46" s="7" t="s">
        <v>21</v>
      </c>
      <c r="B46" s="7" t="s">
        <v>250</v>
      </c>
      <c r="C46" s="8" t="s">
        <v>251</v>
      </c>
      <c r="D46" s="8"/>
      <c r="E46" s="7" t="s">
        <v>133</v>
      </c>
      <c r="F46" s="7" t="s">
        <v>252</v>
      </c>
      <c r="G46" s="7" t="s">
        <v>133</v>
      </c>
      <c r="H46" s="7"/>
      <c r="I46" s="7" t="s">
        <v>253</v>
      </c>
      <c r="J46" s="9">
        <v>0.48830000000000001</v>
      </c>
      <c r="K46" s="7">
        <v>96.9</v>
      </c>
      <c r="L46" s="7" t="s">
        <v>254</v>
      </c>
      <c r="M46" s="9">
        <v>0.40560000000000002</v>
      </c>
      <c r="N46" s="7" t="s">
        <v>255</v>
      </c>
      <c r="O46" s="9">
        <v>0.40179999999999999</v>
      </c>
      <c r="P46" s="7">
        <v>1</v>
      </c>
      <c r="Q46" s="7" t="s">
        <v>256</v>
      </c>
      <c r="R46" s="8" t="s">
        <v>257</v>
      </c>
      <c r="S46" s="10"/>
      <c r="T46" s="10"/>
      <c r="U46" s="11"/>
    </row>
    <row r="47" spans="1:21" ht="56" x14ac:dyDescent="0.35">
      <c r="A47" s="7" t="s">
        <v>21</v>
      </c>
      <c r="B47" s="7" t="s">
        <v>250</v>
      </c>
      <c r="C47" s="8" t="s">
        <v>258</v>
      </c>
      <c r="D47" s="8" t="s">
        <v>259</v>
      </c>
      <c r="E47" s="7" t="s">
        <v>133</v>
      </c>
      <c r="F47" s="7" t="s">
        <v>258</v>
      </c>
      <c r="G47" s="7" t="s">
        <v>133</v>
      </c>
      <c r="H47" s="7"/>
      <c r="I47" s="7" t="s">
        <v>260</v>
      </c>
      <c r="J47" s="9">
        <v>0.47210000000000002</v>
      </c>
      <c r="K47" s="7">
        <v>92.5</v>
      </c>
      <c r="L47" s="7" t="s">
        <v>261</v>
      </c>
      <c r="M47" s="9">
        <v>0.4667</v>
      </c>
      <c r="N47" s="7" t="s">
        <v>262</v>
      </c>
      <c r="O47" s="9">
        <v>0.3574</v>
      </c>
      <c r="P47" s="7">
        <v>1</v>
      </c>
      <c r="Q47" s="7" t="s">
        <v>263</v>
      </c>
      <c r="R47" s="8" t="s">
        <v>264</v>
      </c>
      <c r="S47" s="10"/>
      <c r="T47" s="10"/>
      <c r="U47" s="11"/>
    </row>
    <row r="48" spans="1:21" ht="409.5" x14ac:dyDescent="0.35">
      <c r="A48" s="7" t="s">
        <v>21</v>
      </c>
      <c r="B48" s="7" t="s">
        <v>250</v>
      </c>
      <c r="C48" s="8" t="s">
        <v>265</v>
      </c>
      <c r="D48" s="8" t="s">
        <v>77</v>
      </c>
      <c r="E48" s="7" t="s">
        <v>5</v>
      </c>
      <c r="F48" s="7" t="s">
        <v>265</v>
      </c>
      <c r="G48" s="7" t="s">
        <v>133</v>
      </c>
      <c r="H48" s="7"/>
      <c r="I48" s="7" t="s">
        <v>266</v>
      </c>
      <c r="J48" s="9">
        <v>0.47149999999999997</v>
      </c>
      <c r="K48" s="7">
        <v>92.4</v>
      </c>
      <c r="L48" s="7" t="s">
        <v>267</v>
      </c>
      <c r="M48" s="9">
        <v>0.44740000000000002</v>
      </c>
      <c r="N48" s="7" t="s">
        <v>268</v>
      </c>
      <c r="O48" s="9">
        <v>0.40760000000000002</v>
      </c>
      <c r="P48" s="7">
        <v>1</v>
      </c>
      <c r="Q48" s="7" t="s">
        <v>79</v>
      </c>
      <c r="R48" s="8" t="s">
        <v>80</v>
      </c>
      <c r="S48" s="10"/>
      <c r="T48" s="10"/>
      <c r="U48" s="11"/>
    </row>
    <row r="49" spans="1:21" ht="42" x14ac:dyDescent="0.35">
      <c r="A49" s="7" t="s">
        <v>21</v>
      </c>
      <c r="B49" s="7" t="s">
        <v>250</v>
      </c>
      <c r="C49" s="8" t="s">
        <v>269</v>
      </c>
      <c r="D49" s="8"/>
      <c r="E49" s="7" t="s">
        <v>133</v>
      </c>
      <c r="F49" s="7" t="s">
        <v>269</v>
      </c>
      <c r="G49" s="7" t="s">
        <v>133</v>
      </c>
      <c r="H49" s="7"/>
      <c r="I49" s="7" t="s">
        <v>270</v>
      </c>
      <c r="J49" s="9">
        <v>0.4476</v>
      </c>
      <c r="K49" s="7">
        <v>86</v>
      </c>
      <c r="L49" s="7" t="s">
        <v>271</v>
      </c>
      <c r="M49" s="9">
        <v>0.35160000000000002</v>
      </c>
      <c r="N49" s="7" t="s">
        <v>272</v>
      </c>
      <c r="O49" s="9">
        <v>0.31069999999999998</v>
      </c>
      <c r="P49" s="7">
        <v>1</v>
      </c>
      <c r="Q49" s="7" t="s">
        <v>273</v>
      </c>
      <c r="R49" s="8" t="s">
        <v>274</v>
      </c>
      <c r="S49" s="10"/>
      <c r="T49" s="10"/>
      <c r="U49" s="11"/>
    </row>
    <row r="50" spans="1:21" ht="56" x14ac:dyDescent="0.35">
      <c r="A50" s="7" t="s">
        <v>21</v>
      </c>
      <c r="B50" s="7" t="s">
        <v>250</v>
      </c>
      <c r="C50" s="8" t="s">
        <v>275</v>
      </c>
      <c r="D50" s="8" t="s">
        <v>276</v>
      </c>
      <c r="E50" s="7" t="s">
        <v>133</v>
      </c>
      <c r="F50" s="7" t="s">
        <v>275</v>
      </c>
      <c r="G50" s="7" t="s">
        <v>133</v>
      </c>
      <c r="H50" s="7"/>
      <c r="I50" s="7" t="s">
        <v>277</v>
      </c>
      <c r="J50" s="9">
        <v>0.44490000000000002</v>
      </c>
      <c r="K50" s="7">
        <v>85.3</v>
      </c>
      <c r="L50" s="7" t="s">
        <v>278</v>
      </c>
      <c r="M50" s="9">
        <v>0.40160000000000001</v>
      </c>
      <c r="N50" s="7" t="s">
        <v>279</v>
      </c>
      <c r="O50" s="9">
        <v>0.31830000000000003</v>
      </c>
      <c r="P50" s="7">
        <v>3</v>
      </c>
      <c r="Q50" s="7" t="s">
        <v>280</v>
      </c>
      <c r="R50" s="8" t="s">
        <v>281</v>
      </c>
      <c r="S50" s="10"/>
      <c r="T50" s="10"/>
      <c r="U50" s="11"/>
    </row>
    <row r="51" spans="1:21" ht="56" x14ac:dyDescent="0.35">
      <c r="A51" s="7" t="s">
        <v>21</v>
      </c>
      <c r="B51" s="7" t="s">
        <v>250</v>
      </c>
      <c r="C51" s="8" t="s">
        <v>282</v>
      </c>
      <c r="D51" s="8" t="s">
        <v>283</v>
      </c>
      <c r="E51" s="7" t="s">
        <v>133</v>
      </c>
      <c r="F51" s="7" t="s">
        <v>284</v>
      </c>
      <c r="G51" s="7" t="s">
        <v>133</v>
      </c>
      <c r="H51" s="7"/>
      <c r="I51" s="7" t="s">
        <v>285</v>
      </c>
      <c r="J51" s="9">
        <v>0.44140000000000001</v>
      </c>
      <c r="K51" s="7">
        <v>84.4</v>
      </c>
      <c r="L51" s="7" t="s">
        <v>255</v>
      </c>
      <c r="M51" s="9">
        <v>0.31319999999999998</v>
      </c>
      <c r="N51" s="7" t="s">
        <v>286</v>
      </c>
      <c r="O51" s="9">
        <v>0.29370000000000002</v>
      </c>
      <c r="P51" s="7">
        <v>1</v>
      </c>
      <c r="Q51" s="7" t="s">
        <v>287</v>
      </c>
      <c r="R51" s="8" t="s">
        <v>288</v>
      </c>
      <c r="S51" s="10"/>
      <c r="T51" s="10"/>
      <c r="U51" s="11"/>
    </row>
    <row r="52" spans="1:21" ht="98" x14ac:dyDescent="0.35">
      <c r="A52" s="7" t="s">
        <v>21</v>
      </c>
      <c r="B52" s="7" t="s">
        <v>250</v>
      </c>
      <c r="C52" s="8" t="s">
        <v>289</v>
      </c>
      <c r="D52" s="8" t="s">
        <v>290</v>
      </c>
      <c r="E52" s="7" t="s">
        <v>133</v>
      </c>
      <c r="F52" s="7" t="s">
        <v>289</v>
      </c>
      <c r="G52" s="7" t="s">
        <v>133</v>
      </c>
      <c r="H52" s="7"/>
      <c r="I52" s="7" t="s">
        <v>291</v>
      </c>
      <c r="J52" s="9">
        <v>0.42120000000000002</v>
      </c>
      <c r="K52" s="7">
        <v>79</v>
      </c>
      <c r="L52" s="7" t="s">
        <v>292</v>
      </c>
      <c r="M52" s="9">
        <v>0.37859999999999999</v>
      </c>
      <c r="N52" s="7" t="s">
        <v>293</v>
      </c>
      <c r="O52" s="9">
        <v>0.2858</v>
      </c>
      <c r="P52" s="7">
        <v>1</v>
      </c>
      <c r="Q52" s="7" t="s">
        <v>294</v>
      </c>
      <c r="R52" s="8" t="s">
        <v>295</v>
      </c>
      <c r="S52" s="10"/>
      <c r="T52" s="10"/>
      <c r="U52" s="11"/>
    </row>
    <row r="53" spans="1:21" ht="56" x14ac:dyDescent="0.35">
      <c r="A53" s="7" t="s">
        <v>21</v>
      </c>
      <c r="B53" s="7" t="s">
        <v>250</v>
      </c>
      <c r="C53" s="8" t="s">
        <v>296</v>
      </c>
      <c r="D53" s="8" t="s">
        <v>297</v>
      </c>
      <c r="E53" s="7" t="s">
        <v>5</v>
      </c>
      <c r="F53" s="7" t="s">
        <v>298</v>
      </c>
      <c r="G53" s="7" t="s">
        <v>133</v>
      </c>
      <c r="H53" s="7"/>
      <c r="I53" s="7" t="s">
        <v>299</v>
      </c>
      <c r="J53" s="9">
        <v>0.4148</v>
      </c>
      <c r="K53" s="7">
        <v>77.3</v>
      </c>
      <c r="L53" s="7" t="s">
        <v>300</v>
      </c>
      <c r="M53" s="9">
        <v>0.3901</v>
      </c>
      <c r="N53" s="7" t="s">
        <v>301</v>
      </c>
      <c r="O53" s="9">
        <v>0.37</v>
      </c>
      <c r="P53" s="7">
        <v>1</v>
      </c>
      <c r="Q53" s="7" t="s">
        <v>302</v>
      </c>
      <c r="R53" s="8" t="s">
        <v>303</v>
      </c>
      <c r="S53" s="10"/>
      <c r="T53" s="10"/>
      <c r="U53" s="11"/>
    </row>
    <row r="54" spans="1:21" ht="56" x14ac:dyDescent="0.35">
      <c r="A54" s="7" t="s">
        <v>21</v>
      </c>
      <c r="B54" s="7" t="s">
        <v>250</v>
      </c>
      <c r="C54" s="8" t="s">
        <v>304</v>
      </c>
      <c r="D54" s="8" t="s">
        <v>305</v>
      </c>
      <c r="E54" s="7" t="s">
        <v>133</v>
      </c>
      <c r="F54" s="7" t="s">
        <v>304</v>
      </c>
      <c r="G54" s="7" t="s">
        <v>133</v>
      </c>
      <c r="H54" s="7"/>
      <c r="I54" s="7" t="s">
        <v>62</v>
      </c>
      <c r="J54" s="9">
        <v>0.4098</v>
      </c>
      <c r="K54" s="7">
        <v>76</v>
      </c>
      <c r="L54" s="7" t="s">
        <v>306</v>
      </c>
      <c r="M54" s="9">
        <v>0.31690000000000002</v>
      </c>
      <c r="N54" s="7" t="s">
        <v>307</v>
      </c>
      <c r="O54" s="9">
        <v>0.21340000000000001</v>
      </c>
      <c r="P54" s="7">
        <v>1</v>
      </c>
      <c r="Q54" s="7" t="s">
        <v>308</v>
      </c>
      <c r="R54" s="8" t="s">
        <v>309</v>
      </c>
      <c r="S54" s="10"/>
      <c r="T54" s="10"/>
      <c r="U54" s="11"/>
    </row>
    <row r="55" spans="1:21" ht="56" x14ac:dyDescent="0.35">
      <c r="A55" s="7" t="s">
        <v>21</v>
      </c>
      <c r="B55" s="7" t="s">
        <v>250</v>
      </c>
      <c r="C55" s="8" t="s">
        <v>310</v>
      </c>
      <c r="D55" s="8" t="s">
        <v>311</v>
      </c>
      <c r="E55" s="7" t="s">
        <v>133</v>
      </c>
      <c r="F55" s="7" t="s">
        <v>310</v>
      </c>
      <c r="G55" s="7" t="s">
        <v>133</v>
      </c>
      <c r="H55" s="7"/>
      <c r="I55" s="7" t="s">
        <v>312</v>
      </c>
      <c r="J55" s="9">
        <v>0.40100000000000002</v>
      </c>
      <c r="K55" s="7">
        <v>73.599999999999994</v>
      </c>
      <c r="L55" s="7" t="s">
        <v>313</v>
      </c>
      <c r="M55" s="9">
        <v>0.37059999999999998</v>
      </c>
      <c r="N55" s="7" t="s">
        <v>314</v>
      </c>
      <c r="O55" s="9">
        <v>0.33019999999999999</v>
      </c>
      <c r="P55" s="7">
        <v>1</v>
      </c>
      <c r="Q55" s="7" t="s">
        <v>315</v>
      </c>
      <c r="R55" s="8" t="s">
        <v>316</v>
      </c>
      <c r="S55" s="10"/>
      <c r="T55" s="10"/>
      <c r="U55" s="11"/>
    </row>
    <row r="56" spans="1:21" ht="84" x14ac:dyDescent="0.35">
      <c r="A56" s="7" t="s">
        <v>21</v>
      </c>
      <c r="B56" s="7" t="s">
        <v>317</v>
      </c>
      <c r="C56" s="8" t="s">
        <v>318</v>
      </c>
      <c r="D56" s="8" t="s">
        <v>319</v>
      </c>
      <c r="E56" s="7" t="s">
        <v>320</v>
      </c>
      <c r="F56" s="7" t="s">
        <v>225</v>
      </c>
      <c r="G56" s="7"/>
      <c r="H56" s="7"/>
      <c r="I56" s="7"/>
      <c r="J56" s="9"/>
      <c r="K56" s="7"/>
      <c r="L56" s="7"/>
      <c r="M56" s="9"/>
      <c r="N56" s="7"/>
      <c r="O56" s="9"/>
      <c r="P56" s="7">
        <v>1</v>
      </c>
      <c r="Q56" s="7" t="s">
        <v>321</v>
      </c>
      <c r="R56" s="8" t="s">
        <v>322</v>
      </c>
      <c r="S56" s="10"/>
      <c r="T56" s="10"/>
      <c r="U56" s="11"/>
    </row>
    <row r="57" spans="1:21" ht="28" x14ac:dyDescent="0.35">
      <c r="A57" s="7" t="s">
        <v>21</v>
      </c>
      <c r="B57" s="7" t="s">
        <v>317</v>
      </c>
      <c r="C57" s="8" t="s">
        <v>323</v>
      </c>
      <c r="D57" s="8" t="s">
        <v>324</v>
      </c>
      <c r="E57" s="7" t="s">
        <v>320</v>
      </c>
      <c r="F57" s="7" t="s">
        <v>325</v>
      </c>
      <c r="G57" s="7"/>
      <c r="H57" s="7"/>
      <c r="I57" s="7"/>
      <c r="J57" s="9"/>
      <c r="K57" s="7"/>
      <c r="L57" s="7"/>
      <c r="M57" s="9"/>
      <c r="N57" s="7"/>
      <c r="O57" s="9"/>
      <c r="P57" s="7">
        <v>2</v>
      </c>
      <c r="Q57" s="7" t="s">
        <v>326</v>
      </c>
      <c r="R57" s="8" t="s">
        <v>327</v>
      </c>
      <c r="S57" s="10"/>
      <c r="T57" s="10"/>
      <c r="U57" s="11"/>
    </row>
    <row r="58" spans="1:21" ht="409.5" x14ac:dyDescent="0.35">
      <c r="A58" s="7" t="s">
        <v>21</v>
      </c>
      <c r="B58" s="7" t="s">
        <v>317</v>
      </c>
      <c r="C58" s="8" t="s">
        <v>328</v>
      </c>
      <c r="D58" s="8" t="s">
        <v>77</v>
      </c>
      <c r="E58" s="7" t="s">
        <v>5</v>
      </c>
      <c r="F58" s="7" t="s">
        <v>208</v>
      </c>
      <c r="G58" s="7"/>
      <c r="H58" s="7"/>
      <c r="I58" s="7"/>
      <c r="J58" s="9"/>
      <c r="K58" s="7"/>
      <c r="L58" s="7"/>
      <c r="M58" s="9"/>
      <c r="N58" s="7"/>
      <c r="O58" s="9"/>
      <c r="P58" s="7">
        <v>1</v>
      </c>
      <c r="Q58" s="7" t="s">
        <v>79</v>
      </c>
      <c r="R58" s="8" t="s">
        <v>80</v>
      </c>
      <c r="S58" s="10"/>
      <c r="T58" s="10"/>
      <c r="U58" s="11"/>
    </row>
    <row r="59" spans="1:21" ht="409.5" x14ac:dyDescent="0.35">
      <c r="A59" s="7" t="s">
        <v>21</v>
      </c>
      <c r="B59" s="7" t="s">
        <v>317</v>
      </c>
      <c r="C59" s="8" t="s">
        <v>329</v>
      </c>
      <c r="D59" s="8" t="s">
        <v>77</v>
      </c>
      <c r="E59" s="7" t="s">
        <v>5</v>
      </c>
      <c r="F59" s="7" t="s">
        <v>330</v>
      </c>
      <c r="G59" s="7"/>
      <c r="H59" s="7"/>
      <c r="I59" s="7"/>
      <c r="J59" s="9"/>
      <c r="K59" s="7"/>
      <c r="L59" s="7"/>
      <c r="M59" s="9"/>
      <c r="N59" s="7"/>
      <c r="O59" s="9"/>
      <c r="P59" s="7">
        <v>1</v>
      </c>
      <c r="Q59" s="7" t="s">
        <v>79</v>
      </c>
      <c r="R59" s="8" t="s">
        <v>80</v>
      </c>
      <c r="S59" s="10"/>
      <c r="T59" s="10"/>
      <c r="U59" s="11"/>
    </row>
    <row r="60" spans="1:21" ht="84" x14ac:dyDescent="0.35">
      <c r="A60" s="7" t="s">
        <v>21</v>
      </c>
      <c r="B60" s="7" t="s">
        <v>317</v>
      </c>
      <c r="C60" s="8" t="s">
        <v>331</v>
      </c>
      <c r="D60" s="8" t="s">
        <v>332</v>
      </c>
      <c r="E60" s="7" t="s">
        <v>133</v>
      </c>
      <c r="F60" s="7" t="s">
        <v>333</v>
      </c>
      <c r="G60" s="7"/>
      <c r="H60" s="7"/>
      <c r="I60" s="7"/>
      <c r="J60" s="9"/>
      <c r="K60" s="7"/>
      <c r="L60" s="7"/>
      <c r="M60" s="9"/>
      <c r="N60" s="7"/>
      <c r="O60" s="9"/>
      <c r="P60" s="7">
        <v>1</v>
      </c>
      <c r="Q60" s="7" t="s">
        <v>334</v>
      </c>
      <c r="R60" s="8" t="s">
        <v>335</v>
      </c>
      <c r="S60" s="10"/>
      <c r="T60" s="10"/>
      <c r="U60" s="11"/>
    </row>
    <row r="61" spans="1:21" ht="409.5" x14ac:dyDescent="0.35">
      <c r="A61" s="7" t="s">
        <v>21</v>
      </c>
      <c r="B61" s="7" t="s">
        <v>317</v>
      </c>
      <c r="C61" s="8" t="s">
        <v>336</v>
      </c>
      <c r="D61" s="8" t="s">
        <v>77</v>
      </c>
      <c r="E61" s="7" t="s">
        <v>5</v>
      </c>
      <c r="F61" s="7" t="s">
        <v>336</v>
      </c>
      <c r="G61" s="7"/>
      <c r="H61" s="7"/>
      <c r="I61" s="7"/>
      <c r="J61" s="9"/>
      <c r="K61" s="7"/>
      <c r="L61" s="7"/>
      <c r="M61" s="9"/>
      <c r="N61" s="7"/>
      <c r="O61" s="9"/>
      <c r="P61" s="7">
        <v>1</v>
      </c>
      <c r="Q61" s="7" t="s">
        <v>79</v>
      </c>
      <c r="R61" s="8" t="s">
        <v>80</v>
      </c>
      <c r="S61" s="10"/>
      <c r="T61" s="10"/>
      <c r="U61" s="11"/>
    </row>
    <row r="62" spans="1:21" ht="409.5" x14ac:dyDescent="0.35">
      <c r="A62" s="7" t="s">
        <v>21</v>
      </c>
      <c r="B62" s="7" t="s">
        <v>317</v>
      </c>
      <c r="C62" s="8" t="s">
        <v>337</v>
      </c>
      <c r="D62" s="8" t="s">
        <v>77</v>
      </c>
      <c r="E62" s="7" t="s">
        <v>5</v>
      </c>
      <c r="F62" s="7" t="s">
        <v>338</v>
      </c>
      <c r="G62" s="7"/>
      <c r="H62" s="7"/>
      <c r="I62" s="7"/>
      <c r="J62" s="9"/>
      <c r="K62" s="7"/>
      <c r="L62" s="7"/>
      <c r="M62" s="9"/>
      <c r="N62" s="7"/>
      <c r="O62" s="9"/>
      <c r="P62" s="7">
        <v>1</v>
      </c>
      <c r="Q62" s="7" t="s">
        <v>79</v>
      </c>
      <c r="R62" s="8" t="s">
        <v>80</v>
      </c>
      <c r="S62" s="10"/>
      <c r="T62" s="10"/>
      <c r="U62" s="11"/>
    </row>
    <row r="63" spans="1:21" ht="84" x14ac:dyDescent="0.35">
      <c r="A63" s="7" t="s">
        <v>21</v>
      </c>
      <c r="B63" s="7" t="s">
        <v>317</v>
      </c>
      <c r="C63" s="8" t="s">
        <v>339</v>
      </c>
      <c r="D63" s="8" t="s">
        <v>340</v>
      </c>
      <c r="E63" s="7" t="s">
        <v>320</v>
      </c>
      <c r="F63" s="7" t="s">
        <v>164</v>
      </c>
      <c r="G63" s="7"/>
      <c r="H63" s="7"/>
      <c r="I63" s="7"/>
      <c r="J63" s="9"/>
      <c r="K63" s="7"/>
      <c r="L63" s="7"/>
      <c r="M63" s="9"/>
      <c r="N63" s="7"/>
      <c r="O63" s="9"/>
      <c r="P63" s="7">
        <v>1</v>
      </c>
      <c r="Q63" s="7" t="s">
        <v>341</v>
      </c>
      <c r="R63" s="8" t="s">
        <v>342</v>
      </c>
      <c r="S63" s="10"/>
      <c r="T63" s="10"/>
      <c r="U63" s="11"/>
    </row>
    <row r="64" spans="1:21" ht="84" x14ac:dyDescent="0.35">
      <c r="A64" s="7" t="s">
        <v>21</v>
      </c>
      <c r="B64" s="7" t="s">
        <v>317</v>
      </c>
      <c r="C64" s="8" t="s">
        <v>343</v>
      </c>
      <c r="D64" s="8" t="s">
        <v>344</v>
      </c>
      <c r="E64" s="7" t="s">
        <v>320</v>
      </c>
      <c r="F64" s="7" t="s">
        <v>338</v>
      </c>
      <c r="G64" s="7"/>
      <c r="H64" s="7"/>
      <c r="I64" s="7"/>
      <c r="J64" s="9"/>
      <c r="K64" s="7"/>
      <c r="L64" s="7"/>
      <c r="M64" s="9"/>
      <c r="N64" s="7"/>
      <c r="O64" s="9"/>
      <c r="P64" s="7">
        <v>1</v>
      </c>
      <c r="Q64" s="7" t="s">
        <v>345</v>
      </c>
      <c r="R64" s="8" t="s">
        <v>346</v>
      </c>
      <c r="S64" s="10"/>
      <c r="T64" s="10"/>
      <c r="U64" s="11"/>
    </row>
    <row r="65" spans="1:21" ht="98" x14ac:dyDescent="0.35">
      <c r="A65" s="7" t="s">
        <v>21</v>
      </c>
      <c r="B65" s="7" t="s">
        <v>317</v>
      </c>
      <c r="C65" s="8" t="s">
        <v>347</v>
      </c>
      <c r="D65" s="8" t="s">
        <v>348</v>
      </c>
      <c r="E65" s="7" t="s">
        <v>320</v>
      </c>
      <c r="F65" s="7" t="s">
        <v>349</v>
      </c>
      <c r="G65" s="7"/>
      <c r="H65" s="7"/>
      <c r="I65" s="7"/>
      <c r="J65" s="9"/>
      <c r="K65" s="7"/>
      <c r="L65" s="7"/>
      <c r="M65" s="9"/>
      <c r="N65" s="7"/>
      <c r="O65" s="9"/>
      <c r="P65" s="7">
        <v>1</v>
      </c>
      <c r="Q65" s="7" t="s">
        <v>350</v>
      </c>
      <c r="R65" s="8" t="s">
        <v>351</v>
      </c>
      <c r="S65" s="10"/>
      <c r="T65" s="10"/>
      <c r="U65" s="11"/>
    </row>
    <row r="66" spans="1:21" ht="70" x14ac:dyDescent="0.35">
      <c r="A66" s="7" t="s">
        <v>21</v>
      </c>
      <c r="B66" s="7" t="s">
        <v>352</v>
      </c>
      <c r="C66" s="8"/>
      <c r="D66" s="8"/>
      <c r="E66" s="7" t="s">
        <v>353</v>
      </c>
      <c r="F66" s="7"/>
      <c r="G66" s="7"/>
      <c r="H66" s="7"/>
      <c r="I66" s="7"/>
      <c r="J66" s="9"/>
      <c r="K66" s="7"/>
      <c r="L66" s="7"/>
      <c r="M66" s="9"/>
      <c r="N66" s="7"/>
      <c r="O66" s="9"/>
      <c r="P66" s="7">
        <v>1</v>
      </c>
      <c r="Q66" s="7" t="s">
        <v>354</v>
      </c>
      <c r="R66" s="8" t="s">
        <v>355</v>
      </c>
      <c r="S66" s="10"/>
      <c r="T66" s="10"/>
      <c r="U66" s="11"/>
    </row>
    <row r="67" spans="1:21" ht="56" x14ac:dyDescent="0.35">
      <c r="A67" s="7" t="s">
        <v>21</v>
      </c>
      <c r="B67" s="7" t="s">
        <v>352</v>
      </c>
      <c r="C67" s="8"/>
      <c r="D67" s="8"/>
      <c r="E67" s="7" t="s">
        <v>353</v>
      </c>
      <c r="F67" s="7"/>
      <c r="G67" s="7"/>
      <c r="H67" s="7"/>
      <c r="I67" s="7"/>
      <c r="J67" s="9"/>
      <c r="K67" s="7"/>
      <c r="L67" s="7"/>
      <c r="M67" s="9"/>
      <c r="N67" s="7"/>
      <c r="O67" s="9"/>
      <c r="P67" s="7">
        <v>1</v>
      </c>
      <c r="Q67" s="7" t="s">
        <v>356</v>
      </c>
      <c r="R67" s="8" t="s">
        <v>357</v>
      </c>
      <c r="S67" s="10"/>
      <c r="T67" s="10"/>
      <c r="U67" s="11"/>
    </row>
    <row r="68" spans="1:21" ht="28" x14ac:dyDescent="0.35">
      <c r="A68" s="7" t="s">
        <v>21</v>
      </c>
      <c r="B68" s="7" t="s">
        <v>352</v>
      </c>
      <c r="C68" s="8"/>
      <c r="D68" s="8"/>
      <c r="E68" s="7" t="s">
        <v>353</v>
      </c>
      <c r="F68" s="7"/>
      <c r="G68" s="7"/>
      <c r="H68" s="7"/>
      <c r="I68" s="7"/>
      <c r="J68" s="9"/>
      <c r="K68" s="7"/>
      <c r="L68" s="7"/>
      <c r="M68" s="9"/>
      <c r="N68" s="7"/>
      <c r="O68" s="9"/>
      <c r="P68" s="7">
        <v>1</v>
      </c>
      <c r="Q68" s="7" t="s">
        <v>358</v>
      </c>
      <c r="R68" s="8" t="s">
        <v>359</v>
      </c>
      <c r="S68" s="10"/>
      <c r="T68" s="10"/>
      <c r="U68" s="11"/>
    </row>
    <row r="69" spans="1:21" ht="56" x14ac:dyDescent="0.35">
      <c r="A69" s="7" t="s">
        <v>21</v>
      </c>
      <c r="B69" s="7" t="s">
        <v>352</v>
      </c>
      <c r="C69" s="8"/>
      <c r="D69" s="8"/>
      <c r="E69" s="7" t="s">
        <v>353</v>
      </c>
      <c r="F69" s="7"/>
      <c r="G69" s="7"/>
      <c r="H69" s="7"/>
      <c r="I69" s="7"/>
      <c r="J69" s="9"/>
      <c r="K69" s="7"/>
      <c r="L69" s="7"/>
      <c r="M69" s="9"/>
      <c r="N69" s="7"/>
      <c r="O69" s="9"/>
      <c r="P69" s="7">
        <v>1</v>
      </c>
      <c r="Q69" s="7" t="s">
        <v>360</v>
      </c>
      <c r="R69" s="8" t="s">
        <v>361</v>
      </c>
      <c r="S69" s="10"/>
      <c r="T69" s="10"/>
      <c r="U69" s="11"/>
    </row>
    <row r="70" spans="1:21" ht="56" x14ac:dyDescent="0.35">
      <c r="A70" s="7" t="s">
        <v>21</v>
      </c>
      <c r="B70" s="7" t="s">
        <v>352</v>
      </c>
      <c r="C70" s="8"/>
      <c r="D70" s="8"/>
      <c r="E70" s="7" t="s">
        <v>353</v>
      </c>
      <c r="F70" s="7"/>
      <c r="G70" s="7"/>
      <c r="H70" s="7"/>
      <c r="I70" s="7"/>
      <c r="J70" s="9"/>
      <c r="K70" s="7"/>
      <c r="L70" s="7"/>
      <c r="M70" s="9"/>
      <c r="N70" s="7"/>
      <c r="O70" s="9"/>
      <c r="P70" s="7">
        <v>1</v>
      </c>
      <c r="Q70" s="7" t="s">
        <v>362</v>
      </c>
      <c r="R70" s="8" t="s">
        <v>363</v>
      </c>
      <c r="S70" s="10"/>
      <c r="T70" s="10"/>
      <c r="U70" s="11"/>
    </row>
    <row r="71" spans="1:21" ht="56" x14ac:dyDescent="0.35">
      <c r="A71" s="7" t="s">
        <v>21</v>
      </c>
      <c r="B71" s="7" t="s">
        <v>364</v>
      </c>
      <c r="C71" s="8" t="s">
        <v>365</v>
      </c>
      <c r="D71" s="8"/>
      <c r="E71" s="7" t="s">
        <v>320</v>
      </c>
      <c r="F71" s="7"/>
      <c r="G71" s="7"/>
      <c r="H71" s="7"/>
      <c r="I71" s="7"/>
      <c r="J71" s="9"/>
      <c r="K71" s="7"/>
      <c r="L71" s="7"/>
      <c r="M71" s="9"/>
      <c r="N71" s="7"/>
      <c r="O71" s="9"/>
      <c r="P71" s="7">
        <v>1</v>
      </c>
      <c r="Q71" s="7" t="s">
        <v>366</v>
      </c>
      <c r="R71" s="8" t="s">
        <v>367</v>
      </c>
      <c r="S71" s="10"/>
      <c r="T71" s="10"/>
      <c r="U71" s="11"/>
    </row>
    <row r="72" spans="1:21" ht="56" x14ac:dyDescent="0.35">
      <c r="A72" s="7" t="s">
        <v>21</v>
      </c>
      <c r="B72" s="7" t="s">
        <v>364</v>
      </c>
      <c r="C72" s="8" t="s">
        <v>368</v>
      </c>
      <c r="D72" s="8"/>
      <c r="E72" s="7" t="s">
        <v>320</v>
      </c>
      <c r="F72" s="7"/>
      <c r="G72" s="7"/>
      <c r="H72" s="7"/>
      <c r="I72" s="7"/>
      <c r="J72" s="9"/>
      <c r="K72" s="7"/>
      <c r="L72" s="7"/>
      <c r="M72" s="9"/>
      <c r="N72" s="7"/>
      <c r="O72" s="9"/>
      <c r="P72" s="7">
        <v>1</v>
      </c>
      <c r="Q72" s="7" t="s">
        <v>369</v>
      </c>
      <c r="R72" s="8" t="s">
        <v>370</v>
      </c>
      <c r="S72" s="10"/>
      <c r="T72" s="10"/>
      <c r="U72" s="11"/>
    </row>
    <row r="73" spans="1:21" ht="56" x14ac:dyDescent="0.35">
      <c r="A73" s="7" t="s">
        <v>21</v>
      </c>
      <c r="B73" s="7" t="s">
        <v>364</v>
      </c>
      <c r="C73" s="8" t="s">
        <v>371</v>
      </c>
      <c r="D73" s="8"/>
      <c r="E73" s="7" t="s">
        <v>320</v>
      </c>
      <c r="F73" s="7"/>
      <c r="G73" s="7"/>
      <c r="H73" s="7"/>
      <c r="I73" s="7"/>
      <c r="J73" s="9"/>
      <c r="K73" s="7"/>
      <c r="L73" s="7"/>
      <c r="M73" s="9"/>
      <c r="N73" s="7"/>
      <c r="O73" s="9"/>
      <c r="P73" s="7">
        <v>1</v>
      </c>
      <c r="Q73" s="7" t="s">
        <v>372</v>
      </c>
      <c r="R73" s="8" t="s">
        <v>373</v>
      </c>
      <c r="S73" s="10"/>
      <c r="T73" s="10"/>
      <c r="U73" s="11"/>
    </row>
    <row r="74" spans="1:21" ht="42" x14ac:dyDescent="0.35">
      <c r="A74" s="7" t="s">
        <v>21</v>
      </c>
      <c r="B74" s="7" t="s">
        <v>364</v>
      </c>
      <c r="C74" s="8" t="s">
        <v>374</v>
      </c>
      <c r="D74" s="8"/>
      <c r="E74" s="7" t="s">
        <v>320</v>
      </c>
      <c r="F74" s="7"/>
      <c r="G74" s="7"/>
      <c r="H74" s="7"/>
      <c r="I74" s="7"/>
      <c r="J74" s="9"/>
      <c r="K74" s="7"/>
      <c r="L74" s="7"/>
      <c r="M74" s="9"/>
      <c r="N74" s="7"/>
      <c r="O74" s="9"/>
      <c r="P74" s="7">
        <v>1</v>
      </c>
      <c r="Q74" s="7" t="s">
        <v>375</v>
      </c>
      <c r="R74" s="8" t="s">
        <v>376</v>
      </c>
      <c r="S74" s="10"/>
      <c r="T74" s="10"/>
      <c r="U74" s="11"/>
    </row>
    <row r="75" spans="1:21" ht="84" x14ac:dyDescent="0.35">
      <c r="A75" s="7" t="s">
        <v>21</v>
      </c>
      <c r="B75" s="7" t="s">
        <v>364</v>
      </c>
      <c r="C75" s="8" t="s">
        <v>377</v>
      </c>
      <c r="D75" s="8"/>
      <c r="E75" s="7" t="s">
        <v>320</v>
      </c>
      <c r="F75" s="7"/>
      <c r="G75" s="7"/>
      <c r="H75" s="7"/>
      <c r="I75" s="7"/>
      <c r="J75" s="9"/>
      <c r="K75" s="7"/>
      <c r="L75" s="7"/>
      <c r="M75" s="9"/>
      <c r="N75" s="7"/>
      <c r="O75" s="9"/>
      <c r="P75" s="7">
        <v>1</v>
      </c>
      <c r="Q75" s="7" t="s">
        <v>378</v>
      </c>
      <c r="R75" s="8" t="s">
        <v>379</v>
      </c>
      <c r="S75" s="10"/>
      <c r="T75" s="10"/>
      <c r="U75" s="11"/>
    </row>
  </sheetData>
  <autoFilter ref="A1:U75" xr:uid="{00000000-0009-0000-0000-000001000000}"/>
  <dataValidations count="1">
    <dataValidation type="list" allowBlank="1" showErrorMessage="1" errorTitle="Judgement" error="Choose: correct, partial, wrong, unclear" sqref="S2:S75" xr:uid="{00000000-0002-0000-0100-000000000000}">
      <formula1>"correct,partial,wrong,unclear"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workbookViewId="0"/>
  </sheetViews>
  <sheetFormatPr defaultRowHeight="14.5" x14ac:dyDescent="0.35"/>
  <cols>
    <col min="1" max="1" width="22" customWidth="1"/>
    <col min="2" max="2" width="9" customWidth="1"/>
    <col min="3" max="3" width="10" customWidth="1"/>
    <col min="4" max="8" width="8" customWidth="1"/>
    <col min="9" max="9" width="17" customWidth="1"/>
    <col min="10" max="10" width="18" customWidth="1"/>
  </cols>
  <sheetData>
    <row r="1" spans="1:10" x14ac:dyDescent="0.35">
      <c r="A1" s="4" t="s">
        <v>1</v>
      </c>
      <c r="B1" s="4" t="s">
        <v>407</v>
      </c>
      <c r="C1" s="4" t="s">
        <v>408</v>
      </c>
      <c r="D1" s="4" t="s">
        <v>409</v>
      </c>
      <c r="E1" s="4" t="s">
        <v>410</v>
      </c>
      <c r="F1" s="4" t="s">
        <v>405</v>
      </c>
      <c r="G1" s="4" t="s">
        <v>411</v>
      </c>
      <c r="H1" s="4" t="s">
        <v>412</v>
      </c>
      <c r="I1" s="4" t="s">
        <v>413</v>
      </c>
      <c r="J1" s="4" t="s">
        <v>414</v>
      </c>
    </row>
    <row r="2" spans="1:10" x14ac:dyDescent="0.35">
      <c r="A2" s="5" t="s">
        <v>22</v>
      </c>
      <c r="B2" s="5">
        <v>13</v>
      </c>
      <c r="C2" s="5">
        <f>COUNTIFS(Validate!$B$2:$B$75,A2,Validate!$A$2:$A$75,"yes")</f>
        <v>10</v>
      </c>
      <c r="D2" s="5">
        <f>COUNTIFS(Validate!$B$2:$B$75,A2,Validate!$S$2:$S$75,"&lt;&gt;")</f>
        <v>0</v>
      </c>
      <c r="E2" s="5">
        <f>COUNTIFS(Validate!$B$2:$B$75,A2,Validate!$S$2:$S$75,"correct")</f>
        <v>0</v>
      </c>
      <c r="F2" s="5">
        <f>COUNTIFS(Validate!$B$2:$B$75,A2,Validate!$S$2:$S$75,"partial")</f>
        <v>0</v>
      </c>
      <c r="G2" s="5">
        <f>COUNTIFS(Validate!$B$2:$B$75,A2,Validate!$S$2:$S$75,"wrong")</f>
        <v>0</v>
      </c>
      <c r="H2" s="5">
        <f>COUNTIFS(Validate!$B$2:$B$75,A2,Validate!$S$2:$S$75,"unclear")</f>
        <v>0</v>
      </c>
      <c r="I2" s="12" t="str">
        <f t="shared" ref="I2:I11" si="0">IFERROR(E2/(D2-H2),"")</f>
        <v/>
      </c>
      <c r="J2" s="12" t="str">
        <f t="shared" ref="J2:J11" si="1">IFERROR((E2+F2)/(D2-H2),"")</f>
        <v/>
      </c>
    </row>
    <row r="3" spans="1:10" x14ac:dyDescent="0.35">
      <c r="A3" s="5" t="s">
        <v>5</v>
      </c>
      <c r="B3" s="5">
        <v>22</v>
      </c>
      <c r="C3" s="5">
        <f>COUNTIFS(Validate!$B$2:$B$75,A3,Validate!$A$2:$A$75,"yes")</f>
        <v>10</v>
      </c>
      <c r="D3" s="5">
        <f>COUNTIFS(Validate!$B$2:$B$75,A3,Validate!$S$2:$S$75,"&lt;&gt;")</f>
        <v>0</v>
      </c>
      <c r="E3" s="5">
        <f>COUNTIFS(Validate!$B$2:$B$75,A3,Validate!$S$2:$S$75,"correct")</f>
        <v>0</v>
      </c>
      <c r="F3" s="5">
        <f>COUNTIFS(Validate!$B$2:$B$75,A3,Validate!$S$2:$S$75,"partial")</f>
        <v>0</v>
      </c>
      <c r="G3" s="5">
        <f>COUNTIFS(Validate!$B$2:$B$75,A3,Validate!$S$2:$S$75,"wrong")</f>
        <v>0</v>
      </c>
      <c r="H3" s="5">
        <f>COUNTIFS(Validate!$B$2:$B$75,A3,Validate!$S$2:$S$75,"unclear")</f>
        <v>0</v>
      </c>
      <c r="I3" s="12" t="str">
        <f t="shared" si="0"/>
        <v/>
      </c>
      <c r="J3" s="12" t="str">
        <f t="shared" si="1"/>
        <v/>
      </c>
    </row>
    <row r="4" spans="1:10" x14ac:dyDescent="0.35">
      <c r="A4" s="5" t="s">
        <v>110</v>
      </c>
      <c r="B4" s="5">
        <v>4</v>
      </c>
      <c r="C4" s="5">
        <f>COUNTIFS(Validate!$B$2:$B$75,A4,Validate!$A$2:$A$75,"yes")</f>
        <v>4</v>
      </c>
      <c r="D4" s="5">
        <f>COUNTIFS(Validate!$B$2:$B$75,A4,Validate!$S$2:$S$75,"&lt;&gt;")</f>
        <v>0</v>
      </c>
      <c r="E4" s="5">
        <f>COUNTIFS(Validate!$B$2:$B$75,A4,Validate!$S$2:$S$75,"correct")</f>
        <v>0</v>
      </c>
      <c r="F4" s="5">
        <f>COUNTIFS(Validate!$B$2:$B$75,A4,Validate!$S$2:$S$75,"partial")</f>
        <v>0</v>
      </c>
      <c r="G4" s="5">
        <f>COUNTIFS(Validate!$B$2:$B$75,A4,Validate!$S$2:$S$75,"wrong")</f>
        <v>0</v>
      </c>
      <c r="H4" s="5">
        <f>COUNTIFS(Validate!$B$2:$B$75,A4,Validate!$S$2:$S$75,"unclear")</f>
        <v>0</v>
      </c>
      <c r="I4" s="12" t="str">
        <f t="shared" si="0"/>
        <v/>
      </c>
      <c r="J4" s="12" t="str">
        <f t="shared" si="1"/>
        <v/>
      </c>
    </row>
    <row r="5" spans="1:10" x14ac:dyDescent="0.35">
      <c r="A5" s="5" t="s">
        <v>130</v>
      </c>
      <c r="B5" s="5">
        <v>62</v>
      </c>
      <c r="C5" s="5">
        <f>COUNTIFS(Validate!$B$2:$B$75,A5,Validate!$A$2:$A$75,"yes")</f>
        <v>10</v>
      </c>
      <c r="D5" s="5">
        <f>COUNTIFS(Validate!$B$2:$B$75,A5,Validate!$S$2:$S$75,"&lt;&gt;")</f>
        <v>0</v>
      </c>
      <c r="E5" s="5">
        <f>COUNTIFS(Validate!$B$2:$B$75,A5,Validate!$S$2:$S$75,"correct")</f>
        <v>0</v>
      </c>
      <c r="F5" s="5">
        <f>COUNTIFS(Validate!$B$2:$B$75,A5,Validate!$S$2:$S$75,"partial")</f>
        <v>0</v>
      </c>
      <c r="G5" s="5">
        <f>COUNTIFS(Validate!$B$2:$B$75,A5,Validate!$S$2:$S$75,"wrong")</f>
        <v>0</v>
      </c>
      <c r="H5" s="5">
        <f>COUNTIFS(Validate!$B$2:$B$75,A5,Validate!$S$2:$S$75,"unclear")</f>
        <v>0</v>
      </c>
      <c r="I5" s="12" t="str">
        <f t="shared" si="0"/>
        <v/>
      </c>
      <c r="J5" s="12" t="str">
        <f t="shared" si="1"/>
        <v/>
      </c>
    </row>
    <row r="6" spans="1:10" x14ac:dyDescent="0.35">
      <c r="A6" s="5" t="s">
        <v>187</v>
      </c>
      <c r="B6" s="5">
        <v>55</v>
      </c>
      <c r="C6" s="5">
        <f>COUNTIFS(Validate!$B$2:$B$75,A6,Validate!$A$2:$A$75,"yes")</f>
        <v>10</v>
      </c>
      <c r="D6" s="5">
        <f>COUNTIFS(Validate!$B$2:$B$75,A6,Validate!$S$2:$S$75,"&lt;&gt;")</f>
        <v>0</v>
      </c>
      <c r="E6" s="5">
        <f>COUNTIFS(Validate!$B$2:$B$75,A6,Validate!$S$2:$S$75,"correct")</f>
        <v>0</v>
      </c>
      <c r="F6" s="5">
        <f>COUNTIFS(Validate!$B$2:$B$75,A6,Validate!$S$2:$S$75,"partial")</f>
        <v>0</v>
      </c>
      <c r="G6" s="5">
        <f>COUNTIFS(Validate!$B$2:$B$75,A6,Validate!$S$2:$S$75,"wrong")</f>
        <v>0</v>
      </c>
      <c r="H6" s="5">
        <f>COUNTIFS(Validate!$B$2:$B$75,A6,Validate!$S$2:$S$75,"unclear")</f>
        <v>0</v>
      </c>
      <c r="I6" s="12" t="str">
        <f t="shared" si="0"/>
        <v/>
      </c>
      <c r="J6" s="12" t="str">
        <f t="shared" si="1"/>
        <v/>
      </c>
    </row>
    <row r="7" spans="1:10" x14ac:dyDescent="0.35">
      <c r="A7" s="5" t="s">
        <v>250</v>
      </c>
      <c r="B7" s="5">
        <v>43</v>
      </c>
      <c r="C7" s="5">
        <f>COUNTIFS(Validate!$B$2:$B$75,A7,Validate!$A$2:$A$75,"yes")</f>
        <v>10</v>
      </c>
      <c r="D7" s="5">
        <f>COUNTIFS(Validate!$B$2:$B$75,A7,Validate!$S$2:$S$75,"&lt;&gt;")</f>
        <v>0</v>
      </c>
      <c r="E7" s="5">
        <f>COUNTIFS(Validate!$B$2:$B$75,A7,Validate!$S$2:$S$75,"correct")</f>
        <v>0</v>
      </c>
      <c r="F7" s="5">
        <f>COUNTIFS(Validate!$B$2:$B$75,A7,Validate!$S$2:$S$75,"partial")</f>
        <v>0</v>
      </c>
      <c r="G7" s="5">
        <f>COUNTIFS(Validate!$B$2:$B$75,A7,Validate!$S$2:$S$75,"wrong")</f>
        <v>0</v>
      </c>
      <c r="H7" s="5">
        <f>COUNTIFS(Validate!$B$2:$B$75,A7,Validate!$S$2:$S$75,"unclear")</f>
        <v>0</v>
      </c>
      <c r="I7" s="12" t="str">
        <f t="shared" si="0"/>
        <v/>
      </c>
      <c r="J7" s="12" t="str">
        <f t="shared" si="1"/>
        <v/>
      </c>
    </row>
    <row r="8" spans="1:10" x14ac:dyDescent="0.35">
      <c r="A8" s="5" t="s">
        <v>317</v>
      </c>
      <c r="B8" s="5">
        <v>44</v>
      </c>
      <c r="C8" s="5">
        <f>COUNTIFS(Validate!$B$2:$B$75,A8,Validate!$A$2:$A$75,"yes")</f>
        <v>10</v>
      </c>
      <c r="D8" s="5">
        <f>COUNTIFS(Validate!$B$2:$B$75,A8,Validate!$S$2:$S$75,"&lt;&gt;")</f>
        <v>0</v>
      </c>
      <c r="E8" s="5">
        <f>COUNTIFS(Validate!$B$2:$B$75,A8,Validate!$S$2:$S$75,"correct")</f>
        <v>0</v>
      </c>
      <c r="F8" s="5">
        <f>COUNTIFS(Validate!$B$2:$B$75,A8,Validate!$S$2:$S$75,"partial")</f>
        <v>0</v>
      </c>
      <c r="G8" s="5">
        <f>COUNTIFS(Validate!$B$2:$B$75,A8,Validate!$S$2:$S$75,"wrong")</f>
        <v>0</v>
      </c>
      <c r="H8" s="5">
        <f>COUNTIFS(Validate!$B$2:$B$75,A8,Validate!$S$2:$S$75,"unclear")</f>
        <v>0</v>
      </c>
      <c r="I8" s="12" t="str">
        <f t="shared" si="0"/>
        <v/>
      </c>
      <c r="J8" s="12" t="str">
        <f t="shared" si="1"/>
        <v/>
      </c>
    </row>
    <row r="9" spans="1:10" x14ac:dyDescent="0.35">
      <c r="A9" s="5" t="s">
        <v>352</v>
      </c>
      <c r="B9" s="5">
        <v>24</v>
      </c>
      <c r="C9" s="5">
        <f>COUNTIFS(Validate!$B$2:$B$75,A9,Validate!$A$2:$A$75,"yes")</f>
        <v>5</v>
      </c>
      <c r="D9" s="5">
        <f>COUNTIFS(Validate!$B$2:$B$75,A9,Validate!$S$2:$S$75,"&lt;&gt;")</f>
        <v>0</v>
      </c>
      <c r="E9" s="5">
        <f>COUNTIFS(Validate!$B$2:$B$75,A9,Validate!$S$2:$S$75,"correct")</f>
        <v>0</v>
      </c>
      <c r="F9" s="5">
        <f>COUNTIFS(Validate!$B$2:$B$75,A9,Validate!$S$2:$S$75,"partial")</f>
        <v>0</v>
      </c>
      <c r="G9" s="5">
        <f>COUNTIFS(Validate!$B$2:$B$75,A9,Validate!$S$2:$S$75,"wrong")</f>
        <v>0</v>
      </c>
      <c r="H9" s="5">
        <f>COUNTIFS(Validate!$B$2:$B$75,A9,Validate!$S$2:$S$75,"unclear")</f>
        <v>0</v>
      </c>
      <c r="I9" s="12" t="str">
        <f t="shared" si="0"/>
        <v/>
      </c>
      <c r="J9" s="12" t="str">
        <f t="shared" si="1"/>
        <v/>
      </c>
    </row>
    <row r="10" spans="1:10" x14ac:dyDescent="0.35">
      <c r="A10" s="5" t="s">
        <v>364</v>
      </c>
      <c r="B10" s="5">
        <v>31</v>
      </c>
      <c r="C10" s="5">
        <f>COUNTIFS(Validate!$B$2:$B$75,A10,Validate!$A$2:$A$75,"yes")</f>
        <v>5</v>
      </c>
      <c r="D10" s="5">
        <f>COUNTIFS(Validate!$B$2:$B$75,A10,Validate!$S$2:$S$75,"&lt;&gt;")</f>
        <v>0</v>
      </c>
      <c r="E10" s="5">
        <f>COUNTIFS(Validate!$B$2:$B$75,A10,Validate!$S$2:$S$75,"correct")</f>
        <v>0</v>
      </c>
      <c r="F10" s="5">
        <f>COUNTIFS(Validate!$B$2:$B$75,A10,Validate!$S$2:$S$75,"partial")</f>
        <v>0</v>
      </c>
      <c r="G10" s="5">
        <f>COUNTIFS(Validate!$B$2:$B$75,A10,Validate!$S$2:$S$75,"wrong")</f>
        <v>0</v>
      </c>
      <c r="H10" s="5">
        <f>COUNTIFS(Validate!$B$2:$B$75,A10,Validate!$S$2:$S$75,"unclear")</f>
        <v>0</v>
      </c>
      <c r="I10" s="12" t="str">
        <f t="shared" si="0"/>
        <v/>
      </c>
      <c r="J10" s="12" t="str">
        <f t="shared" si="1"/>
        <v/>
      </c>
    </row>
    <row r="11" spans="1:10" x14ac:dyDescent="0.35">
      <c r="A11" s="13" t="s">
        <v>415</v>
      </c>
      <c r="B11" s="13">
        <f t="shared" ref="B11:H11" si="2">SUM(B2:B10)</f>
        <v>298</v>
      </c>
      <c r="C11" s="13">
        <f t="shared" si="2"/>
        <v>74</v>
      </c>
      <c r="D11" s="13">
        <f t="shared" si="2"/>
        <v>0</v>
      </c>
      <c r="E11" s="13">
        <f t="shared" si="2"/>
        <v>0</v>
      </c>
      <c r="F11" s="13">
        <f t="shared" si="2"/>
        <v>0</v>
      </c>
      <c r="G11" s="13">
        <f t="shared" si="2"/>
        <v>0</v>
      </c>
      <c r="H11" s="13">
        <f t="shared" si="2"/>
        <v>0</v>
      </c>
      <c r="I11" s="14" t="str">
        <f t="shared" si="0"/>
        <v/>
      </c>
      <c r="J11" s="14" t="str">
        <f t="shared" si="1"/>
        <v/>
      </c>
    </row>
    <row r="13" spans="1:10" x14ac:dyDescent="0.35">
      <c r="A13" s="15" t="s">
        <v>416</v>
      </c>
    </row>
    <row r="14" spans="1:10" x14ac:dyDescent="0.35">
      <c r="A14" s="15" t="s">
        <v>417</v>
      </c>
    </row>
    <row r="15" spans="1:10" x14ac:dyDescent="0.35">
      <c r="A15" s="15" t="s">
        <v>418</v>
      </c>
    </row>
    <row r="16" spans="1:10" x14ac:dyDescent="0.35">
      <c r="A16" s="15" t="s">
        <v>419</v>
      </c>
    </row>
    <row r="17" spans="1:3" x14ac:dyDescent="0.35">
      <c r="A17" s="15" t="s">
        <v>420</v>
      </c>
    </row>
    <row r="19" spans="1:3" ht="28" x14ac:dyDescent="0.35">
      <c r="A19" s="4" t="s">
        <v>4</v>
      </c>
      <c r="B19" s="4" t="s">
        <v>421</v>
      </c>
      <c r="C19" s="4" t="s">
        <v>422</v>
      </c>
    </row>
    <row r="20" spans="1:3" x14ac:dyDescent="0.35">
      <c r="A20" s="5" t="s">
        <v>133</v>
      </c>
      <c r="B20" s="5">
        <v>239</v>
      </c>
      <c r="C20" s="5">
        <v>21</v>
      </c>
    </row>
    <row r="21" spans="1:3" x14ac:dyDescent="0.35">
      <c r="A21" s="5" t="s">
        <v>320</v>
      </c>
      <c r="B21" s="5">
        <v>78</v>
      </c>
      <c r="C21" s="5">
        <v>10</v>
      </c>
    </row>
    <row r="22" spans="1:3" x14ac:dyDescent="0.35">
      <c r="A22" s="5" t="s">
        <v>22</v>
      </c>
      <c r="B22" s="5">
        <v>28</v>
      </c>
      <c r="C22" s="5">
        <v>12</v>
      </c>
    </row>
    <row r="23" spans="1:3" x14ac:dyDescent="0.35">
      <c r="A23" s="5" t="s">
        <v>353</v>
      </c>
      <c r="B23" s="5">
        <v>24</v>
      </c>
      <c r="C23" s="5">
        <v>5</v>
      </c>
    </row>
    <row r="24" spans="1:3" x14ac:dyDescent="0.35">
      <c r="A24" s="5" t="s">
        <v>5</v>
      </c>
      <c r="B24" s="5">
        <v>22</v>
      </c>
      <c r="C24" s="5">
        <v>22</v>
      </c>
    </row>
    <row r="25" spans="1:3" x14ac:dyDescent="0.35">
      <c r="A25" s="5" t="s">
        <v>110</v>
      </c>
      <c r="B25" s="5">
        <v>5</v>
      </c>
      <c r="C25" s="5">
        <v>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7"/>
  <sheetViews>
    <sheetView workbookViewId="0">
      <pane xSplit="1" ySplit="1" topLeftCell="B2" activePane="bottomRight" state="frozen"/>
      <selection pane="topRight"/>
      <selection pane="bottomLeft"/>
      <selection pane="bottomRight"/>
    </sheetView>
  </sheetViews>
  <sheetFormatPr defaultRowHeight="14.5" x14ac:dyDescent="0.35"/>
  <cols>
    <col min="1" max="1" width="22" customWidth="1"/>
    <col min="2" max="2" width="50" customWidth="1"/>
    <col min="3" max="3" width="35" customWidth="1"/>
    <col min="4" max="4" width="11" customWidth="1"/>
    <col min="5" max="5" width="26" customWidth="1"/>
    <col min="6" max="6" width="8" customWidth="1"/>
    <col min="7" max="8" width="22" customWidth="1"/>
    <col min="9" max="9" width="16" customWidth="1"/>
  </cols>
  <sheetData>
    <row r="1" spans="1:9" x14ac:dyDescent="0.35">
      <c r="A1" s="4" t="s">
        <v>423</v>
      </c>
      <c r="B1" s="4" t="s">
        <v>2</v>
      </c>
      <c r="C1" s="4" t="s">
        <v>424</v>
      </c>
      <c r="D1" s="4" t="s">
        <v>6</v>
      </c>
      <c r="E1" s="4" t="s">
        <v>8</v>
      </c>
      <c r="F1" s="4" t="s">
        <v>9</v>
      </c>
      <c r="G1" s="4" t="s">
        <v>11</v>
      </c>
      <c r="H1" s="4" t="s">
        <v>13</v>
      </c>
      <c r="I1" s="4" t="s">
        <v>4</v>
      </c>
    </row>
    <row r="2" spans="1:9" x14ac:dyDescent="0.35">
      <c r="A2" s="16" t="s">
        <v>425</v>
      </c>
      <c r="B2" s="17" t="s">
        <v>426</v>
      </c>
      <c r="C2" s="17" t="s">
        <v>426</v>
      </c>
      <c r="D2" s="16" t="s">
        <v>133</v>
      </c>
      <c r="E2" s="16" t="s">
        <v>427</v>
      </c>
      <c r="F2" s="16">
        <v>0.3891</v>
      </c>
      <c r="G2" s="16"/>
      <c r="H2" s="16"/>
      <c r="I2" s="16" t="s">
        <v>133</v>
      </c>
    </row>
    <row r="3" spans="1:9" x14ac:dyDescent="0.35">
      <c r="A3" s="16" t="s">
        <v>68</v>
      </c>
      <c r="B3" s="17" t="s">
        <v>67</v>
      </c>
      <c r="C3" s="17" t="s">
        <v>66</v>
      </c>
      <c r="D3" s="16" t="s">
        <v>22</v>
      </c>
      <c r="E3" s="16" t="s">
        <v>66</v>
      </c>
      <c r="F3" s="16">
        <v>1</v>
      </c>
      <c r="G3" s="16"/>
      <c r="H3" s="16"/>
      <c r="I3" s="16" t="s">
        <v>22</v>
      </c>
    </row>
    <row r="4" spans="1:9" ht="28" x14ac:dyDescent="0.35">
      <c r="A4" s="16" t="s">
        <v>230</v>
      </c>
      <c r="B4" s="17" t="s">
        <v>226</v>
      </c>
      <c r="C4" s="17" t="s">
        <v>225</v>
      </c>
      <c r="D4" s="16" t="s">
        <v>133</v>
      </c>
      <c r="E4" s="16" t="s">
        <v>227</v>
      </c>
      <c r="F4" s="16">
        <v>0.31759999999999999</v>
      </c>
      <c r="G4" s="16" t="s">
        <v>228</v>
      </c>
      <c r="H4" s="16" t="s">
        <v>229</v>
      </c>
      <c r="I4" s="16" t="s">
        <v>133</v>
      </c>
    </row>
    <row r="5" spans="1:9" x14ac:dyDescent="0.35">
      <c r="A5" s="16" t="s">
        <v>428</v>
      </c>
      <c r="B5" s="17" t="s">
        <v>429</v>
      </c>
      <c r="C5" s="17" t="s">
        <v>430</v>
      </c>
      <c r="D5" s="16" t="s">
        <v>133</v>
      </c>
      <c r="E5" s="16" t="s">
        <v>431</v>
      </c>
      <c r="F5" s="16">
        <v>0.44080000000000003</v>
      </c>
      <c r="G5" s="16" t="s">
        <v>432</v>
      </c>
      <c r="H5" s="16" t="s">
        <v>433</v>
      </c>
      <c r="I5" s="16" t="s">
        <v>133</v>
      </c>
    </row>
    <row r="6" spans="1:9" ht="42" x14ac:dyDescent="0.35">
      <c r="A6" s="16" t="s">
        <v>26</v>
      </c>
      <c r="B6" s="17" t="s">
        <v>24</v>
      </c>
      <c r="C6" s="17" t="s">
        <v>23</v>
      </c>
      <c r="D6" s="16" t="s">
        <v>22</v>
      </c>
      <c r="E6" s="16" t="s">
        <v>25</v>
      </c>
      <c r="F6" s="16">
        <v>1</v>
      </c>
      <c r="G6" s="16"/>
      <c r="H6" s="16"/>
      <c r="I6" s="16" t="s">
        <v>22</v>
      </c>
    </row>
    <row r="7" spans="1:9" ht="42" x14ac:dyDescent="0.35">
      <c r="A7" s="16" t="s">
        <v>434</v>
      </c>
      <c r="B7" s="17" t="s">
        <v>435</v>
      </c>
      <c r="C7" s="17" t="s">
        <v>436</v>
      </c>
      <c r="D7" s="16" t="s">
        <v>133</v>
      </c>
      <c r="E7" s="16" t="s">
        <v>437</v>
      </c>
      <c r="F7" s="16">
        <v>0.22500000000000001</v>
      </c>
      <c r="G7" s="16" t="s">
        <v>438</v>
      </c>
      <c r="H7" s="16" t="s">
        <v>439</v>
      </c>
      <c r="I7" s="16" t="s">
        <v>133</v>
      </c>
    </row>
    <row r="8" spans="1:9" x14ac:dyDescent="0.35">
      <c r="A8" s="16" t="s">
        <v>440</v>
      </c>
      <c r="B8" s="17" t="s">
        <v>441</v>
      </c>
      <c r="C8" s="17" t="s">
        <v>430</v>
      </c>
      <c r="D8" s="16" t="s">
        <v>133</v>
      </c>
      <c r="E8" s="16" t="s">
        <v>431</v>
      </c>
      <c r="F8" s="16">
        <v>0.44080000000000003</v>
      </c>
      <c r="G8" s="16" t="s">
        <v>432</v>
      </c>
      <c r="H8" s="16" t="s">
        <v>433</v>
      </c>
      <c r="I8" s="16" t="s">
        <v>133</v>
      </c>
    </row>
    <row r="9" spans="1:9" ht="42" x14ac:dyDescent="0.35">
      <c r="A9" s="16" t="s">
        <v>442</v>
      </c>
      <c r="B9" s="17" t="s">
        <v>435</v>
      </c>
      <c r="C9" s="17" t="s">
        <v>436</v>
      </c>
      <c r="D9" s="16" t="s">
        <v>133</v>
      </c>
      <c r="E9" s="16" t="s">
        <v>437</v>
      </c>
      <c r="F9" s="16">
        <v>0.22500000000000001</v>
      </c>
      <c r="G9" s="16" t="s">
        <v>438</v>
      </c>
      <c r="H9" s="16" t="s">
        <v>439</v>
      </c>
      <c r="I9" s="16" t="s">
        <v>133</v>
      </c>
    </row>
    <row r="10" spans="1:9" x14ac:dyDescent="0.35">
      <c r="A10" s="16" t="s">
        <v>443</v>
      </c>
      <c r="B10" s="17" t="s">
        <v>441</v>
      </c>
      <c r="C10" s="17" t="s">
        <v>430</v>
      </c>
      <c r="D10" s="16" t="s">
        <v>133</v>
      </c>
      <c r="E10" s="16" t="s">
        <v>431</v>
      </c>
      <c r="F10" s="16">
        <v>0.44080000000000003</v>
      </c>
      <c r="G10" s="16" t="s">
        <v>432</v>
      </c>
      <c r="H10" s="16" t="s">
        <v>433</v>
      </c>
      <c r="I10" s="16" t="s">
        <v>133</v>
      </c>
    </row>
    <row r="11" spans="1:9" x14ac:dyDescent="0.35">
      <c r="A11" s="16" t="s">
        <v>444</v>
      </c>
      <c r="B11" s="17" t="s">
        <v>445</v>
      </c>
      <c r="C11" s="17" t="s">
        <v>446</v>
      </c>
      <c r="D11" s="16" t="s">
        <v>133</v>
      </c>
      <c r="E11" s="16" t="s">
        <v>447</v>
      </c>
      <c r="F11" s="16">
        <v>0.29959999999999998</v>
      </c>
      <c r="G11" s="16" t="s">
        <v>448</v>
      </c>
      <c r="H11" s="16"/>
      <c r="I11" s="16" t="s">
        <v>133</v>
      </c>
    </row>
    <row r="12" spans="1:9" x14ac:dyDescent="0.35">
      <c r="A12" s="16" t="s">
        <v>449</v>
      </c>
      <c r="B12" s="17" t="s">
        <v>450</v>
      </c>
      <c r="C12" s="17" t="s">
        <v>451</v>
      </c>
      <c r="D12" s="16"/>
      <c r="E12" s="16"/>
      <c r="F12" s="16"/>
      <c r="G12" s="16"/>
      <c r="H12" s="16"/>
      <c r="I12" s="16" t="s">
        <v>320</v>
      </c>
    </row>
    <row r="13" spans="1:9" ht="70" x14ac:dyDescent="0.35">
      <c r="A13" s="16" t="s">
        <v>204</v>
      </c>
      <c r="B13" s="17" t="s">
        <v>200</v>
      </c>
      <c r="C13" s="17" t="s">
        <v>199</v>
      </c>
      <c r="D13" s="16" t="s">
        <v>133</v>
      </c>
      <c r="E13" s="16" t="s">
        <v>202</v>
      </c>
      <c r="F13" s="16">
        <v>0.33729999999999999</v>
      </c>
      <c r="G13" s="16" t="s">
        <v>203</v>
      </c>
      <c r="H13" s="16"/>
      <c r="I13" s="16" t="s">
        <v>133</v>
      </c>
    </row>
    <row r="14" spans="1:9" ht="42" x14ac:dyDescent="0.35">
      <c r="A14" s="16" t="s">
        <v>452</v>
      </c>
      <c r="B14" s="17" t="s">
        <v>453</v>
      </c>
      <c r="C14" s="17" t="s">
        <v>454</v>
      </c>
      <c r="D14" s="16" t="s">
        <v>133</v>
      </c>
      <c r="E14" s="16" t="s">
        <v>455</v>
      </c>
      <c r="F14" s="16">
        <v>0.31359999999999999</v>
      </c>
      <c r="G14" s="16" t="s">
        <v>313</v>
      </c>
      <c r="H14" s="16" t="s">
        <v>456</v>
      </c>
      <c r="I14" s="16" t="s">
        <v>133</v>
      </c>
    </row>
    <row r="15" spans="1:9" x14ac:dyDescent="0.35">
      <c r="A15" s="16" t="s">
        <v>248</v>
      </c>
      <c r="B15" s="17" t="s">
        <v>243</v>
      </c>
      <c r="C15" s="17" t="s">
        <v>242</v>
      </c>
      <c r="D15" s="16" t="s">
        <v>133</v>
      </c>
      <c r="E15" s="16" t="s">
        <v>245</v>
      </c>
      <c r="F15" s="16">
        <v>0.3054</v>
      </c>
      <c r="G15" s="16" t="s">
        <v>246</v>
      </c>
      <c r="H15" s="16" t="s">
        <v>247</v>
      </c>
      <c r="I15" s="16" t="s">
        <v>133</v>
      </c>
    </row>
    <row r="16" spans="1:9" ht="28" x14ac:dyDescent="0.35">
      <c r="A16" s="16" t="s">
        <v>457</v>
      </c>
      <c r="B16" s="17" t="s">
        <v>458</v>
      </c>
      <c r="C16" s="17" t="s">
        <v>459</v>
      </c>
      <c r="D16" s="16" t="s">
        <v>133</v>
      </c>
      <c r="E16" s="16" t="s">
        <v>460</v>
      </c>
      <c r="F16" s="16">
        <v>0.33129999999999998</v>
      </c>
      <c r="G16" s="16" t="s">
        <v>461</v>
      </c>
      <c r="H16" s="16" t="s">
        <v>462</v>
      </c>
      <c r="I16" s="16" t="s">
        <v>133</v>
      </c>
    </row>
    <row r="17" spans="1:9" ht="84" x14ac:dyDescent="0.35">
      <c r="A17" s="16" t="s">
        <v>463</v>
      </c>
      <c r="B17" s="17" t="s">
        <v>464</v>
      </c>
      <c r="C17" s="17" t="s">
        <v>465</v>
      </c>
      <c r="D17" s="16"/>
      <c r="E17" s="16"/>
      <c r="F17" s="16"/>
      <c r="G17" s="16"/>
      <c r="H17" s="16"/>
      <c r="I17" s="16" t="s">
        <v>320</v>
      </c>
    </row>
    <row r="18" spans="1:9" ht="28" x14ac:dyDescent="0.35">
      <c r="A18" s="16" t="s">
        <v>466</v>
      </c>
      <c r="B18" s="17" t="s">
        <v>467</v>
      </c>
      <c r="C18" s="17" t="s">
        <v>468</v>
      </c>
      <c r="D18" s="16" t="s">
        <v>133</v>
      </c>
      <c r="E18" s="16" t="s">
        <v>469</v>
      </c>
      <c r="F18" s="16">
        <v>0.38390000000000002</v>
      </c>
      <c r="G18" s="16" t="s">
        <v>470</v>
      </c>
      <c r="H18" s="16" t="s">
        <v>471</v>
      </c>
      <c r="I18" s="16" t="s">
        <v>133</v>
      </c>
    </row>
    <row r="19" spans="1:9" x14ac:dyDescent="0.35">
      <c r="A19" s="16" t="s">
        <v>326</v>
      </c>
      <c r="B19" s="17" t="s">
        <v>324</v>
      </c>
      <c r="C19" s="17" t="s">
        <v>323</v>
      </c>
      <c r="D19" s="16"/>
      <c r="E19" s="16"/>
      <c r="F19" s="16"/>
      <c r="G19" s="16"/>
      <c r="H19" s="16"/>
      <c r="I19" s="16" t="s">
        <v>320</v>
      </c>
    </row>
    <row r="20" spans="1:9" ht="42" x14ac:dyDescent="0.35">
      <c r="A20" s="16" t="s">
        <v>91</v>
      </c>
      <c r="B20" s="17" t="s">
        <v>89</v>
      </c>
      <c r="C20" s="17" t="s">
        <v>88</v>
      </c>
      <c r="D20" s="16" t="s">
        <v>5</v>
      </c>
      <c r="E20" s="16" t="s">
        <v>90</v>
      </c>
      <c r="F20" s="16">
        <v>0.8</v>
      </c>
      <c r="G20" s="16"/>
      <c r="H20" s="16"/>
      <c r="I20" s="16" t="s">
        <v>5</v>
      </c>
    </row>
    <row r="21" spans="1:9" ht="42" x14ac:dyDescent="0.35">
      <c r="A21" s="16" t="s">
        <v>472</v>
      </c>
      <c r="B21" s="17" t="s">
        <v>473</v>
      </c>
      <c r="C21" s="17" t="s">
        <v>474</v>
      </c>
      <c r="D21" s="16"/>
      <c r="E21" s="16"/>
      <c r="F21" s="16"/>
      <c r="G21" s="16"/>
      <c r="H21" s="16"/>
      <c r="I21" s="16" t="s">
        <v>320</v>
      </c>
    </row>
    <row r="22" spans="1:9" x14ac:dyDescent="0.35">
      <c r="A22" s="16" t="s">
        <v>475</v>
      </c>
      <c r="B22" s="17" t="s">
        <v>476</v>
      </c>
      <c r="C22" s="17" t="s">
        <v>476</v>
      </c>
      <c r="D22" s="16"/>
      <c r="E22" s="16"/>
      <c r="F22" s="16"/>
      <c r="G22" s="16"/>
      <c r="H22" s="16"/>
      <c r="I22" s="16" t="s">
        <v>320</v>
      </c>
    </row>
    <row r="23" spans="1:9" x14ac:dyDescent="0.35">
      <c r="A23" s="16" t="s">
        <v>477</v>
      </c>
      <c r="B23" s="17" t="s">
        <v>478</v>
      </c>
      <c r="C23" s="17" t="s">
        <v>478</v>
      </c>
      <c r="D23" s="16" t="s">
        <v>133</v>
      </c>
      <c r="E23" s="16" t="s">
        <v>312</v>
      </c>
      <c r="F23" s="16">
        <v>0.37559999999999999</v>
      </c>
      <c r="G23" s="16" t="s">
        <v>313</v>
      </c>
      <c r="H23" s="16" t="s">
        <v>314</v>
      </c>
      <c r="I23" s="16" t="s">
        <v>133</v>
      </c>
    </row>
    <row r="24" spans="1:9" ht="56" x14ac:dyDescent="0.35">
      <c r="A24" s="16" t="s">
        <v>334</v>
      </c>
      <c r="B24" s="17" t="s">
        <v>332</v>
      </c>
      <c r="C24" s="17" t="s">
        <v>479</v>
      </c>
      <c r="D24" s="16" t="s">
        <v>133</v>
      </c>
      <c r="E24" s="16" t="s">
        <v>480</v>
      </c>
      <c r="F24" s="16">
        <v>0.43180000000000002</v>
      </c>
      <c r="G24" s="16" t="s">
        <v>481</v>
      </c>
      <c r="H24" s="16" t="s">
        <v>482</v>
      </c>
      <c r="I24" s="16" t="s">
        <v>133</v>
      </c>
    </row>
    <row r="25" spans="1:9" x14ac:dyDescent="0.35">
      <c r="A25" s="16" t="s">
        <v>483</v>
      </c>
      <c r="B25" s="17" t="s">
        <v>426</v>
      </c>
      <c r="C25" s="17" t="s">
        <v>426</v>
      </c>
      <c r="D25" s="16" t="s">
        <v>133</v>
      </c>
      <c r="E25" s="16" t="s">
        <v>427</v>
      </c>
      <c r="F25" s="16">
        <v>0.3891</v>
      </c>
      <c r="G25" s="16"/>
      <c r="H25" s="16"/>
      <c r="I25" s="16" t="s">
        <v>133</v>
      </c>
    </row>
    <row r="26" spans="1:9" x14ac:dyDescent="0.35">
      <c r="A26" s="16" t="s">
        <v>484</v>
      </c>
      <c r="B26" s="17" t="s">
        <v>485</v>
      </c>
      <c r="C26" s="17" t="s">
        <v>323</v>
      </c>
      <c r="D26" s="16"/>
      <c r="E26" s="16"/>
      <c r="F26" s="16"/>
      <c r="G26" s="16"/>
      <c r="H26" s="16"/>
      <c r="I26" s="16" t="s">
        <v>320</v>
      </c>
    </row>
    <row r="27" spans="1:9" ht="28" x14ac:dyDescent="0.35">
      <c r="A27" s="16" t="s">
        <v>486</v>
      </c>
      <c r="B27" s="17" t="s">
        <v>487</v>
      </c>
      <c r="C27" s="17" t="s">
        <v>488</v>
      </c>
      <c r="D27" s="16" t="s">
        <v>133</v>
      </c>
      <c r="E27" s="16" t="s">
        <v>489</v>
      </c>
      <c r="F27" s="16">
        <v>0.4335</v>
      </c>
      <c r="G27" s="16" t="s">
        <v>490</v>
      </c>
      <c r="H27" s="16" t="s">
        <v>491</v>
      </c>
      <c r="I27" s="16" t="s">
        <v>133</v>
      </c>
    </row>
    <row r="28" spans="1:9" x14ac:dyDescent="0.35">
      <c r="A28" s="16" t="s">
        <v>492</v>
      </c>
      <c r="B28" s="17" t="s">
        <v>493</v>
      </c>
      <c r="C28" s="17" t="s">
        <v>493</v>
      </c>
      <c r="D28" s="16" t="s">
        <v>133</v>
      </c>
      <c r="E28" s="16" t="s">
        <v>494</v>
      </c>
      <c r="F28" s="16">
        <v>0.4405</v>
      </c>
      <c r="G28" s="16" t="s">
        <v>495</v>
      </c>
      <c r="H28" s="16" t="s">
        <v>496</v>
      </c>
      <c r="I28" s="16" t="s">
        <v>133</v>
      </c>
    </row>
    <row r="29" spans="1:9" x14ac:dyDescent="0.35">
      <c r="A29" s="16" t="s">
        <v>497</v>
      </c>
      <c r="B29" s="17" t="s">
        <v>498</v>
      </c>
      <c r="C29" s="17" t="s">
        <v>488</v>
      </c>
      <c r="D29" s="16" t="s">
        <v>133</v>
      </c>
      <c r="E29" s="16" t="s">
        <v>489</v>
      </c>
      <c r="F29" s="16">
        <v>0.4335</v>
      </c>
      <c r="G29" s="16" t="s">
        <v>490</v>
      </c>
      <c r="H29" s="16" t="s">
        <v>491</v>
      </c>
      <c r="I29" s="16" t="s">
        <v>133</v>
      </c>
    </row>
    <row r="30" spans="1:9" x14ac:dyDescent="0.35">
      <c r="A30" s="16" t="s">
        <v>499</v>
      </c>
      <c r="B30" s="17" t="s">
        <v>498</v>
      </c>
      <c r="C30" s="17" t="s">
        <v>488</v>
      </c>
      <c r="D30" s="16" t="s">
        <v>133</v>
      </c>
      <c r="E30" s="16" t="s">
        <v>489</v>
      </c>
      <c r="F30" s="16">
        <v>0.4335</v>
      </c>
      <c r="G30" s="16" t="s">
        <v>490</v>
      </c>
      <c r="H30" s="16" t="s">
        <v>491</v>
      </c>
      <c r="I30" s="16" t="s">
        <v>133</v>
      </c>
    </row>
    <row r="31" spans="1:9" ht="42" x14ac:dyDescent="0.35">
      <c r="A31" s="16" t="s">
        <v>500</v>
      </c>
      <c r="B31" s="17" t="s">
        <v>501</v>
      </c>
      <c r="C31" s="17" t="s">
        <v>502</v>
      </c>
      <c r="D31" s="16" t="s">
        <v>133</v>
      </c>
      <c r="E31" s="16" t="s">
        <v>503</v>
      </c>
      <c r="F31" s="16">
        <v>0.25409999999999999</v>
      </c>
      <c r="G31" s="16" t="s">
        <v>504</v>
      </c>
      <c r="H31" s="16"/>
      <c r="I31" s="16" t="s">
        <v>133</v>
      </c>
    </row>
    <row r="32" spans="1:9" x14ac:dyDescent="0.35">
      <c r="A32" s="16" t="s">
        <v>378</v>
      </c>
      <c r="B32" s="17" t="s">
        <v>377</v>
      </c>
      <c r="C32" s="17"/>
      <c r="D32" s="16"/>
      <c r="E32" s="16"/>
      <c r="F32" s="16"/>
      <c r="G32" s="16"/>
      <c r="H32" s="16"/>
      <c r="I32" s="16" t="s">
        <v>320</v>
      </c>
    </row>
    <row r="33" spans="1:9" ht="42" x14ac:dyDescent="0.35">
      <c r="A33" s="16" t="s">
        <v>505</v>
      </c>
      <c r="B33" s="17" t="s">
        <v>506</v>
      </c>
      <c r="C33" s="17" t="s">
        <v>507</v>
      </c>
      <c r="D33" s="16"/>
      <c r="E33" s="16"/>
      <c r="F33" s="16"/>
      <c r="G33" s="16"/>
      <c r="H33" s="16"/>
      <c r="I33" s="16" t="s">
        <v>320</v>
      </c>
    </row>
    <row r="34" spans="1:9" ht="70" x14ac:dyDescent="0.35">
      <c r="A34" s="16" t="s">
        <v>508</v>
      </c>
      <c r="B34" s="17" t="s">
        <v>509</v>
      </c>
      <c r="C34" s="17" t="s">
        <v>510</v>
      </c>
      <c r="D34" s="16" t="s">
        <v>133</v>
      </c>
      <c r="E34" s="16" t="s">
        <v>511</v>
      </c>
      <c r="F34" s="16">
        <v>0.3347</v>
      </c>
      <c r="G34" s="16" t="s">
        <v>512</v>
      </c>
      <c r="H34" s="16" t="s">
        <v>216</v>
      </c>
      <c r="I34" s="16" t="s">
        <v>133</v>
      </c>
    </row>
    <row r="35" spans="1:9" ht="70" x14ac:dyDescent="0.35">
      <c r="A35" s="16" t="s">
        <v>513</v>
      </c>
      <c r="B35" s="17" t="s">
        <v>514</v>
      </c>
      <c r="C35" s="17" t="s">
        <v>515</v>
      </c>
      <c r="D35" s="16"/>
      <c r="E35" s="16"/>
      <c r="F35" s="16"/>
      <c r="G35" s="16"/>
      <c r="H35" s="16"/>
      <c r="I35" s="16" t="s">
        <v>320</v>
      </c>
    </row>
    <row r="36" spans="1:9" x14ac:dyDescent="0.35">
      <c r="A36" s="16" t="s">
        <v>354</v>
      </c>
      <c r="B36" s="17"/>
      <c r="C36" s="17"/>
      <c r="D36" s="16"/>
      <c r="E36" s="16"/>
      <c r="F36" s="16"/>
      <c r="G36" s="16"/>
      <c r="H36" s="16"/>
      <c r="I36" s="16" t="s">
        <v>353</v>
      </c>
    </row>
    <row r="37" spans="1:9" x14ac:dyDescent="0.35">
      <c r="A37" s="16" t="s">
        <v>516</v>
      </c>
      <c r="B37" s="17" t="s">
        <v>426</v>
      </c>
      <c r="C37" s="17" t="s">
        <v>426</v>
      </c>
      <c r="D37" s="16" t="s">
        <v>133</v>
      </c>
      <c r="E37" s="16" t="s">
        <v>427</v>
      </c>
      <c r="F37" s="16">
        <v>0.3891</v>
      </c>
      <c r="G37" s="16"/>
      <c r="H37" s="16"/>
      <c r="I37" s="16" t="s">
        <v>133</v>
      </c>
    </row>
    <row r="38" spans="1:9" x14ac:dyDescent="0.35">
      <c r="A38" s="16" t="s">
        <v>517</v>
      </c>
      <c r="B38" s="17" t="s">
        <v>518</v>
      </c>
      <c r="C38" s="17" t="s">
        <v>518</v>
      </c>
      <c r="D38" s="16"/>
      <c r="E38" s="16"/>
      <c r="F38" s="16"/>
      <c r="G38" s="16"/>
      <c r="H38" s="16"/>
      <c r="I38" s="16" t="s">
        <v>320</v>
      </c>
    </row>
    <row r="39" spans="1:9" ht="28" x14ac:dyDescent="0.35">
      <c r="A39" s="16" t="s">
        <v>519</v>
      </c>
      <c r="B39" s="17" t="s">
        <v>520</v>
      </c>
      <c r="C39" s="17" t="s">
        <v>521</v>
      </c>
      <c r="D39" s="16" t="s">
        <v>133</v>
      </c>
      <c r="E39" s="16" t="s">
        <v>522</v>
      </c>
      <c r="F39" s="16">
        <v>0.29799999999999999</v>
      </c>
      <c r="G39" s="16" t="s">
        <v>523</v>
      </c>
      <c r="H39" s="16" t="s">
        <v>524</v>
      </c>
      <c r="I39" s="16" t="s">
        <v>133</v>
      </c>
    </row>
    <row r="40" spans="1:9" ht="56" x14ac:dyDescent="0.35">
      <c r="A40" s="16" t="s">
        <v>525</v>
      </c>
      <c r="B40" s="17" t="s">
        <v>526</v>
      </c>
      <c r="C40" s="17" t="s">
        <v>526</v>
      </c>
      <c r="D40" s="16"/>
      <c r="E40" s="16"/>
      <c r="F40" s="16"/>
      <c r="G40" s="16"/>
      <c r="H40" s="16"/>
      <c r="I40" s="16" t="s">
        <v>320</v>
      </c>
    </row>
    <row r="41" spans="1:9" x14ac:dyDescent="0.35">
      <c r="A41" s="16" t="s">
        <v>191</v>
      </c>
      <c r="B41" s="17" t="s">
        <v>189</v>
      </c>
      <c r="C41" s="17" t="s">
        <v>188</v>
      </c>
      <c r="D41" s="16" t="s">
        <v>133</v>
      </c>
      <c r="E41" s="16" t="s">
        <v>190</v>
      </c>
      <c r="F41" s="16">
        <v>0.39560000000000001</v>
      </c>
      <c r="G41" s="16"/>
      <c r="H41" s="16"/>
      <c r="I41" s="16" t="s">
        <v>133</v>
      </c>
    </row>
    <row r="42" spans="1:9" x14ac:dyDescent="0.35">
      <c r="A42" s="16" t="s">
        <v>527</v>
      </c>
      <c r="B42" s="17" t="s">
        <v>528</v>
      </c>
      <c r="C42" s="17"/>
      <c r="D42" s="16"/>
      <c r="E42" s="16"/>
      <c r="F42" s="16"/>
      <c r="G42" s="16"/>
      <c r="H42" s="16"/>
      <c r="I42" s="16" t="s">
        <v>320</v>
      </c>
    </row>
    <row r="43" spans="1:9" x14ac:dyDescent="0.35">
      <c r="A43" s="16" t="s">
        <v>369</v>
      </c>
      <c r="B43" s="17" t="s">
        <v>368</v>
      </c>
      <c r="C43" s="17"/>
      <c r="D43" s="16"/>
      <c r="E43" s="16"/>
      <c r="F43" s="16"/>
      <c r="G43" s="16"/>
      <c r="H43" s="16"/>
      <c r="I43" s="16" t="s">
        <v>320</v>
      </c>
    </row>
    <row r="44" spans="1:9" ht="28" x14ac:dyDescent="0.35">
      <c r="A44" s="16" t="s">
        <v>529</v>
      </c>
      <c r="B44" s="17" t="s">
        <v>530</v>
      </c>
      <c r="C44" s="17" t="s">
        <v>531</v>
      </c>
      <c r="D44" s="16"/>
      <c r="E44" s="16"/>
      <c r="F44" s="16"/>
      <c r="G44" s="16"/>
      <c r="H44" s="16"/>
      <c r="I44" s="16" t="s">
        <v>320</v>
      </c>
    </row>
    <row r="45" spans="1:9" x14ac:dyDescent="0.35">
      <c r="A45" s="16" t="s">
        <v>532</v>
      </c>
      <c r="B45" s="17" t="s">
        <v>528</v>
      </c>
      <c r="C45" s="17"/>
      <c r="D45" s="16"/>
      <c r="E45" s="16"/>
      <c r="F45" s="16"/>
      <c r="G45" s="16"/>
      <c r="H45" s="16"/>
      <c r="I45" s="16" t="s">
        <v>320</v>
      </c>
    </row>
    <row r="46" spans="1:9" x14ac:dyDescent="0.35">
      <c r="A46" s="16" t="s">
        <v>212</v>
      </c>
      <c r="B46" s="17" t="s">
        <v>207</v>
      </c>
      <c r="C46" s="17" t="s">
        <v>206</v>
      </c>
      <c r="D46" s="16" t="s">
        <v>133</v>
      </c>
      <c r="E46" s="16" t="s">
        <v>209</v>
      </c>
      <c r="F46" s="16">
        <v>0.33179999999999998</v>
      </c>
      <c r="G46" s="16" t="s">
        <v>210</v>
      </c>
      <c r="H46" s="16" t="s">
        <v>211</v>
      </c>
      <c r="I46" s="16" t="s">
        <v>133</v>
      </c>
    </row>
    <row r="47" spans="1:9" x14ac:dyDescent="0.35">
      <c r="A47" s="16" t="s">
        <v>533</v>
      </c>
      <c r="B47" s="17" t="s">
        <v>534</v>
      </c>
      <c r="C47" s="17" t="s">
        <v>535</v>
      </c>
      <c r="D47" s="16" t="s">
        <v>133</v>
      </c>
      <c r="E47" s="16" t="s">
        <v>536</v>
      </c>
      <c r="F47" s="16">
        <v>0.40870000000000001</v>
      </c>
      <c r="G47" s="16" t="s">
        <v>537</v>
      </c>
      <c r="H47" s="16" t="s">
        <v>42</v>
      </c>
      <c r="I47" s="16" t="s">
        <v>133</v>
      </c>
    </row>
    <row r="48" spans="1:9" x14ac:dyDescent="0.35">
      <c r="A48" s="16" t="s">
        <v>538</v>
      </c>
      <c r="B48" s="17" t="s">
        <v>539</v>
      </c>
      <c r="C48" s="17"/>
      <c r="D48" s="16"/>
      <c r="E48" s="16"/>
      <c r="F48" s="16"/>
      <c r="G48" s="16"/>
      <c r="H48" s="16"/>
      <c r="I48" s="16" t="s">
        <v>320</v>
      </c>
    </row>
    <row r="49" spans="1:9" x14ac:dyDescent="0.35">
      <c r="A49" s="16" t="s">
        <v>540</v>
      </c>
      <c r="B49" s="17" t="s">
        <v>541</v>
      </c>
      <c r="C49" s="17" t="s">
        <v>535</v>
      </c>
      <c r="D49" s="16" t="s">
        <v>133</v>
      </c>
      <c r="E49" s="16" t="s">
        <v>536</v>
      </c>
      <c r="F49" s="16">
        <v>0.40870000000000001</v>
      </c>
      <c r="G49" s="16" t="s">
        <v>537</v>
      </c>
      <c r="H49" s="16" t="s">
        <v>42</v>
      </c>
      <c r="I49" s="16" t="s">
        <v>133</v>
      </c>
    </row>
    <row r="50" spans="1:9" x14ac:dyDescent="0.35">
      <c r="A50" s="16" t="s">
        <v>542</v>
      </c>
      <c r="B50" s="17" t="s">
        <v>543</v>
      </c>
      <c r="C50" s="17" t="s">
        <v>544</v>
      </c>
      <c r="D50" s="16" t="s">
        <v>133</v>
      </c>
      <c r="E50" s="16" t="s">
        <v>545</v>
      </c>
      <c r="F50" s="16">
        <v>0.3619</v>
      </c>
      <c r="G50" s="16" t="s">
        <v>546</v>
      </c>
      <c r="H50" s="16" t="s">
        <v>547</v>
      </c>
      <c r="I50" s="16" t="s">
        <v>133</v>
      </c>
    </row>
    <row r="51" spans="1:9" x14ac:dyDescent="0.35">
      <c r="A51" s="16" t="s">
        <v>548</v>
      </c>
      <c r="B51" s="17" t="s">
        <v>426</v>
      </c>
      <c r="C51" s="17" t="s">
        <v>426</v>
      </c>
      <c r="D51" s="16" t="s">
        <v>133</v>
      </c>
      <c r="E51" s="16" t="s">
        <v>427</v>
      </c>
      <c r="F51" s="16">
        <v>0.3891</v>
      </c>
      <c r="G51" s="16"/>
      <c r="H51" s="16"/>
      <c r="I51" s="16" t="s">
        <v>133</v>
      </c>
    </row>
    <row r="52" spans="1:9" ht="28" x14ac:dyDescent="0.35">
      <c r="A52" s="16" t="s">
        <v>549</v>
      </c>
      <c r="B52" s="17" t="s">
        <v>550</v>
      </c>
      <c r="C52" s="17"/>
      <c r="D52" s="16"/>
      <c r="E52" s="16"/>
      <c r="F52" s="16"/>
      <c r="G52" s="16"/>
      <c r="H52" s="16"/>
      <c r="I52" s="16" t="s">
        <v>320</v>
      </c>
    </row>
    <row r="53" spans="1:9" ht="28" x14ac:dyDescent="0.35">
      <c r="A53" s="16" t="s">
        <v>551</v>
      </c>
      <c r="B53" s="17" t="s">
        <v>550</v>
      </c>
      <c r="C53" s="17"/>
      <c r="D53" s="16"/>
      <c r="E53" s="16"/>
      <c r="F53" s="16"/>
      <c r="G53" s="16"/>
      <c r="H53" s="16"/>
      <c r="I53" s="16" t="s">
        <v>320</v>
      </c>
    </row>
    <row r="54" spans="1:9" ht="28" x14ac:dyDescent="0.35">
      <c r="A54" s="16" t="s">
        <v>552</v>
      </c>
      <c r="B54" s="17" t="s">
        <v>550</v>
      </c>
      <c r="C54" s="17"/>
      <c r="D54" s="16"/>
      <c r="E54" s="16"/>
      <c r="F54" s="16"/>
      <c r="G54" s="16"/>
      <c r="H54" s="16"/>
      <c r="I54" s="16" t="s">
        <v>320</v>
      </c>
    </row>
    <row r="55" spans="1:9" ht="28" x14ac:dyDescent="0.35">
      <c r="A55" s="16" t="s">
        <v>553</v>
      </c>
      <c r="B55" s="17" t="s">
        <v>550</v>
      </c>
      <c r="C55" s="17"/>
      <c r="D55" s="16"/>
      <c r="E55" s="16"/>
      <c r="F55" s="16"/>
      <c r="G55" s="16"/>
      <c r="H55" s="16"/>
      <c r="I55" s="16" t="s">
        <v>320</v>
      </c>
    </row>
    <row r="56" spans="1:9" x14ac:dyDescent="0.35">
      <c r="A56" s="16" t="s">
        <v>554</v>
      </c>
      <c r="B56" s="17" t="s">
        <v>555</v>
      </c>
      <c r="C56" s="17" t="s">
        <v>556</v>
      </c>
      <c r="D56" s="16"/>
      <c r="E56" s="16"/>
      <c r="F56" s="16"/>
      <c r="G56" s="16"/>
      <c r="H56" s="16"/>
      <c r="I56" s="16" t="s">
        <v>320</v>
      </c>
    </row>
    <row r="57" spans="1:9" x14ac:dyDescent="0.35">
      <c r="A57" s="16" t="s">
        <v>557</v>
      </c>
      <c r="B57" s="17" t="s">
        <v>558</v>
      </c>
      <c r="C57" s="17" t="s">
        <v>559</v>
      </c>
      <c r="D57" s="16"/>
      <c r="E57" s="16"/>
      <c r="F57" s="16"/>
      <c r="G57" s="16"/>
      <c r="H57" s="16"/>
      <c r="I57" s="16" t="s">
        <v>320</v>
      </c>
    </row>
    <row r="58" spans="1:9" x14ac:dyDescent="0.35">
      <c r="A58" s="16" t="s">
        <v>560</v>
      </c>
      <c r="B58" s="17" t="s">
        <v>561</v>
      </c>
      <c r="C58" s="17" t="s">
        <v>561</v>
      </c>
      <c r="D58" s="16" t="s">
        <v>133</v>
      </c>
      <c r="E58" s="16" t="s">
        <v>245</v>
      </c>
      <c r="F58" s="16">
        <v>0.31990000000000002</v>
      </c>
      <c r="G58" s="16" t="s">
        <v>562</v>
      </c>
      <c r="H58" s="16" t="s">
        <v>563</v>
      </c>
      <c r="I58" s="16" t="s">
        <v>133</v>
      </c>
    </row>
    <row r="59" spans="1:9" ht="28" x14ac:dyDescent="0.35">
      <c r="A59" s="16" t="s">
        <v>564</v>
      </c>
      <c r="B59" s="17" t="s">
        <v>565</v>
      </c>
      <c r="C59" s="17" t="s">
        <v>566</v>
      </c>
      <c r="D59" s="16" t="s">
        <v>133</v>
      </c>
      <c r="E59" s="16" t="s">
        <v>567</v>
      </c>
      <c r="F59" s="16">
        <v>0.42549999999999999</v>
      </c>
      <c r="G59" s="16"/>
      <c r="H59" s="16"/>
      <c r="I59" s="16" t="s">
        <v>133</v>
      </c>
    </row>
    <row r="60" spans="1:9" ht="56" x14ac:dyDescent="0.35">
      <c r="A60" s="16" t="s">
        <v>345</v>
      </c>
      <c r="B60" s="17" t="s">
        <v>344</v>
      </c>
      <c r="C60" s="17" t="s">
        <v>343</v>
      </c>
      <c r="D60" s="16"/>
      <c r="E60" s="16"/>
      <c r="F60" s="16"/>
      <c r="G60" s="16"/>
      <c r="H60" s="16"/>
      <c r="I60" s="16" t="s">
        <v>320</v>
      </c>
    </row>
    <row r="61" spans="1:9" ht="42" x14ac:dyDescent="0.35">
      <c r="A61" s="16" t="s">
        <v>568</v>
      </c>
      <c r="B61" s="17" t="s">
        <v>569</v>
      </c>
      <c r="C61" s="17" t="s">
        <v>570</v>
      </c>
      <c r="D61" s="16"/>
      <c r="E61" s="16"/>
      <c r="F61" s="16"/>
      <c r="G61" s="16"/>
      <c r="H61" s="16"/>
      <c r="I61" s="16" t="s">
        <v>320</v>
      </c>
    </row>
    <row r="62" spans="1:9" ht="28" x14ac:dyDescent="0.35">
      <c r="A62" s="16" t="s">
        <v>571</v>
      </c>
      <c r="B62" s="17" t="s">
        <v>572</v>
      </c>
      <c r="C62" s="17" t="s">
        <v>573</v>
      </c>
      <c r="D62" s="16" t="s">
        <v>133</v>
      </c>
      <c r="E62" s="16" t="s">
        <v>574</v>
      </c>
      <c r="F62" s="16">
        <v>0.25490000000000002</v>
      </c>
      <c r="G62" s="16" t="s">
        <v>575</v>
      </c>
      <c r="H62" s="16" t="s">
        <v>576</v>
      </c>
      <c r="I62" s="16" t="s">
        <v>133</v>
      </c>
    </row>
    <row r="63" spans="1:9" x14ac:dyDescent="0.35">
      <c r="A63" s="16" t="s">
        <v>577</v>
      </c>
      <c r="B63" s="17" t="s">
        <v>578</v>
      </c>
      <c r="C63" s="17" t="s">
        <v>158</v>
      </c>
      <c r="D63" s="16" t="s">
        <v>133</v>
      </c>
      <c r="E63" s="16" t="s">
        <v>579</v>
      </c>
      <c r="F63" s="16">
        <v>0.26050000000000001</v>
      </c>
      <c r="G63" s="16"/>
      <c r="H63" s="16"/>
      <c r="I63" s="16" t="s">
        <v>133</v>
      </c>
    </row>
    <row r="64" spans="1:9" x14ac:dyDescent="0.35">
      <c r="A64" s="16" t="s">
        <v>162</v>
      </c>
      <c r="B64" s="17" t="s">
        <v>157</v>
      </c>
      <c r="C64" s="17" t="s">
        <v>156</v>
      </c>
      <c r="D64" s="16" t="s">
        <v>133</v>
      </c>
      <c r="E64" s="16" t="s">
        <v>159</v>
      </c>
      <c r="F64" s="16">
        <v>0.24160000000000001</v>
      </c>
      <c r="G64" s="16" t="s">
        <v>160</v>
      </c>
      <c r="H64" s="16" t="s">
        <v>161</v>
      </c>
      <c r="I64" s="16" t="s">
        <v>133</v>
      </c>
    </row>
    <row r="65" spans="1:9" x14ac:dyDescent="0.35">
      <c r="A65" s="16" t="s">
        <v>580</v>
      </c>
      <c r="B65" s="17" t="s">
        <v>581</v>
      </c>
      <c r="C65" s="17" t="s">
        <v>582</v>
      </c>
      <c r="D65" s="16" t="s">
        <v>5</v>
      </c>
      <c r="E65" s="16" t="s">
        <v>103</v>
      </c>
      <c r="F65" s="16">
        <v>0.8</v>
      </c>
      <c r="G65" s="16"/>
      <c r="H65" s="16"/>
      <c r="I65" s="16" t="s">
        <v>5</v>
      </c>
    </row>
    <row r="66" spans="1:9" x14ac:dyDescent="0.35">
      <c r="A66" s="16" t="s">
        <v>113</v>
      </c>
      <c r="B66" s="17" t="s">
        <v>112</v>
      </c>
      <c r="C66" s="17" t="s">
        <v>111</v>
      </c>
      <c r="D66" s="16" t="s">
        <v>110</v>
      </c>
      <c r="E66" s="16" t="s">
        <v>103</v>
      </c>
      <c r="F66" s="16">
        <v>0.6</v>
      </c>
      <c r="G66" s="16"/>
      <c r="H66" s="16"/>
      <c r="I66" s="16" t="s">
        <v>110</v>
      </c>
    </row>
    <row r="67" spans="1:9" x14ac:dyDescent="0.35">
      <c r="A67" s="16" t="s">
        <v>128</v>
      </c>
      <c r="B67" s="17" t="s">
        <v>127</v>
      </c>
      <c r="C67" s="17" t="s">
        <v>126</v>
      </c>
      <c r="D67" s="16" t="s">
        <v>110</v>
      </c>
      <c r="E67" s="16" t="s">
        <v>103</v>
      </c>
      <c r="F67" s="16">
        <v>0.6</v>
      </c>
      <c r="G67" s="16"/>
      <c r="H67" s="16"/>
      <c r="I67" s="16" t="s">
        <v>110</v>
      </c>
    </row>
    <row r="68" spans="1:9" x14ac:dyDescent="0.35">
      <c r="A68" s="16" t="s">
        <v>583</v>
      </c>
      <c r="B68" s="17" t="s">
        <v>112</v>
      </c>
      <c r="C68" s="17" t="s">
        <v>111</v>
      </c>
      <c r="D68" s="16" t="s">
        <v>110</v>
      </c>
      <c r="E68" s="16" t="s">
        <v>103</v>
      </c>
      <c r="F68" s="16">
        <v>0.6</v>
      </c>
      <c r="G68" s="16"/>
      <c r="H68" s="16"/>
      <c r="I68" s="16" t="s">
        <v>110</v>
      </c>
    </row>
    <row r="69" spans="1:9" x14ac:dyDescent="0.35">
      <c r="A69" s="16" t="s">
        <v>584</v>
      </c>
      <c r="B69" s="17" t="s">
        <v>585</v>
      </c>
      <c r="C69" s="17" t="s">
        <v>585</v>
      </c>
      <c r="D69" s="16" t="s">
        <v>133</v>
      </c>
      <c r="E69" s="16" t="s">
        <v>150</v>
      </c>
      <c r="F69" s="16">
        <v>0.2281</v>
      </c>
      <c r="G69" s="16" t="s">
        <v>159</v>
      </c>
      <c r="H69" s="16"/>
      <c r="I69" s="16" t="s">
        <v>133</v>
      </c>
    </row>
    <row r="70" spans="1:9" ht="28" x14ac:dyDescent="0.35">
      <c r="A70" s="16" t="s">
        <v>586</v>
      </c>
      <c r="B70" s="17" t="s">
        <v>587</v>
      </c>
      <c r="C70" s="17" t="s">
        <v>206</v>
      </c>
      <c r="D70" s="16" t="s">
        <v>133</v>
      </c>
      <c r="E70" s="16" t="s">
        <v>209</v>
      </c>
      <c r="F70" s="16">
        <v>0.33179999999999998</v>
      </c>
      <c r="G70" s="16" t="s">
        <v>210</v>
      </c>
      <c r="H70" s="16" t="s">
        <v>211</v>
      </c>
      <c r="I70" s="16" t="s">
        <v>133</v>
      </c>
    </row>
    <row r="71" spans="1:9" x14ac:dyDescent="0.35">
      <c r="A71" s="16" t="s">
        <v>588</v>
      </c>
      <c r="B71" s="17" t="s">
        <v>589</v>
      </c>
      <c r="C71" s="17" t="s">
        <v>590</v>
      </c>
      <c r="D71" s="16" t="s">
        <v>133</v>
      </c>
      <c r="E71" s="16" t="s">
        <v>591</v>
      </c>
      <c r="F71" s="16">
        <v>0.2384</v>
      </c>
      <c r="G71" s="16" t="s">
        <v>592</v>
      </c>
      <c r="H71" s="16"/>
      <c r="I71" s="16" t="s">
        <v>133</v>
      </c>
    </row>
    <row r="72" spans="1:9" x14ac:dyDescent="0.35">
      <c r="A72" s="16" t="s">
        <v>593</v>
      </c>
      <c r="B72" s="17" t="s">
        <v>594</v>
      </c>
      <c r="C72" s="17" t="s">
        <v>595</v>
      </c>
      <c r="D72" s="16" t="s">
        <v>22</v>
      </c>
      <c r="E72" s="16" t="s">
        <v>596</v>
      </c>
      <c r="F72" s="16">
        <v>1</v>
      </c>
      <c r="G72" s="16"/>
      <c r="H72" s="16"/>
      <c r="I72" s="16" t="s">
        <v>22</v>
      </c>
    </row>
    <row r="73" spans="1:9" x14ac:dyDescent="0.35">
      <c r="A73" s="16" t="s">
        <v>597</v>
      </c>
      <c r="B73" s="17" t="s">
        <v>598</v>
      </c>
      <c r="C73" s="17" t="s">
        <v>599</v>
      </c>
      <c r="D73" s="16"/>
      <c r="E73" s="16"/>
      <c r="F73" s="16"/>
      <c r="G73" s="16"/>
      <c r="H73" s="16"/>
      <c r="I73" s="16" t="s">
        <v>320</v>
      </c>
    </row>
    <row r="74" spans="1:9" x14ac:dyDescent="0.35">
      <c r="A74" s="16" t="s">
        <v>600</v>
      </c>
      <c r="B74" s="17" t="s">
        <v>528</v>
      </c>
      <c r="C74" s="17"/>
      <c r="D74" s="16"/>
      <c r="E74" s="16"/>
      <c r="F74" s="16"/>
      <c r="G74" s="16"/>
      <c r="H74" s="16"/>
      <c r="I74" s="16" t="s">
        <v>320</v>
      </c>
    </row>
    <row r="75" spans="1:9" x14ac:dyDescent="0.35">
      <c r="A75" s="16" t="s">
        <v>601</v>
      </c>
      <c r="B75" s="17" t="s">
        <v>578</v>
      </c>
      <c r="C75" s="17" t="s">
        <v>158</v>
      </c>
      <c r="D75" s="16" t="s">
        <v>133</v>
      </c>
      <c r="E75" s="16" t="s">
        <v>579</v>
      </c>
      <c r="F75" s="16">
        <v>0.26050000000000001</v>
      </c>
      <c r="G75" s="16"/>
      <c r="H75" s="16"/>
      <c r="I75" s="16" t="s">
        <v>133</v>
      </c>
    </row>
    <row r="76" spans="1:9" x14ac:dyDescent="0.35">
      <c r="A76" s="16" t="s">
        <v>602</v>
      </c>
      <c r="B76" s="17" t="s">
        <v>603</v>
      </c>
      <c r="C76" s="17" t="s">
        <v>604</v>
      </c>
      <c r="D76" s="16" t="s">
        <v>133</v>
      </c>
      <c r="E76" s="16" t="s">
        <v>605</v>
      </c>
      <c r="F76" s="16">
        <v>0.28649999999999998</v>
      </c>
      <c r="G76" s="16" t="s">
        <v>606</v>
      </c>
      <c r="H76" s="16" t="s">
        <v>607</v>
      </c>
      <c r="I76" s="16" t="s">
        <v>133</v>
      </c>
    </row>
    <row r="77" spans="1:9" x14ac:dyDescent="0.35">
      <c r="A77" s="16" t="s">
        <v>608</v>
      </c>
      <c r="B77" s="17" t="s">
        <v>609</v>
      </c>
      <c r="C77" s="17" t="s">
        <v>609</v>
      </c>
      <c r="D77" s="16"/>
      <c r="E77" s="16"/>
      <c r="F77" s="16"/>
      <c r="G77" s="16"/>
      <c r="H77" s="16"/>
      <c r="I77" s="16" t="s">
        <v>320</v>
      </c>
    </row>
    <row r="78" spans="1:9" x14ac:dyDescent="0.35">
      <c r="A78" s="16" t="s">
        <v>610</v>
      </c>
      <c r="B78" s="17" t="s">
        <v>611</v>
      </c>
      <c r="C78" s="17" t="s">
        <v>612</v>
      </c>
      <c r="D78" s="16" t="s">
        <v>133</v>
      </c>
      <c r="E78" s="16" t="s">
        <v>605</v>
      </c>
      <c r="F78" s="16">
        <v>0.34350000000000003</v>
      </c>
      <c r="G78" s="16" t="s">
        <v>607</v>
      </c>
      <c r="H78" s="16" t="s">
        <v>613</v>
      </c>
      <c r="I78" s="16" t="s">
        <v>133</v>
      </c>
    </row>
    <row r="79" spans="1:9" x14ac:dyDescent="0.35">
      <c r="A79" s="16" t="s">
        <v>614</v>
      </c>
      <c r="B79" s="17" t="s">
        <v>578</v>
      </c>
      <c r="C79" s="17" t="s">
        <v>158</v>
      </c>
      <c r="D79" s="16" t="s">
        <v>133</v>
      </c>
      <c r="E79" s="16" t="s">
        <v>579</v>
      </c>
      <c r="F79" s="16">
        <v>0.26050000000000001</v>
      </c>
      <c r="G79" s="16"/>
      <c r="H79" s="16"/>
      <c r="I79" s="16" t="s">
        <v>133</v>
      </c>
    </row>
    <row r="80" spans="1:9" x14ac:dyDescent="0.35">
      <c r="A80" s="16" t="s">
        <v>615</v>
      </c>
      <c r="B80" s="17" t="s">
        <v>616</v>
      </c>
      <c r="C80" s="17" t="s">
        <v>158</v>
      </c>
      <c r="D80" s="16" t="s">
        <v>133</v>
      </c>
      <c r="E80" s="16" t="s">
        <v>579</v>
      </c>
      <c r="F80" s="16">
        <v>0.26050000000000001</v>
      </c>
      <c r="G80" s="16"/>
      <c r="H80" s="16"/>
      <c r="I80" s="16" t="s">
        <v>133</v>
      </c>
    </row>
    <row r="81" spans="1:9" x14ac:dyDescent="0.35">
      <c r="A81" s="16" t="s">
        <v>617</v>
      </c>
      <c r="B81" s="17" t="s">
        <v>426</v>
      </c>
      <c r="C81" s="17" t="s">
        <v>426</v>
      </c>
      <c r="D81" s="16" t="s">
        <v>133</v>
      </c>
      <c r="E81" s="16" t="s">
        <v>427</v>
      </c>
      <c r="F81" s="16">
        <v>0.3891</v>
      </c>
      <c r="G81" s="16"/>
      <c r="H81" s="16"/>
      <c r="I81" s="16" t="s">
        <v>133</v>
      </c>
    </row>
    <row r="82" spans="1:9" x14ac:dyDescent="0.35">
      <c r="A82" s="16" t="s">
        <v>618</v>
      </c>
      <c r="B82" s="17" t="s">
        <v>619</v>
      </c>
      <c r="C82" s="17" t="s">
        <v>619</v>
      </c>
      <c r="D82" s="16" t="s">
        <v>133</v>
      </c>
      <c r="E82" s="16" t="s">
        <v>620</v>
      </c>
      <c r="F82" s="16">
        <v>0.4</v>
      </c>
      <c r="G82" s="16" t="s">
        <v>247</v>
      </c>
      <c r="H82" s="16" t="s">
        <v>621</v>
      </c>
      <c r="I82" s="16" t="s">
        <v>133</v>
      </c>
    </row>
    <row r="83" spans="1:9" x14ac:dyDescent="0.35">
      <c r="A83" s="16" t="s">
        <v>622</v>
      </c>
      <c r="B83" s="17" t="s">
        <v>623</v>
      </c>
      <c r="C83" s="17" t="s">
        <v>623</v>
      </c>
      <c r="D83" s="16" t="s">
        <v>133</v>
      </c>
      <c r="E83" s="16" t="s">
        <v>624</v>
      </c>
      <c r="F83" s="16">
        <v>0.20399999999999999</v>
      </c>
      <c r="G83" s="16"/>
      <c r="H83" s="16"/>
      <c r="I83" s="16" t="s">
        <v>133</v>
      </c>
    </row>
    <row r="84" spans="1:9" x14ac:dyDescent="0.35">
      <c r="A84" s="16" t="s">
        <v>625</v>
      </c>
      <c r="B84" s="17" t="s">
        <v>626</v>
      </c>
      <c r="C84" s="17" t="s">
        <v>627</v>
      </c>
      <c r="D84" s="16" t="s">
        <v>133</v>
      </c>
      <c r="E84" s="16" t="s">
        <v>628</v>
      </c>
      <c r="F84" s="16">
        <v>0.39779999999999999</v>
      </c>
      <c r="G84" s="16" t="s">
        <v>629</v>
      </c>
      <c r="H84" s="16" t="s">
        <v>630</v>
      </c>
      <c r="I84" s="16" t="s">
        <v>133</v>
      </c>
    </row>
    <row r="85" spans="1:9" x14ac:dyDescent="0.35">
      <c r="A85" s="16" t="s">
        <v>631</v>
      </c>
      <c r="B85" s="17" t="s">
        <v>632</v>
      </c>
      <c r="C85" s="17" t="s">
        <v>225</v>
      </c>
      <c r="D85" s="16" t="s">
        <v>133</v>
      </c>
      <c r="E85" s="16" t="s">
        <v>227</v>
      </c>
      <c r="F85" s="16">
        <v>0.31759999999999999</v>
      </c>
      <c r="G85" s="16" t="s">
        <v>228</v>
      </c>
      <c r="H85" s="16" t="s">
        <v>229</v>
      </c>
      <c r="I85" s="16" t="s">
        <v>133</v>
      </c>
    </row>
    <row r="86" spans="1:9" x14ac:dyDescent="0.35">
      <c r="A86" s="16" t="s">
        <v>633</v>
      </c>
      <c r="B86" s="17" t="s">
        <v>634</v>
      </c>
      <c r="C86" s="17" t="s">
        <v>599</v>
      </c>
      <c r="D86" s="16"/>
      <c r="E86" s="16"/>
      <c r="F86" s="16"/>
      <c r="G86" s="16"/>
      <c r="H86" s="16"/>
      <c r="I86" s="16" t="s">
        <v>320</v>
      </c>
    </row>
    <row r="87" spans="1:9" x14ac:dyDescent="0.35">
      <c r="A87" s="16" t="s">
        <v>635</v>
      </c>
      <c r="B87" s="17" t="s">
        <v>445</v>
      </c>
      <c r="C87" s="17" t="s">
        <v>446</v>
      </c>
      <c r="D87" s="16" t="s">
        <v>133</v>
      </c>
      <c r="E87" s="16" t="s">
        <v>447</v>
      </c>
      <c r="F87" s="16">
        <v>0.29959999999999998</v>
      </c>
      <c r="G87" s="16" t="s">
        <v>448</v>
      </c>
      <c r="H87" s="16"/>
      <c r="I87" s="16" t="s">
        <v>133</v>
      </c>
    </row>
    <row r="88" spans="1:9" ht="28" x14ac:dyDescent="0.35">
      <c r="A88" s="16" t="s">
        <v>636</v>
      </c>
      <c r="B88" s="17" t="s">
        <v>637</v>
      </c>
      <c r="C88" s="17" t="s">
        <v>638</v>
      </c>
      <c r="D88" s="16" t="s">
        <v>5</v>
      </c>
      <c r="E88" s="16" t="s">
        <v>42</v>
      </c>
      <c r="F88" s="16">
        <v>0.8</v>
      </c>
      <c r="G88" s="16"/>
      <c r="H88" s="16"/>
      <c r="I88" s="16" t="s">
        <v>5</v>
      </c>
    </row>
    <row r="89" spans="1:9" ht="28" x14ac:dyDescent="0.35">
      <c r="A89" s="16" t="s">
        <v>44</v>
      </c>
      <c r="B89" s="17" t="s">
        <v>43</v>
      </c>
      <c r="C89" s="17" t="s">
        <v>42</v>
      </c>
      <c r="D89" s="16" t="s">
        <v>22</v>
      </c>
      <c r="E89" s="16" t="s">
        <v>42</v>
      </c>
      <c r="F89" s="16">
        <v>1</v>
      </c>
      <c r="G89" s="16"/>
      <c r="H89" s="16"/>
      <c r="I89" s="16" t="s">
        <v>22</v>
      </c>
    </row>
    <row r="90" spans="1:9" ht="56" x14ac:dyDescent="0.35">
      <c r="A90" s="16" t="s">
        <v>639</v>
      </c>
      <c r="B90" s="17" t="s">
        <v>640</v>
      </c>
      <c r="C90" s="17" t="s">
        <v>641</v>
      </c>
      <c r="D90" s="16" t="s">
        <v>133</v>
      </c>
      <c r="E90" s="16" t="s">
        <v>255</v>
      </c>
      <c r="F90" s="16">
        <v>0.31680000000000003</v>
      </c>
      <c r="G90" s="16" t="s">
        <v>642</v>
      </c>
      <c r="H90" s="16" t="s">
        <v>253</v>
      </c>
      <c r="I90" s="16" t="s">
        <v>133</v>
      </c>
    </row>
    <row r="91" spans="1:9" ht="28" x14ac:dyDescent="0.35">
      <c r="A91" s="16" t="s">
        <v>643</v>
      </c>
      <c r="B91" s="17" t="s">
        <v>644</v>
      </c>
      <c r="C91" s="17" t="s">
        <v>645</v>
      </c>
      <c r="D91" s="16" t="s">
        <v>133</v>
      </c>
      <c r="E91" s="16" t="s">
        <v>646</v>
      </c>
      <c r="F91" s="16">
        <v>0.31730000000000003</v>
      </c>
      <c r="G91" s="16" t="s">
        <v>647</v>
      </c>
      <c r="H91" s="16" t="s">
        <v>648</v>
      </c>
      <c r="I91" s="16" t="s">
        <v>133</v>
      </c>
    </row>
    <row r="92" spans="1:9" ht="28" x14ac:dyDescent="0.35">
      <c r="A92" s="16" t="s">
        <v>649</v>
      </c>
      <c r="B92" s="17" t="s">
        <v>650</v>
      </c>
      <c r="C92" s="17" t="s">
        <v>651</v>
      </c>
      <c r="D92" s="16" t="s">
        <v>133</v>
      </c>
      <c r="E92" s="16" t="s">
        <v>652</v>
      </c>
      <c r="F92" s="16">
        <v>0.29549999999999998</v>
      </c>
      <c r="G92" s="16" t="s">
        <v>606</v>
      </c>
      <c r="H92" s="16" t="s">
        <v>653</v>
      </c>
      <c r="I92" s="16" t="s">
        <v>133</v>
      </c>
    </row>
    <row r="93" spans="1:9" x14ac:dyDescent="0.35">
      <c r="A93" s="16" t="s">
        <v>654</v>
      </c>
      <c r="B93" s="17" t="s">
        <v>655</v>
      </c>
      <c r="C93" s="17"/>
      <c r="D93" s="16"/>
      <c r="E93" s="16"/>
      <c r="F93" s="16"/>
      <c r="G93" s="16"/>
      <c r="H93" s="16"/>
      <c r="I93" s="16" t="s">
        <v>320</v>
      </c>
    </row>
    <row r="94" spans="1:9" x14ac:dyDescent="0.35">
      <c r="A94" s="16" t="s">
        <v>656</v>
      </c>
      <c r="B94" s="17" t="s">
        <v>657</v>
      </c>
      <c r="C94" s="17" t="s">
        <v>658</v>
      </c>
      <c r="D94" s="16" t="s">
        <v>5</v>
      </c>
      <c r="E94" s="16" t="s">
        <v>103</v>
      </c>
      <c r="F94" s="16">
        <v>0.8</v>
      </c>
      <c r="G94" s="16"/>
      <c r="H94" s="16"/>
      <c r="I94" s="16" t="s">
        <v>5</v>
      </c>
    </row>
    <row r="95" spans="1:9" x14ac:dyDescent="0.35">
      <c r="A95" s="16" t="s">
        <v>86</v>
      </c>
      <c r="B95" s="17" t="s">
        <v>85</v>
      </c>
      <c r="C95" s="17" t="s">
        <v>85</v>
      </c>
      <c r="D95" s="16" t="s">
        <v>5</v>
      </c>
      <c r="E95" s="16" t="s">
        <v>42</v>
      </c>
      <c r="F95" s="16">
        <v>0.8</v>
      </c>
      <c r="G95" s="16"/>
      <c r="H95" s="16"/>
      <c r="I95" s="16" t="s">
        <v>5</v>
      </c>
    </row>
    <row r="96" spans="1:9" ht="28" x14ac:dyDescent="0.35">
      <c r="A96" s="16" t="s">
        <v>83</v>
      </c>
      <c r="B96" s="17" t="s">
        <v>82</v>
      </c>
      <c r="C96" s="17" t="s">
        <v>82</v>
      </c>
      <c r="D96" s="16" t="s">
        <v>5</v>
      </c>
      <c r="E96" s="16" t="s">
        <v>42</v>
      </c>
      <c r="F96" s="16">
        <v>0.8</v>
      </c>
      <c r="G96" s="16"/>
      <c r="H96" s="16"/>
      <c r="I96" s="16" t="s">
        <v>5</v>
      </c>
    </row>
    <row r="97" spans="1:9" x14ac:dyDescent="0.35">
      <c r="A97" s="16" t="s">
        <v>659</v>
      </c>
      <c r="B97" s="17" t="s">
        <v>660</v>
      </c>
      <c r="C97" s="17" t="s">
        <v>42</v>
      </c>
      <c r="D97" s="16" t="s">
        <v>22</v>
      </c>
      <c r="E97" s="16" t="s">
        <v>42</v>
      </c>
      <c r="F97" s="16">
        <v>1</v>
      </c>
      <c r="G97" s="16"/>
      <c r="H97" s="16"/>
      <c r="I97" s="16" t="s">
        <v>22</v>
      </c>
    </row>
    <row r="98" spans="1:9" x14ac:dyDescent="0.35">
      <c r="A98" s="16" t="s">
        <v>661</v>
      </c>
      <c r="B98" s="17" t="s">
        <v>662</v>
      </c>
      <c r="C98" s="17" t="s">
        <v>663</v>
      </c>
      <c r="D98" s="16" t="s">
        <v>133</v>
      </c>
      <c r="E98" s="16" t="s">
        <v>664</v>
      </c>
      <c r="F98" s="16">
        <v>0.37580000000000002</v>
      </c>
      <c r="G98" s="16" t="s">
        <v>23</v>
      </c>
      <c r="H98" s="16" t="s">
        <v>665</v>
      </c>
      <c r="I98" s="16" t="s">
        <v>133</v>
      </c>
    </row>
    <row r="99" spans="1:9" x14ac:dyDescent="0.35">
      <c r="A99" s="16" t="s">
        <v>666</v>
      </c>
      <c r="B99" s="17" t="s">
        <v>662</v>
      </c>
      <c r="C99" s="17" t="s">
        <v>663</v>
      </c>
      <c r="D99" s="16" t="s">
        <v>133</v>
      </c>
      <c r="E99" s="16" t="s">
        <v>664</v>
      </c>
      <c r="F99" s="16">
        <v>0.37580000000000002</v>
      </c>
      <c r="G99" s="16" t="s">
        <v>23</v>
      </c>
      <c r="H99" s="16" t="s">
        <v>665</v>
      </c>
      <c r="I99" s="16" t="s">
        <v>133</v>
      </c>
    </row>
    <row r="100" spans="1:9" ht="42" x14ac:dyDescent="0.35">
      <c r="A100" s="16" t="s">
        <v>667</v>
      </c>
      <c r="B100" s="17" t="s">
        <v>668</v>
      </c>
      <c r="C100" s="17" t="s">
        <v>669</v>
      </c>
      <c r="D100" s="16" t="s">
        <v>133</v>
      </c>
      <c r="E100" s="16" t="s">
        <v>670</v>
      </c>
      <c r="F100" s="16">
        <v>0.27079999999999999</v>
      </c>
      <c r="G100" s="16" t="s">
        <v>671</v>
      </c>
      <c r="H100" s="16"/>
      <c r="I100" s="16" t="s">
        <v>133</v>
      </c>
    </row>
    <row r="101" spans="1:9" x14ac:dyDescent="0.35">
      <c r="A101" s="16" t="s">
        <v>672</v>
      </c>
      <c r="B101" s="17" t="s">
        <v>673</v>
      </c>
      <c r="C101" s="17" t="s">
        <v>674</v>
      </c>
      <c r="D101" s="16" t="s">
        <v>133</v>
      </c>
      <c r="E101" s="16" t="s">
        <v>671</v>
      </c>
      <c r="F101" s="16">
        <v>0.3216</v>
      </c>
      <c r="G101" s="16" t="s">
        <v>675</v>
      </c>
      <c r="H101" s="16" t="s">
        <v>676</v>
      </c>
      <c r="I101" s="16" t="s">
        <v>133</v>
      </c>
    </row>
    <row r="102" spans="1:9" x14ac:dyDescent="0.35">
      <c r="A102" s="16" t="s">
        <v>677</v>
      </c>
      <c r="B102" s="17" t="s">
        <v>678</v>
      </c>
      <c r="C102" s="17"/>
      <c r="D102" s="16"/>
      <c r="E102" s="16"/>
      <c r="F102" s="16"/>
      <c r="G102" s="16"/>
      <c r="H102" s="16"/>
      <c r="I102" s="16" t="s">
        <v>320</v>
      </c>
    </row>
    <row r="103" spans="1:9" x14ac:dyDescent="0.35">
      <c r="A103" s="16" t="s">
        <v>280</v>
      </c>
      <c r="B103" s="17" t="s">
        <v>276</v>
      </c>
      <c r="C103" s="17" t="s">
        <v>275</v>
      </c>
      <c r="D103" s="16" t="s">
        <v>133</v>
      </c>
      <c r="E103" s="16" t="s">
        <v>277</v>
      </c>
      <c r="F103" s="16">
        <v>0.44490000000000002</v>
      </c>
      <c r="G103" s="16" t="s">
        <v>278</v>
      </c>
      <c r="H103" s="16" t="s">
        <v>279</v>
      </c>
      <c r="I103" s="16" t="s">
        <v>133</v>
      </c>
    </row>
    <row r="104" spans="1:9" x14ac:dyDescent="0.35">
      <c r="A104" s="16" t="s">
        <v>679</v>
      </c>
      <c r="B104" s="17" t="s">
        <v>276</v>
      </c>
      <c r="C104" s="17" t="s">
        <v>275</v>
      </c>
      <c r="D104" s="16" t="s">
        <v>133</v>
      </c>
      <c r="E104" s="16" t="s">
        <v>277</v>
      </c>
      <c r="F104" s="16">
        <v>0.44490000000000002</v>
      </c>
      <c r="G104" s="16" t="s">
        <v>278</v>
      </c>
      <c r="H104" s="16" t="s">
        <v>279</v>
      </c>
      <c r="I104" s="16" t="s">
        <v>133</v>
      </c>
    </row>
    <row r="105" spans="1:9" x14ac:dyDescent="0.35">
      <c r="A105" s="16" t="s">
        <v>680</v>
      </c>
      <c r="B105" s="17" t="s">
        <v>276</v>
      </c>
      <c r="C105" s="17" t="s">
        <v>275</v>
      </c>
      <c r="D105" s="16" t="s">
        <v>133</v>
      </c>
      <c r="E105" s="16" t="s">
        <v>277</v>
      </c>
      <c r="F105" s="16">
        <v>0.44490000000000002</v>
      </c>
      <c r="G105" s="16" t="s">
        <v>278</v>
      </c>
      <c r="H105" s="16" t="s">
        <v>279</v>
      </c>
      <c r="I105" s="16" t="s">
        <v>133</v>
      </c>
    </row>
    <row r="106" spans="1:9" x14ac:dyDescent="0.35">
      <c r="A106" s="16" t="s">
        <v>681</v>
      </c>
      <c r="B106" s="17" t="s">
        <v>682</v>
      </c>
      <c r="C106" s="17" t="s">
        <v>42</v>
      </c>
      <c r="D106" s="16" t="s">
        <v>22</v>
      </c>
      <c r="E106" s="16" t="s">
        <v>42</v>
      </c>
      <c r="F106" s="16">
        <v>1</v>
      </c>
      <c r="G106" s="16"/>
      <c r="H106" s="16"/>
      <c r="I106" s="16" t="s">
        <v>22</v>
      </c>
    </row>
    <row r="107" spans="1:9" ht="28" x14ac:dyDescent="0.35">
      <c r="A107" s="16" t="s">
        <v>683</v>
      </c>
      <c r="B107" s="17" t="s">
        <v>684</v>
      </c>
      <c r="C107" s="17" t="s">
        <v>685</v>
      </c>
      <c r="D107" s="16" t="s">
        <v>133</v>
      </c>
      <c r="E107" s="16" t="s">
        <v>686</v>
      </c>
      <c r="F107" s="16">
        <v>0.44440000000000002</v>
      </c>
      <c r="G107" s="16" t="s">
        <v>687</v>
      </c>
      <c r="H107" s="16" t="s">
        <v>42</v>
      </c>
      <c r="I107" s="16" t="s">
        <v>133</v>
      </c>
    </row>
    <row r="108" spans="1:9" x14ac:dyDescent="0.35">
      <c r="A108" s="16" t="s">
        <v>688</v>
      </c>
      <c r="B108" s="17" t="s">
        <v>426</v>
      </c>
      <c r="C108" s="17" t="s">
        <v>426</v>
      </c>
      <c r="D108" s="16" t="s">
        <v>133</v>
      </c>
      <c r="E108" s="16" t="s">
        <v>427</v>
      </c>
      <c r="F108" s="16">
        <v>0.3891</v>
      </c>
      <c r="G108" s="16"/>
      <c r="H108" s="16"/>
      <c r="I108" s="16" t="s">
        <v>133</v>
      </c>
    </row>
    <row r="109" spans="1:9" ht="28" x14ac:dyDescent="0.35">
      <c r="A109" s="16" t="s">
        <v>321</v>
      </c>
      <c r="B109" s="17" t="s">
        <v>319</v>
      </c>
      <c r="C109" s="17" t="s">
        <v>689</v>
      </c>
      <c r="D109" s="16"/>
      <c r="E109" s="16"/>
      <c r="F109" s="16"/>
      <c r="G109" s="16"/>
      <c r="H109" s="16"/>
      <c r="I109" s="16" t="s">
        <v>320</v>
      </c>
    </row>
    <row r="110" spans="1:9" x14ac:dyDescent="0.35">
      <c r="A110" s="16" t="s">
        <v>690</v>
      </c>
      <c r="B110" s="17" t="s">
        <v>528</v>
      </c>
      <c r="C110" s="17"/>
      <c r="D110" s="16"/>
      <c r="E110" s="16"/>
      <c r="F110" s="16"/>
      <c r="G110" s="16"/>
      <c r="H110" s="16"/>
      <c r="I110" s="16" t="s">
        <v>320</v>
      </c>
    </row>
    <row r="111" spans="1:9" x14ac:dyDescent="0.35">
      <c r="A111" s="16" t="s">
        <v>691</v>
      </c>
      <c r="B111" s="17" t="s">
        <v>692</v>
      </c>
      <c r="C111" s="17" t="s">
        <v>693</v>
      </c>
      <c r="D111" s="16" t="s">
        <v>133</v>
      </c>
      <c r="E111" s="16" t="s">
        <v>687</v>
      </c>
      <c r="F111" s="16">
        <v>0.36659999999999998</v>
      </c>
      <c r="G111" s="16" t="s">
        <v>694</v>
      </c>
      <c r="H111" s="16" t="s">
        <v>695</v>
      </c>
      <c r="I111" s="16" t="s">
        <v>133</v>
      </c>
    </row>
    <row r="112" spans="1:9" x14ac:dyDescent="0.35">
      <c r="A112" s="16" t="s">
        <v>696</v>
      </c>
      <c r="B112" s="17" t="s">
        <v>697</v>
      </c>
      <c r="C112" s="17" t="s">
        <v>42</v>
      </c>
      <c r="D112" s="16" t="s">
        <v>22</v>
      </c>
      <c r="E112" s="16" t="s">
        <v>42</v>
      </c>
      <c r="F112" s="16">
        <v>1</v>
      </c>
      <c r="G112" s="16"/>
      <c r="H112" s="16"/>
      <c r="I112" s="16" t="s">
        <v>22</v>
      </c>
    </row>
    <row r="113" spans="1:9" x14ac:dyDescent="0.35">
      <c r="A113" s="16" t="s">
        <v>698</v>
      </c>
      <c r="B113" s="17" t="s">
        <v>699</v>
      </c>
      <c r="C113" s="17" t="s">
        <v>42</v>
      </c>
      <c r="D113" s="16" t="s">
        <v>22</v>
      </c>
      <c r="E113" s="16" t="s">
        <v>42</v>
      </c>
      <c r="F113" s="16">
        <v>1</v>
      </c>
      <c r="G113" s="16"/>
      <c r="H113" s="16"/>
      <c r="I113" s="16" t="s">
        <v>22</v>
      </c>
    </row>
    <row r="114" spans="1:9" x14ac:dyDescent="0.35">
      <c r="A114" s="16" t="s">
        <v>700</v>
      </c>
      <c r="B114" s="17" t="s">
        <v>701</v>
      </c>
      <c r="C114" s="17" t="s">
        <v>42</v>
      </c>
      <c r="D114" s="16" t="s">
        <v>22</v>
      </c>
      <c r="E114" s="16" t="s">
        <v>42</v>
      </c>
      <c r="F114" s="16">
        <v>1</v>
      </c>
      <c r="G114" s="16"/>
      <c r="H114" s="16"/>
      <c r="I114" s="16" t="s">
        <v>22</v>
      </c>
    </row>
    <row r="115" spans="1:9" x14ac:dyDescent="0.35">
      <c r="A115" s="16" t="s">
        <v>702</v>
      </c>
      <c r="B115" s="17" t="s">
        <v>703</v>
      </c>
      <c r="C115" s="17" t="s">
        <v>704</v>
      </c>
      <c r="D115" s="16" t="s">
        <v>133</v>
      </c>
      <c r="E115" s="16" t="s">
        <v>705</v>
      </c>
      <c r="F115" s="16">
        <v>0.40539999999999998</v>
      </c>
      <c r="G115" s="16" t="s">
        <v>480</v>
      </c>
      <c r="H115" s="16" t="s">
        <v>706</v>
      </c>
      <c r="I115" s="16" t="s">
        <v>133</v>
      </c>
    </row>
    <row r="116" spans="1:9" ht="28" x14ac:dyDescent="0.35">
      <c r="A116" s="16" t="s">
        <v>707</v>
      </c>
      <c r="B116" s="17" t="s">
        <v>708</v>
      </c>
      <c r="C116" s="17" t="s">
        <v>225</v>
      </c>
      <c r="D116" s="16" t="s">
        <v>133</v>
      </c>
      <c r="E116" s="16" t="s">
        <v>227</v>
      </c>
      <c r="F116" s="16">
        <v>0.31759999999999999</v>
      </c>
      <c r="G116" s="16" t="s">
        <v>228</v>
      </c>
      <c r="H116" s="16" t="s">
        <v>229</v>
      </c>
      <c r="I116" s="16" t="s">
        <v>133</v>
      </c>
    </row>
    <row r="117" spans="1:9" x14ac:dyDescent="0.35">
      <c r="A117" s="16" t="s">
        <v>709</v>
      </c>
      <c r="B117" s="17" t="s">
        <v>528</v>
      </c>
      <c r="C117" s="17"/>
      <c r="D117" s="16"/>
      <c r="E117" s="16"/>
      <c r="F117" s="16"/>
      <c r="G117" s="16"/>
      <c r="H117" s="16"/>
      <c r="I117" s="16" t="s">
        <v>320</v>
      </c>
    </row>
    <row r="118" spans="1:9" ht="28" x14ac:dyDescent="0.35">
      <c r="A118" s="16" t="s">
        <v>710</v>
      </c>
      <c r="B118" s="17" t="s">
        <v>711</v>
      </c>
      <c r="C118" s="17" t="s">
        <v>711</v>
      </c>
      <c r="D118" s="16" t="s">
        <v>133</v>
      </c>
      <c r="E118" s="16" t="s">
        <v>712</v>
      </c>
      <c r="F118" s="16">
        <v>0.21079999999999999</v>
      </c>
      <c r="G118" s="16"/>
      <c r="H118" s="16"/>
      <c r="I118" s="16" t="s">
        <v>133</v>
      </c>
    </row>
    <row r="119" spans="1:9" x14ac:dyDescent="0.35">
      <c r="A119" s="16" t="s">
        <v>713</v>
      </c>
      <c r="B119" s="17" t="s">
        <v>714</v>
      </c>
      <c r="C119" s="17" t="s">
        <v>715</v>
      </c>
      <c r="D119" s="16" t="s">
        <v>133</v>
      </c>
      <c r="E119" s="16" t="s">
        <v>705</v>
      </c>
      <c r="F119" s="16">
        <v>0.44900000000000001</v>
      </c>
      <c r="G119" s="16" t="s">
        <v>42</v>
      </c>
      <c r="H119" s="16" t="s">
        <v>716</v>
      </c>
      <c r="I119" s="16" t="s">
        <v>133</v>
      </c>
    </row>
    <row r="120" spans="1:9" x14ac:dyDescent="0.35">
      <c r="A120" s="16" t="s">
        <v>717</v>
      </c>
      <c r="B120" s="17" t="s">
        <v>718</v>
      </c>
      <c r="C120" s="17" t="s">
        <v>719</v>
      </c>
      <c r="D120" s="16" t="s">
        <v>133</v>
      </c>
      <c r="E120" s="16" t="s">
        <v>494</v>
      </c>
      <c r="F120" s="16">
        <v>0.4405</v>
      </c>
      <c r="G120" s="16" t="s">
        <v>495</v>
      </c>
      <c r="H120" s="16" t="s">
        <v>496</v>
      </c>
      <c r="I120" s="16" t="s">
        <v>133</v>
      </c>
    </row>
    <row r="121" spans="1:9" x14ac:dyDescent="0.35">
      <c r="A121" s="16" t="s">
        <v>720</v>
      </c>
      <c r="B121" s="17" t="s">
        <v>721</v>
      </c>
      <c r="C121" s="17" t="s">
        <v>719</v>
      </c>
      <c r="D121" s="16" t="s">
        <v>133</v>
      </c>
      <c r="E121" s="16" t="s">
        <v>494</v>
      </c>
      <c r="F121" s="16">
        <v>0.4405</v>
      </c>
      <c r="G121" s="16" t="s">
        <v>495</v>
      </c>
      <c r="H121" s="16" t="s">
        <v>496</v>
      </c>
      <c r="I121" s="16" t="s">
        <v>133</v>
      </c>
    </row>
    <row r="122" spans="1:9" ht="28" x14ac:dyDescent="0.35">
      <c r="A122" s="16" t="s">
        <v>722</v>
      </c>
      <c r="B122" s="17" t="s">
        <v>723</v>
      </c>
      <c r="C122" s="17" t="s">
        <v>724</v>
      </c>
      <c r="D122" s="16" t="s">
        <v>133</v>
      </c>
      <c r="E122" s="16" t="s">
        <v>712</v>
      </c>
      <c r="F122" s="16">
        <v>0.41010000000000002</v>
      </c>
      <c r="G122" s="16" t="s">
        <v>277</v>
      </c>
      <c r="H122" s="16" t="s">
        <v>136</v>
      </c>
      <c r="I122" s="16" t="s">
        <v>133</v>
      </c>
    </row>
    <row r="123" spans="1:9" x14ac:dyDescent="0.35">
      <c r="A123" s="16" t="s">
        <v>356</v>
      </c>
      <c r="B123" s="17"/>
      <c r="C123" s="17"/>
      <c r="D123" s="16"/>
      <c r="E123" s="16"/>
      <c r="F123" s="16"/>
      <c r="G123" s="16"/>
      <c r="H123" s="16"/>
      <c r="I123" s="16" t="s">
        <v>353</v>
      </c>
    </row>
    <row r="124" spans="1:9" x14ac:dyDescent="0.35">
      <c r="A124" s="16" t="s">
        <v>725</v>
      </c>
      <c r="B124" s="17" t="s">
        <v>726</v>
      </c>
      <c r="C124" s="17" t="s">
        <v>726</v>
      </c>
      <c r="D124" s="16" t="s">
        <v>133</v>
      </c>
      <c r="E124" s="16" t="s">
        <v>727</v>
      </c>
      <c r="F124" s="16">
        <v>0.20469999999999999</v>
      </c>
      <c r="G124" s="16"/>
      <c r="H124" s="16"/>
      <c r="I124" s="16" t="s">
        <v>133</v>
      </c>
    </row>
    <row r="125" spans="1:9" ht="28" x14ac:dyDescent="0.35">
      <c r="A125" s="16" t="s">
        <v>728</v>
      </c>
      <c r="B125" s="17" t="s">
        <v>729</v>
      </c>
      <c r="C125" s="17" t="s">
        <v>729</v>
      </c>
      <c r="D125" s="16" t="s">
        <v>133</v>
      </c>
      <c r="E125" s="16" t="s">
        <v>277</v>
      </c>
      <c r="F125" s="16">
        <v>0.27460000000000001</v>
      </c>
      <c r="G125" s="16" t="s">
        <v>687</v>
      </c>
      <c r="H125" s="16" t="s">
        <v>712</v>
      </c>
      <c r="I125" s="16" t="s">
        <v>133</v>
      </c>
    </row>
    <row r="126" spans="1:9" x14ac:dyDescent="0.35">
      <c r="A126" s="16" t="s">
        <v>730</v>
      </c>
      <c r="B126" s="17" t="s">
        <v>731</v>
      </c>
      <c r="C126" s="17" t="s">
        <v>732</v>
      </c>
      <c r="D126" s="16" t="s">
        <v>133</v>
      </c>
      <c r="E126" s="16" t="s">
        <v>733</v>
      </c>
      <c r="F126" s="16">
        <v>0.40889999999999999</v>
      </c>
      <c r="G126" s="16" t="s">
        <v>687</v>
      </c>
      <c r="H126" s="16" t="s">
        <v>734</v>
      </c>
      <c r="I126" s="16" t="s">
        <v>133</v>
      </c>
    </row>
    <row r="127" spans="1:9" ht="42" x14ac:dyDescent="0.35">
      <c r="A127" s="16" t="s">
        <v>735</v>
      </c>
      <c r="B127" s="17" t="s">
        <v>736</v>
      </c>
      <c r="C127" s="17" t="s">
        <v>737</v>
      </c>
      <c r="D127" s="16" t="s">
        <v>133</v>
      </c>
      <c r="E127" s="16" t="s">
        <v>494</v>
      </c>
      <c r="F127" s="16">
        <v>0.4405</v>
      </c>
      <c r="G127" s="16" t="s">
        <v>495</v>
      </c>
      <c r="H127" s="16" t="s">
        <v>496</v>
      </c>
      <c r="I127" s="16" t="s">
        <v>133</v>
      </c>
    </row>
    <row r="128" spans="1:9" x14ac:dyDescent="0.35">
      <c r="A128" s="16" t="s">
        <v>738</v>
      </c>
      <c r="B128" s="17" t="s">
        <v>721</v>
      </c>
      <c r="C128" s="17" t="s">
        <v>719</v>
      </c>
      <c r="D128" s="16" t="s">
        <v>133</v>
      </c>
      <c r="E128" s="16" t="s">
        <v>494</v>
      </c>
      <c r="F128" s="16">
        <v>0.4405</v>
      </c>
      <c r="G128" s="16" t="s">
        <v>495</v>
      </c>
      <c r="H128" s="16" t="s">
        <v>496</v>
      </c>
      <c r="I128" s="16" t="s">
        <v>133</v>
      </c>
    </row>
    <row r="129" spans="1:9" x14ac:dyDescent="0.35">
      <c r="A129" s="16" t="s">
        <v>739</v>
      </c>
      <c r="B129" s="17" t="s">
        <v>726</v>
      </c>
      <c r="C129" s="17" t="s">
        <v>726</v>
      </c>
      <c r="D129" s="16" t="s">
        <v>133</v>
      </c>
      <c r="E129" s="16" t="s">
        <v>727</v>
      </c>
      <c r="F129" s="16">
        <v>0.20469999999999999</v>
      </c>
      <c r="G129" s="16"/>
      <c r="H129" s="16"/>
      <c r="I129" s="16" t="s">
        <v>133</v>
      </c>
    </row>
    <row r="130" spans="1:9" x14ac:dyDescent="0.35">
      <c r="A130" s="16" t="s">
        <v>740</v>
      </c>
      <c r="B130" s="17" t="s">
        <v>741</v>
      </c>
      <c r="C130" s="17" t="s">
        <v>742</v>
      </c>
      <c r="D130" s="16" t="s">
        <v>133</v>
      </c>
      <c r="E130" s="16" t="s">
        <v>705</v>
      </c>
      <c r="F130" s="16">
        <v>0.42709999999999998</v>
      </c>
      <c r="G130" s="16" t="s">
        <v>480</v>
      </c>
      <c r="H130" s="16" t="s">
        <v>743</v>
      </c>
      <c r="I130" s="16" t="s">
        <v>133</v>
      </c>
    </row>
    <row r="131" spans="1:9" x14ac:dyDescent="0.35">
      <c r="A131" s="16" t="s">
        <v>744</v>
      </c>
      <c r="B131" s="17"/>
      <c r="C131" s="17"/>
      <c r="D131" s="16"/>
      <c r="E131" s="16"/>
      <c r="F131" s="16"/>
      <c r="G131" s="16"/>
      <c r="H131" s="16"/>
      <c r="I131" s="16" t="s">
        <v>353</v>
      </c>
    </row>
    <row r="132" spans="1:9" x14ac:dyDescent="0.35">
      <c r="A132" s="16" t="s">
        <v>745</v>
      </c>
      <c r="B132" s="17" t="s">
        <v>741</v>
      </c>
      <c r="C132" s="17" t="s">
        <v>742</v>
      </c>
      <c r="D132" s="16" t="s">
        <v>133</v>
      </c>
      <c r="E132" s="16" t="s">
        <v>705</v>
      </c>
      <c r="F132" s="16">
        <v>0.42709999999999998</v>
      </c>
      <c r="G132" s="16" t="s">
        <v>480</v>
      </c>
      <c r="H132" s="16" t="s">
        <v>743</v>
      </c>
      <c r="I132" s="16" t="s">
        <v>133</v>
      </c>
    </row>
    <row r="133" spans="1:9" x14ac:dyDescent="0.35">
      <c r="A133" s="16" t="s">
        <v>746</v>
      </c>
      <c r="B133" s="17"/>
      <c r="C133" s="17"/>
      <c r="D133" s="16"/>
      <c r="E133" s="16"/>
      <c r="F133" s="16"/>
      <c r="G133" s="16"/>
      <c r="H133" s="16"/>
      <c r="I133" s="16" t="s">
        <v>353</v>
      </c>
    </row>
    <row r="134" spans="1:9" x14ac:dyDescent="0.35">
      <c r="A134" s="16" t="s">
        <v>747</v>
      </c>
      <c r="B134" s="17" t="s">
        <v>697</v>
      </c>
      <c r="C134" s="17" t="s">
        <v>42</v>
      </c>
      <c r="D134" s="16" t="s">
        <v>22</v>
      </c>
      <c r="E134" s="16" t="s">
        <v>42</v>
      </c>
      <c r="F134" s="16">
        <v>1</v>
      </c>
      <c r="G134" s="16"/>
      <c r="H134" s="16"/>
      <c r="I134" s="16" t="s">
        <v>22</v>
      </c>
    </row>
    <row r="135" spans="1:9" x14ac:dyDescent="0.35">
      <c r="A135" s="16" t="s">
        <v>748</v>
      </c>
      <c r="B135" s="17"/>
      <c r="C135" s="17"/>
      <c r="D135" s="16"/>
      <c r="E135" s="16"/>
      <c r="F135" s="16"/>
      <c r="G135" s="16"/>
      <c r="H135" s="16"/>
      <c r="I135" s="16" t="s">
        <v>353</v>
      </c>
    </row>
    <row r="136" spans="1:9" x14ac:dyDescent="0.35">
      <c r="A136" s="16" t="s">
        <v>749</v>
      </c>
      <c r="B136" s="17" t="s">
        <v>741</v>
      </c>
      <c r="C136" s="17" t="s">
        <v>742</v>
      </c>
      <c r="D136" s="16" t="s">
        <v>133</v>
      </c>
      <c r="E136" s="16" t="s">
        <v>705</v>
      </c>
      <c r="F136" s="16">
        <v>0.42709999999999998</v>
      </c>
      <c r="G136" s="16" t="s">
        <v>480</v>
      </c>
      <c r="H136" s="16" t="s">
        <v>743</v>
      </c>
      <c r="I136" s="16" t="s">
        <v>133</v>
      </c>
    </row>
    <row r="137" spans="1:9" x14ac:dyDescent="0.35">
      <c r="A137" s="16" t="s">
        <v>750</v>
      </c>
      <c r="B137" s="17" t="s">
        <v>638</v>
      </c>
      <c r="C137" s="17" t="s">
        <v>638</v>
      </c>
      <c r="D137" s="16" t="s">
        <v>5</v>
      </c>
      <c r="E137" s="16" t="s">
        <v>42</v>
      </c>
      <c r="F137" s="16">
        <v>0.8</v>
      </c>
      <c r="G137" s="16"/>
      <c r="H137" s="16"/>
      <c r="I137" s="16" t="s">
        <v>5</v>
      </c>
    </row>
    <row r="138" spans="1:9" x14ac:dyDescent="0.35">
      <c r="A138" s="16" t="s">
        <v>315</v>
      </c>
      <c r="B138" s="17" t="s">
        <v>311</v>
      </c>
      <c r="C138" s="17" t="s">
        <v>310</v>
      </c>
      <c r="D138" s="16" t="s">
        <v>133</v>
      </c>
      <c r="E138" s="16" t="s">
        <v>312</v>
      </c>
      <c r="F138" s="16">
        <v>0.40100000000000002</v>
      </c>
      <c r="G138" s="16" t="s">
        <v>313</v>
      </c>
      <c r="H138" s="16" t="s">
        <v>314</v>
      </c>
      <c r="I138" s="16" t="s">
        <v>133</v>
      </c>
    </row>
    <row r="139" spans="1:9" x14ac:dyDescent="0.35">
      <c r="A139" s="16" t="s">
        <v>751</v>
      </c>
      <c r="B139" s="17" t="s">
        <v>638</v>
      </c>
      <c r="C139" s="17" t="s">
        <v>638</v>
      </c>
      <c r="D139" s="16" t="s">
        <v>5</v>
      </c>
      <c r="E139" s="16" t="s">
        <v>42</v>
      </c>
      <c r="F139" s="16">
        <v>0.8</v>
      </c>
      <c r="G139" s="16"/>
      <c r="H139" s="16"/>
      <c r="I139" s="16" t="s">
        <v>5</v>
      </c>
    </row>
    <row r="140" spans="1:9" x14ac:dyDescent="0.35">
      <c r="A140" s="16" t="s">
        <v>752</v>
      </c>
      <c r="B140" s="17" t="s">
        <v>753</v>
      </c>
      <c r="C140" s="17" t="s">
        <v>754</v>
      </c>
      <c r="D140" s="16" t="s">
        <v>133</v>
      </c>
      <c r="E140" s="16" t="s">
        <v>686</v>
      </c>
      <c r="F140" s="16">
        <v>0.46479999999999999</v>
      </c>
      <c r="G140" s="16" t="s">
        <v>755</v>
      </c>
      <c r="H140" s="16" t="s">
        <v>255</v>
      </c>
      <c r="I140" s="16" t="s">
        <v>133</v>
      </c>
    </row>
    <row r="141" spans="1:9" ht="28" x14ac:dyDescent="0.35">
      <c r="A141" s="16" t="s">
        <v>756</v>
      </c>
      <c r="B141" s="17" t="s">
        <v>757</v>
      </c>
      <c r="C141" s="17" t="s">
        <v>758</v>
      </c>
      <c r="D141" s="16" t="s">
        <v>133</v>
      </c>
      <c r="E141" s="16" t="s">
        <v>489</v>
      </c>
      <c r="F141" s="16">
        <v>0.43790000000000001</v>
      </c>
      <c r="G141" s="16" t="s">
        <v>504</v>
      </c>
      <c r="H141" s="16" t="s">
        <v>759</v>
      </c>
      <c r="I141" s="16" t="s">
        <v>133</v>
      </c>
    </row>
    <row r="142" spans="1:9" x14ac:dyDescent="0.35">
      <c r="A142" s="16" t="s">
        <v>760</v>
      </c>
      <c r="B142" s="17"/>
      <c r="C142" s="17"/>
      <c r="D142" s="16"/>
      <c r="E142" s="16"/>
      <c r="F142" s="16"/>
      <c r="G142" s="16"/>
      <c r="H142" s="16"/>
      <c r="I142" s="16" t="s">
        <v>353</v>
      </c>
    </row>
    <row r="143" spans="1:9" x14ac:dyDescent="0.35">
      <c r="A143" s="16" t="s">
        <v>761</v>
      </c>
      <c r="B143" s="17" t="s">
        <v>741</v>
      </c>
      <c r="C143" s="17" t="s">
        <v>742</v>
      </c>
      <c r="D143" s="16" t="s">
        <v>133</v>
      </c>
      <c r="E143" s="16" t="s">
        <v>705</v>
      </c>
      <c r="F143" s="16">
        <v>0.42709999999999998</v>
      </c>
      <c r="G143" s="16" t="s">
        <v>480</v>
      </c>
      <c r="H143" s="16" t="s">
        <v>743</v>
      </c>
      <c r="I143" s="16" t="s">
        <v>133</v>
      </c>
    </row>
    <row r="144" spans="1:9" x14ac:dyDescent="0.35">
      <c r="A144" s="16" t="s">
        <v>762</v>
      </c>
      <c r="B144" s="17"/>
      <c r="C144" s="17"/>
      <c r="D144" s="16"/>
      <c r="E144" s="16"/>
      <c r="F144" s="16"/>
      <c r="G144" s="16"/>
      <c r="H144" s="16"/>
      <c r="I144" s="16" t="s">
        <v>353</v>
      </c>
    </row>
    <row r="145" spans="1:9" x14ac:dyDescent="0.35">
      <c r="A145" s="16" t="s">
        <v>763</v>
      </c>
      <c r="B145" s="17" t="s">
        <v>741</v>
      </c>
      <c r="C145" s="17" t="s">
        <v>742</v>
      </c>
      <c r="D145" s="16" t="s">
        <v>133</v>
      </c>
      <c r="E145" s="16" t="s">
        <v>705</v>
      </c>
      <c r="F145" s="16">
        <v>0.42709999999999998</v>
      </c>
      <c r="G145" s="16" t="s">
        <v>480</v>
      </c>
      <c r="H145" s="16" t="s">
        <v>743</v>
      </c>
      <c r="I145" s="16" t="s">
        <v>133</v>
      </c>
    </row>
    <row r="146" spans="1:9" x14ac:dyDescent="0.35">
      <c r="A146" s="16" t="s">
        <v>764</v>
      </c>
      <c r="B146" s="17"/>
      <c r="C146" s="17"/>
      <c r="D146" s="16"/>
      <c r="E146" s="16"/>
      <c r="F146" s="16"/>
      <c r="G146" s="16"/>
      <c r="H146" s="16"/>
      <c r="I146" s="16" t="s">
        <v>353</v>
      </c>
    </row>
    <row r="147" spans="1:9" ht="28" x14ac:dyDescent="0.35">
      <c r="A147" s="16" t="s">
        <v>765</v>
      </c>
      <c r="B147" s="17" t="s">
        <v>766</v>
      </c>
      <c r="C147" s="17" t="s">
        <v>767</v>
      </c>
      <c r="D147" s="16" t="s">
        <v>133</v>
      </c>
      <c r="E147" s="16" t="s">
        <v>469</v>
      </c>
      <c r="F147" s="16">
        <v>0.48570000000000002</v>
      </c>
      <c r="G147" s="16" t="s">
        <v>470</v>
      </c>
      <c r="H147" s="16" t="s">
        <v>768</v>
      </c>
      <c r="I147" s="16" t="s">
        <v>133</v>
      </c>
    </row>
    <row r="148" spans="1:9" x14ac:dyDescent="0.35">
      <c r="A148" s="16" t="s">
        <v>769</v>
      </c>
      <c r="B148" s="17"/>
      <c r="C148" s="17"/>
      <c r="D148" s="16"/>
      <c r="E148" s="16"/>
      <c r="F148" s="16"/>
      <c r="G148" s="16"/>
      <c r="H148" s="16"/>
      <c r="I148" s="16" t="s">
        <v>353</v>
      </c>
    </row>
    <row r="149" spans="1:9" x14ac:dyDescent="0.35">
      <c r="A149" s="16" t="s">
        <v>770</v>
      </c>
      <c r="B149" s="17" t="s">
        <v>741</v>
      </c>
      <c r="C149" s="17" t="s">
        <v>742</v>
      </c>
      <c r="D149" s="16" t="s">
        <v>133</v>
      </c>
      <c r="E149" s="16" t="s">
        <v>705</v>
      </c>
      <c r="F149" s="16">
        <v>0.42709999999999998</v>
      </c>
      <c r="G149" s="16" t="s">
        <v>480</v>
      </c>
      <c r="H149" s="16" t="s">
        <v>743</v>
      </c>
      <c r="I149" s="16" t="s">
        <v>133</v>
      </c>
    </row>
    <row r="150" spans="1:9" x14ac:dyDescent="0.35">
      <c r="A150" s="16" t="s">
        <v>771</v>
      </c>
      <c r="B150" s="17"/>
      <c r="C150" s="17"/>
      <c r="D150" s="16"/>
      <c r="E150" s="16"/>
      <c r="F150" s="16"/>
      <c r="G150" s="16"/>
      <c r="H150" s="16"/>
      <c r="I150" s="16" t="s">
        <v>353</v>
      </c>
    </row>
    <row r="151" spans="1:9" ht="28" x14ac:dyDescent="0.35">
      <c r="A151" s="16" t="s">
        <v>118</v>
      </c>
      <c r="B151" s="17" t="s">
        <v>116</v>
      </c>
      <c r="C151" s="17" t="s">
        <v>115</v>
      </c>
      <c r="D151" s="16" t="s">
        <v>110</v>
      </c>
      <c r="E151" s="16" t="s">
        <v>117</v>
      </c>
      <c r="F151" s="16">
        <v>0.6</v>
      </c>
      <c r="G151" s="16"/>
      <c r="H151" s="16"/>
      <c r="I151" s="16" t="s">
        <v>110</v>
      </c>
    </row>
    <row r="152" spans="1:9" x14ac:dyDescent="0.35">
      <c r="A152" s="16" t="s">
        <v>772</v>
      </c>
      <c r="B152" s="17" t="s">
        <v>741</v>
      </c>
      <c r="C152" s="17" t="s">
        <v>742</v>
      </c>
      <c r="D152" s="16" t="s">
        <v>133</v>
      </c>
      <c r="E152" s="16" t="s">
        <v>705</v>
      </c>
      <c r="F152" s="16">
        <v>0.42709999999999998</v>
      </c>
      <c r="G152" s="16" t="s">
        <v>480</v>
      </c>
      <c r="H152" s="16" t="s">
        <v>743</v>
      </c>
      <c r="I152" s="16" t="s">
        <v>133</v>
      </c>
    </row>
    <row r="153" spans="1:9" x14ac:dyDescent="0.35">
      <c r="A153" s="16" t="s">
        <v>773</v>
      </c>
      <c r="B153" s="17"/>
      <c r="C153" s="17"/>
      <c r="D153" s="16"/>
      <c r="E153" s="16"/>
      <c r="F153" s="16"/>
      <c r="G153" s="16"/>
      <c r="H153" s="16"/>
      <c r="I153" s="16" t="s">
        <v>353</v>
      </c>
    </row>
    <row r="154" spans="1:9" x14ac:dyDescent="0.35">
      <c r="A154" s="16" t="s">
        <v>774</v>
      </c>
      <c r="B154" s="17" t="s">
        <v>655</v>
      </c>
      <c r="C154" s="17"/>
      <c r="D154" s="16"/>
      <c r="E154" s="16"/>
      <c r="F154" s="16"/>
      <c r="G154" s="16"/>
      <c r="H154" s="16"/>
      <c r="I154" s="16" t="s">
        <v>320</v>
      </c>
    </row>
    <row r="155" spans="1:9" x14ac:dyDescent="0.35">
      <c r="A155" s="16" t="s">
        <v>775</v>
      </c>
      <c r="B155" s="17" t="s">
        <v>776</v>
      </c>
      <c r="C155" s="17" t="s">
        <v>776</v>
      </c>
      <c r="D155" s="16" t="s">
        <v>133</v>
      </c>
      <c r="E155" s="16" t="s">
        <v>777</v>
      </c>
      <c r="F155" s="16">
        <v>0.46929999999999999</v>
      </c>
      <c r="G155" s="16" t="s">
        <v>778</v>
      </c>
      <c r="H155" s="16" t="s">
        <v>462</v>
      </c>
      <c r="I155" s="16" t="s">
        <v>133</v>
      </c>
    </row>
    <row r="156" spans="1:9" ht="28" x14ac:dyDescent="0.35">
      <c r="A156" s="16" t="s">
        <v>287</v>
      </c>
      <c r="B156" s="17" t="s">
        <v>283</v>
      </c>
      <c r="C156" s="17" t="s">
        <v>282</v>
      </c>
      <c r="D156" s="16" t="s">
        <v>133</v>
      </c>
      <c r="E156" s="16" t="s">
        <v>285</v>
      </c>
      <c r="F156" s="16">
        <v>0.44140000000000001</v>
      </c>
      <c r="G156" s="16" t="s">
        <v>255</v>
      </c>
      <c r="H156" s="16" t="s">
        <v>286</v>
      </c>
      <c r="I156" s="16" t="s">
        <v>133</v>
      </c>
    </row>
    <row r="157" spans="1:9" x14ac:dyDescent="0.35">
      <c r="A157" s="16" t="s">
        <v>779</v>
      </c>
      <c r="B157" s="17" t="s">
        <v>42</v>
      </c>
      <c r="C157" s="17" t="s">
        <v>42</v>
      </c>
      <c r="D157" s="16" t="s">
        <v>22</v>
      </c>
      <c r="E157" s="16" t="s">
        <v>42</v>
      </c>
      <c r="F157" s="16">
        <v>1</v>
      </c>
      <c r="G157" s="16"/>
      <c r="H157" s="16"/>
      <c r="I157" s="16" t="s">
        <v>22</v>
      </c>
    </row>
    <row r="158" spans="1:9" x14ac:dyDescent="0.35">
      <c r="A158" s="16" t="s">
        <v>780</v>
      </c>
      <c r="B158" s="17" t="s">
        <v>781</v>
      </c>
      <c r="C158" s="17" t="s">
        <v>781</v>
      </c>
      <c r="D158" s="16" t="s">
        <v>133</v>
      </c>
      <c r="E158" s="16" t="s">
        <v>209</v>
      </c>
      <c r="F158" s="16">
        <v>0.24979999999999999</v>
      </c>
      <c r="G158" s="16" t="s">
        <v>782</v>
      </c>
      <c r="H158" s="16" t="s">
        <v>235</v>
      </c>
      <c r="I158" s="16" t="s">
        <v>133</v>
      </c>
    </row>
    <row r="159" spans="1:9" x14ac:dyDescent="0.35">
      <c r="A159" s="16" t="s">
        <v>197</v>
      </c>
      <c r="B159" s="17" t="s">
        <v>193</v>
      </c>
      <c r="C159" s="17" t="s">
        <v>193</v>
      </c>
      <c r="D159" s="16" t="s">
        <v>133</v>
      </c>
      <c r="E159" s="16" t="s">
        <v>194</v>
      </c>
      <c r="F159" s="16">
        <v>0.3735</v>
      </c>
      <c r="G159" s="16" t="s">
        <v>195</v>
      </c>
      <c r="H159" s="16" t="s">
        <v>196</v>
      </c>
      <c r="I159" s="16" t="s">
        <v>133</v>
      </c>
    </row>
    <row r="160" spans="1:9" x14ac:dyDescent="0.35">
      <c r="A160" s="16" t="s">
        <v>783</v>
      </c>
      <c r="B160" s="17" t="s">
        <v>784</v>
      </c>
      <c r="C160" s="17" t="s">
        <v>785</v>
      </c>
      <c r="D160" s="16" t="s">
        <v>133</v>
      </c>
      <c r="E160" s="16" t="s">
        <v>240</v>
      </c>
      <c r="F160" s="16">
        <v>0.42399999999999999</v>
      </c>
      <c r="G160" s="16" t="s">
        <v>786</v>
      </c>
      <c r="H160" s="16" t="s">
        <v>787</v>
      </c>
      <c r="I160" s="16" t="s">
        <v>133</v>
      </c>
    </row>
    <row r="161" spans="1:9" x14ac:dyDescent="0.35">
      <c r="A161" s="16" t="s">
        <v>788</v>
      </c>
      <c r="B161" s="17" t="s">
        <v>789</v>
      </c>
      <c r="C161" s="17" t="s">
        <v>767</v>
      </c>
      <c r="D161" s="16" t="s">
        <v>133</v>
      </c>
      <c r="E161" s="16" t="s">
        <v>469</v>
      </c>
      <c r="F161" s="16">
        <v>0.48570000000000002</v>
      </c>
      <c r="G161" s="16" t="s">
        <v>470</v>
      </c>
      <c r="H161" s="16" t="s">
        <v>768</v>
      </c>
      <c r="I161" s="16" t="s">
        <v>133</v>
      </c>
    </row>
    <row r="162" spans="1:9" x14ac:dyDescent="0.35">
      <c r="A162" s="16" t="s">
        <v>37</v>
      </c>
      <c r="B162" s="17" t="s">
        <v>34</v>
      </c>
      <c r="C162" s="17" t="s">
        <v>790</v>
      </c>
      <c r="D162" s="16" t="s">
        <v>22</v>
      </c>
      <c r="E162" s="16" t="s">
        <v>39</v>
      </c>
      <c r="F162" s="16">
        <v>1</v>
      </c>
      <c r="G162" s="16" t="s">
        <v>36</v>
      </c>
      <c r="H162" s="16"/>
      <c r="I162" s="16" t="s">
        <v>22</v>
      </c>
    </row>
    <row r="163" spans="1:9" ht="28" x14ac:dyDescent="0.35">
      <c r="A163" s="16" t="s">
        <v>791</v>
      </c>
      <c r="B163" s="17" t="s">
        <v>792</v>
      </c>
      <c r="C163" s="17" t="s">
        <v>793</v>
      </c>
      <c r="D163" s="16" t="s">
        <v>133</v>
      </c>
      <c r="E163" s="16" t="s">
        <v>794</v>
      </c>
      <c r="F163" s="16">
        <v>0.44490000000000002</v>
      </c>
      <c r="G163" s="16" t="s">
        <v>795</v>
      </c>
      <c r="H163" s="16" t="s">
        <v>796</v>
      </c>
      <c r="I163" s="16" t="s">
        <v>133</v>
      </c>
    </row>
    <row r="164" spans="1:9" x14ac:dyDescent="0.35">
      <c r="A164" s="16" t="s">
        <v>797</v>
      </c>
      <c r="B164" s="17" t="s">
        <v>445</v>
      </c>
      <c r="C164" s="17" t="s">
        <v>446</v>
      </c>
      <c r="D164" s="16" t="s">
        <v>133</v>
      </c>
      <c r="E164" s="16" t="s">
        <v>447</v>
      </c>
      <c r="F164" s="16">
        <v>0.29959999999999998</v>
      </c>
      <c r="G164" s="16" t="s">
        <v>448</v>
      </c>
      <c r="H164" s="16"/>
      <c r="I164" s="16" t="s">
        <v>133</v>
      </c>
    </row>
    <row r="165" spans="1:9" ht="56" x14ac:dyDescent="0.35">
      <c r="A165" s="16" t="s">
        <v>798</v>
      </c>
      <c r="B165" s="17" t="s">
        <v>799</v>
      </c>
      <c r="C165" s="17" t="s">
        <v>800</v>
      </c>
      <c r="D165" s="16" t="s">
        <v>5</v>
      </c>
      <c r="E165" s="16" t="s">
        <v>42</v>
      </c>
      <c r="F165" s="16">
        <v>0.8</v>
      </c>
      <c r="G165" s="16"/>
      <c r="H165" s="16"/>
      <c r="I165" s="16" t="s">
        <v>5</v>
      </c>
    </row>
    <row r="166" spans="1:9" x14ac:dyDescent="0.35">
      <c r="A166" s="16" t="s">
        <v>801</v>
      </c>
      <c r="B166" s="17" t="s">
        <v>802</v>
      </c>
      <c r="C166" s="17" t="s">
        <v>802</v>
      </c>
      <c r="D166" s="16" t="s">
        <v>133</v>
      </c>
      <c r="E166" s="16" t="s">
        <v>194</v>
      </c>
      <c r="F166" s="16">
        <v>0.2286</v>
      </c>
      <c r="G166" s="16" t="s">
        <v>782</v>
      </c>
      <c r="H166" s="16"/>
      <c r="I166" s="16" t="s">
        <v>133</v>
      </c>
    </row>
    <row r="167" spans="1:9" ht="28" x14ac:dyDescent="0.35">
      <c r="A167" s="16" t="s">
        <v>803</v>
      </c>
      <c r="B167" s="17" t="s">
        <v>804</v>
      </c>
      <c r="C167" s="17" t="s">
        <v>793</v>
      </c>
      <c r="D167" s="16" t="s">
        <v>133</v>
      </c>
      <c r="E167" s="16" t="s">
        <v>794</v>
      </c>
      <c r="F167" s="16">
        <v>0.44490000000000002</v>
      </c>
      <c r="G167" s="16" t="s">
        <v>795</v>
      </c>
      <c r="H167" s="16" t="s">
        <v>796</v>
      </c>
      <c r="I167" s="16" t="s">
        <v>133</v>
      </c>
    </row>
    <row r="168" spans="1:9" ht="28" x14ac:dyDescent="0.35">
      <c r="A168" s="16" t="s">
        <v>94</v>
      </c>
      <c r="B168" s="17" t="s">
        <v>93</v>
      </c>
      <c r="C168" s="17" t="s">
        <v>93</v>
      </c>
      <c r="D168" s="16" t="s">
        <v>5</v>
      </c>
      <c r="E168" s="16" t="s">
        <v>42</v>
      </c>
      <c r="F168" s="16">
        <v>0.8</v>
      </c>
      <c r="G168" s="16"/>
      <c r="H168" s="16"/>
      <c r="I168" s="16" t="s">
        <v>5</v>
      </c>
    </row>
    <row r="169" spans="1:9" x14ac:dyDescent="0.35">
      <c r="A169" s="16" t="s">
        <v>805</v>
      </c>
      <c r="B169" s="17" t="s">
        <v>426</v>
      </c>
      <c r="C169" s="17" t="s">
        <v>426</v>
      </c>
      <c r="D169" s="16" t="s">
        <v>133</v>
      </c>
      <c r="E169" s="16" t="s">
        <v>427</v>
      </c>
      <c r="F169" s="16">
        <v>0.3891</v>
      </c>
      <c r="G169" s="16"/>
      <c r="H169" s="16"/>
      <c r="I169" s="16" t="s">
        <v>133</v>
      </c>
    </row>
    <row r="170" spans="1:9" ht="84" x14ac:dyDescent="0.35">
      <c r="A170" s="16" t="s">
        <v>806</v>
      </c>
      <c r="B170" s="17" t="s">
        <v>807</v>
      </c>
      <c r="C170" s="17" t="s">
        <v>808</v>
      </c>
      <c r="D170" s="16" t="s">
        <v>133</v>
      </c>
      <c r="E170" s="16" t="s">
        <v>705</v>
      </c>
      <c r="F170" s="16">
        <v>0.41249999999999998</v>
      </c>
      <c r="G170" s="16" t="s">
        <v>743</v>
      </c>
      <c r="H170" s="16" t="s">
        <v>136</v>
      </c>
      <c r="I170" s="16" t="s">
        <v>133</v>
      </c>
    </row>
    <row r="171" spans="1:9" ht="84" x14ac:dyDescent="0.35">
      <c r="A171" s="16" t="s">
        <v>809</v>
      </c>
      <c r="B171" s="17" t="s">
        <v>807</v>
      </c>
      <c r="C171" s="17" t="s">
        <v>808</v>
      </c>
      <c r="D171" s="16" t="s">
        <v>133</v>
      </c>
      <c r="E171" s="16" t="s">
        <v>705</v>
      </c>
      <c r="F171" s="16">
        <v>0.41249999999999998</v>
      </c>
      <c r="G171" s="16" t="s">
        <v>743</v>
      </c>
      <c r="H171" s="16" t="s">
        <v>136</v>
      </c>
      <c r="I171" s="16" t="s">
        <v>133</v>
      </c>
    </row>
    <row r="172" spans="1:9" x14ac:dyDescent="0.35">
      <c r="A172" s="16" t="s">
        <v>256</v>
      </c>
      <c r="B172" s="17" t="s">
        <v>251</v>
      </c>
      <c r="C172" s="17" t="s">
        <v>251</v>
      </c>
      <c r="D172" s="16" t="s">
        <v>133</v>
      </c>
      <c r="E172" s="16" t="s">
        <v>253</v>
      </c>
      <c r="F172" s="16">
        <v>0.48830000000000001</v>
      </c>
      <c r="G172" s="16" t="s">
        <v>254</v>
      </c>
      <c r="H172" s="16" t="s">
        <v>255</v>
      </c>
      <c r="I172" s="16" t="s">
        <v>133</v>
      </c>
    </row>
    <row r="173" spans="1:9" ht="84" x14ac:dyDescent="0.35">
      <c r="A173" s="16" t="s">
        <v>810</v>
      </c>
      <c r="B173" s="17" t="s">
        <v>811</v>
      </c>
      <c r="C173" s="17" t="s">
        <v>812</v>
      </c>
      <c r="D173" s="16"/>
      <c r="E173" s="16"/>
      <c r="F173" s="16"/>
      <c r="G173" s="16"/>
      <c r="H173" s="16"/>
      <c r="I173" s="16" t="s">
        <v>320</v>
      </c>
    </row>
    <row r="174" spans="1:9" x14ac:dyDescent="0.35">
      <c r="A174" s="16" t="s">
        <v>813</v>
      </c>
      <c r="B174" s="17" t="s">
        <v>814</v>
      </c>
      <c r="C174" s="17" t="s">
        <v>193</v>
      </c>
      <c r="D174" s="16" t="s">
        <v>133</v>
      </c>
      <c r="E174" s="16" t="s">
        <v>194</v>
      </c>
      <c r="F174" s="16">
        <v>0.3735</v>
      </c>
      <c r="G174" s="16" t="s">
        <v>195</v>
      </c>
      <c r="H174" s="16" t="s">
        <v>196</v>
      </c>
      <c r="I174" s="16" t="s">
        <v>133</v>
      </c>
    </row>
    <row r="175" spans="1:9" x14ac:dyDescent="0.35">
      <c r="A175" s="16" t="s">
        <v>815</v>
      </c>
      <c r="B175" s="17" t="s">
        <v>816</v>
      </c>
      <c r="C175" s="17" t="s">
        <v>817</v>
      </c>
      <c r="D175" s="16" t="s">
        <v>133</v>
      </c>
      <c r="E175" s="16" t="s">
        <v>818</v>
      </c>
      <c r="F175" s="16">
        <v>0.41720000000000002</v>
      </c>
      <c r="G175" s="16" t="s">
        <v>768</v>
      </c>
      <c r="H175" s="16" t="s">
        <v>819</v>
      </c>
      <c r="I175" s="16" t="s">
        <v>133</v>
      </c>
    </row>
    <row r="176" spans="1:9" x14ac:dyDescent="0.35">
      <c r="A176" s="16" t="s">
        <v>820</v>
      </c>
      <c r="B176" s="17" t="s">
        <v>821</v>
      </c>
      <c r="C176" s="17" t="s">
        <v>211</v>
      </c>
      <c r="D176" s="16" t="s">
        <v>22</v>
      </c>
      <c r="E176" s="16" t="s">
        <v>211</v>
      </c>
      <c r="F176" s="16">
        <v>0.8</v>
      </c>
      <c r="G176" s="16" t="s">
        <v>822</v>
      </c>
      <c r="H176" s="16"/>
      <c r="I176" s="16" t="s">
        <v>22</v>
      </c>
    </row>
    <row r="177" spans="1:9" ht="378" x14ac:dyDescent="0.35">
      <c r="A177" s="16" t="s">
        <v>79</v>
      </c>
      <c r="B177" s="17" t="s">
        <v>77</v>
      </c>
      <c r="C177" s="17" t="s">
        <v>823</v>
      </c>
      <c r="D177" s="16" t="s">
        <v>5</v>
      </c>
      <c r="E177" s="16" t="s">
        <v>78</v>
      </c>
      <c r="F177" s="16">
        <v>0.8</v>
      </c>
      <c r="G177" s="16" t="s">
        <v>42</v>
      </c>
      <c r="H177" s="16" t="s">
        <v>824</v>
      </c>
      <c r="I177" s="16" t="s">
        <v>5</v>
      </c>
    </row>
    <row r="178" spans="1:9" x14ac:dyDescent="0.35">
      <c r="A178" s="16" t="s">
        <v>174</v>
      </c>
      <c r="B178" s="17" t="s">
        <v>171</v>
      </c>
      <c r="C178" s="17" t="s">
        <v>170</v>
      </c>
      <c r="D178" s="16" t="s">
        <v>133</v>
      </c>
      <c r="E178" s="16" t="s">
        <v>172</v>
      </c>
      <c r="F178" s="16">
        <v>0.23549999999999999</v>
      </c>
      <c r="G178" s="16" t="s">
        <v>173</v>
      </c>
      <c r="H178" s="16"/>
      <c r="I178" s="16" t="s">
        <v>133</v>
      </c>
    </row>
    <row r="179" spans="1:9" x14ac:dyDescent="0.35">
      <c r="A179" s="16" t="s">
        <v>825</v>
      </c>
      <c r="B179" s="17" t="s">
        <v>826</v>
      </c>
      <c r="C179" s="17" t="s">
        <v>827</v>
      </c>
      <c r="D179" s="16" t="s">
        <v>133</v>
      </c>
      <c r="E179" s="16" t="s">
        <v>828</v>
      </c>
      <c r="F179" s="16">
        <v>0.29930000000000001</v>
      </c>
      <c r="G179" s="16"/>
      <c r="H179" s="16"/>
      <c r="I179" s="16" t="s">
        <v>133</v>
      </c>
    </row>
    <row r="180" spans="1:9" x14ac:dyDescent="0.35">
      <c r="A180" s="16" t="s">
        <v>829</v>
      </c>
      <c r="B180" s="17" t="s">
        <v>726</v>
      </c>
      <c r="C180" s="17" t="s">
        <v>726</v>
      </c>
      <c r="D180" s="16" t="s">
        <v>133</v>
      </c>
      <c r="E180" s="16" t="s">
        <v>727</v>
      </c>
      <c r="F180" s="16">
        <v>0.20469999999999999</v>
      </c>
      <c r="G180" s="16"/>
      <c r="H180" s="16"/>
      <c r="I180" s="16" t="s">
        <v>133</v>
      </c>
    </row>
    <row r="181" spans="1:9" x14ac:dyDescent="0.35">
      <c r="A181" s="16" t="s">
        <v>830</v>
      </c>
      <c r="B181" s="17" t="s">
        <v>831</v>
      </c>
      <c r="C181" s="17" t="s">
        <v>832</v>
      </c>
      <c r="D181" s="16" t="s">
        <v>133</v>
      </c>
      <c r="E181" s="16" t="s">
        <v>255</v>
      </c>
      <c r="F181" s="16">
        <v>0.3231</v>
      </c>
      <c r="G181" s="16" t="s">
        <v>642</v>
      </c>
      <c r="H181" s="16" t="s">
        <v>833</v>
      </c>
      <c r="I181" s="16" t="s">
        <v>133</v>
      </c>
    </row>
    <row r="182" spans="1:9" x14ac:dyDescent="0.35">
      <c r="A182" s="16" t="s">
        <v>834</v>
      </c>
      <c r="B182" s="17" t="s">
        <v>831</v>
      </c>
      <c r="C182" s="17" t="s">
        <v>832</v>
      </c>
      <c r="D182" s="16" t="s">
        <v>133</v>
      </c>
      <c r="E182" s="16" t="s">
        <v>255</v>
      </c>
      <c r="F182" s="16">
        <v>0.3231</v>
      </c>
      <c r="G182" s="16" t="s">
        <v>642</v>
      </c>
      <c r="H182" s="16" t="s">
        <v>833</v>
      </c>
      <c r="I182" s="16" t="s">
        <v>133</v>
      </c>
    </row>
    <row r="183" spans="1:9" x14ac:dyDescent="0.35">
      <c r="A183" s="16" t="s">
        <v>835</v>
      </c>
      <c r="B183" s="17" t="s">
        <v>836</v>
      </c>
      <c r="C183" s="17" t="s">
        <v>837</v>
      </c>
      <c r="D183" s="16" t="s">
        <v>133</v>
      </c>
      <c r="E183" s="16" t="s">
        <v>255</v>
      </c>
      <c r="F183" s="16">
        <v>0.20580000000000001</v>
      </c>
      <c r="G183" s="16"/>
      <c r="H183" s="16"/>
      <c r="I183" s="16" t="s">
        <v>133</v>
      </c>
    </row>
    <row r="184" spans="1:9" x14ac:dyDescent="0.35">
      <c r="A184" s="16" t="s">
        <v>838</v>
      </c>
      <c r="B184" s="17" t="s">
        <v>839</v>
      </c>
      <c r="C184" s="17" t="s">
        <v>840</v>
      </c>
      <c r="D184" s="16"/>
      <c r="E184" s="16"/>
      <c r="F184" s="16"/>
      <c r="G184" s="16"/>
      <c r="H184" s="16"/>
      <c r="I184" s="16" t="s">
        <v>320</v>
      </c>
    </row>
    <row r="185" spans="1:9" ht="84" x14ac:dyDescent="0.35">
      <c r="A185" s="16" t="s">
        <v>841</v>
      </c>
      <c r="B185" s="17" t="s">
        <v>842</v>
      </c>
      <c r="C185" s="17" t="s">
        <v>843</v>
      </c>
      <c r="D185" s="16"/>
      <c r="E185" s="16"/>
      <c r="F185" s="16"/>
      <c r="G185" s="16"/>
      <c r="H185" s="16"/>
      <c r="I185" s="16" t="s">
        <v>320</v>
      </c>
    </row>
    <row r="186" spans="1:9" x14ac:dyDescent="0.35">
      <c r="A186" s="16" t="s">
        <v>844</v>
      </c>
      <c r="B186" s="17" t="s">
        <v>845</v>
      </c>
      <c r="C186" s="17" t="s">
        <v>846</v>
      </c>
      <c r="D186" s="16" t="s">
        <v>133</v>
      </c>
      <c r="E186" s="16" t="s">
        <v>847</v>
      </c>
      <c r="F186" s="16">
        <v>0.37769999999999998</v>
      </c>
      <c r="G186" s="16" t="s">
        <v>848</v>
      </c>
      <c r="H186" s="16" t="s">
        <v>849</v>
      </c>
      <c r="I186" s="16" t="s">
        <v>133</v>
      </c>
    </row>
    <row r="187" spans="1:9" ht="28" x14ac:dyDescent="0.35">
      <c r="A187" s="16" t="s">
        <v>74</v>
      </c>
      <c r="B187" s="17" t="s">
        <v>71</v>
      </c>
      <c r="C187" s="17" t="s">
        <v>70</v>
      </c>
      <c r="D187" s="16" t="s">
        <v>5</v>
      </c>
      <c r="E187" s="16" t="s">
        <v>73</v>
      </c>
      <c r="F187" s="16">
        <v>0.8</v>
      </c>
      <c r="G187" s="16"/>
      <c r="H187" s="16"/>
      <c r="I187" s="16" t="s">
        <v>5</v>
      </c>
    </row>
    <row r="188" spans="1:9" x14ac:dyDescent="0.35">
      <c r="A188" s="16" t="s">
        <v>850</v>
      </c>
      <c r="B188" s="17" t="s">
        <v>851</v>
      </c>
      <c r="C188" s="17" t="s">
        <v>852</v>
      </c>
      <c r="D188" s="16" t="s">
        <v>133</v>
      </c>
      <c r="E188" s="16" t="s">
        <v>853</v>
      </c>
      <c r="F188" s="16">
        <v>0.46300000000000002</v>
      </c>
      <c r="G188" s="16" t="s">
        <v>847</v>
      </c>
      <c r="H188" s="16" t="s">
        <v>854</v>
      </c>
      <c r="I188" s="16" t="s">
        <v>133</v>
      </c>
    </row>
    <row r="189" spans="1:9" x14ac:dyDescent="0.35">
      <c r="A189" s="16" t="s">
        <v>855</v>
      </c>
      <c r="B189" s="17" t="s">
        <v>856</v>
      </c>
      <c r="C189" s="17" t="s">
        <v>857</v>
      </c>
      <c r="D189" s="16" t="s">
        <v>133</v>
      </c>
      <c r="E189" s="16" t="s">
        <v>853</v>
      </c>
      <c r="F189" s="16">
        <v>0.31680000000000003</v>
      </c>
      <c r="G189" s="16" t="s">
        <v>847</v>
      </c>
      <c r="H189" s="16" t="s">
        <v>848</v>
      </c>
      <c r="I189" s="16" t="s">
        <v>133</v>
      </c>
    </row>
    <row r="190" spans="1:9" x14ac:dyDescent="0.35">
      <c r="A190" s="16" t="s">
        <v>858</v>
      </c>
      <c r="B190" s="17" t="s">
        <v>726</v>
      </c>
      <c r="C190" s="17" t="s">
        <v>726</v>
      </c>
      <c r="D190" s="16" t="s">
        <v>133</v>
      </c>
      <c r="E190" s="16" t="s">
        <v>727</v>
      </c>
      <c r="F190" s="16">
        <v>0.20469999999999999</v>
      </c>
      <c r="G190" s="16"/>
      <c r="H190" s="16"/>
      <c r="I190" s="16" t="s">
        <v>133</v>
      </c>
    </row>
    <row r="191" spans="1:9" x14ac:dyDescent="0.35">
      <c r="A191" s="16" t="s">
        <v>859</v>
      </c>
      <c r="B191" s="17" t="s">
        <v>839</v>
      </c>
      <c r="C191" s="17" t="s">
        <v>840</v>
      </c>
      <c r="D191" s="16"/>
      <c r="E191" s="16"/>
      <c r="F191" s="16"/>
      <c r="G191" s="16"/>
      <c r="H191" s="16"/>
      <c r="I191" s="16" t="s">
        <v>320</v>
      </c>
    </row>
    <row r="192" spans="1:9" x14ac:dyDescent="0.35">
      <c r="A192" s="16" t="s">
        <v>860</v>
      </c>
      <c r="B192" s="17" t="s">
        <v>861</v>
      </c>
      <c r="C192" s="17" t="s">
        <v>862</v>
      </c>
      <c r="D192" s="16" t="s">
        <v>133</v>
      </c>
      <c r="E192" s="16" t="s">
        <v>863</v>
      </c>
      <c r="F192" s="16">
        <v>0.22639999999999999</v>
      </c>
      <c r="G192" s="16"/>
      <c r="H192" s="16"/>
      <c r="I192" s="16" t="s">
        <v>133</v>
      </c>
    </row>
    <row r="193" spans="1:9" x14ac:dyDescent="0.35">
      <c r="A193" s="16" t="s">
        <v>864</v>
      </c>
      <c r="B193" s="17" t="s">
        <v>865</v>
      </c>
      <c r="C193" s="17" t="s">
        <v>866</v>
      </c>
      <c r="D193" s="16" t="s">
        <v>133</v>
      </c>
      <c r="E193" s="16" t="s">
        <v>867</v>
      </c>
      <c r="F193" s="16">
        <v>0.28860000000000002</v>
      </c>
      <c r="G193" s="16" t="s">
        <v>868</v>
      </c>
      <c r="H193" s="16" t="s">
        <v>869</v>
      </c>
      <c r="I193" s="16" t="s">
        <v>133</v>
      </c>
    </row>
    <row r="194" spans="1:9" x14ac:dyDescent="0.35">
      <c r="A194" s="16" t="s">
        <v>870</v>
      </c>
      <c r="B194" s="17" t="s">
        <v>871</v>
      </c>
      <c r="C194" s="17" t="s">
        <v>872</v>
      </c>
      <c r="D194" s="16"/>
      <c r="E194" s="16"/>
      <c r="F194" s="16"/>
      <c r="G194" s="16"/>
      <c r="H194" s="16"/>
      <c r="I194" s="16" t="s">
        <v>320</v>
      </c>
    </row>
    <row r="195" spans="1:9" x14ac:dyDescent="0.35">
      <c r="A195" s="16" t="s">
        <v>873</v>
      </c>
      <c r="B195" s="17" t="s">
        <v>874</v>
      </c>
      <c r="C195" s="17" t="s">
        <v>211</v>
      </c>
      <c r="D195" s="16" t="s">
        <v>22</v>
      </c>
      <c r="E195" s="16" t="s">
        <v>211</v>
      </c>
      <c r="F195" s="16">
        <v>0.8</v>
      </c>
      <c r="G195" s="16" t="s">
        <v>822</v>
      </c>
      <c r="H195" s="16"/>
      <c r="I195" s="16" t="s">
        <v>22</v>
      </c>
    </row>
    <row r="196" spans="1:9" ht="28" x14ac:dyDescent="0.35">
      <c r="A196" s="16" t="s">
        <v>875</v>
      </c>
      <c r="B196" s="17" t="s">
        <v>876</v>
      </c>
      <c r="C196" s="17" t="s">
        <v>877</v>
      </c>
      <c r="D196" s="16"/>
      <c r="E196" s="16"/>
      <c r="F196" s="16"/>
      <c r="G196" s="16"/>
      <c r="H196" s="16"/>
      <c r="I196" s="16" t="s">
        <v>320</v>
      </c>
    </row>
    <row r="197" spans="1:9" ht="42" x14ac:dyDescent="0.35">
      <c r="A197" s="16" t="s">
        <v>878</v>
      </c>
      <c r="B197" s="17" t="s">
        <v>879</v>
      </c>
      <c r="C197" s="17" t="s">
        <v>879</v>
      </c>
      <c r="D197" s="16"/>
      <c r="E197" s="16"/>
      <c r="F197" s="16"/>
      <c r="G197" s="16"/>
      <c r="H197" s="16"/>
      <c r="I197" s="16" t="s">
        <v>320</v>
      </c>
    </row>
    <row r="198" spans="1:9" ht="28" x14ac:dyDescent="0.35">
      <c r="A198" s="16" t="s">
        <v>880</v>
      </c>
      <c r="B198" s="17" t="s">
        <v>881</v>
      </c>
      <c r="C198" s="17" t="s">
        <v>882</v>
      </c>
      <c r="D198" s="16"/>
      <c r="E198" s="16"/>
      <c r="F198" s="16"/>
      <c r="G198" s="16"/>
      <c r="H198" s="16"/>
      <c r="I198" s="16" t="s">
        <v>320</v>
      </c>
    </row>
    <row r="199" spans="1:9" ht="28" x14ac:dyDescent="0.35">
      <c r="A199" s="16" t="s">
        <v>883</v>
      </c>
      <c r="B199" s="17" t="s">
        <v>884</v>
      </c>
      <c r="C199" s="17" t="s">
        <v>885</v>
      </c>
      <c r="D199" s="16"/>
      <c r="E199" s="16"/>
      <c r="F199" s="16"/>
      <c r="G199" s="16"/>
      <c r="H199" s="16"/>
      <c r="I199" s="16" t="s">
        <v>320</v>
      </c>
    </row>
    <row r="200" spans="1:9" x14ac:dyDescent="0.35">
      <c r="A200" s="16" t="s">
        <v>886</v>
      </c>
      <c r="B200" s="17" t="s">
        <v>887</v>
      </c>
      <c r="C200" s="17" t="s">
        <v>888</v>
      </c>
      <c r="D200" s="16" t="s">
        <v>133</v>
      </c>
      <c r="E200" s="16" t="s">
        <v>889</v>
      </c>
      <c r="F200" s="16">
        <v>0.26860000000000001</v>
      </c>
      <c r="G200" s="16" t="s">
        <v>890</v>
      </c>
      <c r="H200" s="16" t="s">
        <v>891</v>
      </c>
      <c r="I200" s="16" t="s">
        <v>133</v>
      </c>
    </row>
    <row r="201" spans="1:9" ht="28" x14ac:dyDescent="0.35">
      <c r="A201" s="16" t="s">
        <v>892</v>
      </c>
      <c r="B201" s="17" t="s">
        <v>893</v>
      </c>
      <c r="C201" s="17" t="s">
        <v>894</v>
      </c>
      <c r="D201" s="16" t="s">
        <v>5</v>
      </c>
      <c r="E201" s="16" t="s">
        <v>895</v>
      </c>
      <c r="F201" s="16">
        <v>0.8</v>
      </c>
      <c r="G201" s="16"/>
      <c r="H201" s="16"/>
      <c r="I201" s="16" t="s">
        <v>5</v>
      </c>
    </row>
    <row r="202" spans="1:9" x14ac:dyDescent="0.35">
      <c r="A202" s="16" t="s">
        <v>896</v>
      </c>
      <c r="B202" s="17" t="s">
        <v>897</v>
      </c>
      <c r="C202" s="17" t="s">
        <v>776</v>
      </c>
      <c r="D202" s="16" t="s">
        <v>133</v>
      </c>
      <c r="E202" s="16" t="s">
        <v>777</v>
      </c>
      <c r="F202" s="16">
        <v>0.46929999999999999</v>
      </c>
      <c r="G202" s="16" t="s">
        <v>778</v>
      </c>
      <c r="H202" s="16" t="s">
        <v>462</v>
      </c>
      <c r="I202" s="16" t="s">
        <v>133</v>
      </c>
    </row>
    <row r="203" spans="1:9" ht="28" x14ac:dyDescent="0.35">
      <c r="A203" s="16" t="s">
        <v>898</v>
      </c>
      <c r="B203" s="17" t="s">
        <v>899</v>
      </c>
      <c r="C203" s="17" t="s">
        <v>900</v>
      </c>
      <c r="D203" s="16" t="s">
        <v>133</v>
      </c>
      <c r="E203" s="16" t="s">
        <v>901</v>
      </c>
      <c r="F203" s="16">
        <v>0.33339999999999997</v>
      </c>
      <c r="G203" s="16" t="s">
        <v>902</v>
      </c>
      <c r="H203" s="16" t="s">
        <v>903</v>
      </c>
      <c r="I203" s="16" t="s">
        <v>133</v>
      </c>
    </row>
    <row r="204" spans="1:9" ht="28" x14ac:dyDescent="0.35">
      <c r="A204" s="16" t="s">
        <v>904</v>
      </c>
      <c r="B204" s="17" t="s">
        <v>905</v>
      </c>
      <c r="C204" s="17" t="s">
        <v>906</v>
      </c>
      <c r="D204" s="16" t="s">
        <v>133</v>
      </c>
      <c r="E204" s="16" t="s">
        <v>902</v>
      </c>
      <c r="F204" s="16">
        <v>0.45660000000000001</v>
      </c>
      <c r="G204" s="16" t="s">
        <v>907</v>
      </c>
      <c r="H204" s="16" t="s">
        <v>908</v>
      </c>
      <c r="I204" s="16" t="s">
        <v>133</v>
      </c>
    </row>
    <row r="205" spans="1:9" x14ac:dyDescent="0.35">
      <c r="A205" s="16" t="s">
        <v>909</v>
      </c>
      <c r="B205" s="17" t="s">
        <v>910</v>
      </c>
      <c r="C205" s="17"/>
      <c r="D205" s="16"/>
      <c r="E205" s="16"/>
      <c r="F205" s="16"/>
      <c r="G205" s="16"/>
      <c r="H205" s="16"/>
      <c r="I205" s="16" t="s">
        <v>320</v>
      </c>
    </row>
    <row r="206" spans="1:9" x14ac:dyDescent="0.35">
      <c r="A206" s="16" t="s">
        <v>911</v>
      </c>
      <c r="B206" s="17" t="s">
        <v>831</v>
      </c>
      <c r="C206" s="17" t="s">
        <v>832</v>
      </c>
      <c r="D206" s="16" t="s">
        <v>133</v>
      </c>
      <c r="E206" s="16" t="s">
        <v>255</v>
      </c>
      <c r="F206" s="16">
        <v>0.3231</v>
      </c>
      <c r="G206" s="16" t="s">
        <v>642</v>
      </c>
      <c r="H206" s="16" t="s">
        <v>833</v>
      </c>
      <c r="I206" s="16" t="s">
        <v>133</v>
      </c>
    </row>
    <row r="207" spans="1:9" x14ac:dyDescent="0.35">
      <c r="A207" s="16" t="s">
        <v>912</v>
      </c>
      <c r="B207" s="17" t="s">
        <v>831</v>
      </c>
      <c r="C207" s="17" t="s">
        <v>832</v>
      </c>
      <c r="D207" s="16" t="s">
        <v>133</v>
      </c>
      <c r="E207" s="16" t="s">
        <v>255</v>
      </c>
      <c r="F207" s="16">
        <v>0.3231</v>
      </c>
      <c r="G207" s="16" t="s">
        <v>642</v>
      </c>
      <c r="H207" s="16" t="s">
        <v>833</v>
      </c>
      <c r="I207" s="16" t="s">
        <v>133</v>
      </c>
    </row>
    <row r="208" spans="1:9" x14ac:dyDescent="0.35">
      <c r="A208" s="16" t="s">
        <v>913</v>
      </c>
      <c r="B208" s="17" t="s">
        <v>836</v>
      </c>
      <c r="C208" s="17" t="s">
        <v>837</v>
      </c>
      <c r="D208" s="16" t="s">
        <v>133</v>
      </c>
      <c r="E208" s="16" t="s">
        <v>255</v>
      </c>
      <c r="F208" s="16">
        <v>0.20580000000000001</v>
      </c>
      <c r="G208" s="16"/>
      <c r="H208" s="16"/>
      <c r="I208" s="16" t="s">
        <v>133</v>
      </c>
    </row>
    <row r="209" spans="1:9" x14ac:dyDescent="0.35">
      <c r="A209" s="16" t="s">
        <v>914</v>
      </c>
      <c r="B209" s="17" t="s">
        <v>915</v>
      </c>
      <c r="C209" s="17" t="s">
        <v>916</v>
      </c>
      <c r="D209" s="16"/>
      <c r="E209" s="16"/>
      <c r="F209" s="16"/>
      <c r="G209" s="16"/>
      <c r="H209" s="16"/>
      <c r="I209" s="16" t="s">
        <v>320</v>
      </c>
    </row>
    <row r="210" spans="1:9" ht="84" x14ac:dyDescent="0.35">
      <c r="A210" s="16" t="s">
        <v>917</v>
      </c>
      <c r="B210" s="17" t="s">
        <v>842</v>
      </c>
      <c r="C210" s="17" t="s">
        <v>843</v>
      </c>
      <c r="D210" s="16"/>
      <c r="E210" s="16"/>
      <c r="F210" s="16"/>
      <c r="G210" s="16"/>
      <c r="H210" s="16"/>
      <c r="I210" s="16" t="s">
        <v>320</v>
      </c>
    </row>
    <row r="211" spans="1:9" x14ac:dyDescent="0.35">
      <c r="A211" s="16" t="s">
        <v>918</v>
      </c>
      <c r="B211" s="17" t="s">
        <v>845</v>
      </c>
      <c r="C211" s="17" t="s">
        <v>846</v>
      </c>
      <c r="D211" s="16" t="s">
        <v>133</v>
      </c>
      <c r="E211" s="16" t="s">
        <v>847</v>
      </c>
      <c r="F211" s="16">
        <v>0.37769999999999998</v>
      </c>
      <c r="G211" s="16" t="s">
        <v>848</v>
      </c>
      <c r="H211" s="16" t="s">
        <v>849</v>
      </c>
      <c r="I211" s="16" t="s">
        <v>133</v>
      </c>
    </row>
    <row r="212" spans="1:9" ht="28" x14ac:dyDescent="0.35">
      <c r="A212" s="16" t="s">
        <v>919</v>
      </c>
      <c r="B212" s="17" t="s">
        <v>71</v>
      </c>
      <c r="C212" s="17" t="s">
        <v>70</v>
      </c>
      <c r="D212" s="16" t="s">
        <v>5</v>
      </c>
      <c r="E212" s="16" t="s">
        <v>73</v>
      </c>
      <c r="F212" s="16">
        <v>0.8</v>
      </c>
      <c r="G212" s="16"/>
      <c r="H212" s="16"/>
      <c r="I212" s="16" t="s">
        <v>5</v>
      </c>
    </row>
    <row r="213" spans="1:9" x14ac:dyDescent="0.35">
      <c r="A213" s="16" t="s">
        <v>920</v>
      </c>
      <c r="B213" s="17" t="s">
        <v>851</v>
      </c>
      <c r="C213" s="17" t="s">
        <v>852</v>
      </c>
      <c r="D213" s="16" t="s">
        <v>133</v>
      </c>
      <c r="E213" s="16" t="s">
        <v>853</v>
      </c>
      <c r="F213" s="16">
        <v>0.46300000000000002</v>
      </c>
      <c r="G213" s="16" t="s">
        <v>847</v>
      </c>
      <c r="H213" s="16" t="s">
        <v>854</v>
      </c>
      <c r="I213" s="16" t="s">
        <v>133</v>
      </c>
    </row>
    <row r="214" spans="1:9" x14ac:dyDescent="0.35">
      <c r="A214" s="16" t="s">
        <v>921</v>
      </c>
      <c r="B214" s="17" t="s">
        <v>856</v>
      </c>
      <c r="C214" s="17" t="s">
        <v>857</v>
      </c>
      <c r="D214" s="16" t="s">
        <v>133</v>
      </c>
      <c r="E214" s="16" t="s">
        <v>853</v>
      </c>
      <c r="F214" s="16">
        <v>0.31680000000000003</v>
      </c>
      <c r="G214" s="16" t="s">
        <v>847</v>
      </c>
      <c r="H214" s="16" t="s">
        <v>848</v>
      </c>
      <c r="I214" s="16" t="s">
        <v>133</v>
      </c>
    </row>
    <row r="215" spans="1:9" x14ac:dyDescent="0.35">
      <c r="A215" s="16" t="s">
        <v>922</v>
      </c>
      <c r="B215" s="17" t="s">
        <v>726</v>
      </c>
      <c r="C215" s="17" t="s">
        <v>726</v>
      </c>
      <c r="D215" s="16" t="s">
        <v>133</v>
      </c>
      <c r="E215" s="16" t="s">
        <v>727</v>
      </c>
      <c r="F215" s="16">
        <v>0.20469999999999999</v>
      </c>
      <c r="G215" s="16"/>
      <c r="H215" s="16"/>
      <c r="I215" s="16" t="s">
        <v>133</v>
      </c>
    </row>
    <row r="216" spans="1:9" x14ac:dyDescent="0.35">
      <c r="A216" s="16" t="s">
        <v>923</v>
      </c>
      <c r="B216" s="17" t="s">
        <v>915</v>
      </c>
      <c r="C216" s="17" t="s">
        <v>916</v>
      </c>
      <c r="D216" s="16"/>
      <c r="E216" s="16"/>
      <c r="F216" s="16"/>
      <c r="G216" s="16"/>
      <c r="H216" s="16"/>
      <c r="I216" s="16" t="s">
        <v>320</v>
      </c>
    </row>
    <row r="217" spans="1:9" x14ac:dyDescent="0.35">
      <c r="A217" s="16" t="s">
        <v>924</v>
      </c>
      <c r="B217" s="17" t="s">
        <v>861</v>
      </c>
      <c r="C217" s="17" t="s">
        <v>862</v>
      </c>
      <c r="D217" s="16" t="s">
        <v>133</v>
      </c>
      <c r="E217" s="16" t="s">
        <v>863</v>
      </c>
      <c r="F217" s="16">
        <v>0.22639999999999999</v>
      </c>
      <c r="G217" s="16"/>
      <c r="H217" s="16"/>
      <c r="I217" s="16" t="s">
        <v>133</v>
      </c>
    </row>
    <row r="218" spans="1:9" x14ac:dyDescent="0.35">
      <c r="A218" s="16" t="s">
        <v>925</v>
      </c>
      <c r="B218" s="17" t="s">
        <v>865</v>
      </c>
      <c r="C218" s="17" t="s">
        <v>866</v>
      </c>
      <c r="D218" s="16" t="s">
        <v>133</v>
      </c>
      <c r="E218" s="16" t="s">
        <v>867</v>
      </c>
      <c r="F218" s="16">
        <v>0.28860000000000002</v>
      </c>
      <c r="G218" s="16" t="s">
        <v>868</v>
      </c>
      <c r="H218" s="16" t="s">
        <v>869</v>
      </c>
      <c r="I218" s="16" t="s">
        <v>133</v>
      </c>
    </row>
    <row r="219" spans="1:9" x14ac:dyDescent="0.35">
      <c r="A219" s="16" t="s">
        <v>926</v>
      </c>
      <c r="B219" s="17" t="s">
        <v>897</v>
      </c>
      <c r="C219" s="17" t="s">
        <v>776</v>
      </c>
      <c r="D219" s="16" t="s">
        <v>133</v>
      </c>
      <c r="E219" s="16" t="s">
        <v>777</v>
      </c>
      <c r="F219" s="16">
        <v>0.46929999999999999</v>
      </c>
      <c r="G219" s="16" t="s">
        <v>778</v>
      </c>
      <c r="H219" s="16" t="s">
        <v>462</v>
      </c>
      <c r="I219" s="16" t="s">
        <v>133</v>
      </c>
    </row>
    <row r="220" spans="1:9" x14ac:dyDescent="0.35">
      <c r="A220" s="16" t="s">
        <v>927</v>
      </c>
      <c r="B220" s="17" t="s">
        <v>897</v>
      </c>
      <c r="C220" s="17" t="s">
        <v>776</v>
      </c>
      <c r="D220" s="16" t="s">
        <v>133</v>
      </c>
      <c r="E220" s="16" t="s">
        <v>777</v>
      </c>
      <c r="F220" s="16">
        <v>0.46929999999999999</v>
      </c>
      <c r="G220" s="16" t="s">
        <v>778</v>
      </c>
      <c r="H220" s="16" t="s">
        <v>462</v>
      </c>
      <c r="I220" s="16" t="s">
        <v>133</v>
      </c>
    </row>
    <row r="221" spans="1:9" ht="28" x14ac:dyDescent="0.35">
      <c r="A221" s="16" t="s">
        <v>928</v>
      </c>
      <c r="B221" s="17" t="s">
        <v>899</v>
      </c>
      <c r="C221" s="17" t="s">
        <v>900</v>
      </c>
      <c r="D221" s="16" t="s">
        <v>133</v>
      </c>
      <c r="E221" s="16" t="s">
        <v>901</v>
      </c>
      <c r="F221" s="16">
        <v>0.33339999999999997</v>
      </c>
      <c r="G221" s="16" t="s">
        <v>902</v>
      </c>
      <c r="H221" s="16" t="s">
        <v>903</v>
      </c>
      <c r="I221" s="16" t="s">
        <v>133</v>
      </c>
    </row>
    <row r="222" spans="1:9" x14ac:dyDescent="0.35">
      <c r="A222" s="16" t="s">
        <v>929</v>
      </c>
      <c r="B222" s="17" t="s">
        <v>930</v>
      </c>
      <c r="C222" s="17" t="s">
        <v>906</v>
      </c>
      <c r="D222" s="16" t="s">
        <v>133</v>
      </c>
      <c r="E222" s="16" t="s">
        <v>902</v>
      </c>
      <c r="F222" s="16">
        <v>0.45660000000000001</v>
      </c>
      <c r="G222" s="16" t="s">
        <v>907</v>
      </c>
      <c r="H222" s="16" t="s">
        <v>908</v>
      </c>
      <c r="I222" s="16" t="s">
        <v>133</v>
      </c>
    </row>
    <row r="223" spans="1:9" x14ac:dyDescent="0.35">
      <c r="A223" s="16" t="s">
        <v>931</v>
      </c>
      <c r="B223" s="17" t="s">
        <v>861</v>
      </c>
      <c r="C223" s="17" t="s">
        <v>862</v>
      </c>
      <c r="D223" s="16" t="s">
        <v>133</v>
      </c>
      <c r="E223" s="16" t="s">
        <v>863</v>
      </c>
      <c r="F223" s="16">
        <v>0.22639999999999999</v>
      </c>
      <c r="G223" s="16"/>
      <c r="H223" s="16"/>
      <c r="I223" s="16" t="s">
        <v>133</v>
      </c>
    </row>
    <row r="224" spans="1:9" x14ac:dyDescent="0.35">
      <c r="A224" s="16" t="s">
        <v>146</v>
      </c>
      <c r="B224" s="17" t="s">
        <v>141</v>
      </c>
      <c r="C224" s="17" t="s">
        <v>140</v>
      </c>
      <c r="D224" s="16" t="s">
        <v>133</v>
      </c>
      <c r="E224" s="16" t="s">
        <v>143</v>
      </c>
      <c r="F224" s="16">
        <v>0.27710000000000001</v>
      </c>
      <c r="G224" s="16" t="s">
        <v>144</v>
      </c>
      <c r="H224" s="16" t="s">
        <v>145</v>
      </c>
      <c r="I224" s="16" t="s">
        <v>133</v>
      </c>
    </row>
    <row r="225" spans="1:9" x14ac:dyDescent="0.35">
      <c r="A225" s="16" t="s">
        <v>932</v>
      </c>
      <c r="B225" s="17" t="s">
        <v>897</v>
      </c>
      <c r="C225" s="17" t="s">
        <v>776</v>
      </c>
      <c r="D225" s="16" t="s">
        <v>133</v>
      </c>
      <c r="E225" s="16" t="s">
        <v>777</v>
      </c>
      <c r="F225" s="16">
        <v>0.46929999999999999</v>
      </c>
      <c r="G225" s="16" t="s">
        <v>778</v>
      </c>
      <c r="H225" s="16" t="s">
        <v>462</v>
      </c>
      <c r="I225" s="16" t="s">
        <v>133</v>
      </c>
    </row>
    <row r="226" spans="1:9" x14ac:dyDescent="0.35">
      <c r="A226" s="16" t="s">
        <v>933</v>
      </c>
      <c r="B226" s="17" t="s">
        <v>934</v>
      </c>
      <c r="C226" s="17" t="s">
        <v>935</v>
      </c>
      <c r="D226" s="16" t="s">
        <v>133</v>
      </c>
      <c r="E226" s="16" t="s">
        <v>936</v>
      </c>
      <c r="F226" s="16">
        <v>0.33600000000000002</v>
      </c>
      <c r="G226" s="16" t="s">
        <v>777</v>
      </c>
      <c r="H226" s="16" t="s">
        <v>778</v>
      </c>
      <c r="I226" s="16" t="s">
        <v>133</v>
      </c>
    </row>
    <row r="227" spans="1:9" ht="28" x14ac:dyDescent="0.35">
      <c r="A227" s="16" t="s">
        <v>937</v>
      </c>
      <c r="B227" s="17" t="s">
        <v>899</v>
      </c>
      <c r="C227" s="17" t="s">
        <v>900</v>
      </c>
      <c r="D227" s="16" t="s">
        <v>133</v>
      </c>
      <c r="E227" s="16" t="s">
        <v>901</v>
      </c>
      <c r="F227" s="16">
        <v>0.33339999999999997</v>
      </c>
      <c r="G227" s="16" t="s">
        <v>902</v>
      </c>
      <c r="H227" s="16" t="s">
        <v>903</v>
      </c>
      <c r="I227" s="16" t="s">
        <v>133</v>
      </c>
    </row>
    <row r="228" spans="1:9" ht="28" x14ac:dyDescent="0.35">
      <c r="A228" s="16" t="s">
        <v>938</v>
      </c>
      <c r="B228" s="17" t="s">
        <v>905</v>
      </c>
      <c r="C228" s="17" t="s">
        <v>906</v>
      </c>
      <c r="D228" s="16" t="s">
        <v>133</v>
      </c>
      <c r="E228" s="16" t="s">
        <v>902</v>
      </c>
      <c r="F228" s="16">
        <v>0.45660000000000001</v>
      </c>
      <c r="G228" s="16" t="s">
        <v>907</v>
      </c>
      <c r="H228" s="16" t="s">
        <v>908</v>
      </c>
      <c r="I228" s="16" t="s">
        <v>133</v>
      </c>
    </row>
    <row r="229" spans="1:9" x14ac:dyDescent="0.35">
      <c r="A229" s="16" t="s">
        <v>939</v>
      </c>
      <c r="B229" s="17" t="s">
        <v>141</v>
      </c>
      <c r="C229" s="17" t="s">
        <v>140</v>
      </c>
      <c r="D229" s="16" t="s">
        <v>133</v>
      </c>
      <c r="E229" s="16" t="s">
        <v>143</v>
      </c>
      <c r="F229" s="16">
        <v>0.27710000000000001</v>
      </c>
      <c r="G229" s="16" t="s">
        <v>144</v>
      </c>
      <c r="H229" s="16" t="s">
        <v>145</v>
      </c>
      <c r="I229" s="16" t="s">
        <v>133</v>
      </c>
    </row>
    <row r="230" spans="1:9" x14ac:dyDescent="0.35">
      <c r="A230" s="16" t="s">
        <v>940</v>
      </c>
      <c r="B230" s="17" t="s">
        <v>897</v>
      </c>
      <c r="C230" s="17" t="s">
        <v>776</v>
      </c>
      <c r="D230" s="16" t="s">
        <v>133</v>
      </c>
      <c r="E230" s="16" t="s">
        <v>777</v>
      </c>
      <c r="F230" s="16">
        <v>0.46929999999999999</v>
      </c>
      <c r="G230" s="16" t="s">
        <v>778</v>
      </c>
      <c r="H230" s="16" t="s">
        <v>462</v>
      </c>
      <c r="I230" s="16" t="s">
        <v>133</v>
      </c>
    </row>
    <row r="231" spans="1:9" x14ac:dyDescent="0.35">
      <c r="A231" s="16" t="s">
        <v>941</v>
      </c>
      <c r="B231" s="17" t="s">
        <v>942</v>
      </c>
      <c r="C231" s="17" t="s">
        <v>935</v>
      </c>
      <c r="D231" s="16" t="s">
        <v>133</v>
      </c>
      <c r="E231" s="16" t="s">
        <v>936</v>
      </c>
      <c r="F231" s="16">
        <v>0.33600000000000002</v>
      </c>
      <c r="G231" s="16" t="s">
        <v>777</v>
      </c>
      <c r="H231" s="16" t="s">
        <v>778</v>
      </c>
      <c r="I231" s="16" t="s">
        <v>133</v>
      </c>
    </row>
    <row r="232" spans="1:9" ht="28" x14ac:dyDescent="0.35">
      <c r="A232" s="16" t="s">
        <v>943</v>
      </c>
      <c r="B232" s="17" t="s">
        <v>899</v>
      </c>
      <c r="C232" s="17" t="s">
        <v>900</v>
      </c>
      <c r="D232" s="16" t="s">
        <v>133</v>
      </c>
      <c r="E232" s="16" t="s">
        <v>901</v>
      </c>
      <c r="F232" s="16">
        <v>0.33339999999999997</v>
      </c>
      <c r="G232" s="16" t="s">
        <v>902</v>
      </c>
      <c r="H232" s="16" t="s">
        <v>903</v>
      </c>
      <c r="I232" s="16" t="s">
        <v>133</v>
      </c>
    </row>
    <row r="233" spans="1:9" ht="28" x14ac:dyDescent="0.35">
      <c r="A233" s="16" t="s">
        <v>944</v>
      </c>
      <c r="B233" s="17" t="s">
        <v>905</v>
      </c>
      <c r="C233" s="17" t="s">
        <v>906</v>
      </c>
      <c r="D233" s="16" t="s">
        <v>133</v>
      </c>
      <c r="E233" s="16" t="s">
        <v>902</v>
      </c>
      <c r="F233" s="16">
        <v>0.45660000000000001</v>
      </c>
      <c r="G233" s="16" t="s">
        <v>907</v>
      </c>
      <c r="H233" s="16" t="s">
        <v>908</v>
      </c>
      <c r="I233" s="16" t="s">
        <v>133</v>
      </c>
    </row>
    <row r="234" spans="1:9" x14ac:dyDescent="0.35">
      <c r="A234" s="16" t="s">
        <v>945</v>
      </c>
      <c r="B234" s="17" t="s">
        <v>910</v>
      </c>
      <c r="C234" s="17"/>
      <c r="D234" s="16"/>
      <c r="E234" s="16"/>
      <c r="F234" s="16"/>
      <c r="G234" s="16"/>
      <c r="H234" s="16"/>
      <c r="I234" s="16" t="s">
        <v>320</v>
      </c>
    </row>
    <row r="235" spans="1:9" ht="70" x14ac:dyDescent="0.35">
      <c r="A235" s="16" t="s">
        <v>946</v>
      </c>
      <c r="B235" s="17" t="s">
        <v>947</v>
      </c>
      <c r="C235" s="17" t="s">
        <v>103</v>
      </c>
      <c r="D235" s="16" t="s">
        <v>22</v>
      </c>
      <c r="E235" s="16" t="s">
        <v>103</v>
      </c>
      <c r="F235" s="16">
        <v>1</v>
      </c>
      <c r="G235" s="16"/>
      <c r="H235" s="16"/>
      <c r="I235" s="16" t="s">
        <v>22</v>
      </c>
    </row>
    <row r="236" spans="1:9" ht="28" x14ac:dyDescent="0.35">
      <c r="A236" s="16" t="s">
        <v>104</v>
      </c>
      <c r="B236" s="17" t="s">
        <v>102</v>
      </c>
      <c r="C236" s="17" t="s">
        <v>948</v>
      </c>
      <c r="D236" s="16" t="s">
        <v>5</v>
      </c>
      <c r="E236" s="16" t="s">
        <v>103</v>
      </c>
      <c r="F236" s="16">
        <v>0.8</v>
      </c>
      <c r="G236" s="16" t="s">
        <v>153</v>
      </c>
      <c r="H236" s="16" t="s">
        <v>154</v>
      </c>
      <c r="I236" s="16" t="s">
        <v>5</v>
      </c>
    </row>
    <row r="237" spans="1:9" x14ac:dyDescent="0.35">
      <c r="A237" s="16" t="s">
        <v>949</v>
      </c>
      <c r="B237" s="17" t="s">
        <v>950</v>
      </c>
      <c r="C237" s="17" t="s">
        <v>951</v>
      </c>
      <c r="D237" s="16" t="s">
        <v>5</v>
      </c>
      <c r="E237" s="16" t="s">
        <v>53</v>
      </c>
      <c r="F237" s="16">
        <v>0.8</v>
      </c>
      <c r="G237" s="16"/>
      <c r="H237" s="16"/>
      <c r="I237" s="16" t="s">
        <v>5</v>
      </c>
    </row>
    <row r="238" spans="1:9" x14ac:dyDescent="0.35">
      <c r="A238" s="16" t="s">
        <v>952</v>
      </c>
      <c r="B238" s="17" t="s">
        <v>953</v>
      </c>
      <c r="C238" s="17" t="s">
        <v>158</v>
      </c>
      <c r="D238" s="16" t="s">
        <v>133</v>
      </c>
      <c r="E238" s="16" t="s">
        <v>579</v>
      </c>
      <c r="F238" s="16">
        <v>0.26050000000000001</v>
      </c>
      <c r="G238" s="16"/>
      <c r="H238" s="16"/>
      <c r="I238" s="16" t="s">
        <v>133</v>
      </c>
    </row>
    <row r="239" spans="1:9" ht="28" x14ac:dyDescent="0.35">
      <c r="A239" s="16" t="s">
        <v>954</v>
      </c>
      <c r="B239" s="17" t="s">
        <v>955</v>
      </c>
      <c r="C239" s="17" t="s">
        <v>158</v>
      </c>
      <c r="D239" s="16" t="s">
        <v>133</v>
      </c>
      <c r="E239" s="16" t="s">
        <v>579</v>
      </c>
      <c r="F239" s="16">
        <v>0.26050000000000001</v>
      </c>
      <c r="G239" s="16"/>
      <c r="H239" s="16"/>
      <c r="I239" s="16" t="s">
        <v>133</v>
      </c>
    </row>
    <row r="240" spans="1:9" x14ac:dyDescent="0.35">
      <c r="A240" s="16" t="s">
        <v>956</v>
      </c>
      <c r="B240" s="17" t="s">
        <v>206</v>
      </c>
      <c r="C240" s="17" t="s">
        <v>206</v>
      </c>
      <c r="D240" s="16" t="s">
        <v>133</v>
      </c>
      <c r="E240" s="16" t="s">
        <v>209</v>
      </c>
      <c r="F240" s="16">
        <v>0.33179999999999998</v>
      </c>
      <c r="G240" s="16" t="s">
        <v>210</v>
      </c>
      <c r="H240" s="16" t="s">
        <v>211</v>
      </c>
      <c r="I240" s="16" t="s">
        <v>133</v>
      </c>
    </row>
    <row r="241" spans="1:9" ht="56" x14ac:dyDescent="0.35">
      <c r="A241" s="16" t="s">
        <v>31</v>
      </c>
      <c r="B241" s="17" t="s">
        <v>29</v>
      </c>
      <c r="C241" s="17" t="s">
        <v>957</v>
      </c>
      <c r="D241" s="16" t="s">
        <v>22</v>
      </c>
      <c r="E241" s="16" t="s">
        <v>30</v>
      </c>
      <c r="F241" s="16">
        <v>1</v>
      </c>
      <c r="G241" s="16" t="s">
        <v>42</v>
      </c>
      <c r="H241" s="16"/>
      <c r="I241" s="16" t="s">
        <v>22</v>
      </c>
    </row>
    <row r="242" spans="1:9" x14ac:dyDescent="0.35">
      <c r="A242" s="16" t="s">
        <v>958</v>
      </c>
      <c r="B242" s="17" t="s">
        <v>959</v>
      </c>
      <c r="C242" s="17" t="s">
        <v>960</v>
      </c>
      <c r="D242" s="16" t="s">
        <v>133</v>
      </c>
      <c r="E242" s="16" t="s">
        <v>853</v>
      </c>
      <c r="F242" s="16">
        <v>0.40689999999999998</v>
      </c>
      <c r="G242" s="16" t="s">
        <v>961</v>
      </c>
      <c r="H242" s="16" t="s">
        <v>962</v>
      </c>
      <c r="I242" s="16" t="s">
        <v>133</v>
      </c>
    </row>
    <row r="243" spans="1:9" x14ac:dyDescent="0.35">
      <c r="A243" s="16" t="s">
        <v>963</v>
      </c>
      <c r="B243" s="17"/>
      <c r="C243" s="17"/>
      <c r="D243" s="16"/>
      <c r="E243" s="16"/>
      <c r="F243" s="16"/>
      <c r="G243" s="16"/>
      <c r="H243" s="16"/>
      <c r="I243" s="16" t="s">
        <v>353</v>
      </c>
    </row>
    <row r="244" spans="1:9" x14ac:dyDescent="0.35">
      <c r="A244" s="16" t="s">
        <v>964</v>
      </c>
      <c r="B244" s="17" t="s">
        <v>67</v>
      </c>
      <c r="C244" s="17" t="s">
        <v>66</v>
      </c>
      <c r="D244" s="16" t="s">
        <v>22</v>
      </c>
      <c r="E244" s="16" t="s">
        <v>66</v>
      </c>
      <c r="F244" s="16">
        <v>1</v>
      </c>
      <c r="G244" s="16"/>
      <c r="H244" s="16"/>
      <c r="I244" s="16" t="s">
        <v>22</v>
      </c>
    </row>
    <row r="245" spans="1:9" ht="98" x14ac:dyDescent="0.35">
      <c r="A245" s="16" t="s">
        <v>350</v>
      </c>
      <c r="B245" s="17" t="s">
        <v>348</v>
      </c>
      <c r="C245" s="17" t="s">
        <v>347</v>
      </c>
      <c r="D245" s="16"/>
      <c r="E245" s="16"/>
      <c r="F245" s="16"/>
      <c r="G245" s="16"/>
      <c r="H245" s="16"/>
      <c r="I245" s="16" t="s">
        <v>320</v>
      </c>
    </row>
    <row r="246" spans="1:9" x14ac:dyDescent="0.35">
      <c r="A246" s="16" t="s">
        <v>965</v>
      </c>
      <c r="B246" s="17" t="s">
        <v>966</v>
      </c>
      <c r="C246" s="17"/>
      <c r="D246" s="16"/>
      <c r="E246" s="16"/>
      <c r="F246" s="16"/>
      <c r="G246" s="16"/>
      <c r="H246" s="16"/>
      <c r="I246" s="16" t="s">
        <v>320</v>
      </c>
    </row>
    <row r="247" spans="1:9" x14ac:dyDescent="0.35">
      <c r="A247" s="16" t="s">
        <v>64</v>
      </c>
      <c r="B247" s="17" t="s">
        <v>61</v>
      </c>
      <c r="C247" s="17" t="s">
        <v>967</v>
      </c>
      <c r="D247" s="16" t="s">
        <v>22</v>
      </c>
      <c r="E247" s="16" t="s">
        <v>63</v>
      </c>
      <c r="F247" s="16">
        <v>1</v>
      </c>
      <c r="G247" s="16" t="s">
        <v>239</v>
      </c>
      <c r="H247" s="16" t="s">
        <v>240</v>
      </c>
      <c r="I247" s="16" t="s">
        <v>22</v>
      </c>
    </row>
    <row r="248" spans="1:9" x14ac:dyDescent="0.35">
      <c r="A248" s="16" t="s">
        <v>273</v>
      </c>
      <c r="B248" s="17" t="s">
        <v>269</v>
      </c>
      <c r="C248" s="17" t="s">
        <v>269</v>
      </c>
      <c r="D248" s="16" t="s">
        <v>133</v>
      </c>
      <c r="E248" s="16" t="s">
        <v>270</v>
      </c>
      <c r="F248" s="16">
        <v>0.4476</v>
      </c>
      <c r="G248" s="16" t="s">
        <v>271</v>
      </c>
      <c r="H248" s="16" t="s">
        <v>272</v>
      </c>
      <c r="I248" s="16" t="s">
        <v>133</v>
      </c>
    </row>
    <row r="249" spans="1:9" x14ac:dyDescent="0.35">
      <c r="A249" s="16" t="s">
        <v>968</v>
      </c>
      <c r="B249" s="17" t="s">
        <v>969</v>
      </c>
      <c r="C249" s="17" t="s">
        <v>970</v>
      </c>
      <c r="D249" s="16" t="s">
        <v>133</v>
      </c>
      <c r="E249" s="16" t="s">
        <v>260</v>
      </c>
      <c r="F249" s="16">
        <v>0.3881</v>
      </c>
      <c r="G249" s="16" t="s">
        <v>261</v>
      </c>
      <c r="H249" s="16" t="s">
        <v>211</v>
      </c>
      <c r="I249" s="16" t="s">
        <v>133</v>
      </c>
    </row>
    <row r="250" spans="1:9" x14ac:dyDescent="0.35">
      <c r="A250" s="16" t="s">
        <v>971</v>
      </c>
      <c r="B250" s="17" t="s">
        <v>972</v>
      </c>
      <c r="C250" s="17"/>
      <c r="D250" s="16"/>
      <c r="E250" s="16"/>
      <c r="F250" s="16"/>
      <c r="G250" s="16"/>
      <c r="H250" s="16"/>
      <c r="I250" s="16" t="s">
        <v>320</v>
      </c>
    </row>
    <row r="251" spans="1:9" x14ac:dyDescent="0.35">
      <c r="A251" s="16" t="s">
        <v>973</v>
      </c>
      <c r="B251" s="17" t="s">
        <v>974</v>
      </c>
      <c r="C251" s="17" t="s">
        <v>974</v>
      </c>
      <c r="D251" s="16" t="s">
        <v>133</v>
      </c>
      <c r="E251" s="16" t="s">
        <v>975</v>
      </c>
      <c r="F251" s="16">
        <v>0.3871</v>
      </c>
      <c r="G251" s="16" t="s">
        <v>976</v>
      </c>
      <c r="H251" s="16" t="s">
        <v>211</v>
      </c>
      <c r="I251" s="16" t="s">
        <v>133</v>
      </c>
    </row>
    <row r="252" spans="1:9" x14ac:dyDescent="0.35">
      <c r="A252" s="16" t="s">
        <v>58</v>
      </c>
      <c r="B252" s="17" t="s">
        <v>57</v>
      </c>
      <c r="C252" s="17" t="s">
        <v>56</v>
      </c>
      <c r="D252" s="16" t="s">
        <v>22</v>
      </c>
      <c r="E252" s="16" t="s">
        <v>53</v>
      </c>
      <c r="F252" s="16">
        <v>1</v>
      </c>
      <c r="G252" s="16"/>
      <c r="H252" s="16"/>
      <c r="I252" s="16" t="s">
        <v>22</v>
      </c>
    </row>
    <row r="253" spans="1:9" x14ac:dyDescent="0.35">
      <c r="A253" s="16" t="s">
        <v>977</v>
      </c>
      <c r="B253" s="17" t="s">
        <v>57</v>
      </c>
      <c r="C253" s="17" t="s">
        <v>56</v>
      </c>
      <c r="D253" s="16" t="s">
        <v>22</v>
      </c>
      <c r="E253" s="16" t="s">
        <v>53</v>
      </c>
      <c r="F253" s="16">
        <v>1</v>
      </c>
      <c r="G253" s="16"/>
      <c r="H253" s="16"/>
      <c r="I253" s="16" t="s">
        <v>22</v>
      </c>
    </row>
    <row r="254" spans="1:9" x14ac:dyDescent="0.35">
      <c r="A254" s="16" t="s">
        <v>978</v>
      </c>
      <c r="B254" s="17"/>
      <c r="C254" s="17"/>
      <c r="D254" s="16"/>
      <c r="E254" s="16"/>
      <c r="F254" s="16"/>
      <c r="G254" s="16"/>
      <c r="H254" s="16"/>
      <c r="I254" s="16" t="s">
        <v>353</v>
      </c>
    </row>
    <row r="255" spans="1:9" x14ac:dyDescent="0.35">
      <c r="A255" s="16" t="s">
        <v>375</v>
      </c>
      <c r="B255" s="17" t="s">
        <v>374</v>
      </c>
      <c r="C255" s="17"/>
      <c r="D255" s="16"/>
      <c r="E255" s="16"/>
      <c r="F255" s="16"/>
      <c r="G255" s="16"/>
      <c r="H255" s="16"/>
      <c r="I255" s="16" t="s">
        <v>320</v>
      </c>
    </row>
    <row r="256" spans="1:9" x14ac:dyDescent="0.35">
      <c r="A256" s="16" t="s">
        <v>979</v>
      </c>
      <c r="B256" s="17" t="s">
        <v>980</v>
      </c>
      <c r="C256" s="17" t="s">
        <v>981</v>
      </c>
      <c r="D256" s="16" t="s">
        <v>133</v>
      </c>
      <c r="E256" s="16" t="s">
        <v>706</v>
      </c>
      <c r="F256" s="16">
        <v>0.4783</v>
      </c>
      <c r="G256" s="16" t="s">
        <v>136</v>
      </c>
      <c r="H256" s="16" t="s">
        <v>705</v>
      </c>
      <c r="I256" s="16" t="s">
        <v>133</v>
      </c>
    </row>
    <row r="257" spans="1:9" x14ac:dyDescent="0.35">
      <c r="A257" s="16" t="s">
        <v>982</v>
      </c>
      <c r="B257" s="17" t="s">
        <v>451</v>
      </c>
      <c r="C257" s="17" t="s">
        <v>451</v>
      </c>
      <c r="D257" s="16"/>
      <c r="E257" s="16"/>
      <c r="F257" s="16"/>
      <c r="G257" s="16"/>
      <c r="H257" s="16"/>
      <c r="I257" s="16" t="s">
        <v>320</v>
      </c>
    </row>
    <row r="258" spans="1:9" ht="28" x14ac:dyDescent="0.35">
      <c r="A258" s="16" t="s">
        <v>983</v>
      </c>
      <c r="B258" s="17" t="s">
        <v>984</v>
      </c>
      <c r="C258" s="17" t="s">
        <v>985</v>
      </c>
      <c r="D258" s="16" t="s">
        <v>133</v>
      </c>
      <c r="E258" s="16" t="s">
        <v>986</v>
      </c>
      <c r="F258" s="16">
        <v>0.43059999999999998</v>
      </c>
      <c r="G258" s="16" t="s">
        <v>987</v>
      </c>
      <c r="H258" s="16" t="s">
        <v>988</v>
      </c>
      <c r="I258" s="16" t="s">
        <v>133</v>
      </c>
    </row>
    <row r="259" spans="1:9" ht="42" x14ac:dyDescent="0.35">
      <c r="A259" s="16" t="s">
        <v>989</v>
      </c>
      <c r="B259" s="17" t="s">
        <v>990</v>
      </c>
      <c r="C259" s="17" t="s">
        <v>991</v>
      </c>
      <c r="D259" s="16" t="s">
        <v>133</v>
      </c>
      <c r="E259" s="16" t="s">
        <v>694</v>
      </c>
      <c r="F259" s="16">
        <v>0.26190000000000002</v>
      </c>
      <c r="G259" s="16" t="s">
        <v>992</v>
      </c>
      <c r="H259" s="16" t="s">
        <v>993</v>
      </c>
      <c r="I259" s="16" t="s">
        <v>133</v>
      </c>
    </row>
    <row r="260" spans="1:9" x14ac:dyDescent="0.35">
      <c r="A260" s="16" t="s">
        <v>994</v>
      </c>
      <c r="B260" s="17" t="s">
        <v>995</v>
      </c>
      <c r="C260" s="17" t="s">
        <v>996</v>
      </c>
      <c r="D260" s="16"/>
      <c r="E260" s="16"/>
      <c r="F260" s="16"/>
      <c r="G260" s="16"/>
      <c r="H260" s="16"/>
      <c r="I260" s="16" t="s">
        <v>320</v>
      </c>
    </row>
    <row r="261" spans="1:9" x14ac:dyDescent="0.35">
      <c r="A261" s="16" t="s">
        <v>997</v>
      </c>
      <c r="B261" s="17"/>
      <c r="C261" s="17"/>
      <c r="D261" s="16"/>
      <c r="E261" s="16"/>
      <c r="F261" s="16"/>
      <c r="G261" s="16"/>
      <c r="H261" s="16"/>
      <c r="I261" s="16" t="s">
        <v>353</v>
      </c>
    </row>
    <row r="262" spans="1:9" ht="28" x14ac:dyDescent="0.35">
      <c r="A262" s="16" t="s">
        <v>998</v>
      </c>
      <c r="B262" s="17" t="s">
        <v>999</v>
      </c>
      <c r="C262" s="17" t="s">
        <v>985</v>
      </c>
      <c r="D262" s="16" t="s">
        <v>133</v>
      </c>
      <c r="E262" s="16" t="s">
        <v>986</v>
      </c>
      <c r="F262" s="16">
        <v>0.43059999999999998</v>
      </c>
      <c r="G262" s="16" t="s">
        <v>987</v>
      </c>
      <c r="H262" s="16" t="s">
        <v>988</v>
      </c>
      <c r="I262" s="16" t="s">
        <v>133</v>
      </c>
    </row>
    <row r="263" spans="1:9" ht="28" x14ac:dyDescent="0.35">
      <c r="A263" s="16" t="s">
        <v>1000</v>
      </c>
      <c r="B263" s="17" t="s">
        <v>1001</v>
      </c>
      <c r="C263" s="17" t="s">
        <v>1001</v>
      </c>
      <c r="D263" s="16" t="s">
        <v>133</v>
      </c>
      <c r="E263" s="16" t="s">
        <v>136</v>
      </c>
      <c r="F263" s="16">
        <v>0.44130000000000003</v>
      </c>
      <c r="G263" s="16" t="s">
        <v>705</v>
      </c>
      <c r="H263" s="16" t="s">
        <v>1002</v>
      </c>
      <c r="I263" s="16" t="s">
        <v>133</v>
      </c>
    </row>
    <row r="264" spans="1:9" x14ac:dyDescent="0.35">
      <c r="A264" s="16" t="s">
        <v>1003</v>
      </c>
      <c r="B264" s="17" t="s">
        <v>1004</v>
      </c>
      <c r="C264" s="17" t="s">
        <v>1005</v>
      </c>
      <c r="D264" s="16" t="s">
        <v>133</v>
      </c>
      <c r="E264" s="16" t="s">
        <v>1006</v>
      </c>
      <c r="F264" s="16">
        <v>0.21310000000000001</v>
      </c>
      <c r="G264" s="16"/>
      <c r="H264" s="16"/>
      <c r="I264" s="16" t="s">
        <v>133</v>
      </c>
    </row>
    <row r="265" spans="1:9" x14ac:dyDescent="0.35">
      <c r="A265" s="16" t="s">
        <v>1007</v>
      </c>
      <c r="B265" s="17" t="s">
        <v>1008</v>
      </c>
      <c r="C265" s="17" t="s">
        <v>1008</v>
      </c>
      <c r="D265" s="16"/>
      <c r="E265" s="16"/>
      <c r="F265" s="16"/>
      <c r="G265" s="16"/>
      <c r="H265" s="16"/>
      <c r="I265" s="16" t="s">
        <v>320</v>
      </c>
    </row>
    <row r="266" spans="1:9" x14ac:dyDescent="0.35">
      <c r="A266" s="16" t="s">
        <v>1009</v>
      </c>
      <c r="B266" s="17" t="s">
        <v>1010</v>
      </c>
      <c r="C266" s="17" t="s">
        <v>1011</v>
      </c>
      <c r="D266" s="16" t="s">
        <v>5</v>
      </c>
      <c r="E266" s="16" t="s">
        <v>1012</v>
      </c>
      <c r="F266" s="16">
        <v>0.8</v>
      </c>
      <c r="G266" s="16"/>
      <c r="H266" s="16"/>
      <c r="I266" s="16" t="s">
        <v>5</v>
      </c>
    </row>
    <row r="267" spans="1:9" ht="42" x14ac:dyDescent="0.35">
      <c r="A267" s="16" t="s">
        <v>1013</v>
      </c>
      <c r="B267" s="17" t="s">
        <v>1014</v>
      </c>
      <c r="C267" s="17" t="s">
        <v>1015</v>
      </c>
      <c r="D267" s="16" t="s">
        <v>133</v>
      </c>
      <c r="E267" s="16" t="s">
        <v>1016</v>
      </c>
      <c r="F267" s="16">
        <v>0.2253</v>
      </c>
      <c r="G267" s="16" t="s">
        <v>1017</v>
      </c>
      <c r="H267" s="16" t="s">
        <v>471</v>
      </c>
      <c r="I267" s="16" t="s">
        <v>133</v>
      </c>
    </row>
    <row r="268" spans="1:9" x14ac:dyDescent="0.35">
      <c r="A268" s="16" t="s">
        <v>1018</v>
      </c>
      <c r="B268" s="17" t="s">
        <v>1019</v>
      </c>
      <c r="C268" s="17" t="s">
        <v>1020</v>
      </c>
      <c r="D268" s="16" t="s">
        <v>133</v>
      </c>
      <c r="E268" s="16" t="s">
        <v>1021</v>
      </c>
      <c r="F268" s="16">
        <v>0.3679</v>
      </c>
      <c r="G268" s="16" t="s">
        <v>1022</v>
      </c>
      <c r="H268" s="16" t="s">
        <v>1023</v>
      </c>
      <c r="I268" s="16" t="s">
        <v>133</v>
      </c>
    </row>
    <row r="269" spans="1:9" x14ac:dyDescent="0.35">
      <c r="A269" s="16" t="s">
        <v>1024</v>
      </c>
      <c r="B269" s="17" t="s">
        <v>1025</v>
      </c>
      <c r="C269" s="17" t="s">
        <v>1026</v>
      </c>
      <c r="D269" s="16" t="s">
        <v>133</v>
      </c>
      <c r="E269" s="16" t="s">
        <v>1023</v>
      </c>
      <c r="F269" s="16">
        <v>0.24129999999999999</v>
      </c>
      <c r="G269" s="16" t="s">
        <v>98</v>
      </c>
      <c r="H269" s="16" t="s">
        <v>596</v>
      </c>
      <c r="I269" s="16" t="s">
        <v>133</v>
      </c>
    </row>
    <row r="270" spans="1:9" x14ac:dyDescent="0.35">
      <c r="A270" s="16" t="s">
        <v>1027</v>
      </c>
      <c r="B270" s="17" t="s">
        <v>1028</v>
      </c>
      <c r="C270" s="17" t="s">
        <v>1029</v>
      </c>
      <c r="D270" s="16" t="s">
        <v>133</v>
      </c>
      <c r="E270" s="16" t="s">
        <v>1030</v>
      </c>
      <c r="F270" s="16">
        <v>0.29930000000000001</v>
      </c>
      <c r="G270" s="16" t="s">
        <v>1031</v>
      </c>
      <c r="H270" s="16" t="s">
        <v>1032</v>
      </c>
      <c r="I270" s="16" t="s">
        <v>133</v>
      </c>
    </row>
    <row r="271" spans="1:9" x14ac:dyDescent="0.35">
      <c r="A271" s="16" t="s">
        <v>1033</v>
      </c>
      <c r="B271" s="17" t="s">
        <v>1034</v>
      </c>
      <c r="C271" s="17" t="s">
        <v>1035</v>
      </c>
      <c r="D271" s="16" t="s">
        <v>133</v>
      </c>
      <c r="E271" s="16" t="s">
        <v>286</v>
      </c>
      <c r="F271" s="16">
        <v>0.40410000000000001</v>
      </c>
      <c r="G271" s="16" t="s">
        <v>136</v>
      </c>
      <c r="H271" s="16" t="s">
        <v>743</v>
      </c>
      <c r="I271" s="16" t="s">
        <v>133</v>
      </c>
    </row>
    <row r="272" spans="1:9" x14ac:dyDescent="0.35">
      <c r="A272" s="16" t="s">
        <v>1036</v>
      </c>
      <c r="B272" s="17" t="s">
        <v>1037</v>
      </c>
      <c r="C272" s="17" t="s">
        <v>1038</v>
      </c>
      <c r="D272" s="16" t="s">
        <v>133</v>
      </c>
      <c r="E272" s="16" t="s">
        <v>1039</v>
      </c>
      <c r="F272" s="16">
        <v>0.2712</v>
      </c>
      <c r="G272" s="16" t="s">
        <v>523</v>
      </c>
      <c r="H272" s="16" t="s">
        <v>1040</v>
      </c>
      <c r="I272" s="16" t="s">
        <v>133</v>
      </c>
    </row>
    <row r="273" spans="1:9" x14ac:dyDescent="0.35">
      <c r="A273" s="16" t="s">
        <v>1041</v>
      </c>
      <c r="B273" s="17" t="s">
        <v>1042</v>
      </c>
      <c r="C273" s="17" t="s">
        <v>1043</v>
      </c>
      <c r="D273" s="16" t="s">
        <v>133</v>
      </c>
      <c r="E273" s="16" t="s">
        <v>1044</v>
      </c>
      <c r="F273" s="16">
        <v>0.3569</v>
      </c>
      <c r="G273" s="16" t="s">
        <v>1045</v>
      </c>
      <c r="H273" s="16" t="s">
        <v>1046</v>
      </c>
      <c r="I273" s="16" t="s">
        <v>133</v>
      </c>
    </row>
    <row r="274" spans="1:9" ht="28" x14ac:dyDescent="0.35">
      <c r="A274" s="16" t="s">
        <v>366</v>
      </c>
      <c r="B274" s="17" t="s">
        <v>365</v>
      </c>
      <c r="C274" s="17"/>
      <c r="D274" s="16"/>
      <c r="E274" s="16"/>
      <c r="F274" s="16"/>
      <c r="G274" s="16"/>
      <c r="H274" s="16"/>
      <c r="I274" s="16" t="s">
        <v>320</v>
      </c>
    </row>
    <row r="275" spans="1:9" ht="28" x14ac:dyDescent="0.35">
      <c r="A275" s="16" t="s">
        <v>1047</v>
      </c>
      <c r="B275" s="17" t="s">
        <v>1048</v>
      </c>
      <c r="C275" s="17"/>
      <c r="D275" s="16"/>
      <c r="E275" s="16"/>
      <c r="F275" s="16"/>
      <c r="G275" s="16"/>
      <c r="H275" s="16"/>
      <c r="I275" s="16" t="s">
        <v>320</v>
      </c>
    </row>
    <row r="276" spans="1:9" x14ac:dyDescent="0.35">
      <c r="A276" s="16" t="s">
        <v>1049</v>
      </c>
      <c r="B276" s="17" t="s">
        <v>1050</v>
      </c>
      <c r="C276" s="17" t="s">
        <v>451</v>
      </c>
      <c r="D276" s="16"/>
      <c r="E276" s="16"/>
      <c r="F276" s="16"/>
      <c r="G276" s="16"/>
      <c r="H276" s="16"/>
      <c r="I276" s="16" t="s">
        <v>320</v>
      </c>
    </row>
    <row r="277" spans="1:9" x14ac:dyDescent="0.35">
      <c r="A277" s="16" t="s">
        <v>1051</v>
      </c>
      <c r="B277" s="17" t="s">
        <v>1052</v>
      </c>
      <c r="C277" s="17" t="s">
        <v>1053</v>
      </c>
      <c r="D277" s="16" t="s">
        <v>133</v>
      </c>
      <c r="E277" s="16" t="s">
        <v>768</v>
      </c>
      <c r="F277" s="16">
        <v>0.47039999999999998</v>
      </c>
      <c r="G277" s="16" t="s">
        <v>1054</v>
      </c>
      <c r="H277" s="16" t="s">
        <v>818</v>
      </c>
      <c r="I277" s="16" t="s">
        <v>133</v>
      </c>
    </row>
    <row r="278" spans="1:9" x14ac:dyDescent="0.35">
      <c r="A278" s="16" t="s">
        <v>1055</v>
      </c>
      <c r="B278" s="17" t="s">
        <v>897</v>
      </c>
      <c r="C278" s="17" t="s">
        <v>776</v>
      </c>
      <c r="D278" s="16" t="s">
        <v>133</v>
      </c>
      <c r="E278" s="16" t="s">
        <v>777</v>
      </c>
      <c r="F278" s="16">
        <v>0.46929999999999999</v>
      </c>
      <c r="G278" s="16" t="s">
        <v>778</v>
      </c>
      <c r="H278" s="16" t="s">
        <v>462</v>
      </c>
      <c r="I278" s="16" t="s">
        <v>133</v>
      </c>
    </row>
    <row r="279" spans="1:9" ht="28" x14ac:dyDescent="0.35">
      <c r="A279" s="16" t="s">
        <v>1056</v>
      </c>
      <c r="B279" s="17" t="s">
        <v>1057</v>
      </c>
      <c r="C279" s="17" t="s">
        <v>1058</v>
      </c>
      <c r="D279" s="16" t="s">
        <v>133</v>
      </c>
      <c r="E279" s="16" t="s">
        <v>786</v>
      </c>
      <c r="F279" s="16">
        <v>0.38850000000000001</v>
      </c>
      <c r="G279" s="16" t="s">
        <v>220</v>
      </c>
      <c r="H279" s="16" t="s">
        <v>221</v>
      </c>
      <c r="I279" s="16" t="s">
        <v>133</v>
      </c>
    </row>
    <row r="280" spans="1:9" x14ac:dyDescent="0.35">
      <c r="A280" s="16" t="s">
        <v>1059</v>
      </c>
      <c r="B280" s="17"/>
      <c r="C280" s="17"/>
      <c r="D280" s="16"/>
      <c r="E280" s="16"/>
      <c r="F280" s="16"/>
      <c r="G280" s="16"/>
      <c r="H280" s="16"/>
      <c r="I280" s="16" t="s">
        <v>353</v>
      </c>
    </row>
    <row r="281" spans="1:9" ht="28" x14ac:dyDescent="0.35">
      <c r="A281" s="16" t="s">
        <v>1060</v>
      </c>
      <c r="B281" s="17" t="s">
        <v>1061</v>
      </c>
      <c r="C281" s="17" t="s">
        <v>1061</v>
      </c>
      <c r="D281" s="16"/>
      <c r="E281" s="16"/>
      <c r="F281" s="16"/>
      <c r="G281" s="16"/>
      <c r="H281" s="16"/>
      <c r="I281" s="16" t="s">
        <v>320</v>
      </c>
    </row>
    <row r="282" spans="1:9" x14ac:dyDescent="0.35">
      <c r="A282" s="16" t="s">
        <v>1062</v>
      </c>
      <c r="B282" s="17" t="s">
        <v>726</v>
      </c>
      <c r="C282" s="17" t="s">
        <v>726</v>
      </c>
      <c r="D282" s="16" t="s">
        <v>133</v>
      </c>
      <c r="E282" s="16" t="s">
        <v>727</v>
      </c>
      <c r="F282" s="16">
        <v>0.20469999999999999</v>
      </c>
      <c r="G282" s="16"/>
      <c r="H282" s="16"/>
      <c r="I282" s="16" t="s">
        <v>133</v>
      </c>
    </row>
    <row r="283" spans="1:9" ht="56" x14ac:dyDescent="0.35">
      <c r="A283" s="16" t="s">
        <v>138</v>
      </c>
      <c r="B283" s="17" t="s">
        <v>132</v>
      </c>
      <c r="C283" s="17" t="s">
        <v>131</v>
      </c>
      <c r="D283" s="16" t="s">
        <v>133</v>
      </c>
      <c r="E283" s="16" t="s">
        <v>135</v>
      </c>
      <c r="F283" s="16">
        <v>0.28199999999999997</v>
      </c>
      <c r="G283" s="16" t="s">
        <v>136</v>
      </c>
      <c r="H283" s="16" t="s">
        <v>137</v>
      </c>
      <c r="I283" s="16" t="s">
        <v>133</v>
      </c>
    </row>
    <row r="284" spans="1:9" x14ac:dyDescent="0.35">
      <c r="A284" s="16" t="s">
        <v>1063</v>
      </c>
      <c r="B284" s="17" t="s">
        <v>1064</v>
      </c>
      <c r="C284" s="17" t="s">
        <v>1065</v>
      </c>
      <c r="D284" s="16" t="s">
        <v>133</v>
      </c>
      <c r="E284" s="16" t="s">
        <v>1066</v>
      </c>
      <c r="F284" s="16">
        <v>0.24049999999999999</v>
      </c>
      <c r="G284" s="16" t="s">
        <v>1067</v>
      </c>
      <c r="H284" s="16" t="s">
        <v>1068</v>
      </c>
      <c r="I284" s="16" t="s">
        <v>133</v>
      </c>
    </row>
    <row r="285" spans="1:9" ht="28" x14ac:dyDescent="0.35">
      <c r="A285" s="16" t="s">
        <v>1069</v>
      </c>
      <c r="B285" s="17" t="s">
        <v>1070</v>
      </c>
      <c r="C285" s="17" t="s">
        <v>1071</v>
      </c>
      <c r="D285" s="16" t="s">
        <v>133</v>
      </c>
      <c r="E285" s="16" t="s">
        <v>1002</v>
      </c>
      <c r="F285" s="16">
        <v>0.21640000000000001</v>
      </c>
      <c r="G285" s="16" t="s">
        <v>136</v>
      </c>
      <c r="H285" s="16"/>
      <c r="I285" s="16" t="s">
        <v>133</v>
      </c>
    </row>
    <row r="286" spans="1:9" x14ac:dyDescent="0.35">
      <c r="A286" s="16" t="s">
        <v>1072</v>
      </c>
      <c r="B286" s="17" t="s">
        <v>1073</v>
      </c>
      <c r="C286" s="17" t="s">
        <v>1074</v>
      </c>
      <c r="D286" s="16" t="s">
        <v>133</v>
      </c>
      <c r="E286" s="16" t="s">
        <v>1075</v>
      </c>
      <c r="F286" s="16">
        <v>0.36130000000000001</v>
      </c>
      <c r="G286" s="16" t="s">
        <v>1002</v>
      </c>
      <c r="H286" s="16" t="s">
        <v>1076</v>
      </c>
      <c r="I286" s="16" t="s">
        <v>133</v>
      </c>
    </row>
    <row r="287" spans="1:9" x14ac:dyDescent="0.35">
      <c r="A287" s="16" t="s">
        <v>1077</v>
      </c>
      <c r="B287" s="17" t="s">
        <v>865</v>
      </c>
      <c r="C287" s="17" t="s">
        <v>866</v>
      </c>
      <c r="D287" s="16" t="s">
        <v>133</v>
      </c>
      <c r="E287" s="16" t="s">
        <v>867</v>
      </c>
      <c r="F287" s="16">
        <v>0.28860000000000002</v>
      </c>
      <c r="G287" s="16" t="s">
        <v>868</v>
      </c>
      <c r="H287" s="16" t="s">
        <v>869</v>
      </c>
      <c r="I287" s="16" t="s">
        <v>133</v>
      </c>
    </row>
    <row r="288" spans="1:9" ht="28" x14ac:dyDescent="0.35">
      <c r="A288" s="16" t="s">
        <v>1078</v>
      </c>
      <c r="B288" s="17" t="s">
        <v>1079</v>
      </c>
      <c r="C288" s="17" t="s">
        <v>1080</v>
      </c>
      <c r="D288" s="16" t="s">
        <v>133</v>
      </c>
      <c r="E288" s="16" t="s">
        <v>143</v>
      </c>
      <c r="F288" s="16">
        <v>0.30359999999999998</v>
      </c>
      <c r="G288" s="16" t="s">
        <v>1081</v>
      </c>
      <c r="H288" s="16"/>
      <c r="I288" s="16" t="s">
        <v>133</v>
      </c>
    </row>
    <row r="289" spans="1:9" x14ac:dyDescent="0.35">
      <c r="A289" s="16" t="s">
        <v>1082</v>
      </c>
      <c r="B289" s="17" t="s">
        <v>897</v>
      </c>
      <c r="C289" s="17" t="s">
        <v>776</v>
      </c>
      <c r="D289" s="16" t="s">
        <v>133</v>
      </c>
      <c r="E289" s="16" t="s">
        <v>777</v>
      </c>
      <c r="F289" s="16">
        <v>0.46929999999999999</v>
      </c>
      <c r="G289" s="16" t="s">
        <v>778</v>
      </c>
      <c r="H289" s="16" t="s">
        <v>462</v>
      </c>
      <c r="I289" s="16" t="s">
        <v>133</v>
      </c>
    </row>
    <row r="290" spans="1:9" x14ac:dyDescent="0.35">
      <c r="A290" s="16" t="s">
        <v>1083</v>
      </c>
      <c r="B290" s="17" t="s">
        <v>897</v>
      </c>
      <c r="C290" s="17" t="s">
        <v>776</v>
      </c>
      <c r="D290" s="16" t="s">
        <v>133</v>
      </c>
      <c r="E290" s="16" t="s">
        <v>777</v>
      </c>
      <c r="F290" s="16">
        <v>0.46929999999999999</v>
      </c>
      <c r="G290" s="16" t="s">
        <v>778</v>
      </c>
      <c r="H290" s="16" t="s">
        <v>462</v>
      </c>
      <c r="I290" s="16" t="s">
        <v>133</v>
      </c>
    </row>
    <row r="291" spans="1:9" x14ac:dyDescent="0.35">
      <c r="A291" s="16" t="s">
        <v>1084</v>
      </c>
      <c r="B291" s="17" t="s">
        <v>1085</v>
      </c>
      <c r="C291" s="17" t="s">
        <v>776</v>
      </c>
      <c r="D291" s="16" t="s">
        <v>133</v>
      </c>
      <c r="E291" s="16" t="s">
        <v>777</v>
      </c>
      <c r="F291" s="16">
        <v>0.46929999999999999</v>
      </c>
      <c r="G291" s="16" t="s">
        <v>778</v>
      </c>
      <c r="H291" s="16" t="s">
        <v>462</v>
      </c>
      <c r="I291" s="16" t="s">
        <v>133</v>
      </c>
    </row>
    <row r="292" spans="1:9" x14ac:dyDescent="0.35">
      <c r="A292" s="16" t="s">
        <v>1086</v>
      </c>
      <c r="B292" s="17" t="s">
        <v>1087</v>
      </c>
      <c r="C292" s="17" t="s">
        <v>1087</v>
      </c>
      <c r="D292" s="16" t="s">
        <v>133</v>
      </c>
      <c r="E292" s="16" t="s">
        <v>1088</v>
      </c>
      <c r="F292" s="16">
        <v>0.3256</v>
      </c>
      <c r="G292" s="16" t="s">
        <v>1089</v>
      </c>
      <c r="H292" s="16" t="s">
        <v>211</v>
      </c>
      <c r="I292" s="16" t="s">
        <v>133</v>
      </c>
    </row>
    <row r="293" spans="1:9" x14ac:dyDescent="0.35">
      <c r="A293" s="16" t="s">
        <v>1090</v>
      </c>
      <c r="B293" s="17" t="s">
        <v>1091</v>
      </c>
      <c r="C293" s="17" t="s">
        <v>1091</v>
      </c>
      <c r="D293" s="16" t="s">
        <v>133</v>
      </c>
      <c r="E293" s="16" t="s">
        <v>312</v>
      </c>
      <c r="F293" s="16">
        <v>0.2767</v>
      </c>
      <c r="G293" s="16" t="s">
        <v>1092</v>
      </c>
      <c r="H293" s="16" t="s">
        <v>1093</v>
      </c>
      <c r="I293" s="16" t="s">
        <v>133</v>
      </c>
    </row>
    <row r="294" spans="1:9" x14ac:dyDescent="0.35">
      <c r="A294" s="16" t="s">
        <v>124</v>
      </c>
      <c r="B294" s="17" t="s">
        <v>121</v>
      </c>
      <c r="C294" s="17" t="s">
        <v>120</v>
      </c>
      <c r="D294" s="16" t="s">
        <v>110</v>
      </c>
      <c r="E294" s="16" t="s">
        <v>123</v>
      </c>
      <c r="F294" s="16">
        <v>0.6</v>
      </c>
      <c r="G294" s="16"/>
      <c r="H294" s="16"/>
      <c r="I294" s="16" t="s">
        <v>110</v>
      </c>
    </row>
    <row r="295" spans="1:9" ht="28" x14ac:dyDescent="0.35">
      <c r="A295" s="16" t="s">
        <v>1094</v>
      </c>
      <c r="B295" s="17" t="s">
        <v>1095</v>
      </c>
      <c r="C295" s="17" t="s">
        <v>1096</v>
      </c>
      <c r="D295" s="16" t="s">
        <v>133</v>
      </c>
      <c r="E295" s="16" t="s">
        <v>705</v>
      </c>
      <c r="F295" s="16">
        <v>0.46450000000000002</v>
      </c>
      <c r="G295" s="16" t="s">
        <v>136</v>
      </c>
      <c r="H295" s="16" t="s">
        <v>706</v>
      </c>
      <c r="I295" s="16" t="s">
        <v>133</v>
      </c>
    </row>
    <row r="296" spans="1:9" ht="28" x14ac:dyDescent="0.35">
      <c r="A296" s="16" t="s">
        <v>1097</v>
      </c>
      <c r="B296" s="17" t="s">
        <v>1095</v>
      </c>
      <c r="C296" s="17" t="s">
        <v>1096</v>
      </c>
      <c r="D296" s="16" t="s">
        <v>133</v>
      </c>
      <c r="E296" s="16" t="s">
        <v>705</v>
      </c>
      <c r="F296" s="16">
        <v>0.46450000000000002</v>
      </c>
      <c r="G296" s="16" t="s">
        <v>136</v>
      </c>
      <c r="H296" s="16" t="s">
        <v>706</v>
      </c>
      <c r="I296" s="16" t="s">
        <v>133</v>
      </c>
    </row>
    <row r="297" spans="1:9" x14ac:dyDescent="0.35">
      <c r="A297" s="16" t="s">
        <v>1098</v>
      </c>
      <c r="B297" s="17" t="s">
        <v>1099</v>
      </c>
      <c r="C297" s="17" t="s">
        <v>785</v>
      </c>
      <c r="D297" s="16" t="s">
        <v>133</v>
      </c>
      <c r="E297" s="16" t="s">
        <v>240</v>
      </c>
      <c r="F297" s="16">
        <v>0.42399999999999999</v>
      </c>
      <c r="G297" s="16" t="s">
        <v>786</v>
      </c>
      <c r="H297" s="16" t="s">
        <v>787</v>
      </c>
      <c r="I297" s="16" t="s">
        <v>133</v>
      </c>
    </row>
    <row r="298" spans="1:9" x14ac:dyDescent="0.35">
      <c r="A298" s="16" t="s">
        <v>308</v>
      </c>
      <c r="B298" s="17" t="s">
        <v>305</v>
      </c>
      <c r="C298" s="17" t="s">
        <v>304</v>
      </c>
      <c r="D298" s="16" t="s">
        <v>133</v>
      </c>
      <c r="E298" s="16" t="s">
        <v>62</v>
      </c>
      <c r="F298" s="16">
        <v>0.4098</v>
      </c>
      <c r="G298" s="16" t="s">
        <v>306</v>
      </c>
      <c r="H298" s="16" t="s">
        <v>307</v>
      </c>
      <c r="I298" s="16" t="s">
        <v>133</v>
      </c>
    </row>
    <row r="299" spans="1:9" ht="28" x14ac:dyDescent="0.35">
      <c r="A299" s="16" t="s">
        <v>1100</v>
      </c>
      <c r="B299" s="17" t="s">
        <v>1101</v>
      </c>
      <c r="C299" s="17" t="s">
        <v>1102</v>
      </c>
      <c r="D299" s="16" t="s">
        <v>133</v>
      </c>
      <c r="E299" s="16" t="s">
        <v>734</v>
      </c>
      <c r="F299" s="16">
        <v>0.29559999999999997</v>
      </c>
      <c r="G299" s="16" t="s">
        <v>246</v>
      </c>
      <c r="H299" s="16" t="s">
        <v>1103</v>
      </c>
      <c r="I299" s="16" t="s">
        <v>133</v>
      </c>
    </row>
    <row r="300" spans="1:9" ht="42" x14ac:dyDescent="0.35">
      <c r="A300" s="16" t="s">
        <v>223</v>
      </c>
      <c r="B300" s="17" t="s">
        <v>219</v>
      </c>
      <c r="C300" s="17" t="s">
        <v>218</v>
      </c>
      <c r="D300" s="16" t="s">
        <v>133</v>
      </c>
      <c r="E300" s="16" t="s">
        <v>220</v>
      </c>
      <c r="F300" s="16">
        <v>0.32579999999999998</v>
      </c>
      <c r="G300" s="16" t="s">
        <v>221</v>
      </c>
      <c r="H300" s="16" t="s">
        <v>222</v>
      </c>
      <c r="I300" s="16" t="s">
        <v>133</v>
      </c>
    </row>
    <row r="301" spans="1:9" x14ac:dyDescent="0.35">
      <c r="A301" s="16" t="s">
        <v>108</v>
      </c>
      <c r="B301" s="17" t="s">
        <v>107</v>
      </c>
      <c r="C301" s="17" t="s">
        <v>106</v>
      </c>
      <c r="D301" s="16" t="s">
        <v>5</v>
      </c>
      <c r="E301" s="16" t="s">
        <v>53</v>
      </c>
      <c r="F301" s="16">
        <v>0.8</v>
      </c>
      <c r="G301" s="16"/>
      <c r="H301" s="16"/>
      <c r="I301" s="16" t="s">
        <v>5</v>
      </c>
    </row>
    <row r="302" spans="1:9" x14ac:dyDescent="0.35">
      <c r="A302" s="16" t="s">
        <v>1104</v>
      </c>
      <c r="B302" s="17" t="s">
        <v>784</v>
      </c>
      <c r="C302" s="17" t="s">
        <v>785</v>
      </c>
      <c r="D302" s="16" t="s">
        <v>133</v>
      </c>
      <c r="E302" s="16" t="s">
        <v>240</v>
      </c>
      <c r="F302" s="16">
        <v>0.42399999999999999</v>
      </c>
      <c r="G302" s="16" t="s">
        <v>786</v>
      </c>
      <c r="H302" s="16" t="s">
        <v>787</v>
      </c>
      <c r="I302" s="16" t="s">
        <v>133</v>
      </c>
    </row>
    <row r="303" spans="1:9" x14ac:dyDescent="0.35">
      <c r="A303" s="16" t="s">
        <v>1105</v>
      </c>
      <c r="B303" s="17" t="s">
        <v>784</v>
      </c>
      <c r="C303" s="17" t="s">
        <v>785</v>
      </c>
      <c r="D303" s="16" t="s">
        <v>133</v>
      </c>
      <c r="E303" s="16" t="s">
        <v>240</v>
      </c>
      <c r="F303" s="16">
        <v>0.42399999999999999</v>
      </c>
      <c r="G303" s="16" t="s">
        <v>786</v>
      </c>
      <c r="H303" s="16" t="s">
        <v>787</v>
      </c>
      <c r="I303" s="16" t="s">
        <v>133</v>
      </c>
    </row>
    <row r="304" spans="1:9" x14ac:dyDescent="0.35">
      <c r="A304" s="16" t="s">
        <v>1106</v>
      </c>
      <c r="B304" s="17" t="s">
        <v>1107</v>
      </c>
      <c r="C304" s="17" t="s">
        <v>1107</v>
      </c>
      <c r="D304" s="16" t="s">
        <v>133</v>
      </c>
      <c r="E304" s="16" t="s">
        <v>1108</v>
      </c>
      <c r="F304" s="16">
        <v>0.37819999999999998</v>
      </c>
      <c r="G304" s="16" t="s">
        <v>786</v>
      </c>
      <c r="H304" s="16" t="s">
        <v>210</v>
      </c>
      <c r="I304" s="16" t="s">
        <v>133</v>
      </c>
    </row>
    <row r="305" spans="1:9" x14ac:dyDescent="0.35">
      <c r="A305" s="16" t="s">
        <v>1109</v>
      </c>
      <c r="B305" s="17" t="s">
        <v>1110</v>
      </c>
      <c r="C305" s="17" t="s">
        <v>142</v>
      </c>
      <c r="D305" s="16"/>
      <c r="E305" s="16"/>
      <c r="F305" s="16"/>
      <c r="G305" s="16"/>
      <c r="H305" s="16"/>
      <c r="I305" s="16" t="s">
        <v>320</v>
      </c>
    </row>
    <row r="306" spans="1:9" x14ac:dyDescent="0.35">
      <c r="A306" s="16" t="s">
        <v>1111</v>
      </c>
      <c r="B306" s="17" t="s">
        <v>897</v>
      </c>
      <c r="C306" s="17" t="s">
        <v>776</v>
      </c>
      <c r="D306" s="16" t="s">
        <v>133</v>
      </c>
      <c r="E306" s="16" t="s">
        <v>777</v>
      </c>
      <c r="F306" s="16">
        <v>0.46929999999999999</v>
      </c>
      <c r="G306" s="16" t="s">
        <v>778</v>
      </c>
      <c r="H306" s="16" t="s">
        <v>462</v>
      </c>
      <c r="I306" s="16" t="s">
        <v>133</v>
      </c>
    </row>
    <row r="307" spans="1:9" x14ac:dyDescent="0.35">
      <c r="A307" s="16" t="s">
        <v>358</v>
      </c>
      <c r="B307" s="17"/>
      <c r="C307" s="17"/>
      <c r="D307" s="16"/>
      <c r="E307" s="16"/>
      <c r="F307" s="16"/>
      <c r="G307" s="16"/>
      <c r="H307" s="16"/>
      <c r="I307" s="16" t="s">
        <v>353</v>
      </c>
    </row>
    <row r="308" spans="1:9" ht="28" x14ac:dyDescent="0.35">
      <c r="A308" s="16" t="s">
        <v>1112</v>
      </c>
      <c r="B308" s="17" t="s">
        <v>1113</v>
      </c>
      <c r="C308" s="17" t="s">
        <v>1114</v>
      </c>
      <c r="D308" s="16" t="s">
        <v>5</v>
      </c>
      <c r="E308" s="16" t="s">
        <v>786</v>
      </c>
      <c r="F308" s="16">
        <v>0.64</v>
      </c>
      <c r="G308" s="16" t="s">
        <v>1115</v>
      </c>
      <c r="H308" s="16"/>
      <c r="I308" s="16" t="s">
        <v>5</v>
      </c>
    </row>
    <row r="309" spans="1:9" x14ac:dyDescent="0.35">
      <c r="A309" s="16" t="s">
        <v>1116</v>
      </c>
      <c r="B309" s="17"/>
      <c r="C309" s="17"/>
      <c r="D309" s="16"/>
      <c r="E309" s="16"/>
      <c r="F309" s="16"/>
      <c r="G309" s="16"/>
      <c r="H309" s="16"/>
      <c r="I309" s="16" t="s">
        <v>353</v>
      </c>
    </row>
    <row r="310" spans="1:9" x14ac:dyDescent="0.35">
      <c r="A310" s="16" t="s">
        <v>1117</v>
      </c>
      <c r="B310" s="17" t="s">
        <v>1118</v>
      </c>
      <c r="C310" s="17" t="s">
        <v>1119</v>
      </c>
      <c r="D310" s="16" t="s">
        <v>133</v>
      </c>
      <c r="E310" s="16" t="s">
        <v>786</v>
      </c>
      <c r="F310" s="16">
        <v>0.39419999999999999</v>
      </c>
      <c r="G310" s="16" t="s">
        <v>1120</v>
      </c>
      <c r="H310" s="16" t="s">
        <v>734</v>
      </c>
      <c r="I310" s="16" t="s">
        <v>133</v>
      </c>
    </row>
    <row r="311" spans="1:9" ht="126" x14ac:dyDescent="0.35">
      <c r="A311" s="16" t="s">
        <v>1121</v>
      </c>
      <c r="B311" s="17" t="s">
        <v>1122</v>
      </c>
      <c r="C311" s="17" t="s">
        <v>1123</v>
      </c>
      <c r="D311" s="16" t="s">
        <v>133</v>
      </c>
      <c r="E311" s="16" t="s">
        <v>705</v>
      </c>
      <c r="F311" s="16">
        <v>0.41249999999999998</v>
      </c>
      <c r="G311" s="16" t="s">
        <v>743</v>
      </c>
      <c r="H311" s="16" t="s">
        <v>136</v>
      </c>
      <c r="I311" s="16" t="s">
        <v>133</v>
      </c>
    </row>
    <row r="312" spans="1:9" ht="28" x14ac:dyDescent="0.35">
      <c r="A312" s="16" t="s">
        <v>1124</v>
      </c>
      <c r="B312" s="17" t="s">
        <v>1125</v>
      </c>
      <c r="C312" s="17" t="s">
        <v>1126</v>
      </c>
      <c r="D312" s="16" t="s">
        <v>133</v>
      </c>
      <c r="E312" s="16" t="s">
        <v>136</v>
      </c>
      <c r="F312" s="16">
        <v>0.26829999999999998</v>
      </c>
      <c r="G312" s="16" t="s">
        <v>1002</v>
      </c>
      <c r="H312" s="16" t="s">
        <v>1127</v>
      </c>
      <c r="I312" s="16" t="s">
        <v>133</v>
      </c>
    </row>
    <row r="313" spans="1:9" ht="28" x14ac:dyDescent="0.35">
      <c r="A313" s="16" t="s">
        <v>1128</v>
      </c>
      <c r="B313" s="17" t="s">
        <v>1125</v>
      </c>
      <c r="C313" s="17" t="s">
        <v>1126</v>
      </c>
      <c r="D313" s="16" t="s">
        <v>133</v>
      </c>
      <c r="E313" s="16" t="s">
        <v>136</v>
      </c>
      <c r="F313" s="16">
        <v>0.26829999999999998</v>
      </c>
      <c r="G313" s="16" t="s">
        <v>1002</v>
      </c>
      <c r="H313" s="16" t="s">
        <v>1127</v>
      </c>
      <c r="I313" s="16" t="s">
        <v>133</v>
      </c>
    </row>
    <row r="314" spans="1:9" ht="28" x14ac:dyDescent="0.35">
      <c r="A314" s="16" t="s">
        <v>49</v>
      </c>
      <c r="B314" s="17" t="s">
        <v>47</v>
      </c>
      <c r="C314" s="17" t="s">
        <v>46</v>
      </c>
      <c r="D314" s="16" t="s">
        <v>22</v>
      </c>
      <c r="E314" s="16" t="s">
        <v>48</v>
      </c>
      <c r="F314" s="16">
        <v>1</v>
      </c>
      <c r="G314" s="16"/>
      <c r="H314" s="16"/>
      <c r="I314" s="16" t="s">
        <v>22</v>
      </c>
    </row>
    <row r="315" spans="1:9" ht="28" x14ac:dyDescent="0.35">
      <c r="A315" s="16" t="s">
        <v>1129</v>
      </c>
      <c r="B315" s="17" t="s">
        <v>47</v>
      </c>
      <c r="C315" s="17" t="s">
        <v>46</v>
      </c>
      <c r="D315" s="16" t="s">
        <v>22</v>
      </c>
      <c r="E315" s="16" t="s">
        <v>48</v>
      </c>
      <c r="F315" s="16">
        <v>1</v>
      </c>
      <c r="G315" s="16"/>
      <c r="H315" s="16"/>
      <c r="I315" s="16" t="s">
        <v>22</v>
      </c>
    </row>
    <row r="316" spans="1:9" ht="28" x14ac:dyDescent="0.35">
      <c r="A316" s="16" t="s">
        <v>1130</v>
      </c>
      <c r="B316" s="17" t="s">
        <v>1125</v>
      </c>
      <c r="C316" s="17" t="s">
        <v>1126</v>
      </c>
      <c r="D316" s="16" t="s">
        <v>133</v>
      </c>
      <c r="E316" s="16" t="s">
        <v>136</v>
      </c>
      <c r="F316" s="16">
        <v>0.26829999999999998</v>
      </c>
      <c r="G316" s="16" t="s">
        <v>1002</v>
      </c>
      <c r="H316" s="16" t="s">
        <v>1127</v>
      </c>
      <c r="I316" s="16" t="s">
        <v>133</v>
      </c>
    </row>
    <row r="317" spans="1:9" ht="42" x14ac:dyDescent="0.35">
      <c r="A317" s="16" t="s">
        <v>1131</v>
      </c>
      <c r="B317" s="17" t="s">
        <v>1132</v>
      </c>
      <c r="C317" s="17" t="s">
        <v>1133</v>
      </c>
      <c r="D317" s="16" t="s">
        <v>133</v>
      </c>
      <c r="E317" s="16" t="s">
        <v>1134</v>
      </c>
      <c r="F317" s="16">
        <v>0.30940000000000001</v>
      </c>
      <c r="G317" s="16" t="s">
        <v>1127</v>
      </c>
      <c r="H317" s="16" t="s">
        <v>1135</v>
      </c>
      <c r="I317" s="16" t="s">
        <v>133</v>
      </c>
    </row>
    <row r="318" spans="1:9" ht="42" x14ac:dyDescent="0.35">
      <c r="A318" s="16" t="s">
        <v>1136</v>
      </c>
      <c r="B318" s="17" t="s">
        <v>1137</v>
      </c>
      <c r="C318" s="17" t="s">
        <v>1138</v>
      </c>
      <c r="D318" s="16" t="s">
        <v>133</v>
      </c>
      <c r="E318" s="16" t="s">
        <v>1139</v>
      </c>
      <c r="F318" s="16">
        <v>0.35720000000000002</v>
      </c>
      <c r="G318" s="16" t="s">
        <v>1002</v>
      </c>
      <c r="H318" s="16" t="s">
        <v>136</v>
      </c>
      <c r="I318" s="16" t="s">
        <v>133</v>
      </c>
    </row>
    <row r="319" spans="1:9" ht="56" x14ac:dyDescent="0.35">
      <c r="A319" s="16" t="s">
        <v>1140</v>
      </c>
      <c r="B319" s="17" t="s">
        <v>1141</v>
      </c>
      <c r="C319" s="17" t="s">
        <v>1142</v>
      </c>
      <c r="D319" s="16" t="s">
        <v>133</v>
      </c>
      <c r="E319" s="16" t="s">
        <v>136</v>
      </c>
      <c r="F319" s="16">
        <v>0.21529999999999999</v>
      </c>
      <c r="G319" s="16" t="s">
        <v>1143</v>
      </c>
      <c r="H319" s="16"/>
      <c r="I319" s="16" t="s">
        <v>133</v>
      </c>
    </row>
    <row r="320" spans="1:9" x14ac:dyDescent="0.35">
      <c r="A320" s="16" t="s">
        <v>1144</v>
      </c>
      <c r="B320" s="17" t="s">
        <v>1145</v>
      </c>
      <c r="C320" s="17" t="s">
        <v>1145</v>
      </c>
      <c r="D320" s="16" t="s">
        <v>133</v>
      </c>
      <c r="E320" s="16" t="s">
        <v>136</v>
      </c>
      <c r="F320" s="16">
        <v>0.48139999999999999</v>
      </c>
      <c r="G320" s="16" t="s">
        <v>705</v>
      </c>
      <c r="H320" s="16" t="s">
        <v>1002</v>
      </c>
      <c r="I320" s="16" t="s">
        <v>133</v>
      </c>
    </row>
    <row r="321" spans="1:9" ht="28" x14ac:dyDescent="0.35">
      <c r="A321" s="16" t="s">
        <v>1146</v>
      </c>
      <c r="B321" s="17" t="s">
        <v>1147</v>
      </c>
      <c r="C321" s="17" t="s">
        <v>1148</v>
      </c>
      <c r="D321" s="16" t="s">
        <v>133</v>
      </c>
      <c r="E321" s="16" t="s">
        <v>136</v>
      </c>
      <c r="F321" s="16">
        <v>0.23380000000000001</v>
      </c>
      <c r="G321" s="16" t="s">
        <v>1127</v>
      </c>
      <c r="H321" s="16" t="s">
        <v>706</v>
      </c>
      <c r="I321" s="16" t="s">
        <v>133</v>
      </c>
    </row>
    <row r="322" spans="1:9" ht="28" x14ac:dyDescent="0.35">
      <c r="A322" s="16" t="s">
        <v>1149</v>
      </c>
      <c r="B322" s="17" t="s">
        <v>1147</v>
      </c>
      <c r="C322" s="17" t="s">
        <v>1148</v>
      </c>
      <c r="D322" s="16" t="s">
        <v>133</v>
      </c>
      <c r="E322" s="16" t="s">
        <v>136</v>
      </c>
      <c r="F322" s="16">
        <v>0.23380000000000001</v>
      </c>
      <c r="G322" s="16" t="s">
        <v>1127</v>
      </c>
      <c r="H322" s="16" t="s">
        <v>706</v>
      </c>
      <c r="I322" s="16" t="s">
        <v>133</v>
      </c>
    </row>
    <row r="323" spans="1:9" ht="28" x14ac:dyDescent="0.35">
      <c r="A323" s="16" t="s">
        <v>1150</v>
      </c>
      <c r="B323" s="17" t="s">
        <v>1151</v>
      </c>
      <c r="C323" s="17" t="s">
        <v>974</v>
      </c>
      <c r="D323" s="16" t="s">
        <v>133</v>
      </c>
      <c r="E323" s="16" t="s">
        <v>975</v>
      </c>
      <c r="F323" s="16">
        <v>0.3871</v>
      </c>
      <c r="G323" s="16" t="s">
        <v>976</v>
      </c>
      <c r="H323" s="16" t="s">
        <v>211</v>
      </c>
      <c r="I323" s="16" t="s">
        <v>133</v>
      </c>
    </row>
    <row r="324" spans="1:9" ht="42" x14ac:dyDescent="0.35">
      <c r="A324" s="16" t="s">
        <v>1152</v>
      </c>
      <c r="B324" s="17" t="s">
        <v>1153</v>
      </c>
      <c r="C324" s="17" t="s">
        <v>1154</v>
      </c>
      <c r="D324" s="16" t="s">
        <v>133</v>
      </c>
      <c r="E324" s="16" t="s">
        <v>136</v>
      </c>
      <c r="F324" s="16">
        <v>0.21579999999999999</v>
      </c>
      <c r="G324" s="16"/>
      <c r="H324" s="16"/>
      <c r="I324" s="16" t="s">
        <v>133</v>
      </c>
    </row>
    <row r="325" spans="1:9" ht="28" x14ac:dyDescent="0.35">
      <c r="A325" s="16" t="s">
        <v>1155</v>
      </c>
      <c r="B325" s="17" t="s">
        <v>1156</v>
      </c>
      <c r="C325" s="17" t="s">
        <v>1157</v>
      </c>
      <c r="D325" s="16" t="s">
        <v>133</v>
      </c>
      <c r="E325" s="16" t="s">
        <v>136</v>
      </c>
      <c r="F325" s="16">
        <v>0.30170000000000002</v>
      </c>
      <c r="G325" s="16" t="s">
        <v>706</v>
      </c>
      <c r="H325" s="16" t="s">
        <v>1158</v>
      </c>
      <c r="I325" s="16" t="s">
        <v>133</v>
      </c>
    </row>
    <row r="326" spans="1:9" ht="28" x14ac:dyDescent="0.35">
      <c r="A326" s="16" t="s">
        <v>1159</v>
      </c>
      <c r="B326" s="17" t="s">
        <v>1156</v>
      </c>
      <c r="C326" s="17" t="s">
        <v>1157</v>
      </c>
      <c r="D326" s="16" t="s">
        <v>133</v>
      </c>
      <c r="E326" s="16" t="s">
        <v>136</v>
      </c>
      <c r="F326" s="16">
        <v>0.30170000000000002</v>
      </c>
      <c r="G326" s="16" t="s">
        <v>706</v>
      </c>
      <c r="H326" s="16" t="s">
        <v>1158</v>
      </c>
      <c r="I326" s="16" t="s">
        <v>133</v>
      </c>
    </row>
    <row r="327" spans="1:9" x14ac:dyDescent="0.35">
      <c r="A327" s="16" t="s">
        <v>1160</v>
      </c>
      <c r="B327" s="17" t="s">
        <v>1161</v>
      </c>
      <c r="C327" s="17" t="s">
        <v>715</v>
      </c>
      <c r="D327" s="16" t="s">
        <v>133</v>
      </c>
      <c r="E327" s="16" t="s">
        <v>705</v>
      </c>
      <c r="F327" s="16">
        <v>0.44900000000000001</v>
      </c>
      <c r="G327" s="16" t="s">
        <v>42</v>
      </c>
      <c r="H327" s="16" t="s">
        <v>716</v>
      </c>
      <c r="I327" s="16" t="s">
        <v>133</v>
      </c>
    </row>
    <row r="328" spans="1:9" x14ac:dyDescent="0.35">
      <c r="A328" s="16" t="s">
        <v>1162</v>
      </c>
      <c r="B328" s="17" t="s">
        <v>1161</v>
      </c>
      <c r="C328" s="17" t="s">
        <v>715</v>
      </c>
      <c r="D328" s="16" t="s">
        <v>133</v>
      </c>
      <c r="E328" s="16" t="s">
        <v>705</v>
      </c>
      <c r="F328" s="16">
        <v>0.44900000000000001</v>
      </c>
      <c r="G328" s="16" t="s">
        <v>42</v>
      </c>
      <c r="H328" s="16" t="s">
        <v>716</v>
      </c>
      <c r="I328" s="16" t="s">
        <v>133</v>
      </c>
    </row>
    <row r="329" spans="1:9" ht="42" x14ac:dyDescent="0.35">
      <c r="A329" s="16" t="s">
        <v>1163</v>
      </c>
      <c r="B329" s="17" t="s">
        <v>1164</v>
      </c>
      <c r="C329" s="17" t="s">
        <v>1165</v>
      </c>
      <c r="D329" s="16" t="s">
        <v>133</v>
      </c>
      <c r="E329" s="16" t="s">
        <v>136</v>
      </c>
      <c r="F329" s="16">
        <v>0.27510000000000001</v>
      </c>
      <c r="G329" s="16" t="s">
        <v>1002</v>
      </c>
      <c r="H329" s="16" t="s">
        <v>1127</v>
      </c>
      <c r="I329" s="16" t="s">
        <v>133</v>
      </c>
    </row>
    <row r="330" spans="1:9" x14ac:dyDescent="0.35">
      <c r="A330" s="16" t="s">
        <v>1166</v>
      </c>
      <c r="B330" s="17" t="s">
        <v>726</v>
      </c>
      <c r="C330" s="17" t="s">
        <v>726</v>
      </c>
      <c r="D330" s="16" t="s">
        <v>133</v>
      </c>
      <c r="E330" s="16" t="s">
        <v>727</v>
      </c>
      <c r="F330" s="16">
        <v>0.20469999999999999</v>
      </c>
      <c r="G330" s="16"/>
      <c r="H330" s="16"/>
      <c r="I330" s="16" t="s">
        <v>133</v>
      </c>
    </row>
    <row r="331" spans="1:9" x14ac:dyDescent="0.35">
      <c r="A331" s="16" t="s">
        <v>1167</v>
      </c>
      <c r="B331" s="17" t="s">
        <v>1168</v>
      </c>
      <c r="C331" s="17" t="s">
        <v>1169</v>
      </c>
      <c r="D331" s="16" t="s">
        <v>133</v>
      </c>
      <c r="E331" s="16" t="s">
        <v>1170</v>
      </c>
      <c r="F331" s="16">
        <v>0.35449999999999998</v>
      </c>
      <c r="G331" s="16" t="s">
        <v>1171</v>
      </c>
      <c r="H331" s="16" t="s">
        <v>1172</v>
      </c>
      <c r="I331" s="16" t="s">
        <v>133</v>
      </c>
    </row>
    <row r="332" spans="1:9" x14ac:dyDescent="0.35">
      <c r="A332" s="16" t="s">
        <v>1173</v>
      </c>
      <c r="B332" s="17" t="s">
        <v>1174</v>
      </c>
      <c r="C332" s="17" t="s">
        <v>56</v>
      </c>
      <c r="D332" s="16" t="s">
        <v>22</v>
      </c>
      <c r="E332" s="16" t="s">
        <v>53</v>
      </c>
      <c r="F332" s="16">
        <v>1</v>
      </c>
      <c r="G332" s="16"/>
      <c r="H332" s="16"/>
      <c r="I332" s="16" t="s">
        <v>22</v>
      </c>
    </row>
    <row r="333" spans="1:9" x14ac:dyDescent="0.35">
      <c r="A333" s="16" t="s">
        <v>1175</v>
      </c>
      <c r="B333" s="17" t="s">
        <v>1176</v>
      </c>
      <c r="C333" s="17" t="s">
        <v>1176</v>
      </c>
      <c r="D333" s="16" t="s">
        <v>133</v>
      </c>
      <c r="E333" s="16" t="s">
        <v>976</v>
      </c>
      <c r="F333" s="16">
        <v>0.27229999999999999</v>
      </c>
      <c r="G333" s="16" t="s">
        <v>1177</v>
      </c>
      <c r="H333" s="16" t="s">
        <v>1178</v>
      </c>
      <c r="I333" s="16" t="s">
        <v>133</v>
      </c>
    </row>
    <row r="334" spans="1:9" x14ac:dyDescent="0.35">
      <c r="A334" s="16" t="s">
        <v>1179</v>
      </c>
      <c r="B334" s="17" t="s">
        <v>1176</v>
      </c>
      <c r="C334" s="17" t="s">
        <v>1176</v>
      </c>
      <c r="D334" s="16" t="s">
        <v>133</v>
      </c>
      <c r="E334" s="16" t="s">
        <v>976</v>
      </c>
      <c r="F334" s="16">
        <v>0.27229999999999999</v>
      </c>
      <c r="G334" s="16" t="s">
        <v>1177</v>
      </c>
      <c r="H334" s="16" t="s">
        <v>1178</v>
      </c>
      <c r="I334" s="16" t="s">
        <v>133</v>
      </c>
    </row>
    <row r="335" spans="1:9" x14ac:dyDescent="0.35">
      <c r="A335" s="16" t="s">
        <v>1180</v>
      </c>
      <c r="B335" s="17" t="s">
        <v>1181</v>
      </c>
      <c r="C335" s="17" t="s">
        <v>1182</v>
      </c>
      <c r="D335" s="16" t="s">
        <v>133</v>
      </c>
      <c r="E335" s="16" t="s">
        <v>1183</v>
      </c>
      <c r="F335" s="16">
        <v>0.2722</v>
      </c>
      <c r="G335" s="16"/>
      <c r="H335" s="16"/>
      <c r="I335" s="16" t="s">
        <v>133</v>
      </c>
    </row>
    <row r="336" spans="1:9" x14ac:dyDescent="0.35">
      <c r="A336" s="16" t="s">
        <v>1184</v>
      </c>
      <c r="B336" s="17" t="s">
        <v>726</v>
      </c>
      <c r="C336" s="17" t="s">
        <v>726</v>
      </c>
      <c r="D336" s="16" t="s">
        <v>133</v>
      </c>
      <c r="E336" s="16" t="s">
        <v>727</v>
      </c>
      <c r="F336" s="16">
        <v>0.20469999999999999</v>
      </c>
      <c r="G336" s="16"/>
      <c r="H336" s="16"/>
      <c r="I336" s="16" t="s">
        <v>133</v>
      </c>
    </row>
    <row r="337" spans="1:9" x14ac:dyDescent="0.35">
      <c r="A337" s="16" t="s">
        <v>360</v>
      </c>
      <c r="B337" s="17"/>
      <c r="C337" s="17"/>
      <c r="D337" s="16"/>
      <c r="E337" s="16"/>
      <c r="F337" s="16"/>
      <c r="G337" s="16"/>
      <c r="H337" s="16"/>
      <c r="I337" s="16" t="s">
        <v>353</v>
      </c>
    </row>
    <row r="338" spans="1:9" ht="28" x14ac:dyDescent="0.35">
      <c r="A338" s="16" t="s">
        <v>1185</v>
      </c>
      <c r="B338" s="17" t="s">
        <v>1156</v>
      </c>
      <c r="C338" s="17" t="s">
        <v>1157</v>
      </c>
      <c r="D338" s="16" t="s">
        <v>133</v>
      </c>
      <c r="E338" s="16" t="s">
        <v>136</v>
      </c>
      <c r="F338" s="16">
        <v>0.30170000000000002</v>
      </c>
      <c r="G338" s="16" t="s">
        <v>706</v>
      </c>
      <c r="H338" s="16" t="s">
        <v>1158</v>
      </c>
      <c r="I338" s="16" t="s">
        <v>133</v>
      </c>
    </row>
    <row r="339" spans="1:9" ht="28" x14ac:dyDescent="0.35">
      <c r="A339" s="16" t="s">
        <v>1186</v>
      </c>
      <c r="B339" s="17" t="s">
        <v>1187</v>
      </c>
      <c r="C339" s="17" t="s">
        <v>1187</v>
      </c>
      <c r="D339" s="16" t="s">
        <v>133</v>
      </c>
      <c r="E339" s="16" t="s">
        <v>136</v>
      </c>
      <c r="F339" s="16">
        <v>0.3669</v>
      </c>
      <c r="G339" s="16" t="s">
        <v>705</v>
      </c>
      <c r="H339" s="16" t="s">
        <v>1188</v>
      </c>
      <c r="I339" s="16" t="s">
        <v>133</v>
      </c>
    </row>
    <row r="340" spans="1:9" ht="28" x14ac:dyDescent="0.35">
      <c r="A340" s="16" t="s">
        <v>1189</v>
      </c>
      <c r="B340" s="17" t="s">
        <v>1187</v>
      </c>
      <c r="C340" s="17" t="s">
        <v>1187</v>
      </c>
      <c r="D340" s="16" t="s">
        <v>133</v>
      </c>
      <c r="E340" s="16" t="s">
        <v>136</v>
      </c>
      <c r="F340" s="16">
        <v>0.3669</v>
      </c>
      <c r="G340" s="16" t="s">
        <v>705</v>
      </c>
      <c r="H340" s="16" t="s">
        <v>1188</v>
      </c>
      <c r="I340" s="16" t="s">
        <v>133</v>
      </c>
    </row>
    <row r="341" spans="1:9" ht="28" x14ac:dyDescent="0.35">
      <c r="A341" s="16" t="s">
        <v>1190</v>
      </c>
      <c r="B341" s="17" t="s">
        <v>1187</v>
      </c>
      <c r="C341" s="17" t="s">
        <v>1187</v>
      </c>
      <c r="D341" s="16" t="s">
        <v>133</v>
      </c>
      <c r="E341" s="16" t="s">
        <v>136</v>
      </c>
      <c r="F341" s="16">
        <v>0.3669</v>
      </c>
      <c r="G341" s="16" t="s">
        <v>705</v>
      </c>
      <c r="H341" s="16" t="s">
        <v>1188</v>
      </c>
      <c r="I341" s="16" t="s">
        <v>133</v>
      </c>
    </row>
    <row r="342" spans="1:9" x14ac:dyDescent="0.35">
      <c r="A342" s="16" t="s">
        <v>1191</v>
      </c>
      <c r="B342" s="17" t="s">
        <v>1192</v>
      </c>
      <c r="C342" s="17" t="s">
        <v>1193</v>
      </c>
      <c r="D342" s="16" t="s">
        <v>133</v>
      </c>
      <c r="E342" s="16" t="s">
        <v>1194</v>
      </c>
      <c r="F342" s="16">
        <v>0.45069999999999999</v>
      </c>
      <c r="G342" s="16" t="s">
        <v>1195</v>
      </c>
      <c r="H342" s="16" t="s">
        <v>1196</v>
      </c>
      <c r="I342" s="16" t="s">
        <v>133</v>
      </c>
    </row>
    <row r="343" spans="1:9" ht="28" x14ac:dyDescent="0.35">
      <c r="A343" s="16" t="s">
        <v>1197</v>
      </c>
      <c r="B343" s="17" t="s">
        <v>1198</v>
      </c>
      <c r="C343" s="17" t="s">
        <v>1198</v>
      </c>
      <c r="D343" s="16" t="s">
        <v>133</v>
      </c>
      <c r="E343" s="16" t="s">
        <v>705</v>
      </c>
      <c r="F343" s="16">
        <v>0.3831</v>
      </c>
      <c r="G343" s="16" t="s">
        <v>286</v>
      </c>
      <c r="H343" s="16" t="s">
        <v>743</v>
      </c>
      <c r="I343" s="16" t="s">
        <v>133</v>
      </c>
    </row>
    <row r="344" spans="1:9" ht="42" x14ac:dyDescent="0.35">
      <c r="A344" s="16" t="s">
        <v>1199</v>
      </c>
      <c r="B344" s="17" t="s">
        <v>1200</v>
      </c>
      <c r="C344" s="17" t="s">
        <v>1200</v>
      </c>
      <c r="D344" s="16"/>
      <c r="E344" s="16"/>
      <c r="F344" s="16"/>
      <c r="G344" s="16"/>
      <c r="H344" s="16"/>
      <c r="I344" s="16" t="s">
        <v>320</v>
      </c>
    </row>
    <row r="345" spans="1:9" ht="28" x14ac:dyDescent="0.35">
      <c r="A345" s="16" t="s">
        <v>1201</v>
      </c>
      <c r="B345" s="17" t="s">
        <v>1198</v>
      </c>
      <c r="C345" s="17" t="s">
        <v>1198</v>
      </c>
      <c r="D345" s="16" t="s">
        <v>133</v>
      </c>
      <c r="E345" s="16" t="s">
        <v>705</v>
      </c>
      <c r="F345" s="16">
        <v>0.3831</v>
      </c>
      <c r="G345" s="16" t="s">
        <v>286</v>
      </c>
      <c r="H345" s="16" t="s">
        <v>743</v>
      </c>
      <c r="I345" s="16" t="s">
        <v>133</v>
      </c>
    </row>
    <row r="346" spans="1:9" ht="28" x14ac:dyDescent="0.35">
      <c r="A346" s="16" t="s">
        <v>1202</v>
      </c>
      <c r="B346" s="17" t="s">
        <v>1198</v>
      </c>
      <c r="C346" s="17" t="s">
        <v>1198</v>
      </c>
      <c r="D346" s="16" t="s">
        <v>133</v>
      </c>
      <c r="E346" s="16" t="s">
        <v>705</v>
      </c>
      <c r="F346" s="16">
        <v>0.3831</v>
      </c>
      <c r="G346" s="16" t="s">
        <v>286</v>
      </c>
      <c r="H346" s="16" t="s">
        <v>743</v>
      </c>
      <c r="I346" s="16" t="s">
        <v>133</v>
      </c>
    </row>
    <row r="347" spans="1:9" ht="28" x14ac:dyDescent="0.35">
      <c r="A347" s="16" t="s">
        <v>263</v>
      </c>
      <c r="B347" s="17" t="s">
        <v>259</v>
      </c>
      <c r="C347" s="17" t="s">
        <v>258</v>
      </c>
      <c r="D347" s="16" t="s">
        <v>133</v>
      </c>
      <c r="E347" s="16" t="s">
        <v>260</v>
      </c>
      <c r="F347" s="16">
        <v>0.47210000000000002</v>
      </c>
      <c r="G347" s="16" t="s">
        <v>261</v>
      </c>
      <c r="H347" s="16" t="s">
        <v>262</v>
      </c>
      <c r="I347" s="16" t="s">
        <v>133</v>
      </c>
    </row>
    <row r="348" spans="1:9" x14ac:dyDescent="0.35">
      <c r="A348" s="16" t="s">
        <v>1203</v>
      </c>
      <c r="B348" s="17" t="s">
        <v>60</v>
      </c>
      <c r="C348" s="17" t="s">
        <v>60</v>
      </c>
      <c r="D348" s="16" t="s">
        <v>22</v>
      </c>
      <c r="E348" s="16" t="s">
        <v>63</v>
      </c>
      <c r="F348" s="16">
        <v>1</v>
      </c>
      <c r="G348" s="16"/>
      <c r="H348" s="16"/>
      <c r="I348" s="16" t="s">
        <v>22</v>
      </c>
    </row>
    <row r="349" spans="1:9" ht="28" x14ac:dyDescent="0.35">
      <c r="A349" s="16" t="s">
        <v>1204</v>
      </c>
      <c r="B349" s="17" t="s">
        <v>1205</v>
      </c>
      <c r="C349" s="17" t="s">
        <v>1206</v>
      </c>
      <c r="D349" s="16" t="s">
        <v>5</v>
      </c>
      <c r="E349" s="16" t="s">
        <v>1207</v>
      </c>
      <c r="F349" s="16">
        <v>0.8</v>
      </c>
      <c r="G349" s="16"/>
      <c r="H349" s="16"/>
      <c r="I349" s="16" t="s">
        <v>5</v>
      </c>
    </row>
    <row r="350" spans="1:9" ht="56" x14ac:dyDescent="0.35">
      <c r="A350" s="16" t="s">
        <v>1208</v>
      </c>
      <c r="B350" s="17" t="s">
        <v>1209</v>
      </c>
      <c r="C350" s="17" t="s">
        <v>1210</v>
      </c>
      <c r="D350" s="16"/>
      <c r="E350" s="16"/>
      <c r="F350" s="16"/>
      <c r="G350" s="16"/>
      <c r="H350" s="16"/>
      <c r="I350" s="16" t="s">
        <v>320</v>
      </c>
    </row>
    <row r="351" spans="1:9" x14ac:dyDescent="0.35">
      <c r="A351" s="16" t="s">
        <v>1211</v>
      </c>
      <c r="B351" s="17" t="s">
        <v>1212</v>
      </c>
      <c r="C351" s="17" t="s">
        <v>1213</v>
      </c>
      <c r="D351" s="16" t="s">
        <v>133</v>
      </c>
      <c r="E351" s="16" t="s">
        <v>62</v>
      </c>
      <c r="F351" s="16">
        <v>0.38819999999999999</v>
      </c>
      <c r="G351" s="16" t="s">
        <v>306</v>
      </c>
      <c r="H351" s="16" t="s">
        <v>1214</v>
      </c>
      <c r="I351" s="16" t="s">
        <v>133</v>
      </c>
    </row>
    <row r="352" spans="1:9" x14ac:dyDescent="0.35">
      <c r="A352" s="16" t="s">
        <v>1215</v>
      </c>
      <c r="B352" s="17" t="s">
        <v>1216</v>
      </c>
      <c r="C352" s="17" t="s">
        <v>1213</v>
      </c>
      <c r="D352" s="16" t="s">
        <v>133</v>
      </c>
      <c r="E352" s="16" t="s">
        <v>62</v>
      </c>
      <c r="F352" s="16">
        <v>0.38819999999999999</v>
      </c>
      <c r="G352" s="16" t="s">
        <v>306</v>
      </c>
      <c r="H352" s="16" t="s">
        <v>1214</v>
      </c>
      <c r="I352" s="16" t="s">
        <v>133</v>
      </c>
    </row>
    <row r="353" spans="1:9" x14ac:dyDescent="0.35">
      <c r="A353" s="16" t="s">
        <v>1217</v>
      </c>
      <c r="B353" s="17" t="s">
        <v>1218</v>
      </c>
      <c r="C353" s="17" t="s">
        <v>1219</v>
      </c>
      <c r="D353" s="16" t="s">
        <v>133</v>
      </c>
      <c r="E353" s="16" t="s">
        <v>1220</v>
      </c>
      <c r="F353" s="16">
        <v>0.4002</v>
      </c>
      <c r="G353" s="16" t="s">
        <v>1221</v>
      </c>
      <c r="H353" s="16" t="s">
        <v>270</v>
      </c>
      <c r="I353" s="16" t="s">
        <v>133</v>
      </c>
    </row>
    <row r="354" spans="1:9" x14ac:dyDescent="0.35">
      <c r="A354" s="16" t="s">
        <v>1222</v>
      </c>
      <c r="B354" s="17" t="s">
        <v>784</v>
      </c>
      <c r="C354" s="17" t="s">
        <v>785</v>
      </c>
      <c r="D354" s="16" t="s">
        <v>133</v>
      </c>
      <c r="E354" s="16" t="s">
        <v>240</v>
      </c>
      <c r="F354" s="16">
        <v>0.42399999999999999</v>
      </c>
      <c r="G354" s="16" t="s">
        <v>786</v>
      </c>
      <c r="H354" s="16" t="s">
        <v>787</v>
      </c>
      <c r="I354" s="16" t="s">
        <v>133</v>
      </c>
    </row>
    <row r="355" spans="1:9" x14ac:dyDescent="0.35">
      <c r="A355" s="16" t="s">
        <v>1223</v>
      </c>
      <c r="B355" s="17" t="s">
        <v>1216</v>
      </c>
      <c r="C355" s="17" t="s">
        <v>1213</v>
      </c>
      <c r="D355" s="16" t="s">
        <v>133</v>
      </c>
      <c r="E355" s="16" t="s">
        <v>62</v>
      </c>
      <c r="F355" s="16">
        <v>0.38819999999999999</v>
      </c>
      <c r="G355" s="16" t="s">
        <v>306</v>
      </c>
      <c r="H355" s="16" t="s">
        <v>1214</v>
      </c>
      <c r="I355" s="16" t="s">
        <v>133</v>
      </c>
    </row>
    <row r="356" spans="1:9" x14ac:dyDescent="0.35">
      <c r="A356" s="16" t="s">
        <v>1224</v>
      </c>
      <c r="B356" s="17" t="s">
        <v>1225</v>
      </c>
      <c r="C356" s="17" t="s">
        <v>1226</v>
      </c>
      <c r="D356" s="16" t="s">
        <v>133</v>
      </c>
      <c r="E356" s="16" t="s">
        <v>1227</v>
      </c>
      <c r="F356" s="16">
        <v>0.47520000000000001</v>
      </c>
      <c r="G356" s="16" t="s">
        <v>1228</v>
      </c>
      <c r="H356" s="16" t="s">
        <v>241</v>
      </c>
      <c r="I356" s="16" t="s">
        <v>133</v>
      </c>
    </row>
    <row r="357" spans="1:9" x14ac:dyDescent="0.35">
      <c r="A357" s="16" t="s">
        <v>1229</v>
      </c>
      <c r="B357" s="17" t="s">
        <v>1230</v>
      </c>
      <c r="C357" s="17" t="s">
        <v>1231</v>
      </c>
      <c r="D357" s="16" t="s">
        <v>133</v>
      </c>
      <c r="E357" s="16" t="s">
        <v>1232</v>
      </c>
      <c r="F357" s="16">
        <v>0.36049999999999999</v>
      </c>
      <c r="G357" s="16" t="s">
        <v>1233</v>
      </c>
      <c r="H357" s="16" t="s">
        <v>1234</v>
      </c>
      <c r="I357" s="16" t="s">
        <v>133</v>
      </c>
    </row>
    <row r="358" spans="1:9" ht="28" x14ac:dyDescent="0.35">
      <c r="A358" s="16" t="s">
        <v>294</v>
      </c>
      <c r="B358" s="17" t="s">
        <v>290</v>
      </c>
      <c r="C358" s="17" t="s">
        <v>289</v>
      </c>
      <c r="D358" s="16" t="s">
        <v>133</v>
      </c>
      <c r="E358" s="16" t="s">
        <v>291</v>
      </c>
      <c r="F358" s="16">
        <v>0.42120000000000002</v>
      </c>
      <c r="G358" s="16" t="s">
        <v>292</v>
      </c>
      <c r="H358" s="16" t="s">
        <v>293</v>
      </c>
      <c r="I358" s="16" t="s">
        <v>133</v>
      </c>
    </row>
    <row r="359" spans="1:9" x14ac:dyDescent="0.35">
      <c r="A359" s="16" t="s">
        <v>1235</v>
      </c>
      <c r="B359" s="17"/>
      <c r="C359" s="17"/>
      <c r="D359" s="16"/>
      <c r="E359" s="16"/>
      <c r="F359" s="16"/>
      <c r="G359" s="16"/>
      <c r="H359" s="16"/>
      <c r="I359" s="16" t="s">
        <v>353</v>
      </c>
    </row>
    <row r="360" spans="1:9" x14ac:dyDescent="0.35">
      <c r="A360" s="16" t="s">
        <v>1236</v>
      </c>
      <c r="B360" s="17" t="s">
        <v>28</v>
      </c>
      <c r="C360" s="17" t="s">
        <v>28</v>
      </c>
      <c r="D360" s="16" t="s">
        <v>22</v>
      </c>
      <c r="E360" s="16" t="s">
        <v>30</v>
      </c>
      <c r="F360" s="16">
        <v>1</v>
      </c>
      <c r="G360" s="16"/>
      <c r="H360" s="16"/>
      <c r="I360" s="16" t="s">
        <v>22</v>
      </c>
    </row>
    <row r="361" spans="1:9" x14ac:dyDescent="0.35">
      <c r="A361" s="16" t="s">
        <v>1237</v>
      </c>
      <c r="B361" s="17" t="s">
        <v>1238</v>
      </c>
      <c r="C361" s="17" t="s">
        <v>1193</v>
      </c>
      <c r="D361" s="16" t="s">
        <v>133</v>
      </c>
      <c r="E361" s="16" t="s">
        <v>1194</v>
      </c>
      <c r="F361" s="16">
        <v>0.45069999999999999</v>
      </c>
      <c r="G361" s="16" t="s">
        <v>1195</v>
      </c>
      <c r="H361" s="16" t="s">
        <v>1196</v>
      </c>
      <c r="I361" s="16" t="s">
        <v>133</v>
      </c>
    </row>
    <row r="362" spans="1:9" ht="28" x14ac:dyDescent="0.35">
      <c r="A362" s="16" t="s">
        <v>1239</v>
      </c>
      <c r="B362" s="17" t="s">
        <v>1240</v>
      </c>
      <c r="C362" s="17" t="s">
        <v>1241</v>
      </c>
      <c r="D362" s="16" t="s">
        <v>133</v>
      </c>
      <c r="E362" s="16" t="s">
        <v>1242</v>
      </c>
      <c r="F362" s="16">
        <v>0.2414</v>
      </c>
      <c r="G362" s="16" t="s">
        <v>777</v>
      </c>
      <c r="H362" s="16"/>
      <c r="I362" s="16" t="s">
        <v>133</v>
      </c>
    </row>
    <row r="363" spans="1:9" ht="42" x14ac:dyDescent="0.35">
      <c r="A363" s="16" t="s">
        <v>1243</v>
      </c>
      <c r="B363" s="17" t="s">
        <v>1244</v>
      </c>
      <c r="C363" s="17" t="s">
        <v>1244</v>
      </c>
      <c r="D363" s="16"/>
      <c r="E363" s="16"/>
      <c r="F363" s="16"/>
      <c r="G363" s="16"/>
      <c r="H363" s="16"/>
      <c r="I363" s="16" t="s">
        <v>320</v>
      </c>
    </row>
    <row r="364" spans="1:9" x14ac:dyDescent="0.35">
      <c r="A364" s="16" t="s">
        <v>1245</v>
      </c>
      <c r="B364" s="17" t="s">
        <v>1246</v>
      </c>
      <c r="C364" s="17"/>
      <c r="D364" s="16"/>
      <c r="E364" s="16"/>
      <c r="F364" s="16"/>
      <c r="G364" s="16"/>
      <c r="H364" s="16"/>
      <c r="I364" s="16" t="s">
        <v>320</v>
      </c>
    </row>
    <row r="365" spans="1:9" x14ac:dyDescent="0.35">
      <c r="A365" s="16" t="s">
        <v>1247</v>
      </c>
      <c r="B365" s="17" t="s">
        <v>1248</v>
      </c>
      <c r="C365" s="17" t="s">
        <v>1248</v>
      </c>
      <c r="D365" s="16" t="s">
        <v>133</v>
      </c>
      <c r="E365" s="16" t="s">
        <v>727</v>
      </c>
      <c r="F365" s="16">
        <v>0.30209999999999998</v>
      </c>
      <c r="G365" s="16" t="s">
        <v>1178</v>
      </c>
      <c r="H365" s="16" t="s">
        <v>209</v>
      </c>
      <c r="I365" s="16" t="s">
        <v>133</v>
      </c>
    </row>
    <row r="366" spans="1:9" x14ac:dyDescent="0.35">
      <c r="A366" s="16" t="s">
        <v>1249</v>
      </c>
      <c r="B366" s="17" t="s">
        <v>1250</v>
      </c>
      <c r="C366" s="17" t="s">
        <v>1248</v>
      </c>
      <c r="D366" s="16" t="s">
        <v>133</v>
      </c>
      <c r="E366" s="16" t="s">
        <v>727</v>
      </c>
      <c r="F366" s="16">
        <v>0.30209999999999998</v>
      </c>
      <c r="G366" s="16" t="s">
        <v>1178</v>
      </c>
      <c r="H366" s="16" t="s">
        <v>209</v>
      </c>
      <c r="I366" s="16" t="s">
        <v>133</v>
      </c>
    </row>
    <row r="367" spans="1:9" ht="28" x14ac:dyDescent="0.35">
      <c r="A367" s="16" t="s">
        <v>1251</v>
      </c>
      <c r="B367" s="17" t="s">
        <v>1252</v>
      </c>
      <c r="C367" s="17" t="s">
        <v>1253</v>
      </c>
      <c r="D367" s="16" t="s">
        <v>22</v>
      </c>
      <c r="E367" s="16" t="s">
        <v>596</v>
      </c>
      <c r="F367" s="16">
        <v>1</v>
      </c>
      <c r="G367" s="16" t="s">
        <v>53</v>
      </c>
      <c r="H367" s="16"/>
      <c r="I367" s="16" t="s">
        <v>22</v>
      </c>
    </row>
    <row r="368" spans="1:9" ht="28" x14ac:dyDescent="0.35">
      <c r="A368" s="16" t="s">
        <v>1254</v>
      </c>
      <c r="B368" s="17" t="s">
        <v>1255</v>
      </c>
      <c r="C368" s="17"/>
      <c r="D368" s="16"/>
      <c r="E368" s="16"/>
      <c r="F368" s="16"/>
      <c r="G368" s="16"/>
      <c r="H368" s="16"/>
      <c r="I368" s="16" t="s">
        <v>320</v>
      </c>
    </row>
    <row r="369" spans="1:9" x14ac:dyDescent="0.35">
      <c r="A369" s="16" t="s">
        <v>1256</v>
      </c>
      <c r="B369" s="17" t="s">
        <v>1257</v>
      </c>
      <c r="C369" s="17"/>
      <c r="D369" s="16"/>
      <c r="E369" s="16"/>
      <c r="F369" s="16"/>
      <c r="G369" s="16"/>
      <c r="H369" s="16"/>
      <c r="I369" s="16" t="s">
        <v>320</v>
      </c>
    </row>
    <row r="370" spans="1:9" x14ac:dyDescent="0.35">
      <c r="A370" s="16" t="s">
        <v>1258</v>
      </c>
      <c r="B370" s="17" t="s">
        <v>1259</v>
      </c>
      <c r="C370" s="17"/>
      <c r="D370" s="16"/>
      <c r="E370" s="16"/>
      <c r="F370" s="16"/>
      <c r="G370" s="16"/>
      <c r="H370" s="16"/>
      <c r="I370" s="16" t="s">
        <v>320</v>
      </c>
    </row>
    <row r="371" spans="1:9" x14ac:dyDescent="0.35">
      <c r="A371" s="16" t="s">
        <v>1260</v>
      </c>
      <c r="B371" s="17" t="s">
        <v>1261</v>
      </c>
      <c r="C371" s="17" t="s">
        <v>1261</v>
      </c>
      <c r="D371" s="16"/>
      <c r="E371" s="16"/>
      <c r="F371" s="16"/>
      <c r="G371" s="16"/>
      <c r="H371" s="16"/>
      <c r="I371" s="16" t="s">
        <v>320</v>
      </c>
    </row>
    <row r="372" spans="1:9" x14ac:dyDescent="0.35">
      <c r="A372" s="16" t="s">
        <v>1262</v>
      </c>
      <c r="B372" s="17" t="s">
        <v>1263</v>
      </c>
      <c r="C372" s="17" t="s">
        <v>1264</v>
      </c>
      <c r="D372" s="16"/>
      <c r="E372" s="16"/>
      <c r="F372" s="16"/>
      <c r="G372" s="16"/>
      <c r="H372" s="16"/>
      <c r="I372" s="16" t="s">
        <v>320</v>
      </c>
    </row>
    <row r="373" spans="1:9" ht="28" x14ac:dyDescent="0.35">
      <c r="A373" s="16" t="s">
        <v>168</v>
      </c>
      <c r="B373" s="17" t="s">
        <v>165</v>
      </c>
      <c r="C373" s="17" t="s">
        <v>164</v>
      </c>
      <c r="D373" s="16" t="s">
        <v>133</v>
      </c>
      <c r="E373" s="16" t="s">
        <v>166</v>
      </c>
      <c r="F373" s="16">
        <v>0.2366</v>
      </c>
      <c r="G373" s="16" t="s">
        <v>167</v>
      </c>
      <c r="H373" s="16"/>
      <c r="I373" s="16" t="s">
        <v>133</v>
      </c>
    </row>
    <row r="374" spans="1:9" x14ac:dyDescent="0.35">
      <c r="A374" s="16" t="s">
        <v>372</v>
      </c>
      <c r="B374" s="17" t="s">
        <v>371</v>
      </c>
      <c r="C374" s="17"/>
      <c r="D374" s="16"/>
      <c r="E374" s="16"/>
      <c r="F374" s="16"/>
      <c r="G374" s="16"/>
      <c r="H374" s="16"/>
      <c r="I374" s="16" t="s">
        <v>320</v>
      </c>
    </row>
    <row r="375" spans="1:9" x14ac:dyDescent="0.35">
      <c r="A375" s="16" t="s">
        <v>1265</v>
      </c>
      <c r="B375" s="17" t="s">
        <v>1266</v>
      </c>
      <c r="C375" s="17"/>
      <c r="D375" s="16"/>
      <c r="E375" s="16"/>
      <c r="F375" s="16"/>
      <c r="G375" s="16"/>
      <c r="H375" s="16"/>
      <c r="I375" s="16" t="s">
        <v>320</v>
      </c>
    </row>
    <row r="376" spans="1:9" x14ac:dyDescent="0.35">
      <c r="A376" s="16" t="s">
        <v>1267</v>
      </c>
      <c r="B376" s="17" t="s">
        <v>1145</v>
      </c>
      <c r="C376" s="17" t="s">
        <v>1145</v>
      </c>
      <c r="D376" s="16" t="s">
        <v>133</v>
      </c>
      <c r="E376" s="16" t="s">
        <v>136</v>
      </c>
      <c r="F376" s="16">
        <v>0.48139999999999999</v>
      </c>
      <c r="G376" s="16" t="s">
        <v>705</v>
      </c>
      <c r="H376" s="16" t="s">
        <v>1002</v>
      </c>
      <c r="I376" s="16" t="s">
        <v>133</v>
      </c>
    </row>
    <row r="377" spans="1:9" ht="28" x14ac:dyDescent="0.35">
      <c r="A377" s="16" t="s">
        <v>341</v>
      </c>
      <c r="B377" s="17" t="s">
        <v>340</v>
      </c>
      <c r="C377" s="17" t="s">
        <v>339</v>
      </c>
      <c r="D377" s="16"/>
      <c r="E377" s="16"/>
      <c r="F377" s="16"/>
      <c r="G377" s="16"/>
      <c r="H377" s="16"/>
      <c r="I377" s="16" t="s">
        <v>320</v>
      </c>
    </row>
    <row r="378" spans="1:9" ht="28" x14ac:dyDescent="0.35">
      <c r="A378" s="16" t="s">
        <v>1268</v>
      </c>
      <c r="B378" s="17" t="s">
        <v>1269</v>
      </c>
      <c r="C378" s="17" t="s">
        <v>1269</v>
      </c>
      <c r="D378" s="16" t="s">
        <v>133</v>
      </c>
      <c r="E378" s="16" t="s">
        <v>1270</v>
      </c>
      <c r="F378" s="16">
        <v>0.29949999999999999</v>
      </c>
      <c r="G378" s="16" t="s">
        <v>1271</v>
      </c>
      <c r="H378" s="16" t="s">
        <v>1272</v>
      </c>
      <c r="I378" s="16" t="s">
        <v>133</v>
      </c>
    </row>
    <row r="379" spans="1:9" ht="56" x14ac:dyDescent="0.35">
      <c r="A379" s="16" t="s">
        <v>1273</v>
      </c>
      <c r="B379" s="17" t="s">
        <v>1274</v>
      </c>
      <c r="C379" s="17" t="s">
        <v>1275</v>
      </c>
      <c r="D379" s="16" t="s">
        <v>133</v>
      </c>
      <c r="E379" s="16" t="s">
        <v>136</v>
      </c>
      <c r="F379" s="16">
        <v>0.26600000000000001</v>
      </c>
      <c r="G379" s="16" t="s">
        <v>1002</v>
      </c>
      <c r="H379" s="16"/>
      <c r="I379" s="16" t="s">
        <v>133</v>
      </c>
    </row>
    <row r="380" spans="1:9" x14ac:dyDescent="0.35">
      <c r="A380" s="16" t="s">
        <v>1276</v>
      </c>
      <c r="B380" s="17" t="s">
        <v>1277</v>
      </c>
      <c r="C380" s="17" t="s">
        <v>103</v>
      </c>
      <c r="D380" s="16" t="s">
        <v>22</v>
      </c>
      <c r="E380" s="16" t="s">
        <v>103</v>
      </c>
      <c r="F380" s="16">
        <v>1</v>
      </c>
      <c r="G380" s="16"/>
      <c r="H380" s="16"/>
      <c r="I380" s="16" t="s">
        <v>22</v>
      </c>
    </row>
    <row r="381" spans="1:9" ht="112" x14ac:dyDescent="0.35">
      <c r="A381" s="16" t="s">
        <v>1278</v>
      </c>
      <c r="B381" s="17" t="s">
        <v>1279</v>
      </c>
      <c r="C381" s="17" t="s">
        <v>1280</v>
      </c>
      <c r="D381" s="16"/>
      <c r="E381" s="16"/>
      <c r="F381" s="16"/>
      <c r="G381" s="16"/>
      <c r="H381" s="16"/>
      <c r="I381" s="16" t="s">
        <v>320</v>
      </c>
    </row>
    <row r="382" spans="1:9" x14ac:dyDescent="0.35">
      <c r="A382" s="16" t="s">
        <v>362</v>
      </c>
      <c r="B382" s="17"/>
      <c r="C382" s="17"/>
      <c r="D382" s="16"/>
      <c r="E382" s="16"/>
      <c r="F382" s="16"/>
      <c r="G382" s="16"/>
      <c r="H382" s="16"/>
      <c r="I382" s="16" t="s">
        <v>353</v>
      </c>
    </row>
    <row r="383" spans="1:9" x14ac:dyDescent="0.35">
      <c r="A383" s="16" t="s">
        <v>1281</v>
      </c>
      <c r="B383" s="17"/>
      <c r="C383" s="17"/>
      <c r="D383" s="16"/>
      <c r="E383" s="16"/>
      <c r="F383" s="16"/>
      <c r="G383" s="16"/>
      <c r="H383" s="16"/>
      <c r="I383" s="16" t="s">
        <v>353</v>
      </c>
    </row>
    <row r="384" spans="1:9" ht="28" x14ac:dyDescent="0.35">
      <c r="A384" s="16" t="s">
        <v>1282</v>
      </c>
      <c r="B384" s="17" t="s">
        <v>1283</v>
      </c>
      <c r="C384" s="17"/>
      <c r="D384" s="16"/>
      <c r="E384" s="16"/>
      <c r="F384" s="16"/>
      <c r="G384" s="16"/>
      <c r="H384" s="16"/>
      <c r="I384" s="16" t="s">
        <v>320</v>
      </c>
    </row>
    <row r="385" spans="1:9" x14ac:dyDescent="0.35">
      <c r="A385" s="16" t="s">
        <v>1284</v>
      </c>
      <c r="B385" s="17"/>
      <c r="C385" s="17"/>
      <c r="D385" s="16"/>
      <c r="E385" s="16"/>
      <c r="F385" s="16"/>
      <c r="G385" s="16"/>
      <c r="H385" s="16"/>
      <c r="I385" s="16" t="s">
        <v>353</v>
      </c>
    </row>
    <row r="386" spans="1:9" x14ac:dyDescent="0.35">
      <c r="A386" s="16" t="s">
        <v>1285</v>
      </c>
      <c r="B386" s="17"/>
      <c r="C386" s="17"/>
      <c r="D386" s="16"/>
      <c r="E386" s="16"/>
      <c r="F386" s="16"/>
      <c r="G386" s="16"/>
      <c r="H386" s="16"/>
      <c r="I386" s="16" t="s">
        <v>353</v>
      </c>
    </row>
    <row r="387" spans="1:9" ht="28" x14ac:dyDescent="0.35">
      <c r="A387" s="16" t="s">
        <v>1286</v>
      </c>
      <c r="B387" s="17" t="s">
        <v>1287</v>
      </c>
      <c r="C387" s="17" t="s">
        <v>1288</v>
      </c>
      <c r="D387" s="16" t="s">
        <v>133</v>
      </c>
      <c r="E387" s="16" t="s">
        <v>136</v>
      </c>
      <c r="F387" s="16">
        <v>0.39040000000000002</v>
      </c>
      <c r="G387" s="16" t="s">
        <v>135</v>
      </c>
      <c r="H387" s="16" t="s">
        <v>1002</v>
      </c>
      <c r="I387" s="16" t="s">
        <v>133</v>
      </c>
    </row>
    <row r="388" spans="1:9" x14ac:dyDescent="0.35">
      <c r="A388" s="16" t="s">
        <v>54</v>
      </c>
      <c r="B388" s="17" t="s">
        <v>52</v>
      </c>
      <c r="C388" s="17" t="s">
        <v>51</v>
      </c>
      <c r="D388" s="16" t="s">
        <v>22</v>
      </c>
      <c r="E388" s="16" t="s">
        <v>53</v>
      </c>
      <c r="F388" s="16">
        <v>1</v>
      </c>
      <c r="G388" s="16"/>
      <c r="H388" s="16"/>
      <c r="I388" s="16" t="s">
        <v>22</v>
      </c>
    </row>
    <row r="389" spans="1:9" x14ac:dyDescent="0.35">
      <c r="A389" s="16" t="s">
        <v>1289</v>
      </c>
      <c r="B389" s="17" t="s">
        <v>1290</v>
      </c>
      <c r="C389" s="17" t="s">
        <v>1291</v>
      </c>
      <c r="D389" s="16" t="s">
        <v>133</v>
      </c>
      <c r="E389" s="16" t="s">
        <v>427</v>
      </c>
      <c r="F389" s="16">
        <v>0.3891</v>
      </c>
      <c r="G389" s="16" t="s">
        <v>727</v>
      </c>
      <c r="H389" s="16"/>
      <c r="I389" s="16" t="s">
        <v>133</v>
      </c>
    </row>
    <row r="390" spans="1:9" ht="42" x14ac:dyDescent="0.35">
      <c r="A390" s="16" t="s">
        <v>1292</v>
      </c>
      <c r="B390" s="17" t="s">
        <v>1293</v>
      </c>
      <c r="C390" s="17" t="s">
        <v>1294</v>
      </c>
      <c r="D390" s="16"/>
      <c r="E390" s="16"/>
      <c r="F390" s="16"/>
      <c r="G390" s="16"/>
      <c r="H390" s="16"/>
      <c r="I390" s="16" t="s">
        <v>320</v>
      </c>
    </row>
    <row r="391" spans="1:9" x14ac:dyDescent="0.35">
      <c r="A391" s="16" t="s">
        <v>1295</v>
      </c>
      <c r="B391" s="17" t="s">
        <v>1296</v>
      </c>
      <c r="C391" s="17" t="s">
        <v>1297</v>
      </c>
      <c r="D391" s="16"/>
      <c r="E391" s="16"/>
      <c r="F391" s="16"/>
      <c r="G391" s="16"/>
      <c r="H391" s="16"/>
      <c r="I391" s="16" t="s">
        <v>320</v>
      </c>
    </row>
    <row r="392" spans="1:9" x14ac:dyDescent="0.35">
      <c r="A392" s="16" t="s">
        <v>1298</v>
      </c>
      <c r="B392" s="17" t="s">
        <v>1299</v>
      </c>
      <c r="C392" s="17" t="s">
        <v>1300</v>
      </c>
      <c r="D392" s="16" t="s">
        <v>133</v>
      </c>
      <c r="E392" s="16" t="s">
        <v>755</v>
      </c>
      <c r="F392" s="16">
        <v>0.2626</v>
      </c>
      <c r="G392" s="16" t="s">
        <v>1301</v>
      </c>
      <c r="H392" s="16" t="s">
        <v>1302</v>
      </c>
      <c r="I392" s="16" t="s">
        <v>133</v>
      </c>
    </row>
    <row r="393" spans="1:9" ht="28" x14ac:dyDescent="0.35">
      <c r="A393" s="16" t="s">
        <v>1303</v>
      </c>
      <c r="B393" s="17" t="s">
        <v>1304</v>
      </c>
      <c r="C393" s="17"/>
      <c r="D393" s="16"/>
      <c r="E393" s="16"/>
      <c r="F393" s="16"/>
      <c r="G393" s="16"/>
      <c r="H393" s="16"/>
      <c r="I393" s="16" t="s">
        <v>320</v>
      </c>
    </row>
    <row r="394" spans="1:9" x14ac:dyDescent="0.35">
      <c r="A394" s="16" t="s">
        <v>99</v>
      </c>
      <c r="B394" s="17" t="s">
        <v>97</v>
      </c>
      <c r="C394" s="17" t="s">
        <v>96</v>
      </c>
      <c r="D394" s="16" t="s">
        <v>5</v>
      </c>
      <c r="E394" s="16" t="s">
        <v>98</v>
      </c>
      <c r="F394" s="16">
        <v>0.8</v>
      </c>
      <c r="G394" s="16"/>
      <c r="H394" s="16"/>
      <c r="I394" s="16" t="s">
        <v>5</v>
      </c>
    </row>
    <row r="395" spans="1:9" x14ac:dyDescent="0.35">
      <c r="A395" s="16" t="s">
        <v>1305</v>
      </c>
      <c r="B395" s="17"/>
      <c r="C395" s="17"/>
      <c r="D395" s="16"/>
      <c r="E395" s="16"/>
      <c r="F395" s="16"/>
      <c r="G395" s="16"/>
      <c r="H395" s="16"/>
      <c r="I395" s="16" t="s">
        <v>353</v>
      </c>
    </row>
    <row r="396" spans="1:9" x14ac:dyDescent="0.35">
      <c r="A396" s="16" t="s">
        <v>1306</v>
      </c>
      <c r="B396" s="17" t="s">
        <v>1307</v>
      </c>
      <c r="C396" s="17"/>
      <c r="D396" s="16"/>
      <c r="E396" s="16"/>
      <c r="F396" s="16"/>
      <c r="G396" s="16"/>
      <c r="H396" s="16"/>
      <c r="I396" s="16" t="s">
        <v>320</v>
      </c>
    </row>
    <row r="397" spans="1:9" ht="42" x14ac:dyDescent="0.35">
      <c r="A397" s="16" t="s">
        <v>302</v>
      </c>
      <c r="B397" s="17" t="s">
        <v>297</v>
      </c>
      <c r="C397" s="17" t="s">
        <v>1308</v>
      </c>
      <c r="D397" s="16" t="s">
        <v>5</v>
      </c>
      <c r="E397" s="16" t="s">
        <v>103</v>
      </c>
      <c r="F397" s="16">
        <v>0.8</v>
      </c>
      <c r="G397" s="16" t="s">
        <v>299</v>
      </c>
      <c r="H397" s="16" t="s">
        <v>300</v>
      </c>
      <c r="I397" s="16" t="s">
        <v>5</v>
      </c>
    </row>
  </sheetData>
  <autoFilter ref="A1:I397"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Validate</vt:lpstr>
      <vt:lpstr>Summary</vt:lpstr>
      <vt:lpstr>Norms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Silva</cp:lastModifiedBy>
  <dcterms:created xsi:type="dcterms:W3CDTF">2026-10-22T18:05:14Z</dcterms:created>
  <dcterms:modified xsi:type="dcterms:W3CDTF">2026-10-27T09:51:48Z</dcterms:modified>
</cp:coreProperties>
</file>