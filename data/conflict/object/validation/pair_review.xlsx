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8c8c9cd31f35923/0 QIST/Year 2/JIP/AI-Legislation-Analysis/data/conflict/object/validation/"/>
    </mc:Choice>
  </mc:AlternateContent>
  <xr:revisionPtr revIDLastSave="1" documentId="11_EB55D89766148E58CF7E938D7E97C568BB3F2A8E" xr6:coauthVersionLast="47" xr6:coauthVersionMax="47" xr10:uidLastSave="{1360D92B-B0D1-4D5D-9686-36B541C27FF3}"/>
  <bookViews>
    <workbookView xWindow="-110" yWindow="-110" windowWidth="19420" windowHeight="11500" xr2:uid="{00000000-000D-0000-FFFF-FFFF00000000}"/>
  </bookViews>
  <sheets>
    <sheet name="Review" sheetId="1" r:id="rId1"/>
    <sheet name="Summary" sheetId="2" r:id="rId2"/>
    <sheet name="Instructions"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4" i="2" l="1"/>
  <c r="F34" i="2"/>
  <c r="E34" i="2"/>
  <c r="D34" i="2"/>
  <c r="C34" i="2"/>
  <c r="B34" i="2"/>
  <c r="G33" i="2"/>
  <c r="F33" i="2"/>
  <c r="E33" i="2"/>
  <c r="D33" i="2"/>
  <c r="C33" i="2"/>
  <c r="B33" i="2"/>
  <c r="G32" i="2"/>
  <c r="F32" i="2"/>
  <c r="E32" i="2"/>
  <c r="D32" i="2"/>
  <c r="C32" i="2"/>
  <c r="B32" i="2"/>
  <c r="G31" i="2"/>
  <c r="F31" i="2"/>
  <c r="E31" i="2"/>
  <c r="D31" i="2"/>
  <c r="C31" i="2"/>
  <c r="B31" i="2"/>
  <c r="D27" i="2"/>
  <c r="D19" i="2"/>
  <c r="J16" i="2"/>
  <c r="I16" i="2"/>
  <c r="H16" i="2"/>
  <c r="G16" i="2"/>
  <c r="F16" i="2"/>
  <c r="E16" i="2"/>
  <c r="J15" i="2"/>
  <c r="I15" i="2"/>
  <c r="H15" i="2"/>
  <c r="G15" i="2"/>
  <c r="F15" i="2"/>
  <c r="E15" i="2"/>
  <c r="I14" i="2"/>
  <c r="H14" i="2"/>
  <c r="G14" i="2"/>
  <c r="F14" i="2"/>
  <c r="J14" i="2" s="1"/>
  <c r="E14" i="2"/>
  <c r="I13" i="2"/>
  <c r="H13" i="2"/>
  <c r="G13" i="2"/>
  <c r="F13" i="2"/>
  <c r="J13" i="2" s="1"/>
  <c r="E13" i="2"/>
  <c r="I12" i="2"/>
  <c r="H12" i="2"/>
  <c r="G12" i="2"/>
  <c r="F12" i="2"/>
  <c r="J12" i="2" s="1"/>
  <c r="E12" i="2"/>
  <c r="I11" i="2"/>
  <c r="H11" i="2"/>
  <c r="G11" i="2"/>
  <c r="F11" i="2"/>
  <c r="J11" i="2" s="1"/>
  <c r="E11" i="2"/>
  <c r="I10" i="2"/>
  <c r="H10" i="2"/>
  <c r="G10" i="2"/>
  <c r="F10" i="2"/>
  <c r="J10" i="2" s="1"/>
  <c r="E10" i="2"/>
  <c r="I9" i="2"/>
  <c r="H9" i="2"/>
  <c r="G9" i="2"/>
  <c r="F9" i="2"/>
  <c r="J9" i="2" s="1"/>
  <c r="E9" i="2"/>
  <c r="I8" i="2"/>
  <c r="H8" i="2"/>
  <c r="G8" i="2"/>
  <c r="J8" i="2" s="1"/>
  <c r="F8" i="2"/>
  <c r="E8" i="2"/>
  <c r="I7" i="2"/>
  <c r="H7" i="2"/>
  <c r="J7" i="2" s="1"/>
  <c r="G7" i="2"/>
  <c r="F7" i="2"/>
  <c r="E7" i="2"/>
  <c r="J6" i="2"/>
  <c r="I6" i="2"/>
  <c r="H6" i="2"/>
  <c r="G6" i="2"/>
  <c r="F6" i="2"/>
  <c r="E6" i="2"/>
  <c r="O16" i="2" l="1"/>
  <c r="N16" i="2"/>
  <c r="M16" i="2"/>
  <c r="L16" i="2"/>
  <c r="D26" i="2" s="1"/>
  <c r="K16" i="2"/>
  <c r="O15" i="2"/>
  <c r="N15" i="2"/>
  <c r="M15" i="2"/>
  <c r="L15" i="2"/>
  <c r="K15" i="2"/>
  <c r="K14" i="2"/>
  <c r="L14" i="2"/>
  <c r="M14" i="2"/>
  <c r="N14" i="2"/>
  <c r="O14" i="2"/>
  <c r="K13" i="2"/>
  <c r="L13" i="2"/>
  <c r="O13" i="2"/>
  <c r="N13" i="2"/>
  <c r="M13" i="2"/>
  <c r="K12" i="2"/>
  <c r="L12" i="2"/>
  <c r="M12" i="2"/>
  <c r="N12" i="2"/>
  <c r="O12" i="2"/>
  <c r="K11" i="2"/>
  <c r="L11" i="2"/>
  <c r="M11" i="2"/>
  <c r="N11" i="2"/>
  <c r="O11" i="2"/>
  <c r="K10" i="2"/>
  <c r="L10" i="2"/>
  <c r="M10" i="2"/>
  <c r="N10" i="2"/>
  <c r="D20" i="2" s="1"/>
  <c r="O10" i="2"/>
  <c r="D21" i="2" s="1"/>
  <c r="K9" i="2"/>
  <c r="L9" i="2"/>
  <c r="M9" i="2"/>
  <c r="N9" i="2"/>
  <c r="O9" i="2"/>
  <c r="D25" i="2" s="1"/>
  <c r="K8" i="2"/>
  <c r="L8" i="2"/>
  <c r="M8" i="2"/>
  <c r="N8" i="2"/>
  <c r="O8" i="2"/>
  <c r="D24" i="2" s="1"/>
  <c r="K7" i="2"/>
  <c r="L7" i="2"/>
  <c r="M7" i="2"/>
  <c r="N7" i="2"/>
  <c r="O7" i="2"/>
  <c r="D23" i="2" s="1"/>
  <c r="O6" i="2"/>
  <c r="D22" i="2" s="1"/>
  <c r="N6" i="2"/>
  <c r="M6" i="2"/>
  <c r="L6" i="2"/>
  <c r="K6" i="2"/>
</calcChain>
</file>

<file path=xl/sharedStrings.xml><?xml version="1.0" encoding="utf-8"?>
<sst xmlns="http://schemas.openxmlformats.org/spreadsheetml/2006/main" count="1211" uniqueCount="673">
  <si>
    <t>#</t>
  </si>
  <si>
    <t>Norm A</t>
  </si>
  <si>
    <t>Object A</t>
  </si>
  <si>
    <t>Matched unit A</t>
  </si>
  <si>
    <t>Norm B</t>
  </si>
  <si>
    <t>Object B</t>
  </si>
  <si>
    <t>Matched unit B</t>
  </si>
  <si>
    <t>Same thing?</t>
  </si>
  <si>
    <t>Relation type</t>
  </si>
  <si>
    <t>Note</t>
  </si>
  <si>
    <t>Stratum</t>
  </si>
  <si>
    <t>Score</t>
  </si>
  <si>
    <t>Key relation</t>
  </si>
  <si>
    <t>Key</t>
  </si>
  <si>
    <t>Spec</t>
  </si>
  <si>
    <t>Direction</t>
  </si>
  <si>
    <t>32016R0679:40:5:9</t>
  </si>
  <si>
    <t>advies</t>
  </si>
  <si>
    <t>32016R0679:40:8:15</t>
  </si>
  <si>
    <t>zijn advies</t>
  </si>
  <si>
    <t>0.50-0.75 head</t>
  </si>
  <si>
    <t>head</t>
  </si>
  <si>
    <t>same</t>
  </si>
  <si>
    <t>32016R0679:60:10:25</t>
  </si>
  <si>
    <t>de door hem met het oog op de naleving van het besluit getroffen maatregelen</t>
  </si>
  <si>
    <t>door hem met het oog op de naleving van het besluit getroffen maatregelen</t>
  </si>
  <si>
    <t>32024R1689:5:5:13</t>
  </si>
  <si>
    <t>voor welke doelstellingen van lid 1, eerste alinea, punt h), en voor welke strafbare feiten als bedoeld in punt h), iii), daarvan de bevoegde autoriteiten deze systemen mogen gebruiken met het oog op de rechtshandhaving</t>
  </si>
  <si>
    <t>welke doelstellingen en voor welke strafbare feiten de bevoegde autoriteiten deze systemen mogen gebruiken met het oog op de rechtshandhaving</t>
  </si>
  <si>
    <t>0.50-0.75 noun</t>
  </si>
  <si>
    <t>noun</t>
  </si>
  <si>
    <t>oog</t>
  </si>
  <si>
    <t>none</t>
  </si>
  <si>
    <t>32016R0679:58:3:23</t>
  </si>
  <si>
    <t>certificeringen</t>
  </si>
  <si>
    <t>32024R1689:58:3:4</t>
  </si>
  <si>
    <t>diensten die aan het inzetten voorafgaan, zoals begeleiding bij de uitvoering van deze verordening, op andere diensten die waarde toevoegen, zoals hulp bij normalisatiedocumenten en certificering, test- en experimenteervoorzieningen, Europese digitale-innovatiehubs en kenniscentra</t>
  </si>
  <si>
    <t>diensten die aan het inzetten voorafgaan, zoals begeleiding bij de uitvoering op andere diensten die waarde toevoegen, zoals hulp bij normalisatiedocumenten en certificering, test- en experimenteervoorzieningen, Europese digitale-innovatiehubs en kenniscentra</t>
  </si>
  <si>
    <t>certificer</t>
  </si>
  <si>
    <t>32016R0679:14:5:13</t>
  </si>
  <si>
    <t>passende maatregelen</t>
  </si>
  <si>
    <t>32016R0679:84:1:1</t>
  </si>
  <si>
    <t>de regels inzake andere sancties</t>
  </si>
  <si>
    <t>regels inzake andere sancties</t>
  </si>
  <si>
    <t>0.00-0.50 tail</t>
  </si>
  <si>
    <t>tail</t>
  </si>
  <si>
    <t>regel</t>
  </si>
  <si>
    <t>a_narrower</t>
  </si>
  <si>
    <t>32024R1689:15:5:6</t>
  </si>
  <si>
    <t>maatregelen voor het voorkomen, traceren, reageren op, oplossen en beheersen van aanvallen waarmee een poging wordt gedaan tot het manipuleren van de dataset voor de training (de zogenaamde “datavervuiling”), van vooraf getrainde componenten die in de training zijn gebruikt (de zogenaamde “modelvervuiling”), van input die is gecreëerd om fouten van het model te veroorzaken (zogenaamde “vijandige voorbeelden” of “modelontwijking”), van aanvallen om vertrouwelijke gegevens te bemachtigen of van tekortkomingen van het model</t>
  </si>
  <si>
    <t>maatregelen voor het voorkomen, traceren, reageren op, oplossen en beheersen van aanvallen waarmee een poging wordt gedaan tot het manipuleren van de dataset voor de training (de zogenaamde datavervuiling), van vooraf getrainde componenten die in de training zijn gebruikt (de zogenaamde modelvervuiling), van input die is gecreëerd om fouten van het model te veroorzaken (zogenaamde vijandige voorbeelden of modelontwijking), van aanvallen om vertrouwelijke gegevens te bemachtigen of van tekortkomingen van het model</t>
  </si>
  <si>
    <t>0.00-0.50 head</t>
  </si>
  <si>
    <t>maatregel</t>
  </si>
  <si>
    <t>b_narrower</t>
  </si>
  <si>
    <t>32016R0679:16:whole:3</t>
  </si>
  <si>
    <t>een aanvullende verklaring</t>
  </si>
  <si>
    <t>aanvullende verklaring</t>
  </si>
  <si>
    <t>32024R1689:68:4:4</t>
  </si>
  <si>
    <t>een belangenverklaring</t>
  </si>
  <si>
    <t>belangenverklaring</t>
  </si>
  <si>
    <t>0.50-0.75 tail</t>
  </si>
  <si>
    <t>verklar</t>
  </si>
  <si>
    <t>32024R1689:24:2:2</t>
  </si>
  <si>
    <t>het AI-systeem met een hoog risico</t>
  </si>
  <si>
    <t>AI-systeem met een hoog risico</t>
  </si>
  <si>
    <t>32024R1689:95:3:2</t>
  </si>
  <si>
    <t>op een of meer AI-systemen</t>
  </si>
  <si>
    <t>of meer AI-systemen</t>
  </si>
  <si>
    <t>aisystem</t>
  </si>
  <si>
    <t>32024R1689:36:7:22</t>
  </si>
  <si>
    <t>onterecht afgegeven certificaten</t>
  </si>
  <si>
    <t>32024R1689:36:7:24</t>
  </si>
  <si>
    <t>de Commissie en de lidstaten</t>
  </si>
  <si>
    <t>Commissie | lidstaten</t>
  </si>
  <si>
    <t>zero same-group</t>
  </si>
  <si>
    <t>32024R1689:27:3:7</t>
  </si>
  <si>
    <t>de verplichting tot kennisgeving</t>
  </si>
  <si>
    <t>verplichting tot kennisgeving</t>
  </si>
  <si>
    <t>32024R1689:50:4:9</t>
  </si>
  <si>
    <t>de transparantieverplichtingen van dit lid</t>
  </si>
  <si>
    <t>transparantieverplichtingen</t>
  </si>
  <si>
    <t>0.00-0.50 eurovoc</t>
  </si>
  <si>
    <t>eurovoc</t>
  </si>
  <si>
    <t>http://eurovoc.europa.eu/164</t>
  </si>
  <si>
    <t>32016R0679:36:3:4</t>
  </si>
  <si>
    <t>de doeleinden en de middelen van de voorgenomen verwerking</t>
  </si>
  <si>
    <t>doeleinden | middelen van de voorgenomen verwerking</t>
  </si>
  <si>
    <t>32016R0679:36:3:7</t>
  </si>
  <si>
    <t>de gegevensbeschermingseffectbeoordeling waarin bij artikel 35 is voorzien</t>
  </si>
  <si>
    <t>gegevensbeschermingseffectbeoordeling waarin is voorzien</t>
  </si>
  <si>
    <t>32016R0679:58:1:2</t>
  </si>
  <si>
    <t>alle voor de uitvoering van haar taken vereiste informatie</t>
  </si>
  <si>
    <t>voor de uitvoering van haar taken vereiste informatie</t>
  </si>
  <si>
    <t>32024R1689:53:7:13</t>
  </si>
  <si>
    <t>Informatie of documentatie</t>
  </si>
  <si>
    <t>Informatie</t>
  </si>
  <si>
    <t>informatie</t>
  </si>
  <si>
    <t>32016R0679:42:1:1</t>
  </si>
  <si>
    <t>de invoering van certificeringsmechanismen voor gegevensbescherming en gegevensbeschermingszegels en -merktekens</t>
  </si>
  <si>
    <t>certificeringsmechanismen voor gegevensbescherming en gegevensbeschermingszegels en -merktekens</t>
  </si>
  <si>
    <t>32016R0679:46:4:5</t>
  </si>
  <si>
    <t>het in artikel 63 bedoelde coherentiemechanisme</t>
  </si>
  <si>
    <t>coherentiemechanisme</t>
  </si>
  <si>
    <t>mechanism</t>
  </si>
  <si>
    <t>32016R0679:97:4:5</t>
  </si>
  <si>
    <t>de standpunten en bevindingen van het Europees Parlement, van de Raad, en van andere relevante instanties of bronnen</t>
  </si>
  <si>
    <t>bevindingen van het Europees Parlement</t>
  </si>
  <si>
    <t>32024R1689:36:7:20</t>
  </si>
  <si>
    <t>een verslag over haar bevindingen</t>
  </si>
  <si>
    <t>verslag over haar bevindingen</t>
  </si>
  <si>
    <t>bevind</t>
  </si>
  <si>
    <t>32024R1689:46:3:5</t>
  </si>
  <si>
    <t>De in lid 1 bedoelde toelating</t>
  </si>
  <si>
    <t>toelating</t>
  </si>
  <si>
    <t>32024R1689:46:4:8</t>
  </si>
  <si>
    <t>die toelating</t>
  </si>
  <si>
    <t>0.75-1.00 head</t>
  </si>
  <si>
    <t>toelat</t>
  </si>
  <si>
    <t>32016R0679:59:whole:1</t>
  </si>
  <si>
    <t>een verslag over haar activiteiten</t>
  </si>
  <si>
    <t>verslag over haar activiteiten</t>
  </si>
  <si>
    <t>32024R1689:112:6:14</t>
  </si>
  <si>
    <t>Dit verslag</t>
  </si>
  <si>
    <t>verslag</t>
  </si>
  <si>
    <t>32024R1689:16:whole:6</t>
  </si>
  <si>
    <t>de CE-markering</t>
  </si>
  <si>
    <t>CE-markering</t>
  </si>
  <si>
    <t>32024R1689:24:1:1</t>
  </si>
  <si>
    <t>of daarop de vereiste CE-markering is aangebracht, of het systeem vergezeld gaat van de in artikel 47 bedoelde EU-conformiteitsverklaring en gebruiksinstructies en of de aanbieder en importeur van dat systeem, naargelang het geval, hun respectievelijke verplichtingen als vastgelegd in artikel 16, punten b) en c), en artikel 23, lid 3, hebben nageleefd</t>
  </si>
  <si>
    <t>of de vereiste CE-markering is aangebracht, of het systeem vergezeld gaat van de EU-conformiteitsverklaring en gebruiksinstructies en of de aanbieder en importeur van dat systeem, naargelang het geval, hun respectievelijke verplichtingen als vastgelegd hebben nageleefd</t>
  </si>
  <si>
    <t>cemarker</t>
  </si>
  <si>
    <t>32016R0679:57:4:35</t>
  </si>
  <si>
    <t>aan het verzoek</t>
  </si>
  <si>
    <t>verzoek</t>
  </si>
  <si>
    <t>32016R0679:61:4:7</t>
  </si>
  <si>
    <t>dit verzoek</t>
  </si>
  <si>
    <t>0.75-1.00 eurovoc</t>
  </si>
  <si>
    <t>http://eurovoc.europa.eu/2363</t>
  </si>
  <si>
    <t>32016R0679:60:7:11</t>
  </si>
  <si>
    <t>het besluit</t>
  </si>
  <si>
    <t>besluit</t>
  </si>
  <si>
    <t>32016R0679:65:3:6</t>
  </si>
  <si>
    <t>zijn besluit</t>
  </si>
  <si>
    <t>http://eurovoc.europa.eu/2669</t>
  </si>
  <si>
    <t>32016R0679:57:1:28</t>
  </si>
  <si>
    <t>toestemming</t>
  </si>
  <si>
    <t>32016R0679:57:3:33</t>
  </si>
  <si>
    <t>haar taken</t>
  </si>
  <si>
    <t>taken</t>
  </si>
  <si>
    <t>32024R1689:71:1:1</t>
  </si>
  <si>
    <t>de deskundigen ter zake</t>
  </si>
  <si>
    <t>deskundigen ter zake</t>
  </si>
  <si>
    <t>32024R1689:71:3:5</t>
  </si>
  <si>
    <t>De in afdeling C van bijlage VIII vermelde gegevens</t>
  </si>
  <si>
    <t>gegevens</t>
  </si>
  <si>
    <t>32016R0679:11:1:1</t>
  </si>
  <si>
    <t>aanvullende gegevens ter identificatie van de betrokkene bij te houden, te verkrijgen of te verwerken</t>
  </si>
  <si>
    <t>32016R0679:36:3:6</t>
  </si>
  <si>
    <t>de contactgegevens van de functionaris voor gegevensbescherming</t>
  </si>
  <si>
    <t>contactgegevens van de functionaris voor gegevensbescherming</t>
  </si>
  <si>
    <t>http://eurovoc.europa.eu/5181</t>
  </si>
  <si>
    <t>32016R0679:57:1:23</t>
  </si>
  <si>
    <t>de invoering van certificeringsmechanismen voor gegevensbescherming en van gegevensbeschermingszegels en -merktekens overeenkomstig artikel 42, lid 1</t>
  </si>
  <si>
    <t>certificeringsmechanismen voor gegevensbescherming en van gegevensbeschermingszegels en -merktekens</t>
  </si>
  <si>
    <t>32016R0679:52:2:2</t>
  </si>
  <si>
    <t>instructies</t>
  </si>
  <si>
    <t>32024R1689:67:8:10</t>
  </si>
  <si>
    <t>adviezen, aanbevelingen en schriftelijke bijdragen</t>
  </si>
  <si>
    <t>aanbevelingen</t>
  </si>
  <si>
    <t>0.50-0.75 eurovoc</t>
  </si>
  <si>
    <t>http://eurovoc.europa.eu/2926</t>
  </si>
  <si>
    <t>32016R0679:45:5:5</t>
  </si>
  <si>
    <t>het in lid 3 van dit artikel bedoelde besluit</t>
  </si>
  <si>
    <t>32016R0679:65:2:1</t>
  </si>
  <si>
    <t>Het in lid 1 bedoelde besluit</t>
  </si>
  <si>
    <t>32016R0679:14:1:3</t>
  </si>
  <si>
    <t>32016R0679:58:1:4</t>
  </si>
  <si>
    <t>alle persoonsgegevens en alle informatie die noodzakelijk is voor de uitvoering van haar taken</t>
  </si>
  <si>
    <t>persoonsgegevens en alle informatie die noodzakelijk is voor de uitvoering van haar taken</t>
  </si>
  <si>
    <t>gegev</t>
  </si>
  <si>
    <t>32024R1689:49:2:2</t>
  </si>
  <si>
    <t>zichzelf en dat systeem</t>
  </si>
  <si>
    <t>32024R1689:9:6:12</t>
  </si>
  <si>
    <t>AI-systemen met een hoog risico</t>
  </si>
  <si>
    <t>system</t>
  </si>
  <si>
    <t>32016R0679:39:1:5</t>
  </si>
  <si>
    <t>naleving van deze verordening, van andere Unierechtelijke of lidstaatrechtelijke gegevensbeschermingsbepalingen en van het beleid van de verwerkingsverantwoordelijke of de verwerker met betrekking tot de bescherming van persoonsgegevens, met inbegrip van de toewijzing van verantwoordelijkheden, bewustmaking en opleiding van het bij de verwerking betrokken personeel en de betreffende audits</t>
  </si>
  <si>
    <t>Unierechtelijke of lidstaatrechtelijke gegevensbeschermingsbepalingen en van het beleid van de verwerkingsverantwoordelijke of de verwerker met betrekking tot de bescherming van persoonsgegevens, met inbegrip van de toewijzing van verantwoordelijkheden, bewustmaking en opleiding van het bij de verwerking betrokken personeel en de betreffende audits</t>
  </si>
  <si>
    <t>32024R1689:53:1:6</t>
  </si>
  <si>
    <t>beleid</t>
  </si>
  <si>
    <t>32016R0679:97:1:1</t>
  </si>
  <si>
    <t>een verslag</t>
  </si>
  <si>
    <t>32016R0679:40:10:16</t>
  </si>
  <si>
    <t>passende bekendheid</t>
  </si>
  <si>
    <t>32016R0679:57:1:4</t>
  </si>
  <si>
    <t>Bijzondere aandacht</t>
  </si>
  <si>
    <t>http://eurovoc.europa.eu/3329</t>
  </si>
  <si>
    <t>32024R1689:57:7:11</t>
  </si>
  <si>
    <t>aanbieders en potentiële aanbieders die deelnemen aan de AI-testomgeving voor regelgeving</t>
  </si>
  <si>
    <t>32024R1689:59:2:13</t>
  </si>
  <si>
    <t>de verwerking van persoonsgegevens in AI-testomgevingen voor regelgeving</t>
  </si>
  <si>
    <t>verwerking van persoonsgegevens in AI-testomgevingen voor regelgeving</t>
  </si>
  <si>
    <t>aitestomgev</t>
  </si>
  <si>
    <t>32016R0679:79:2:3</t>
  </si>
  <si>
    <t>Een dergelijke procedure</t>
  </si>
  <si>
    <t>procedure</t>
  </si>
  <si>
    <t>32016R0679:81:2:2</t>
  </si>
  <si>
    <t>zijn procedure</t>
  </si>
  <si>
    <t>http://eurovoc.europa.eu/2701</t>
  </si>
  <si>
    <t>32024R1689:81:1:1</t>
  </si>
  <si>
    <t>de nationale maatregel</t>
  </si>
  <si>
    <t>nationale maatregel</t>
  </si>
  <si>
    <t>32024R1689:81:1:3</t>
  </si>
  <si>
    <t>of de nationale maatregel gerechtvaardigd is</t>
  </si>
  <si>
    <t>http://eurovoc.europa.eu/5739</t>
  </si>
  <si>
    <t>32016R0679:40:5:10</t>
  </si>
  <si>
    <t>deze ontwerpgedragscode, die wijziging of uitbreiding</t>
  </si>
  <si>
    <t>ontwerpgedragscode, die wijziging of uitbreiding</t>
  </si>
  <si>
    <t>32024R1689:20:1:1</t>
  </si>
  <si>
    <t>de nodige corrigerende maatregelen</t>
  </si>
  <si>
    <t>nodige corrigerende maatregelen</t>
  </si>
  <si>
    <t>http://eurovoc.europa.eu/23</t>
  </si>
  <si>
    <t>32016R0679:9:1:1</t>
  </si>
  <si>
    <t>Verwerking van persoonsgegevens waaruit ras of etnische afkomst, politieke opvattingen, religieuze of levensbeschouwelijke overtuigingen, of het lidmaatschap van een vakbond blijken, en verwerking van genetische gegevens, biometrische gegevens met het oog op de unieke identificatie van een persoon, of gegevens over gezondheid, of gegevens met betrekking tot iemands seksueel gedrag of seksuele gerichtheid</t>
  </si>
  <si>
    <t>gegevens over gezondheid, of gegevens</t>
  </si>
  <si>
    <t>32024R1689:100:5:7</t>
  </si>
  <si>
    <t>het dossier</t>
  </si>
  <si>
    <t>dossier</t>
  </si>
  <si>
    <t>http://eurovoc.europa.eu/5594</t>
  </si>
  <si>
    <t>32016R0679:72:1:1</t>
  </si>
  <si>
    <t>besluiten</t>
  </si>
  <si>
    <t>32016R0679:60:9:22</t>
  </si>
  <si>
    <t>32016R0679:75:6:6</t>
  </si>
  <si>
    <t>de communicatie met andere instellingen en het brede publiek</t>
  </si>
  <si>
    <t>communicatie met andere instellingen</t>
  </si>
  <si>
    <t>32024R1689:100:4:4</t>
  </si>
  <si>
    <t>de instelling, het orgaan of de instantie van de Unie ten aanzien waarvan hij een procedure voert</t>
  </si>
  <si>
    <t>instelling, het orgaan of de instantie van de Unie ten aanzien waarvan hij een procedure voert</t>
  </si>
  <si>
    <t>instell</t>
  </si>
  <si>
    <t>32016R0679:60:12:28</t>
  </si>
  <si>
    <t>de krachtens dit artikel vereiste informatie</t>
  </si>
  <si>
    <t>vereiste informatie</t>
  </si>
  <si>
    <t>32016R0679:60:9:19</t>
  </si>
  <si>
    <t>de klager</t>
  </si>
  <si>
    <t>klager</t>
  </si>
  <si>
    <t>32016R0679:28:9:11</t>
  </si>
  <si>
    <t>De in de leden 3 en 4 bedoelde overeenkomst of andere rechtshandeling</t>
  </si>
  <si>
    <t>rechtshandeling</t>
  </si>
  <si>
    <t>32016R0679:43:9:14</t>
  </si>
  <si>
    <t>Die uitvoeringshandelingen</t>
  </si>
  <si>
    <t>uitvoeringshandelingen</t>
  </si>
  <si>
    <t>handel</t>
  </si>
  <si>
    <t>32024R1689:11:1:10</t>
  </si>
  <si>
    <t>ten minste de in bijlage IV uiteengezette elementen</t>
  </si>
  <si>
    <t>uiteengezette elementen</t>
  </si>
  <si>
    <t>32024R1689:53:1:5</t>
  </si>
  <si>
    <t>de in bijlage XII uiteengezette elementen</t>
  </si>
  <si>
    <t>http://eurovoc.europa.eu/3692</t>
  </si>
  <si>
    <t>32016R0679:40:11:17</t>
  </si>
  <si>
    <t>alle goedgekeurde gedragscodes, wijzigingen en uitbreidingen</t>
  </si>
  <si>
    <t>wijzigingen</t>
  </si>
  <si>
    <t>32016R0679:90:2:3</t>
  </si>
  <si>
    <t>alle wijzigingen daarvan</t>
  </si>
  <si>
    <t>http://eurovoc.europa.eu/1439</t>
  </si>
  <si>
    <t>32016R0679:20:2:4</t>
  </si>
  <si>
    <t>de persoonsgegevens</t>
  </si>
  <si>
    <t>persoonsgegevens</t>
  </si>
  <si>
    <t>32016R0679:37:4:5</t>
  </si>
  <si>
    <t>een functionaris voor gegevensbescherming</t>
  </si>
  <si>
    <t>functionaris voor gegevensbescherming</t>
  </si>
  <si>
    <t>32016R0679:70:1:5</t>
  </si>
  <si>
    <t>richtsnoeren, aanbevelingen en beste praktijken</t>
  </si>
  <si>
    <t>32016R0679:70:1:8</t>
  </si>
  <si>
    <t>de praktische toepassing van de in de punten e) en f) bedoelde richtsnoeren, aanbevelingen en beste praktijken</t>
  </si>
  <si>
    <t>aanbevel</t>
  </si>
  <si>
    <t>32016R0679:35:6:9</t>
  </si>
  <si>
    <t>coherentiemechanism</t>
  </si>
  <si>
    <t>32024R1689:5:2:2</t>
  </si>
  <si>
    <t>Het gebruik van systemen voor biometrische identificatie op afstand in real time in openbare ruimten met het oog op de rechtshandhaving</t>
  </si>
  <si>
    <t>systemen voor biometrische identificatie op afstand in real time in openbare ruimten met het oog op de rechtshandhaving</t>
  </si>
  <si>
    <t>32024R1689:99:8:13</t>
  </si>
  <si>
    <t>regels</t>
  </si>
  <si>
    <t>32016R0679:22:1:1</t>
  </si>
  <si>
    <t>een uitsluitend op geautomatiseerde verwerking, waaronder profilering, gebaseerd besluit</t>
  </si>
  <si>
    <t>op geautomatiseerde verwerking, waaronder profilering, gebaseerd besluit</t>
  </si>
  <si>
    <t>32016R0679:22:4:2</t>
  </si>
  <si>
    <t>De in lid 2 bedoelde besluiten</t>
  </si>
  <si>
    <t>0.00-0.50 noun</t>
  </si>
  <si>
    <t>32024R1689:21:1:1</t>
  </si>
  <si>
    <t>alle informatie en documentatie die noodzakelijk is om de overeenstemming van het AI-systeem met een hoog risico met de eisen van afdeling 2 aan te tonen</t>
  </si>
  <si>
    <t>informatie en documentatie die noodzakelijk is om de overeenstemming van het AI-systeem met een hoog risico met de eisen aan te tonen</t>
  </si>
  <si>
    <t>32024R1689:55:2:2</t>
  </si>
  <si>
    <t>een vermoeden van overeenstemming</t>
  </si>
  <si>
    <t>vermoeden van overeenstemming</t>
  </si>
  <si>
    <t>overeenstemm</t>
  </si>
  <si>
    <t>32024R1689:28:5:8</t>
  </si>
  <si>
    <t>activiteiten</t>
  </si>
  <si>
    <t>32024R1689:74:11:9</t>
  </si>
  <si>
    <t>gezamenlijke activiteiten, waaronder gezamenlijke onderzoeken</t>
  </si>
  <si>
    <t>activiteit</t>
  </si>
  <si>
    <t>32024R1689:47:3:8</t>
  </si>
  <si>
    <t>één EU-conformiteitsverklaring</t>
  </si>
  <si>
    <t>32024R1689:56:5:5</t>
  </si>
  <si>
    <t>de verschillen in omvang en capaciteit tussen de verschillende deelnemers</t>
  </si>
  <si>
    <t>verschillen in omvang en capaciteit tussen de verschillende deelnemers</t>
  </si>
  <si>
    <t>32024R1689:56:7:14</t>
  </si>
  <si>
    <t>alle aanbieders van AI-modellen voor algemene doeleinden</t>
  </si>
  <si>
    <t>aanbieders van AI-modellen voor algemene doeleinden</t>
  </si>
  <si>
    <t>32024R1689:57:11:21</t>
  </si>
  <si>
    <t>hun discretionaire bevoegdheden</t>
  </si>
  <si>
    <t>discretionaire bevoegdheden</t>
  </si>
  <si>
    <t>32024R1689:57:12:24</t>
  </si>
  <si>
    <t>voor aan derden toegebrachte schade</t>
  </si>
  <si>
    <t>aan derden toegebrachte schade</t>
  </si>
  <si>
    <t>32016R0679:47:2:2</t>
  </si>
  <si>
    <t>minstens de volgende elementen</t>
  </si>
  <si>
    <t>elementen</t>
  </si>
  <si>
    <t>32024R1689:18:1:1</t>
  </si>
  <si>
    <t>de volgende elementen</t>
  </si>
  <si>
    <t>http://eurovoc.europa.eu/3809</t>
  </si>
  <si>
    <t>32016R0679:57:1:21</t>
  </si>
  <si>
    <t>32016R0679:57:1:26</t>
  </si>
  <si>
    <t>het opstellen en het bekendmaken van de criteria voor de accreditatie van een orgaan voor het toezicht op gedragscodes op grond van artikel 41 en van een certificeringsorgaan op grond van artikel 43</t>
  </si>
  <si>
    <t>opstellen en het bekendmaken van de criteria voor de accreditatie van een orgaan voor het toezicht op gedragscodes en van een certificeringsorgaan</t>
  </si>
  <si>
    <t>32016R0679:52:4:6</t>
  </si>
  <si>
    <t>dat elke toezichthoudende autoriteit beschikt over de personele, technische en financiële middelen, en de bedrijfsruimten en infrastructuur die nodig zijn voor het effectief uitvoeren van haar taken en uitoefenen van haar bevoegdheden, waaronder die in het kader van wederzijdse bijstand, samenwerking en deelname aan het Comité</t>
  </si>
  <si>
    <t>toezichthoudende autoriteit beschikt over de personele, technische en financiële middelen, en de bedrijfsruimten en infrastructuur die nodig zijn voor het effectief uitvoeren van haar taken en uitoefenen van haar bevoegdheden, waaronder die in het kader van wederzijdse bijstand, samenwerking en deelname aan het Comité</t>
  </si>
  <si>
    <t>32016R0679:58:6:30</t>
  </si>
  <si>
    <t>dat zijn toezichthoudende autoriteit, naast de in lid 1, 2 en 3 bedoelde bevoegdheden bijkomende bevoegdheden heeft</t>
  </si>
  <si>
    <t>toezichthoudende autoriteit, naast de bevoegdheden bijkomende bevoegdheden heeft</t>
  </si>
  <si>
    <t>autoriteit</t>
  </si>
  <si>
    <t>32016R0679:33:2:3</t>
  </si>
  <si>
    <t>de verwerkingsverantwoordelijke</t>
  </si>
  <si>
    <t>verwerkingsverantwoordelijke</t>
  </si>
  <si>
    <t>32016R0679:36:3:3</t>
  </si>
  <si>
    <t>de respectieve verantwoordelijkheden van de verwerkingsverantwoordelijke, bij de verwerking betrokken gezamenlijke verwerkingsverantwoordelijken en verwerkers, in het bijzonder voor verwerking binnen een concern</t>
  </si>
  <si>
    <t>respectieve verantwoordelijkheden van de verwerkingsverantwoordelijke, bij de verwerking betrokken gezamenlijke verwerkingsverantwoordelijken en verwerkers, in het bijzonder voor verwerking binnen een concern</t>
  </si>
  <si>
    <t>verantwoord</t>
  </si>
  <si>
    <t>middelen van de voorgenomen verwerking</t>
  </si>
  <si>
    <t>32024R1689:59:1:10</t>
  </si>
  <si>
    <t>de logbestanden van de verwerking van persoonsgegevens in het kader van de testomgeving</t>
  </si>
  <si>
    <t>logbestanden van de verwerking van persoonsgegevens in het kader van de testomgeving</t>
  </si>
  <si>
    <t>verwerk</t>
  </si>
  <si>
    <t>32016R0679:61:5:9</t>
  </si>
  <si>
    <t>de redenen daarvoor</t>
  </si>
  <si>
    <t>redenen</t>
  </si>
  <si>
    <t>32024R1689:76:5:8</t>
  </si>
  <si>
    <t>http://eurovoc.europa.eu/1667</t>
  </si>
  <si>
    <t>32024R1689:24:4:5</t>
  </si>
  <si>
    <t>de aanbieder of importeur van het systeem en de autoriteiten die bevoegd zijn voor het betreffende AI-systeem met een hoog risico</t>
  </si>
  <si>
    <t>aanbieder of importeur van het systeem en de autoriteiten die bevoegd zijn voor het betreffende AI-systeem met een hoog risico</t>
  </si>
  <si>
    <t>32024R1689:24:4:6</t>
  </si>
  <si>
    <t>de non-conformiteit en de eventueel getroffen corrigerende maatregelen</t>
  </si>
  <si>
    <t>non-conformiteit | eventueel getroffen corrigerende maatregelen</t>
  </si>
  <si>
    <t>32016R0679:24:1:3</t>
  </si>
  <si>
    <t>Die maatregelen</t>
  </si>
  <si>
    <t>maatregelen</t>
  </si>
  <si>
    <t>32016R0679:61:2:3</t>
  </si>
  <si>
    <t>alle passende maatregelen</t>
  </si>
  <si>
    <t>Verwerking van persoonsgegevens waaruit ras of etnische afkomst, politieke opvattingen, religieuze of levensbeschouwelijke overtuigingen, of het lidmaatschap van een vakbond blijkenmet betrekking tot iemands seksueel gedrag of seksuele gerichtheid</t>
  </si>
  <si>
    <t>32024R1689:59:1:1</t>
  </si>
  <si>
    <t>rechtmatig voor andere doeleinden verzamelde persoonsgegevens</t>
  </si>
  <si>
    <t>persoonsgegev</t>
  </si>
  <si>
    <t>32024R1689:47:4:10</t>
  </si>
  <si>
    <t>de verantwoordelijkheid</t>
  </si>
  <si>
    <t>verantwoordelijkheid</t>
  </si>
  <si>
    <t>32024R1689:36:3:6</t>
  </si>
  <si>
    <t>nieuwe certificaten</t>
  </si>
  <si>
    <t>32024R1689:45:2:9</t>
  </si>
  <si>
    <t>beoordelingscertificaten van technische documentatie van de Unie of aanvullingen daarop die zij heeft geweigerd, ingetrokken, opgeschort of anderszins beperkt</t>
  </si>
  <si>
    <t>beoordelingscertificaten van technische documentatie van de Unie of aanvullingen die zij heeft geweigerd, ingetrokken, opgeschort of anderszins beperkt</t>
  </si>
  <si>
    <t>certificat</t>
  </si>
  <si>
    <t>32024R1689:72:1:1</t>
  </si>
  <si>
    <t>een systeem voor monitoring na het in de handel brengen</t>
  </si>
  <si>
    <t>systeem voor monitoring na het in de handel brengen</t>
  </si>
  <si>
    <t>32024R1689:9:1:4</t>
  </si>
  <si>
    <t>een systeem voor risicobeheer</t>
  </si>
  <si>
    <t>systeem voor risicobeheer</t>
  </si>
  <si>
    <t>32016R0679:70:1:18</t>
  </si>
  <si>
    <t>samenwerking en effectieve bilaterale en multilaterale uitwisseling van informatie en beste praktijken tussen de toezichthoudende autoriteiten</t>
  </si>
  <si>
    <t>effectieve bilaterale en multilaterale uitwisseling van informatie en beste praktijken</t>
  </si>
  <si>
    <t>32024R1689:70:2:1</t>
  </si>
  <si>
    <t>32016R0679:35:8:15</t>
  </si>
  <si>
    <t>de naleving van de in artikel 40 bedoelde goedgekeurde gedragscodes</t>
  </si>
  <si>
    <t>goedgekeurde gedragscodes</t>
  </si>
  <si>
    <t>32016R0679:40:3:5</t>
  </si>
  <si>
    <t>bij overeenkomstig lid 5 van dit artikel goedgekeurde gedragscodes die overeenkomstig lid 9 van dit artikel algemeen geldig zijn verklaard</t>
  </si>
  <si>
    <t>goedgekeurde gedragscodes die algemeen geldig zijn verklaard</t>
  </si>
  <si>
    <t>gedragscod</t>
  </si>
  <si>
    <t>32024R1689:16:whole:5</t>
  </si>
  <si>
    <t>een EU-conformiteitsverklaring</t>
  </si>
  <si>
    <t>EU-conformiteitsverklaring</t>
  </si>
  <si>
    <t>32024R1689:47:4:11</t>
  </si>
  <si>
    <t>de EU-conformiteitsverklaring</t>
  </si>
  <si>
    <t>http://eurovoc.europa.eu/1464</t>
  </si>
  <si>
    <t>32016R0679:60:3:5</t>
  </si>
  <si>
    <t>alle relevante informatie over de aangelegenheid</t>
  </si>
  <si>
    <t>relevante informatie over de aangelegenheid</t>
  </si>
  <si>
    <t>32024R1689:52:1:3</t>
  </si>
  <si>
    <t>de informatie die nodig is om aan te tonen dat aan de desbetreffende eis is voldaan</t>
  </si>
  <si>
    <t>informatie die nodig is om aan te tonen dat aan de desbetreffende eis is voldaan</t>
  </si>
  <si>
    <t>32024R1689:28:1:2</t>
  </si>
  <si>
    <t>een aanmeldende autoriteit</t>
  </si>
  <si>
    <t>aanmeldende autoriteit</t>
  </si>
  <si>
    <t>32024R1689:70:3:6</t>
  </si>
  <si>
    <t>hun nationale bevoegde autoriteiten over voldoende technische, financiële en personele middelen en over passende infrastructuur beschikken</t>
  </si>
  <si>
    <t>nationale bevoegde autoriteiten over voldoende technische, financiële en personele middelen en over passende infrastructuur beschikken</t>
  </si>
  <si>
    <t>http://eurovoc.europa.eu/c_71b063b1</t>
  </si>
  <si>
    <t>32016R0679:28:4:5</t>
  </si>
  <si>
    <t>voor het nakomen van de verplichtingen van die andere verwerker</t>
  </si>
  <si>
    <t>verplichtingen van die andere verwerker</t>
  </si>
  <si>
    <t>32024R1689:63:2:1</t>
  </si>
  <si>
    <t>de naleving van andere in deze verordening vastgelegde eisen of verplichtingen</t>
  </si>
  <si>
    <t>verplichtingen</t>
  </si>
  <si>
    <t>verplicht</t>
  </si>
  <si>
    <t>32016R0679:43:6:8</t>
  </si>
  <si>
    <t>die eisen en criteria</t>
  </si>
  <si>
    <t>eisen</t>
  </si>
  <si>
    <t>32024R1689:8:1:1</t>
  </si>
  <si>
    <t>de eisen van deze afdeling</t>
  </si>
  <si>
    <t>http://eurovoc.europa.eu/2121</t>
  </si>
  <si>
    <t>32024R1689:36:1:1</t>
  </si>
  <si>
    <t>alle relevante wijzigingen in de aanmelding van een aangemelde instantie</t>
  </si>
  <si>
    <t>relevante wijzigingen in de aanmelding van een aangemelde instantie</t>
  </si>
  <si>
    <t>32024R1689:36:4:8</t>
  </si>
  <si>
    <t>de kwestie</t>
  </si>
  <si>
    <t>kwestie</t>
  </si>
  <si>
    <t>32024R1689:33:1:2</t>
  </si>
  <si>
    <t>de aanmeldende autoriteit</t>
  </si>
  <si>
    <t>32024R1689:74:3:1</t>
  </si>
  <si>
    <t>een andere relevante autoriteit</t>
  </si>
  <si>
    <t>relevante autoriteit</t>
  </si>
  <si>
    <t>32024R1689:65:6:6</t>
  </si>
  <si>
    <t>andere permanente of tijdelijke subgroepen</t>
  </si>
  <si>
    <t>permanente of tijdelijke subgroepen</t>
  </si>
  <si>
    <t>32024R1689:67:9:11</t>
  </si>
  <si>
    <t>subgroep</t>
  </si>
  <si>
    <t>32024R1689:93:1:4</t>
  </si>
  <si>
    <t>het model</t>
  </si>
  <si>
    <t>model</t>
  </si>
  <si>
    <t>32024R1689:93:1:5</t>
  </si>
  <si>
    <t>32016R0679:54:1:4</t>
  </si>
  <si>
    <t>de regels en procedures voor de benoeming van het lid of de leden van elke toezichthoudende autoriteit</t>
  </si>
  <si>
    <t>regels voor de benoeming of de leden van elke toezichthoudende autoriteit</t>
  </si>
  <si>
    <t>32024R1689:59:1:8</t>
  </si>
  <si>
    <t>tot maatregelen of besluiten</t>
  </si>
  <si>
    <t>maatregelen of besluiten</t>
  </si>
  <si>
    <t>32016R0679:37:4:4</t>
  </si>
  <si>
    <t>32024R1689:59:1:9</t>
  </si>
  <si>
    <t>in het kader van de testomgeving verwerkte persoonsgegevens</t>
  </si>
  <si>
    <t>kader van de testomgeving verwerkte persoonsgegevens</t>
  </si>
  <si>
    <t>32024R1689:112:12:20</t>
  </si>
  <si>
    <t>de regelgevingsspecificaties van elke sector, met de bestaande mechanismen voor governance, conformiteitsbeoordeling en handhaving en met de autoriteiten die daarin zijn vastgesteld</t>
  </si>
  <si>
    <t>regelgevingsspecificaties van elke sector, met de bestaande mechanismen voor governance, conformiteitsbeoordeling en handhaving en met de autoriteiten die zijn vastgesteld</t>
  </si>
  <si>
    <t>32024R1689:112:3:6</t>
  </si>
  <si>
    <t>een beoordeling van de structuur van de handhaving en de eventuele noodzaak van een Agentschap van de Unie om vastgestelde tekortkomingen op te lossen</t>
  </si>
  <si>
    <t>beoordeling van de structuur van de handhaving en de eventuele noodzaak van een Agentschap van de Unie om vastgestelde tekortkomingen op te lossen</t>
  </si>
  <si>
    <t>handhav</t>
  </si>
  <si>
    <t>32016R0679:87:whole:2</t>
  </si>
  <si>
    <t>het nationale identificatienummer of enige andere identificator van algemene aard</t>
  </si>
  <si>
    <t>nationale identificatienummer van algemene aard</t>
  </si>
  <si>
    <t>32024R1689:35:1:1</t>
  </si>
  <si>
    <t>één enkel identificatienummer</t>
  </si>
  <si>
    <t>identificatienummer</t>
  </si>
  <si>
    <t>32016R0679:75:6:8</t>
  </si>
  <si>
    <t>de vertaling van relevante informatie</t>
  </si>
  <si>
    <t>vertaling van relevante informatie</t>
  </si>
  <si>
    <t>32024R1689:25:2:8</t>
  </si>
  <si>
    <t>de nodige informatie</t>
  </si>
  <si>
    <t>nodige informatie</t>
  </si>
  <si>
    <t>32016R0679:35:11:18</t>
  </si>
  <si>
    <t>een toetsing</t>
  </si>
  <si>
    <t>toetsing</t>
  </si>
  <si>
    <t>32016R0679:57:1:25</t>
  </si>
  <si>
    <t>een periodieke toetsing van de overeenkomstig artikel 42, lid 7, afgegeven certificeringen</t>
  </si>
  <si>
    <t>periodieke toetsing van de afgegeven certificeringen</t>
  </si>
  <si>
    <t>32016R0679:60:10:23</t>
  </si>
  <si>
    <t>de nodige maatregelen</t>
  </si>
  <si>
    <t>nodige maatregelen</t>
  </si>
  <si>
    <t>32016R0679:61:7:11</t>
  </si>
  <si>
    <t>32016R0679:78:1:1</t>
  </si>
  <si>
    <t>een doeltreffende voorziening in rechte</t>
  </si>
  <si>
    <t>doeltreffende voorziening in rechte</t>
  </si>
  <si>
    <t>32016R0679:78:2:2</t>
  </si>
  <si>
    <t>voorzien</t>
  </si>
  <si>
    <t>32016R0679:28:4:6</t>
  </si>
  <si>
    <t>dezelfde verplichtingen inzake gegevensbescherming</t>
  </si>
  <si>
    <t>32024R1689:26:8:16</t>
  </si>
  <si>
    <t>de in artikel 49 bedoelde registratieverplichtingen</t>
  </si>
  <si>
    <t>registratieverplichtingen</t>
  </si>
  <si>
    <t>32024R1689:73:8:9</t>
  </si>
  <si>
    <t>http://eurovoc.europa.eu/c_cef8ea9d</t>
  </si>
  <si>
    <t>32016R0679:67:whole:2</t>
  </si>
  <si>
    <t>uitvoeringshandelingen van algemene aard</t>
  </si>
  <si>
    <t>32016R0679:15:1:2</t>
  </si>
  <si>
    <t>die persoonsgegevens en van de volgende informatie</t>
  </si>
  <si>
    <t>van de volgende informatie</t>
  </si>
  <si>
    <t>32024R1689:26:9:18</t>
  </si>
  <si>
    <t>de informatie die op grond van artikel 13 van deze verordening wordt verstrekt</t>
  </si>
  <si>
    <t>informatie die wordt verstrekt</t>
  </si>
  <si>
    <t>32016R0679:34:4:4</t>
  </si>
  <si>
    <t>dat aan een van de in lid 3 bedoelde voorwaarden is voldaan</t>
  </si>
  <si>
    <t>aan een van de voorwaarden is voldaan</t>
  </si>
  <si>
    <t>32024R1689:25:4:13</t>
  </si>
  <si>
    <t>vrijwillige modelvoorwaarden</t>
  </si>
  <si>
    <t>voorwaard</t>
  </si>
  <si>
    <t>32024R1689:99:1:1</t>
  </si>
  <si>
    <t>de voorschriften</t>
  </si>
  <si>
    <t>voorschriften</t>
  </si>
  <si>
    <t>32024R1689:99:7:11</t>
  </si>
  <si>
    <t>alle relevante omstandigheden van de specifieke situatie</t>
  </si>
  <si>
    <t>relevante omstandigheden van de specifieke situatie</t>
  </si>
  <si>
    <t>32016R0679:54:1:7</t>
  </si>
  <si>
    <t>de voorwaarden in verband met de plichten van het lid of de leden en de personeelsleden van elke toezichthoudende autoriteit, de verboden op met die plichten onverenigbare handelingen, werkzaamheden en voordelen tijdens en na de ambtstermijn en de regels betreffende de beëindiging van de ambtstermijn onderscheidenlijk de arbeidsverhouding</t>
  </si>
  <si>
    <t>voorwaarden in verband met de plichten of de leden en de personeelsleden van elke toezichthoudende autoriteit, de verboden op met die plichten onverenigbare handelingen, werkzaamheden en voordelen tijdens en na de ambtstermijn en de regels betreffende de beëindiging van de ambtstermijn onderscheidenlijk de arbeidsverhouding</t>
  </si>
  <si>
    <t>32016R0679:23:1:1</t>
  </si>
  <si>
    <t>De reikwijdte van de verplichtingen en rechten als bedoeld in de artikelen 12 tot en met 22 en artikel 34, alsmede in artikel 5</t>
  </si>
  <si>
    <t>reikwijdte van de verplichtingen en rechten</t>
  </si>
  <si>
    <t>32016R0679:38:6:11</t>
  </si>
  <si>
    <t>deze taken of plichten niet tot een belangenconflict leiden</t>
  </si>
  <si>
    <t>taken of plichten niet tot een belangenconflict leiden</t>
  </si>
  <si>
    <t>plicht</t>
  </si>
  <si>
    <t>32024R1689:25:1:3</t>
  </si>
  <si>
    <t>een substantiële wijziging</t>
  </si>
  <si>
    <t>substantiële wijziging</t>
  </si>
  <si>
    <t>32024R1689:43:4:7</t>
  </si>
  <si>
    <t>http://eurovoc.europa.eu/3260</t>
  </si>
  <si>
    <t>32024R1689:70:2:4</t>
  </si>
  <si>
    <t>de Commissie</t>
  </si>
  <si>
    <t>Commissie</t>
  </si>
  <si>
    <t>32024R1689:77:2:5</t>
  </si>
  <si>
    <t>de Commissie en de andere lidstaten</t>
  </si>
  <si>
    <t>commissie</t>
  </si>
  <si>
    <t>32016R0679:28:6:8</t>
  </si>
  <si>
    <t>op de in de leden 7 en 8 van dit artikel bedoelde standaardcontractbepalingen</t>
  </si>
  <si>
    <t>standaardcontractbepalingen</t>
  </si>
  <si>
    <t>32016R0679:28:7:9</t>
  </si>
  <si>
    <t>standaardcontractbepal</t>
  </si>
  <si>
    <t>32016R0679:25:2:4</t>
  </si>
  <si>
    <t>32016R0679:42:7:5</t>
  </si>
  <si>
    <t>Het certificaat</t>
  </si>
  <si>
    <t>certificaat</t>
  </si>
  <si>
    <t>32016R0679:43:7:11</t>
  </si>
  <si>
    <t>de overeenkomstig lid 1 van dit artikel aan een certificeringsorgaan afgegeven accreditatie</t>
  </si>
  <si>
    <t>aan een certificeringsorgaan afgegeven accreditatie</t>
  </si>
  <si>
    <t>http://eurovoc.europa.eu/1252</t>
  </si>
  <si>
    <t>32016R0679:70:1:10</t>
  </si>
  <si>
    <t>32016R0679:70:1:19</t>
  </si>
  <si>
    <t>gemeenschappelijke opleidingsprogramma's</t>
  </si>
  <si>
    <t>32016R0679:60:7:13</t>
  </si>
  <si>
    <t>de andere betrokken toezichthoudende autoriteiten, alsmede het Comité</t>
  </si>
  <si>
    <t>toezichthoudende autoriteiten</t>
  </si>
  <si>
    <t>32024R1689:74:6:5</t>
  </si>
  <si>
    <t>de markttoezichtautoriteit</t>
  </si>
  <si>
    <t>markttoezichtautoriteit</t>
  </si>
  <si>
    <t>32024R1689:36:7:23</t>
  </si>
  <si>
    <t>http://eurovoc.europa.eu/5336</t>
  </si>
  <si>
    <t>32016R0679:57:1:12</t>
  </si>
  <si>
    <t>32016R0679:57:1:29</t>
  </si>
  <si>
    <t>bindende bedrijfsvoorschriften</t>
  </si>
  <si>
    <t>32016R0679:12:5:12</t>
  </si>
  <si>
    <t>Het verstrekken van de in de artikelen 13 en 14 bedoelde informatie, en het verstrekken van de communicatie en het treffen van de maatregelen bedoeld in de artikelen 15 tot en met 22 en artikel 34</t>
  </si>
  <si>
    <t>informatie, en het verstrekken van de communicatie en het treffen van de maatregelen</t>
  </si>
  <si>
    <t>32024R1689:75:3:4</t>
  </si>
  <si>
    <t>dat de door hen verkregen informatie overeenkomstig artikel 78 van deze verordening vertrouwelijk wordt behandeld</t>
  </si>
  <si>
    <t>door hen verkregen informatie vertrouwelijk wordt behandeld</t>
  </si>
  <si>
    <t>32024R1689:10:5:8</t>
  </si>
  <si>
    <t>aan maatregelen om ervoor te zorgen dat de verwerkte persoonsgegevens worden beveiligd, beschermd met passende waarborgen, waaronder strikte controles en documentatie van de toegang ertoe, om misbruik te voorkomen en ervoor te zorgen dat alleen personen die gemachtigd zijn toegang tot die persoonsgegevens hebben met passende vertrouwelijkheidsverplichtingen</t>
  </si>
  <si>
    <t>maatregelen om ervoor te zorgen dat de verwerkte persoonsgegevens worden beveiligd, beschermd met passende waarborgen, waaronder strikte controles en documentatie van de toegang, om misbruik te voorkomen en ervoor te zorgen dat alleen personen die gemachtigd zijn toegang tot die persoonsgegevens hebben met passende vertrouwelijkheidsverplichtingen</t>
  </si>
  <si>
    <t>32024R1689:70:5:9</t>
  </si>
  <si>
    <t>de in artikel 78 vastgelegde vertrouwelijkheidsverplichtingen</t>
  </si>
  <si>
    <t>vastgelegde vertrouwelijkheidsverplichtingen</t>
  </si>
  <si>
    <t>vertrouwelijkheidsverplicht</t>
  </si>
  <si>
    <t>32016R0679:48:whole:1</t>
  </si>
  <si>
    <t>Elke rechterlijke uitspraak en elk besluit van een administratieve autoriteit van een derde land op grond waarvan een verwerkingsverantwoordelijke of een verwerker persoonsgegevens moet doorgeven of verstrekken</t>
  </si>
  <si>
    <t>rechterlijke uitspraak en elk besluit van een administratieve autoriteit van een derde land op grond waarvan een verwerkingsverantwoordelijke of een verwerker persoonsgegevens moet doorgeven of verstrekken</t>
  </si>
  <si>
    <t>32016R0679:78:4:4</t>
  </si>
  <si>
    <t>dat advies of besluit</t>
  </si>
  <si>
    <t>32016R0679:60:5:9</t>
  </si>
  <si>
    <t>een herzien ontwerpbesluit</t>
  </si>
  <si>
    <t>herzien ontwerpbesluit</t>
  </si>
  <si>
    <t>32024R1689:72:3:3</t>
  </si>
  <si>
    <t>een uitvoeringshandeling</t>
  </si>
  <si>
    <t>uitvoeringshandeling</t>
  </si>
  <si>
    <t>http://eurovoc.europa.eu/440579</t>
  </si>
  <si>
    <t>32016R0679:60:8:17</t>
  </si>
  <si>
    <t>32024R1689:33:2:3</t>
  </si>
  <si>
    <t>de volledige verantwoordelijkheid</t>
  </si>
  <si>
    <t>volledige verantwoordelijkheid</t>
  </si>
  <si>
    <t>32016R0679:51:3:4</t>
  </si>
  <si>
    <t>de toezichthoudende autoriteit</t>
  </si>
  <si>
    <t>toezichthoudende autoriteit</t>
  </si>
  <si>
    <t>32016R0679:51:4:6</t>
  </si>
  <si>
    <t>de wettelijke bepalingen die hij overeenkomstig dit hoofdstuk vaststelt</t>
  </si>
  <si>
    <t>wettelijke bepalingen die hij vaststelt</t>
  </si>
  <si>
    <t>32016R0679:66:3:4</t>
  </si>
  <si>
    <t>een dringend advies of een dringend bindend besluit</t>
  </si>
  <si>
    <t>dringend advies of een dringend bindend besluit</t>
  </si>
  <si>
    <t>32016R0679:83:9:11</t>
  </si>
  <si>
    <t>alle latere wijzigingen daarvan en alle daarop van invloed zijnde wijzigingswetgeving</t>
  </si>
  <si>
    <t>latere wijzigingen en alle van invloed zijnde wijzigingswetgeving</t>
  </si>
  <si>
    <t>32024R1689:99:2:6</t>
  </si>
  <si>
    <t>alle latere wijzigingen daarvan</t>
  </si>
  <si>
    <t>latere wijzigingen</t>
  </si>
  <si>
    <t>wijzig</t>
  </si>
  <si>
    <t>32016R0679:14:5:11</t>
  </si>
  <si>
    <t>de informatie</t>
  </si>
  <si>
    <t>32024R1689:36:7:25</t>
  </si>
  <si>
    <t>alle relevante informatie over de certificaten waarvan zij de schorsing of intrekking heeft gelast</t>
  </si>
  <si>
    <t>relevante informatie over de certificaten waarvan zij de schorsing of intrekking heeft gelast</t>
  </si>
  <si>
    <t>32024R1689:45:1:2</t>
  </si>
  <si>
    <t>weigering, beperking, schorsing of intrekking van een beoordelingscertificaat technische documentatie van de Unie of een goedkeuring voor systemen voor kwaliteitsbeheer afgegeven overeenkomstig de eisen van bijlage VII</t>
  </si>
  <si>
    <t>weigering, beperking, schorsing of intrekking van een beoordelingscertificaat technische documentatie van de Unie of een goedkeuring voor systemen voor kwaliteitsbeheer afgegeven overeenkomstig de eisen</t>
  </si>
  <si>
    <t>intrek</t>
  </si>
  <si>
    <t>32016R0679:43:6:9</t>
  </si>
  <si>
    <t>alle certificeringsmechanismen en gegevensbeschermingszegels</t>
  </si>
  <si>
    <t>certificeringsmechanismen</t>
  </si>
  <si>
    <t>32024R1689:59:1:4</t>
  </si>
  <si>
    <t>doeltreffende monitoringmechanismen</t>
  </si>
  <si>
    <t>32016R0679:64:5:7</t>
  </si>
  <si>
    <t>vertalingen van relevante informatie</t>
  </si>
  <si>
    <t>vertal</t>
  </si>
  <si>
    <t>32024R1689:71:1:2</t>
  </si>
  <si>
    <t>de AI-board</t>
  </si>
  <si>
    <t>AI-board</t>
  </si>
  <si>
    <t>32024R1689:71:6:7</t>
  </si>
  <si>
    <t>aan de toepasselijke toegankelijkheidseisen</t>
  </si>
  <si>
    <t>toepasselijke toegankelijkheidseisen</t>
  </si>
  <si>
    <t>Object filter: pair review summary</t>
  </si>
  <si>
    <t>Threshold (use a band edge)</t>
  </si>
  <si>
    <t>Change this cell; the estimates below follow.</t>
  </si>
  <si>
    <t>Band from</t>
  </si>
  <si>
    <t>Population</t>
  </si>
  <si>
    <t>Sampled</t>
  </si>
  <si>
    <t>related</t>
  </si>
  <si>
    <t>different</t>
  </si>
  <si>
    <t>unclear</t>
  </si>
  <si>
    <t>Judged</t>
  </si>
  <si>
    <t>Strict</t>
  </si>
  <si>
    <t>Lenient</t>
  </si>
  <si>
    <t>Pop (judged)</t>
  </si>
  <si>
    <t>Pop x strict</t>
  </si>
  <si>
    <t>Pop x lenient</t>
  </si>
  <si>
    <t>Estimates (weighted by stratum population)</t>
  </si>
  <si>
    <t>Scored pairs at or above threshold</t>
  </si>
  <si>
    <t>Precision at or above threshold, strict</t>
  </si>
  <si>
    <t>Precision at or above threshold, lenient</t>
  </si>
  <si>
    <t>Lenient precision when 'head' decides (all bands)</t>
  </si>
  <si>
    <t>Lenient precision when 'tail' decides (all bands)</t>
  </si>
  <si>
    <t>Lenient precision when 'eurovoc' decides (all bands)</t>
  </si>
  <si>
    <t>Lenient precision when 'noun' decides (all bands)</t>
  </si>
  <si>
    <t>Recall proxy: zero same-group pairs judged same or related</t>
  </si>
  <si>
    <t>Recall proxy: known pairs scoring at or above threshold</t>
  </si>
  <si>
    <t>Relation type by direction flag (counts)</t>
  </si>
  <si>
    <t>duplicate</t>
  </si>
  <si>
    <t>contradiction</t>
  </si>
  <si>
    <t>lex specialis</t>
  </si>
  <si>
    <t>overlap</t>
  </si>
  <si>
    <t>How to judge</t>
  </si>
  <si>
    <t>Fill in the yellow cells of the Review sheet, one row per pair. Judge only the objects.</t>
  </si>
  <si>
    <t>Same thing?  same: both norms are about the same thing.</t>
  </si>
  <si>
    <t xml:space="preserve">             related: overlapping, or one is a part, kind or case of the other.</t>
  </si>
  <si>
    <t xml:space="preserve">             different: not about the same thing.  unclear: cannot tell (not counted).</t>
  </si>
  <si>
    <t>Relation type (optional, from the full norms): duplicate, contradiction, lex specialis,</t>
  </si>
  <si>
    <t xml:space="preserve">             overlap (related, but no conflict or repetition), none, unclear.</t>
  </si>
  <si>
    <t>Score, key and stratum are in hidden columns (right of Note): unhide them after judging.</t>
  </si>
  <si>
    <t>Strict precision counts 'same'; lenient counts 'same' or 'related'.</t>
  </si>
  <si>
    <t>With about 10 pairs per stratum each figure is rough (about +/-15 points); the weighted</t>
  </si>
  <si>
    <t>estimates combine strata and are more stable. Sample sizes: Summary, column E.</t>
  </si>
  <si>
    <t>Example (format only; not part of the sample)</t>
  </si>
  <si>
    <t>Object A: de risicobeoordeling | Object B: een beoordeling van de risico's</t>
  </si>
  <si>
    <t>Same thing? same | Relation type: duplicate | Note: same assessment, other wording</t>
  </si>
  <si>
    <t>Settings: per cell 10, zero same-group 15, bands [0.5, 0.75], group parts 2, seed 42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</si>
</sst>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0"/>
      <name val="Arial"/>
    </font>
    <font>
      <sz val="10"/>
      <name val="Arial"/>
    </font>
    <font>
      <b/>
      <sz val="12"/>
      <name val="Arial"/>
    </font>
  </fonts>
  <fills count="4">
    <fill>
      <patternFill patternType="none"/>
    </fill>
    <fill>
      <patternFill patternType="gray125"/>
    </fill>
    <fill>
      <patternFill patternType="solid">
        <fgColor rgb="FFD9D9D9"/>
      </patternFill>
    </fill>
    <fill>
      <patternFill patternType="solid">
        <fgColor rgb="FFFFFF00"/>
      </patternFill>
    </fill>
  </fills>
  <borders count="1">
    <border>
      <left/>
      <right/>
      <top/>
      <bottom/>
      <diagonal/>
    </border>
  </borders>
  <cellStyleXfs count="1">
    <xf numFmtId="0" fontId="0" fillId="0" borderId="0"/>
  </cellStyleXfs>
  <cellXfs count="10">
    <xf numFmtId="0" fontId="0" fillId="0" borderId="0" xfId="0"/>
    <xf numFmtId="0" fontId="1" fillId="2" borderId="0" xfId="0" applyFont="1" applyFill="1" applyAlignment="1">
      <alignment vertical="top" wrapText="1"/>
    </xf>
    <xf numFmtId="0" fontId="2" fillId="0" borderId="0" xfId="0" applyFont="1" applyAlignment="1">
      <alignment vertical="top" wrapText="1"/>
    </xf>
    <xf numFmtId="0" fontId="2" fillId="3" borderId="0" xfId="0" applyFont="1" applyFill="1" applyAlignment="1">
      <alignment vertical="top" wrapText="1"/>
    </xf>
    <xf numFmtId="0" fontId="3" fillId="0" borderId="0" xfId="0" applyFont="1"/>
    <xf numFmtId="0" fontId="2" fillId="0" borderId="0" xfId="0" applyFont="1"/>
    <xf numFmtId="0" fontId="2" fillId="3" borderId="0" xfId="0" applyFont="1" applyFill="1"/>
    <xf numFmtId="0" fontId="1" fillId="2" borderId="0" xfId="0" applyFont="1" applyFill="1"/>
    <xf numFmtId="9" fontId="2" fillId="0" borderId="0" xfId="0" applyNumberFormat="1" applyFont="1"/>
    <xf numFmtId="0" fontId="1"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16"/>
  <sheetViews>
    <sheetView tabSelected="1" workbookViewId="0">
      <pane xSplit="1" ySplit="1" topLeftCell="B2" activePane="bottomRight" state="frozen"/>
      <selection pane="topRight"/>
      <selection pane="bottomLeft"/>
      <selection pane="bottomRight" activeCell="J4" sqref="J4"/>
    </sheetView>
  </sheetViews>
  <sheetFormatPr defaultRowHeight="14.5" x14ac:dyDescent="0.35"/>
  <cols>
    <col min="1" max="1" width="5" customWidth="1"/>
    <col min="2" max="2" width="22" customWidth="1"/>
    <col min="3" max="3" width="45" customWidth="1"/>
    <col min="4" max="4" width="30" hidden="1" customWidth="1"/>
    <col min="5" max="5" width="22" customWidth="1"/>
    <col min="6" max="6" width="45" customWidth="1"/>
    <col min="7" max="7" width="30" hidden="1" customWidth="1"/>
    <col min="8" max="8" width="13" customWidth="1"/>
    <col min="9" max="9" width="15" customWidth="1"/>
    <col min="10" max="10" width="30" customWidth="1"/>
    <col min="11" max="11" width="18" hidden="1" customWidth="1"/>
    <col min="12" max="12" width="8" hidden="1" customWidth="1"/>
    <col min="13" max="13" width="11" hidden="1" customWidth="1"/>
    <col min="14" max="14" width="18" hidden="1" customWidth="1"/>
    <col min="15" max="15" width="8" hidden="1" customWidth="1"/>
    <col min="16" max="16" width="11" hidden="1" customWidth="1"/>
  </cols>
  <sheetData>
    <row r="1" spans="1:16" ht="26" x14ac:dyDescent="0.3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row>
    <row r="2" spans="1:16" x14ac:dyDescent="0.35">
      <c r="A2" s="2">
        <v>1</v>
      </c>
      <c r="B2" s="2" t="s">
        <v>16</v>
      </c>
      <c r="C2" s="2" t="s">
        <v>17</v>
      </c>
      <c r="D2" s="2" t="s">
        <v>17</v>
      </c>
      <c r="E2" s="2" t="s">
        <v>18</v>
      </c>
      <c r="F2" s="2" t="s">
        <v>19</v>
      </c>
      <c r="G2" s="2" t="s">
        <v>17</v>
      </c>
      <c r="H2" s="3"/>
      <c r="I2" s="3"/>
      <c r="J2" s="3"/>
      <c r="K2" s="2" t="s">
        <v>20</v>
      </c>
      <c r="L2" s="2">
        <v>0.56420000000000003</v>
      </c>
      <c r="M2" s="2" t="s">
        <v>21</v>
      </c>
      <c r="N2" s="2" t="s">
        <v>17</v>
      </c>
      <c r="O2" s="2">
        <v>0.56420000000000003</v>
      </c>
      <c r="P2" s="2" t="s">
        <v>22</v>
      </c>
    </row>
    <row r="3" spans="1:16" ht="62.5" x14ac:dyDescent="0.35">
      <c r="A3" s="2">
        <v>2</v>
      </c>
      <c r="B3" s="2" t="s">
        <v>23</v>
      </c>
      <c r="C3" s="2" t="s">
        <v>24</v>
      </c>
      <c r="D3" s="2" t="s">
        <v>25</v>
      </c>
      <c r="E3" s="2" t="s">
        <v>26</v>
      </c>
      <c r="F3" s="2" t="s">
        <v>27</v>
      </c>
      <c r="G3" s="2" t="s">
        <v>28</v>
      </c>
      <c r="H3" s="3"/>
      <c r="I3" s="3"/>
      <c r="J3" s="3"/>
      <c r="K3" s="2" t="s">
        <v>29</v>
      </c>
      <c r="L3" s="2">
        <v>0.50800000000000001</v>
      </c>
      <c r="M3" s="2" t="s">
        <v>30</v>
      </c>
      <c r="N3" s="2" t="s">
        <v>31</v>
      </c>
      <c r="O3" s="2">
        <v>0.72570000000000001</v>
      </c>
      <c r="P3" s="2" t="s">
        <v>32</v>
      </c>
    </row>
    <row r="4" spans="1:16" ht="112.5" x14ac:dyDescent="0.35">
      <c r="A4" s="2">
        <v>3</v>
      </c>
      <c r="B4" s="2" t="s">
        <v>33</v>
      </c>
      <c r="C4" s="2" t="s">
        <v>34</v>
      </c>
      <c r="D4" s="2" t="s">
        <v>34</v>
      </c>
      <c r="E4" s="2" t="s">
        <v>35</v>
      </c>
      <c r="F4" s="2" t="s">
        <v>36</v>
      </c>
      <c r="G4" s="2" t="s">
        <v>37</v>
      </c>
      <c r="H4" s="3"/>
      <c r="I4" s="3"/>
      <c r="J4" s="3"/>
      <c r="K4" s="2" t="s">
        <v>29</v>
      </c>
      <c r="L4" s="2">
        <v>0.54120000000000001</v>
      </c>
      <c r="M4" s="2" t="s">
        <v>30</v>
      </c>
      <c r="N4" s="2" t="s">
        <v>38</v>
      </c>
      <c r="O4" s="2">
        <v>0.77310000000000001</v>
      </c>
      <c r="P4" s="2" t="s">
        <v>32</v>
      </c>
    </row>
    <row r="5" spans="1:16" x14ac:dyDescent="0.35">
      <c r="A5" s="2">
        <v>4</v>
      </c>
      <c r="B5" s="2" t="s">
        <v>39</v>
      </c>
      <c r="C5" s="2" t="s">
        <v>40</v>
      </c>
      <c r="D5" s="2" t="s">
        <v>40</v>
      </c>
      <c r="E5" s="2" t="s">
        <v>41</v>
      </c>
      <c r="F5" s="2" t="s">
        <v>42</v>
      </c>
      <c r="G5" s="2" t="s">
        <v>43</v>
      </c>
      <c r="H5" s="3"/>
      <c r="I5" s="3"/>
      <c r="J5" s="3"/>
      <c r="K5" s="2" t="s">
        <v>44</v>
      </c>
      <c r="L5" s="2">
        <v>0.31159999999999999</v>
      </c>
      <c r="M5" s="2" t="s">
        <v>45</v>
      </c>
      <c r="N5" s="2" t="s">
        <v>46</v>
      </c>
      <c r="O5" s="2">
        <v>0.38950000000000001</v>
      </c>
      <c r="P5" s="2" t="s">
        <v>47</v>
      </c>
    </row>
    <row r="6" spans="1:16" ht="212.5" x14ac:dyDescent="0.35">
      <c r="A6" s="2">
        <v>5</v>
      </c>
      <c r="B6" s="2" t="s">
        <v>39</v>
      </c>
      <c r="C6" s="2" t="s">
        <v>40</v>
      </c>
      <c r="D6" s="2" t="s">
        <v>40</v>
      </c>
      <c r="E6" s="2" t="s">
        <v>48</v>
      </c>
      <c r="F6" s="2" t="s">
        <v>49</v>
      </c>
      <c r="G6" s="2" t="s">
        <v>50</v>
      </c>
      <c r="H6" s="3"/>
      <c r="I6" s="3"/>
      <c r="J6" s="3"/>
      <c r="K6" s="2" t="s">
        <v>51</v>
      </c>
      <c r="L6" s="2">
        <v>0.40310000000000001</v>
      </c>
      <c r="M6" s="2" t="s">
        <v>21</v>
      </c>
      <c r="N6" s="2" t="s">
        <v>52</v>
      </c>
      <c r="O6" s="2">
        <v>0.40310000000000001</v>
      </c>
      <c r="P6" s="2" t="s">
        <v>53</v>
      </c>
    </row>
    <row r="7" spans="1:16" x14ac:dyDescent="0.35">
      <c r="A7" s="2">
        <v>6</v>
      </c>
      <c r="B7" s="2" t="s">
        <v>54</v>
      </c>
      <c r="C7" s="2" t="s">
        <v>55</v>
      </c>
      <c r="D7" s="2" t="s">
        <v>56</v>
      </c>
      <c r="E7" s="2" t="s">
        <v>57</v>
      </c>
      <c r="F7" s="2" t="s">
        <v>58</v>
      </c>
      <c r="G7" s="2" t="s">
        <v>59</v>
      </c>
      <c r="H7" s="3"/>
      <c r="I7" s="3"/>
      <c r="J7" s="3"/>
      <c r="K7" s="2" t="s">
        <v>60</v>
      </c>
      <c r="L7" s="2">
        <v>0.55220000000000002</v>
      </c>
      <c r="M7" s="2" t="s">
        <v>45</v>
      </c>
      <c r="N7" s="2" t="s">
        <v>61</v>
      </c>
      <c r="O7" s="2">
        <v>0.69020000000000004</v>
      </c>
      <c r="P7" s="2" t="s">
        <v>53</v>
      </c>
    </row>
    <row r="8" spans="1:16" x14ac:dyDescent="0.35">
      <c r="A8" s="2">
        <v>7</v>
      </c>
      <c r="B8" s="2" t="s">
        <v>62</v>
      </c>
      <c r="C8" s="2" t="s">
        <v>63</v>
      </c>
      <c r="D8" s="2" t="s">
        <v>64</v>
      </c>
      <c r="E8" s="2" t="s">
        <v>65</v>
      </c>
      <c r="F8" s="2" t="s">
        <v>66</v>
      </c>
      <c r="G8" s="2" t="s">
        <v>67</v>
      </c>
      <c r="H8" s="3"/>
      <c r="I8" s="3"/>
      <c r="J8" s="3"/>
      <c r="K8" s="2" t="s">
        <v>51</v>
      </c>
      <c r="L8" s="2">
        <v>0.45129999999999998</v>
      </c>
      <c r="M8" s="2" t="s">
        <v>21</v>
      </c>
      <c r="N8" s="2" t="s">
        <v>68</v>
      </c>
      <c r="O8" s="2">
        <v>0.45129999999999998</v>
      </c>
      <c r="P8" s="2" t="s">
        <v>47</v>
      </c>
    </row>
    <row r="9" spans="1:16" x14ac:dyDescent="0.35">
      <c r="A9" s="2">
        <v>8</v>
      </c>
      <c r="B9" s="2" t="s">
        <v>69</v>
      </c>
      <c r="C9" s="2" t="s">
        <v>70</v>
      </c>
      <c r="D9" s="2" t="s">
        <v>70</v>
      </c>
      <c r="E9" s="2" t="s">
        <v>71</v>
      </c>
      <c r="F9" s="2" t="s">
        <v>72</v>
      </c>
      <c r="G9" s="2" t="s">
        <v>73</v>
      </c>
      <c r="H9" s="3"/>
      <c r="I9" s="3"/>
      <c r="J9" s="3"/>
      <c r="K9" s="2" t="s">
        <v>74</v>
      </c>
      <c r="L9" s="2">
        <v>0</v>
      </c>
      <c r="M9" s="2"/>
      <c r="N9" s="2"/>
      <c r="O9" s="2"/>
      <c r="P9" s="2" t="s">
        <v>32</v>
      </c>
    </row>
    <row r="10" spans="1:16" ht="25" x14ac:dyDescent="0.35">
      <c r="A10" s="2">
        <v>9</v>
      </c>
      <c r="B10" s="2" t="s">
        <v>75</v>
      </c>
      <c r="C10" s="2" t="s">
        <v>76</v>
      </c>
      <c r="D10" s="2" t="s">
        <v>77</v>
      </c>
      <c r="E10" s="2" t="s">
        <v>78</v>
      </c>
      <c r="F10" s="2" t="s">
        <v>79</v>
      </c>
      <c r="G10" s="2" t="s">
        <v>80</v>
      </c>
      <c r="H10" s="3"/>
      <c r="I10" s="3"/>
      <c r="J10" s="3"/>
      <c r="K10" s="2" t="s">
        <v>81</v>
      </c>
      <c r="L10" s="2">
        <v>0.48659999999999998</v>
      </c>
      <c r="M10" s="2" t="s">
        <v>82</v>
      </c>
      <c r="N10" s="2" t="s">
        <v>83</v>
      </c>
      <c r="O10" s="2">
        <v>0.54069999999999996</v>
      </c>
      <c r="P10" s="2" t="s">
        <v>53</v>
      </c>
    </row>
    <row r="11" spans="1:16" ht="25" x14ac:dyDescent="0.35">
      <c r="A11" s="2">
        <v>10</v>
      </c>
      <c r="B11" s="2" t="s">
        <v>84</v>
      </c>
      <c r="C11" s="2" t="s">
        <v>85</v>
      </c>
      <c r="D11" s="2" t="s">
        <v>86</v>
      </c>
      <c r="E11" s="2" t="s">
        <v>87</v>
      </c>
      <c r="F11" s="2" t="s">
        <v>88</v>
      </c>
      <c r="G11" s="2" t="s">
        <v>89</v>
      </c>
      <c r="H11" s="3"/>
      <c r="I11" s="3"/>
      <c r="J11" s="3"/>
      <c r="K11" s="2" t="s">
        <v>74</v>
      </c>
      <c r="L11" s="2">
        <v>0</v>
      </c>
      <c r="M11" s="2"/>
      <c r="N11" s="2"/>
      <c r="O11" s="2"/>
      <c r="P11" s="2" t="s">
        <v>32</v>
      </c>
    </row>
    <row r="12" spans="1:16" ht="25" x14ac:dyDescent="0.35">
      <c r="A12" s="2">
        <v>11</v>
      </c>
      <c r="B12" s="2" t="s">
        <v>90</v>
      </c>
      <c r="C12" s="2" t="s">
        <v>91</v>
      </c>
      <c r="D12" s="2" t="s">
        <v>92</v>
      </c>
      <c r="E12" s="2" t="s">
        <v>93</v>
      </c>
      <c r="F12" s="2" t="s">
        <v>94</v>
      </c>
      <c r="G12" s="2" t="s">
        <v>95</v>
      </c>
      <c r="H12" s="3"/>
      <c r="I12" s="3"/>
      <c r="J12" s="3"/>
      <c r="K12" s="2" t="s">
        <v>51</v>
      </c>
      <c r="L12" s="2">
        <v>0.37369999999999998</v>
      </c>
      <c r="M12" s="2" t="s">
        <v>21</v>
      </c>
      <c r="N12" s="2" t="s">
        <v>96</v>
      </c>
      <c r="O12" s="2">
        <v>0.37369999999999998</v>
      </c>
      <c r="P12" s="2" t="s">
        <v>47</v>
      </c>
    </row>
    <row r="13" spans="1:16" ht="50" x14ac:dyDescent="0.35">
      <c r="A13" s="2">
        <v>12</v>
      </c>
      <c r="B13" s="2" t="s">
        <v>97</v>
      </c>
      <c r="C13" s="2" t="s">
        <v>98</v>
      </c>
      <c r="D13" s="2" t="s">
        <v>99</v>
      </c>
      <c r="E13" s="2" t="s">
        <v>100</v>
      </c>
      <c r="F13" s="2" t="s">
        <v>101</v>
      </c>
      <c r="G13" s="2" t="s">
        <v>102</v>
      </c>
      <c r="H13" s="3"/>
      <c r="I13" s="3"/>
      <c r="J13" s="3"/>
      <c r="K13" s="2" t="s">
        <v>60</v>
      </c>
      <c r="L13" s="2">
        <v>0.51980000000000004</v>
      </c>
      <c r="M13" s="2" t="s">
        <v>45</v>
      </c>
      <c r="N13" s="2" t="s">
        <v>103</v>
      </c>
      <c r="O13" s="2">
        <v>0.64970000000000006</v>
      </c>
      <c r="P13" s="2" t="s">
        <v>32</v>
      </c>
    </row>
    <row r="14" spans="1:16" ht="37.5" x14ac:dyDescent="0.35">
      <c r="A14" s="2">
        <v>13</v>
      </c>
      <c r="B14" s="2" t="s">
        <v>104</v>
      </c>
      <c r="C14" s="2" t="s">
        <v>105</v>
      </c>
      <c r="D14" s="2" t="s">
        <v>106</v>
      </c>
      <c r="E14" s="2" t="s">
        <v>107</v>
      </c>
      <c r="F14" s="2" t="s">
        <v>108</v>
      </c>
      <c r="G14" s="2" t="s">
        <v>109</v>
      </c>
      <c r="H14" s="3"/>
      <c r="I14" s="3"/>
      <c r="J14" s="3"/>
      <c r="K14" s="2" t="s">
        <v>29</v>
      </c>
      <c r="L14" s="2">
        <v>0.5232</v>
      </c>
      <c r="M14" s="2" t="s">
        <v>30</v>
      </c>
      <c r="N14" s="2" t="s">
        <v>110</v>
      </c>
      <c r="O14" s="2">
        <v>0.74739999999999995</v>
      </c>
      <c r="P14" s="2" t="s">
        <v>32</v>
      </c>
    </row>
    <row r="15" spans="1:16" x14ac:dyDescent="0.35">
      <c r="A15" s="2">
        <v>14</v>
      </c>
      <c r="B15" s="2" t="s">
        <v>111</v>
      </c>
      <c r="C15" s="2" t="s">
        <v>112</v>
      </c>
      <c r="D15" s="2" t="s">
        <v>113</v>
      </c>
      <c r="E15" s="2" t="s">
        <v>114</v>
      </c>
      <c r="F15" s="2" t="s">
        <v>115</v>
      </c>
      <c r="G15" s="2" t="s">
        <v>113</v>
      </c>
      <c r="H15" s="3"/>
      <c r="I15" s="3"/>
      <c r="J15" s="3"/>
      <c r="K15" s="2" t="s">
        <v>116</v>
      </c>
      <c r="L15" s="2">
        <v>0.77310000000000001</v>
      </c>
      <c r="M15" s="2" t="s">
        <v>21</v>
      </c>
      <c r="N15" s="2" t="s">
        <v>117</v>
      </c>
      <c r="O15" s="2">
        <v>0.77310000000000001</v>
      </c>
      <c r="P15" s="2" t="s">
        <v>22</v>
      </c>
    </row>
    <row r="16" spans="1:16" x14ac:dyDescent="0.35">
      <c r="A16" s="2">
        <v>15</v>
      </c>
      <c r="B16" s="2" t="s">
        <v>118</v>
      </c>
      <c r="C16" s="2" t="s">
        <v>119</v>
      </c>
      <c r="D16" s="2" t="s">
        <v>120</v>
      </c>
      <c r="E16" s="2" t="s">
        <v>121</v>
      </c>
      <c r="F16" s="2" t="s">
        <v>122</v>
      </c>
      <c r="G16" s="2" t="s">
        <v>123</v>
      </c>
      <c r="H16" s="3"/>
      <c r="I16" s="3"/>
      <c r="J16" s="3"/>
      <c r="K16" s="2" t="s">
        <v>20</v>
      </c>
      <c r="L16" s="2">
        <v>0.52529999999999999</v>
      </c>
      <c r="M16" s="2" t="s">
        <v>21</v>
      </c>
      <c r="N16" s="2" t="s">
        <v>123</v>
      </c>
      <c r="O16" s="2">
        <v>0.52529999999999999</v>
      </c>
      <c r="P16" s="2" t="s">
        <v>47</v>
      </c>
    </row>
    <row r="17" spans="1:16" ht="112.5" x14ac:dyDescent="0.35">
      <c r="A17" s="2">
        <v>16</v>
      </c>
      <c r="B17" s="2" t="s">
        <v>124</v>
      </c>
      <c r="C17" s="2" t="s">
        <v>125</v>
      </c>
      <c r="D17" s="2" t="s">
        <v>126</v>
      </c>
      <c r="E17" s="2" t="s">
        <v>127</v>
      </c>
      <c r="F17" s="2" t="s">
        <v>128</v>
      </c>
      <c r="G17" s="2" t="s">
        <v>129</v>
      </c>
      <c r="H17" s="3"/>
      <c r="I17" s="3"/>
      <c r="J17" s="3"/>
      <c r="K17" s="2" t="s">
        <v>116</v>
      </c>
      <c r="L17" s="2">
        <v>0.77310000000000001</v>
      </c>
      <c r="M17" s="2" t="s">
        <v>21</v>
      </c>
      <c r="N17" s="2" t="s">
        <v>130</v>
      </c>
      <c r="O17" s="2">
        <v>0.77310000000000001</v>
      </c>
      <c r="P17" s="2" t="s">
        <v>53</v>
      </c>
    </row>
    <row r="18" spans="1:16" ht="25" x14ac:dyDescent="0.35">
      <c r="A18" s="2">
        <v>17</v>
      </c>
      <c r="B18" s="2" t="s">
        <v>131</v>
      </c>
      <c r="C18" s="2" t="s">
        <v>132</v>
      </c>
      <c r="D18" s="2" t="s">
        <v>133</v>
      </c>
      <c r="E18" s="2" t="s">
        <v>134</v>
      </c>
      <c r="F18" s="2" t="s">
        <v>135</v>
      </c>
      <c r="G18" s="2" t="s">
        <v>133</v>
      </c>
      <c r="H18" s="3"/>
      <c r="I18" s="3"/>
      <c r="J18" s="3"/>
      <c r="K18" s="2" t="s">
        <v>136</v>
      </c>
      <c r="L18" s="2">
        <v>0.76060000000000005</v>
      </c>
      <c r="M18" s="2" t="s">
        <v>82</v>
      </c>
      <c r="N18" s="2" t="s">
        <v>137</v>
      </c>
      <c r="O18" s="2">
        <v>0.84509999999999996</v>
      </c>
      <c r="P18" s="2" t="s">
        <v>22</v>
      </c>
    </row>
    <row r="19" spans="1:16" ht="25" x14ac:dyDescent="0.35">
      <c r="A19" s="2">
        <v>18</v>
      </c>
      <c r="B19" s="2" t="s">
        <v>138</v>
      </c>
      <c r="C19" s="2" t="s">
        <v>139</v>
      </c>
      <c r="D19" s="2" t="s">
        <v>140</v>
      </c>
      <c r="E19" s="2" t="s">
        <v>141</v>
      </c>
      <c r="F19" s="2" t="s">
        <v>142</v>
      </c>
      <c r="G19" s="2" t="s">
        <v>140</v>
      </c>
      <c r="H19" s="3"/>
      <c r="I19" s="3"/>
      <c r="J19" s="3"/>
      <c r="K19" s="2" t="s">
        <v>81</v>
      </c>
      <c r="L19" s="2">
        <v>0.49159999999999998</v>
      </c>
      <c r="M19" s="2" t="s">
        <v>82</v>
      </c>
      <c r="N19" s="2" t="s">
        <v>143</v>
      </c>
      <c r="O19" s="2">
        <v>0.54620000000000002</v>
      </c>
      <c r="P19" s="2" t="s">
        <v>22</v>
      </c>
    </row>
    <row r="20" spans="1:16" x14ac:dyDescent="0.35">
      <c r="A20" s="2">
        <v>19</v>
      </c>
      <c r="B20" s="2" t="s">
        <v>144</v>
      </c>
      <c r="C20" s="2" t="s">
        <v>145</v>
      </c>
      <c r="D20" s="2" t="s">
        <v>145</v>
      </c>
      <c r="E20" s="2" t="s">
        <v>146</v>
      </c>
      <c r="F20" s="2" t="s">
        <v>147</v>
      </c>
      <c r="G20" s="2" t="s">
        <v>148</v>
      </c>
      <c r="H20" s="3"/>
      <c r="I20" s="3"/>
      <c r="J20" s="3"/>
      <c r="K20" s="2" t="s">
        <v>74</v>
      </c>
      <c r="L20" s="2">
        <v>0</v>
      </c>
      <c r="M20" s="2"/>
      <c r="N20" s="2"/>
      <c r="O20" s="2"/>
      <c r="P20" s="2" t="s">
        <v>32</v>
      </c>
    </row>
    <row r="21" spans="1:16" x14ac:dyDescent="0.35">
      <c r="A21" s="2">
        <v>20</v>
      </c>
      <c r="B21" s="2" t="s">
        <v>149</v>
      </c>
      <c r="C21" s="2" t="s">
        <v>150</v>
      </c>
      <c r="D21" s="2" t="s">
        <v>151</v>
      </c>
      <c r="E21" s="2" t="s">
        <v>152</v>
      </c>
      <c r="F21" s="2" t="s">
        <v>153</v>
      </c>
      <c r="G21" s="2" t="s">
        <v>154</v>
      </c>
      <c r="H21" s="3"/>
      <c r="I21" s="3"/>
      <c r="J21" s="3"/>
      <c r="K21" s="2" t="s">
        <v>74</v>
      </c>
      <c r="L21" s="2">
        <v>0</v>
      </c>
      <c r="M21" s="2"/>
      <c r="N21" s="2"/>
      <c r="O21" s="2"/>
      <c r="P21" s="2" t="s">
        <v>32</v>
      </c>
    </row>
    <row r="22" spans="1:16" ht="50" x14ac:dyDescent="0.35">
      <c r="A22" s="2">
        <v>21</v>
      </c>
      <c r="B22" s="2" t="s">
        <v>155</v>
      </c>
      <c r="C22" s="2" t="s">
        <v>156</v>
      </c>
      <c r="D22" s="2" t="s">
        <v>156</v>
      </c>
      <c r="E22" s="2" t="s">
        <v>157</v>
      </c>
      <c r="F22" s="2" t="s">
        <v>158</v>
      </c>
      <c r="G22" s="2" t="s">
        <v>159</v>
      </c>
      <c r="H22" s="3"/>
      <c r="I22" s="3"/>
      <c r="J22" s="3"/>
      <c r="K22" s="2" t="s">
        <v>81</v>
      </c>
      <c r="L22" s="2">
        <v>0.42880000000000001</v>
      </c>
      <c r="M22" s="2" t="s">
        <v>82</v>
      </c>
      <c r="N22" s="2" t="s">
        <v>160</v>
      </c>
      <c r="O22" s="2">
        <v>0.47649999999999998</v>
      </c>
      <c r="P22" s="2" t="s">
        <v>53</v>
      </c>
    </row>
    <row r="23" spans="1:16" ht="50" x14ac:dyDescent="0.35">
      <c r="A23" s="2">
        <v>22</v>
      </c>
      <c r="B23" s="2" t="s">
        <v>100</v>
      </c>
      <c r="C23" s="2" t="s">
        <v>101</v>
      </c>
      <c r="D23" s="2" t="s">
        <v>102</v>
      </c>
      <c r="E23" s="2" t="s">
        <v>161</v>
      </c>
      <c r="F23" s="2" t="s">
        <v>162</v>
      </c>
      <c r="G23" s="2" t="s">
        <v>163</v>
      </c>
      <c r="H23" s="3"/>
      <c r="I23" s="3"/>
      <c r="J23" s="3"/>
      <c r="K23" s="2" t="s">
        <v>60</v>
      </c>
      <c r="L23" s="2">
        <v>0.51980000000000004</v>
      </c>
      <c r="M23" s="2" t="s">
        <v>45</v>
      </c>
      <c r="N23" s="2" t="s">
        <v>103</v>
      </c>
      <c r="O23" s="2">
        <v>0.64970000000000006</v>
      </c>
      <c r="P23" s="2" t="s">
        <v>32</v>
      </c>
    </row>
    <row r="24" spans="1:16" ht="25" x14ac:dyDescent="0.35">
      <c r="A24" s="2">
        <v>23</v>
      </c>
      <c r="B24" s="2" t="s">
        <v>164</v>
      </c>
      <c r="C24" s="2" t="s">
        <v>165</v>
      </c>
      <c r="D24" s="2" t="s">
        <v>165</v>
      </c>
      <c r="E24" s="2" t="s">
        <v>166</v>
      </c>
      <c r="F24" s="2" t="s">
        <v>167</v>
      </c>
      <c r="G24" s="2" t="s">
        <v>168</v>
      </c>
      <c r="H24" s="3"/>
      <c r="I24" s="3"/>
      <c r="J24" s="3"/>
      <c r="K24" s="2" t="s">
        <v>169</v>
      </c>
      <c r="L24" s="2">
        <v>0.69579999999999997</v>
      </c>
      <c r="M24" s="2" t="s">
        <v>82</v>
      </c>
      <c r="N24" s="2" t="s">
        <v>170</v>
      </c>
      <c r="O24" s="2">
        <v>0.77310000000000001</v>
      </c>
      <c r="P24" s="2" t="s">
        <v>32</v>
      </c>
    </row>
    <row r="25" spans="1:16" ht="25" x14ac:dyDescent="0.35">
      <c r="A25" s="2">
        <v>24</v>
      </c>
      <c r="B25" s="2" t="s">
        <v>171</v>
      </c>
      <c r="C25" s="2" t="s">
        <v>172</v>
      </c>
      <c r="D25" s="2" t="s">
        <v>140</v>
      </c>
      <c r="E25" s="2" t="s">
        <v>173</v>
      </c>
      <c r="F25" s="2" t="s">
        <v>174</v>
      </c>
      <c r="G25" s="2" t="s">
        <v>140</v>
      </c>
      <c r="H25" s="3"/>
      <c r="I25" s="3"/>
      <c r="J25" s="3"/>
      <c r="K25" s="2" t="s">
        <v>81</v>
      </c>
      <c r="L25" s="2">
        <v>0.49159999999999998</v>
      </c>
      <c r="M25" s="2" t="s">
        <v>82</v>
      </c>
      <c r="N25" s="2" t="s">
        <v>143</v>
      </c>
      <c r="O25" s="2">
        <v>0.54620000000000002</v>
      </c>
      <c r="P25" s="2" t="s">
        <v>22</v>
      </c>
    </row>
    <row r="26" spans="1:16" ht="37.5" x14ac:dyDescent="0.35">
      <c r="A26" s="2">
        <v>25</v>
      </c>
      <c r="B26" s="2" t="s">
        <v>175</v>
      </c>
      <c r="C26" s="2" t="s">
        <v>158</v>
      </c>
      <c r="D26" s="2" t="s">
        <v>159</v>
      </c>
      <c r="E26" s="2" t="s">
        <v>176</v>
      </c>
      <c r="F26" s="2" t="s">
        <v>177</v>
      </c>
      <c r="G26" s="2" t="s">
        <v>178</v>
      </c>
      <c r="H26" s="3"/>
      <c r="I26" s="3"/>
      <c r="J26" s="3"/>
      <c r="K26" s="2" t="s">
        <v>44</v>
      </c>
      <c r="L26" s="2">
        <v>0.38400000000000001</v>
      </c>
      <c r="M26" s="2" t="s">
        <v>45</v>
      </c>
      <c r="N26" s="2" t="s">
        <v>179</v>
      </c>
      <c r="O26" s="2">
        <v>0.48</v>
      </c>
      <c r="P26" s="2" t="s">
        <v>32</v>
      </c>
    </row>
    <row r="27" spans="1:16" x14ac:dyDescent="0.35">
      <c r="A27" s="2">
        <v>26</v>
      </c>
      <c r="B27" s="2" t="s">
        <v>180</v>
      </c>
      <c r="C27" s="2" t="s">
        <v>181</v>
      </c>
      <c r="D27" s="2" t="s">
        <v>181</v>
      </c>
      <c r="E27" s="2" t="s">
        <v>182</v>
      </c>
      <c r="F27" s="2" t="s">
        <v>183</v>
      </c>
      <c r="G27" s="2" t="s">
        <v>183</v>
      </c>
      <c r="H27" s="3"/>
      <c r="I27" s="3"/>
      <c r="J27" s="3"/>
      <c r="K27" s="2" t="s">
        <v>44</v>
      </c>
      <c r="L27" s="2">
        <v>0.34599999999999997</v>
      </c>
      <c r="M27" s="2" t="s">
        <v>45</v>
      </c>
      <c r="N27" s="2" t="s">
        <v>184</v>
      </c>
      <c r="O27" s="2">
        <v>0.4325</v>
      </c>
      <c r="P27" s="2" t="s">
        <v>53</v>
      </c>
    </row>
    <row r="28" spans="1:16" ht="150" x14ac:dyDescent="0.35">
      <c r="A28" s="2">
        <v>27</v>
      </c>
      <c r="B28" s="2" t="s">
        <v>185</v>
      </c>
      <c r="C28" s="2" t="s">
        <v>186</v>
      </c>
      <c r="D28" s="2" t="s">
        <v>187</v>
      </c>
      <c r="E28" s="2" t="s">
        <v>188</v>
      </c>
      <c r="F28" s="2" t="s">
        <v>189</v>
      </c>
      <c r="G28" s="2" t="s">
        <v>189</v>
      </c>
      <c r="H28" s="3"/>
      <c r="I28" s="3"/>
      <c r="J28" s="3"/>
      <c r="K28" s="2" t="s">
        <v>29</v>
      </c>
      <c r="L28" s="2">
        <v>0.59160000000000001</v>
      </c>
      <c r="M28" s="2" t="s">
        <v>30</v>
      </c>
      <c r="N28" s="2" t="s">
        <v>189</v>
      </c>
      <c r="O28" s="2">
        <v>0.84509999999999996</v>
      </c>
      <c r="P28" s="2" t="s">
        <v>32</v>
      </c>
    </row>
    <row r="29" spans="1:16" x14ac:dyDescent="0.35">
      <c r="A29" s="2">
        <v>28</v>
      </c>
      <c r="B29" s="2" t="s">
        <v>190</v>
      </c>
      <c r="C29" s="2" t="s">
        <v>191</v>
      </c>
      <c r="D29" s="2" t="s">
        <v>123</v>
      </c>
      <c r="E29" s="2" t="s">
        <v>121</v>
      </c>
      <c r="F29" s="2" t="s">
        <v>122</v>
      </c>
      <c r="G29" s="2" t="s">
        <v>123</v>
      </c>
      <c r="H29" s="3"/>
      <c r="I29" s="3"/>
      <c r="J29" s="3"/>
      <c r="K29" s="2" t="s">
        <v>20</v>
      </c>
      <c r="L29" s="2">
        <v>0.52529999999999999</v>
      </c>
      <c r="M29" s="2" t="s">
        <v>21</v>
      </c>
      <c r="N29" s="2" t="s">
        <v>123</v>
      </c>
      <c r="O29" s="2">
        <v>0.52529999999999999</v>
      </c>
      <c r="P29" s="2" t="s">
        <v>22</v>
      </c>
    </row>
    <row r="30" spans="1:16" ht="25" x14ac:dyDescent="0.35">
      <c r="A30" s="2">
        <v>29</v>
      </c>
      <c r="B30" s="2" t="s">
        <v>192</v>
      </c>
      <c r="C30" s="2" t="s">
        <v>193</v>
      </c>
      <c r="D30" s="2" t="s">
        <v>193</v>
      </c>
      <c r="E30" s="2" t="s">
        <v>194</v>
      </c>
      <c r="F30" s="2" t="s">
        <v>195</v>
      </c>
      <c r="G30" s="2" t="s">
        <v>195</v>
      </c>
      <c r="H30" s="3"/>
      <c r="I30" s="3"/>
      <c r="J30" s="3"/>
      <c r="K30" s="2" t="s">
        <v>136</v>
      </c>
      <c r="L30" s="2">
        <v>0.76060000000000005</v>
      </c>
      <c r="M30" s="2" t="s">
        <v>82</v>
      </c>
      <c r="N30" s="2" t="s">
        <v>196</v>
      </c>
      <c r="O30" s="2">
        <v>0.84509999999999996</v>
      </c>
      <c r="P30" s="2" t="s">
        <v>32</v>
      </c>
    </row>
    <row r="31" spans="1:16" ht="37.5" x14ac:dyDescent="0.35">
      <c r="A31" s="2">
        <v>30</v>
      </c>
      <c r="B31" s="2" t="s">
        <v>197</v>
      </c>
      <c r="C31" s="2" t="s">
        <v>198</v>
      </c>
      <c r="D31" s="2" t="s">
        <v>198</v>
      </c>
      <c r="E31" s="2" t="s">
        <v>199</v>
      </c>
      <c r="F31" s="2" t="s">
        <v>200</v>
      </c>
      <c r="G31" s="2" t="s">
        <v>201</v>
      </c>
      <c r="H31" s="3"/>
      <c r="I31" s="3"/>
      <c r="J31" s="3"/>
      <c r="K31" s="2" t="s">
        <v>29</v>
      </c>
      <c r="L31" s="2">
        <v>0.50800000000000001</v>
      </c>
      <c r="M31" s="2" t="s">
        <v>30</v>
      </c>
      <c r="N31" s="2" t="s">
        <v>202</v>
      </c>
      <c r="O31" s="2">
        <v>0.72570000000000001</v>
      </c>
      <c r="P31" s="2" t="s">
        <v>32</v>
      </c>
    </row>
    <row r="32" spans="1:16" ht="25" x14ac:dyDescent="0.35">
      <c r="A32" s="2">
        <v>31</v>
      </c>
      <c r="B32" s="2" t="s">
        <v>203</v>
      </c>
      <c r="C32" s="2" t="s">
        <v>204</v>
      </c>
      <c r="D32" s="2" t="s">
        <v>205</v>
      </c>
      <c r="E32" s="2" t="s">
        <v>206</v>
      </c>
      <c r="F32" s="2" t="s">
        <v>207</v>
      </c>
      <c r="G32" s="2" t="s">
        <v>205</v>
      </c>
      <c r="H32" s="3"/>
      <c r="I32" s="3"/>
      <c r="J32" s="3"/>
      <c r="K32" s="2" t="s">
        <v>169</v>
      </c>
      <c r="L32" s="2">
        <v>0.54820000000000002</v>
      </c>
      <c r="M32" s="2" t="s">
        <v>82</v>
      </c>
      <c r="N32" s="2" t="s">
        <v>208</v>
      </c>
      <c r="O32" s="2">
        <v>0.60909999999999997</v>
      </c>
      <c r="P32" s="2" t="s">
        <v>22</v>
      </c>
    </row>
    <row r="33" spans="1:16" ht="25" x14ac:dyDescent="0.35">
      <c r="A33" s="2">
        <v>32</v>
      </c>
      <c r="B33" s="2" t="s">
        <v>209</v>
      </c>
      <c r="C33" s="2" t="s">
        <v>210</v>
      </c>
      <c r="D33" s="2" t="s">
        <v>211</v>
      </c>
      <c r="E33" s="2" t="s">
        <v>212</v>
      </c>
      <c r="F33" s="2" t="s">
        <v>213</v>
      </c>
      <c r="G33" s="2" t="s">
        <v>213</v>
      </c>
      <c r="H33" s="3"/>
      <c r="I33" s="3"/>
      <c r="J33" s="3"/>
      <c r="K33" s="2" t="s">
        <v>169</v>
      </c>
      <c r="L33" s="2">
        <v>0.72409999999999997</v>
      </c>
      <c r="M33" s="2" t="s">
        <v>82</v>
      </c>
      <c r="N33" s="2" t="s">
        <v>214</v>
      </c>
      <c r="O33" s="2">
        <v>0.80459999999999998</v>
      </c>
      <c r="P33" s="2" t="s">
        <v>22</v>
      </c>
    </row>
    <row r="34" spans="1:16" ht="25" x14ac:dyDescent="0.35">
      <c r="A34" s="2">
        <v>33</v>
      </c>
      <c r="B34" s="2" t="s">
        <v>215</v>
      </c>
      <c r="C34" s="2" t="s">
        <v>216</v>
      </c>
      <c r="D34" s="2" t="s">
        <v>217</v>
      </c>
      <c r="E34" s="2" t="s">
        <v>218</v>
      </c>
      <c r="F34" s="2" t="s">
        <v>219</v>
      </c>
      <c r="G34" s="2" t="s">
        <v>220</v>
      </c>
      <c r="H34" s="3"/>
      <c r="I34" s="3"/>
      <c r="J34" s="3"/>
      <c r="K34" s="2" t="s">
        <v>169</v>
      </c>
      <c r="L34" s="2">
        <v>0.54049999999999998</v>
      </c>
      <c r="M34" s="2" t="s">
        <v>82</v>
      </c>
      <c r="N34" s="2" t="s">
        <v>221</v>
      </c>
      <c r="O34" s="2">
        <v>0.60060000000000002</v>
      </c>
      <c r="P34" s="2" t="s">
        <v>32</v>
      </c>
    </row>
    <row r="35" spans="1:16" ht="112.5" x14ac:dyDescent="0.35">
      <c r="A35" s="2">
        <v>34</v>
      </c>
      <c r="B35" s="2" t="s">
        <v>222</v>
      </c>
      <c r="C35" s="2" t="s">
        <v>223</v>
      </c>
      <c r="D35" s="2" t="s">
        <v>224</v>
      </c>
      <c r="E35" s="2" t="s">
        <v>225</v>
      </c>
      <c r="F35" s="2" t="s">
        <v>226</v>
      </c>
      <c r="G35" s="2" t="s">
        <v>227</v>
      </c>
      <c r="H35" s="3"/>
      <c r="I35" s="3"/>
      <c r="J35" s="3"/>
      <c r="K35" s="2" t="s">
        <v>136</v>
      </c>
      <c r="L35" s="2">
        <v>0.76060000000000005</v>
      </c>
      <c r="M35" s="2" t="s">
        <v>82</v>
      </c>
      <c r="N35" s="2" t="s">
        <v>228</v>
      </c>
      <c r="O35" s="2">
        <v>0.84509999999999996</v>
      </c>
      <c r="P35" s="2" t="s">
        <v>32</v>
      </c>
    </row>
    <row r="36" spans="1:16" ht="25" x14ac:dyDescent="0.35">
      <c r="A36" s="2">
        <v>35</v>
      </c>
      <c r="B36" s="2" t="s">
        <v>138</v>
      </c>
      <c r="C36" s="2" t="s">
        <v>139</v>
      </c>
      <c r="D36" s="2" t="s">
        <v>140</v>
      </c>
      <c r="E36" s="2" t="s">
        <v>229</v>
      </c>
      <c r="F36" s="2" t="s">
        <v>230</v>
      </c>
      <c r="G36" s="2" t="s">
        <v>230</v>
      </c>
      <c r="H36" s="3"/>
      <c r="I36" s="3"/>
      <c r="J36" s="3"/>
      <c r="K36" s="2" t="s">
        <v>81</v>
      </c>
      <c r="L36" s="2">
        <v>0.49159999999999998</v>
      </c>
      <c r="M36" s="2" t="s">
        <v>82</v>
      </c>
      <c r="N36" s="2" t="s">
        <v>143</v>
      </c>
      <c r="O36" s="2">
        <v>0.54620000000000002</v>
      </c>
      <c r="P36" s="2" t="s">
        <v>22</v>
      </c>
    </row>
    <row r="37" spans="1:16" ht="25" x14ac:dyDescent="0.35">
      <c r="A37" s="2">
        <v>36</v>
      </c>
      <c r="B37" s="2" t="s">
        <v>231</v>
      </c>
      <c r="C37" s="2" t="s">
        <v>139</v>
      </c>
      <c r="D37" s="2" t="s">
        <v>140</v>
      </c>
      <c r="E37" s="2" t="s">
        <v>229</v>
      </c>
      <c r="F37" s="2" t="s">
        <v>230</v>
      </c>
      <c r="G37" s="2" t="s">
        <v>230</v>
      </c>
      <c r="H37" s="3"/>
      <c r="I37" s="3"/>
      <c r="J37" s="3"/>
      <c r="K37" s="2" t="s">
        <v>81</v>
      </c>
      <c r="L37" s="2">
        <v>0.49159999999999998</v>
      </c>
      <c r="M37" s="2" t="s">
        <v>82</v>
      </c>
      <c r="N37" s="2" t="s">
        <v>143</v>
      </c>
      <c r="O37" s="2">
        <v>0.54620000000000002</v>
      </c>
      <c r="P37" s="2" t="s">
        <v>22</v>
      </c>
    </row>
    <row r="38" spans="1:16" ht="37.5" x14ac:dyDescent="0.35">
      <c r="A38" s="2">
        <v>37</v>
      </c>
      <c r="B38" s="2" t="s">
        <v>232</v>
      </c>
      <c r="C38" s="2" t="s">
        <v>233</v>
      </c>
      <c r="D38" s="2" t="s">
        <v>234</v>
      </c>
      <c r="E38" s="2" t="s">
        <v>235</v>
      </c>
      <c r="F38" s="2" t="s">
        <v>236</v>
      </c>
      <c r="G38" s="2" t="s">
        <v>237</v>
      </c>
      <c r="H38" s="3"/>
      <c r="I38" s="3"/>
      <c r="J38" s="3"/>
      <c r="K38" s="2" t="s">
        <v>29</v>
      </c>
      <c r="L38" s="2">
        <v>0.59160000000000001</v>
      </c>
      <c r="M38" s="2" t="s">
        <v>30</v>
      </c>
      <c r="N38" s="2" t="s">
        <v>238</v>
      </c>
      <c r="O38" s="2">
        <v>0.84509999999999996</v>
      </c>
      <c r="P38" s="2" t="s">
        <v>32</v>
      </c>
    </row>
    <row r="39" spans="1:16" x14ac:dyDescent="0.35">
      <c r="A39" s="2">
        <v>38</v>
      </c>
      <c r="B39" s="2" t="s">
        <v>239</v>
      </c>
      <c r="C39" s="2" t="s">
        <v>240</v>
      </c>
      <c r="D39" s="2" t="s">
        <v>241</v>
      </c>
      <c r="E39" s="2" t="s">
        <v>242</v>
      </c>
      <c r="F39" s="2" t="s">
        <v>243</v>
      </c>
      <c r="G39" s="2" t="s">
        <v>244</v>
      </c>
      <c r="H39" s="3"/>
      <c r="I39" s="3"/>
      <c r="J39" s="3"/>
      <c r="K39" s="2" t="s">
        <v>74</v>
      </c>
      <c r="L39" s="2">
        <v>0</v>
      </c>
      <c r="M39" s="2"/>
      <c r="N39" s="2"/>
      <c r="O39" s="2"/>
      <c r="P39" s="2" t="s">
        <v>32</v>
      </c>
    </row>
    <row r="40" spans="1:16" ht="25" x14ac:dyDescent="0.35">
      <c r="A40" s="2">
        <v>39</v>
      </c>
      <c r="B40" s="2" t="s">
        <v>245</v>
      </c>
      <c r="C40" s="2" t="s">
        <v>246</v>
      </c>
      <c r="D40" s="2" t="s">
        <v>247</v>
      </c>
      <c r="E40" s="2" t="s">
        <v>248</v>
      </c>
      <c r="F40" s="2" t="s">
        <v>249</v>
      </c>
      <c r="G40" s="2" t="s">
        <v>250</v>
      </c>
      <c r="H40" s="3"/>
      <c r="I40" s="3"/>
      <c r="J40" s="3"/>
      <c r="K40" s="2" t="s">
        <v>44</v>
      </c>
      <c r="L40" s="2">
        <v>0.38400000000000001</v>
      </c>
      <c r="M40" s="2" t="s">
        <v>45</v>
      </c>
      <c r="N40" s="2" t="s">
        <v>251</v>
      </c>
      <c r="O40" s="2">
        <v>0.48</v>
      </c>
      <c r="P40" s="2" t="s">
        <v>32</v>
      </c>
    </row>
    <row r="41" spans="1:16" ht="25" x14ac:dyDescent="0.35">
      <c r="A41" s="2">
        <v>40</v>
      </c>
      <c r="B41" s="2" t="s">
        <v>252</v>
      </c>
      <c r="C41" s="2" t="s">
        <v>253</v>
      </c>
      <c r="D41" s="2" t="s">
        <v>254</v>
      </c>
      <c r="E41" s="2" t="s">
        <v>255</v>
      </c>
      <c r="F41" s="2" t="s">
        <v>256</v>
      </c>
      <c r="G41" s="2" t="s">
        <v>254</v>
      </c>
      <c r="H41" s="3"/>
      <c r="I41" s="3"/>
      <c r="J41" s="3"/>
      <c r="K41" s="2" t="s">
        <v>136</v>
      </c>
      <c r="L41" s="2">
        <v>0.76060000000000005</v>
      </c>
      <c r="M41" s="2" t="s">
        <v>82</v>
      </c>
      <c r="N41" s="2" t="s">
        <v>257</v>
      </c>
      <c r="O41" s="2">
        <v>0.84509999999999996</v>
      </c>
      <c r="P41" s="2" t="s">
        <v>22</v>
      </c>
    </row>
    <row r="42" spans="1:16" ht="25" x14ac:dyDescent="0.35">
      <c r="A42" s="2">
        <v>41</v>
      </c>
      <c r="B42" s="2" t="s">
        <v>258</v>
      </c>
      <c r="C42" s="2" t="s">
        <v>259</v>
      </c>
      <c r="D42" s="2" t="s">
        <v>260</v>
      </c>
      <c r="E42" s="2" t="s">
        <v>261</v>
      </c>
      <c r="F42" s="2" t="s">
        <v>262</v>
      </c>
      <c r="G42" s="2" t="s">
        <v>260</v>
      </c>
      <c r="H42" s="3"/>
      <c r="I42" s="3"/>
      <c r="J42" s="3"/>
      <c r="K42" s="2" t="s">
        <v>136</v>
      </c>
      <c r="L42" s="2">
        <v>0.76060000000000005</v>
      </c>
      <c r="M42" s="2" t="s">
        <v>82</v>
      </c>
      <c r="N42" s="2" t="s">
        <v>263</v>
      </c>
      <c r="O42" s="2">
        <v>0.84509999999999996</v>
      </c>
      <c r="P42" s="2" t="s">
        <v>22</v>
      </c>
    </row>
    <row r="43" spans="1:16" ht="25" x14ac:dyDescent="0.35">
      <c r="A43" s="2">
        <v>42</v>
      </c>
      <c r="B43" s="2" t="s">
        <v>264</v>
      </c>
      <c r="C43" s="2" t="s">
        <v>265</v>
      </c>
      <c r="D43" s="2" t="s">
        <v>266</v>
      </c>
      <c r="E43" s="2" t="s">
        <v>267</v>
      </c>
      <c r="F43" s="2" t="s">
        <v>268</v>
      </c>
      <c r="G43" s="2" t="s">
        <v>269</v>
      </c>
      <c r="H43" s="3"/>
      <c r="I43" s="3"/>
      <c r="J43" s="3"/>
      <c r="K43" s="2" t="s">
        <v>81</v>
      </c>
      <c r="L43" s="2">
        <v>0.42880000000000001</v>
      </c>
      <c r="M43" s="2" t="s">
        <v>82</v>
      </c>
      <c r="N43" s="2" t="s">
        <v>160</v>
      </c>
      <c r="O43" s="2">
        <v>0.47649999999999998</v>
      </c>
      <c r="P43" s="2" t="s">
        <v>32</v>
      </c>
    </row>
    <row r="44" spans="1:16" ht="37.5" x14ac:dyDescent="0.35">
      <c r="A44" s="2">
        <v>43</v>
      </c>
      <c r="B44" s="2" t="s">
        <v>270</v>
      </c>
      <c r="C44" s="2" t="s">
        <v>271</v>
      </c>
      <c r="D44" s="2" t="s">
        <v>271</v>
      </c>
      <c r="E44" s="2" t="s">
        <v>272</v>
      </c>
      <c r="F44" s="2" t="s">
        <v>273</v>
      </c>
      <c r="G44" s="2" t="s">
        <v>271</v>
      </c>
      <c r="H44" s="3"/>
      <c r="I44" s="3"/>
      <c r="J44" s="3"/>
      <c r="K44" s="2" t="s">
        <v>116</v>
      </c>
      <c r="L44" s="2">
        <v>0.77310000000000001</v>
      </c>
      <c r="M44" s="2" t="s">
        <v>21</v>
      </c>
      <c r="N44" s="2" t="s">
        <v>274</v>
      </c>
      <c r="O44" s="2">
        <v>0.77310000000000001</v>
      </c>
      <c r="P44" s="2" t="s">
        <v>22</v>
      </c>
    </row>
    <row r="45" spans="1:16" ht="25" x14ac:dyDescent="0.35">
      <c r="A45" s="2">
        <v>44</v>
      </c>
      <c r="B45" s="2" t="s">
        <v>275</v>
      </c>
      <c r="C45" s="2" t="s">
        <v>101</v>
      </c>
      <c r="D45" s="2" t="s">
        <v>102</v>
      </c>
      <c r="E45" s="2" t="s">
        <v>100</v>
      </c>
      <c r="F45" s="2" t="s">
        <v>101</v>
      </c>
      <c r="G45" s="2" t="s">
        <v>102</v>
      </c>
      <c r="H45" s="3"/>
      <c r="I45" s="3"/>
      <c r="J45" s="3"/>
      <c r="K45" s="2" t="s">
        <v>116</v>
      </c>
      <c r="L45" s="2">
        <v>0.84509999999999996</v>
      </c>
      <c r="M45" s="2" t="s">
        <v>21</v>
      </c>
      <c r="N45" s="2" t="s">
        <v>276</v>
      </c>
      <c r="O45" s="2">
        <v>0.84509999999999996</v>
      </c>
      <c r="P45" s="2" t="s">
        <v>22</v>
      </c>
    </row>
    <row r="46" spans="1:16" ht="50" x14ac:dyDescent="0.35">
      <c r="A46" s="2">
        <v>45</v>
      </c>
      <c r="B46" s="2" t="s">
        <v>277</v>
      </c>
      <c r="C46" s="2" t="s">
        <v>278</v>
      </c>
      <c r="D46" s="2" t="s">
        <v>279</v>
      </c>
      <c r="E46" s="2" t="s">
        <v>65</v>
      </c>
      <c r="F46" s="2" t="s">
        <v>66</v>
      </c>
      <c r="G46" s="2" t="s">
        <v>67</v>
      </c>
      <c r="H46" s="3"/>
      <c r="I46" s="3"/>
      <c r="J46" s="3"/>
      <c r="K46" s="2" t="s">
        <v>44</v>
      </c>
      <c r="L46" s="2">
        <v>0.34599999999999997</v>
      </c>
      <c r="M46" s="2" t="s">
        <v>45</v>
      </c>
      <c r="N46" s="2" t="s">
        <v>184</v>
      </c>
      <c r="O46" s="2">
        <v>0.4325</v>
      </c>
      <c r="P46" s="2" t="s">
        <v>53</v>
      </c>
    </row>
    <row r="47" spans="1:16" x14ac:dyDescent="0.35">
      <c r="A47" s="2">
        <v>46</v>
      </c>
      <c r="B47" s="2" t="s">
        <v>39</v>
      </c>
      <c r="C47" s="2" t="s">
        <v>40</v>
      </c>
      <c r="D47" s="2" t="s">
        <v>40</v>
      </c>
      <c r="E47" s="2" t="s">
        <v>280</v>
      </c>
      <c r="F47" s="2" t="s">
        <v>281</v>
      </c>
      <c r="G47" s="2" t="s">
        <v>281</v>
      </c>
      <c r="H47" s="3"/>
      <c r="I47" s="3"/>
      <c r="J47" s="3"/>
      <c r="K47" s="2" t="s">
        <v>44</v>
      </c>
      <c r="L47" s="2">
        <v>0.31159999999999999</v>
      </c>
      <c r="M47" s="2" t="s">
        <v>45</v>
      </c>
      <c r="N47" s="2" t="s">
        <v>46</v>
      </c>
      <c r="O47" s="2">
        <v>0.38950000000000001</v>
      </c>
      <c r="P47" s="2" t="s">
        <v>47</v>
      </c>
    </row>
    <row r="48" spans="1:16" ht="37.5" x14ac:dyDescent="0.35">
      <c r="A48" s="2">
        <v>47</v>
      </c>
      <c r="B48" s="2" t="s">
        <v>282</v>
      </c>
      <c r="C48" s="2" t="s">
        <v>283</v>
      </c>
      <c r="D48" s="2" t="s">
        <v>284</v>
      </c>
      <c r="E48" s="2" t="s">
        <v>285</v>
      </c>
      <c r="F48" s="2" t="s">
        <v>286</v>
      </c>
      <c r="G48" s="2" t="s">
        <v>230</v>
      </c>
      <c r="H48" s="3"/>
      <c r="I48" s="3"/>
      <c r="J48" s="3"/>
      <c r="K48" s="2" t="s">
        <v>287</v>
      </c>
      <c r="L48" s="2">
        <v>0.34100000000000003</v>
      </c>
      <c r="M48" s="2" t="s">
        <v>30</v>
      </c>
      <c r="N48" s="2" t="s">
        <v>140</v>
      </c>
      <c r="O48" s="2">
        <v>0.48720000000000002</v>
      </c>
      <c r="P48" s="2" t="s">
        <v>32</v>
      </c>
    </row>
    <row r="49" spans="1:16" ht="62.5" x14ac:dyDescent="0.35">
      <c r="A49" s="2">
        <v>48</v>
      </c>
      <c r="B49" s="2" t="s">
        <v>288</v>
      </c>
      <c r="C49" s="2" t="s">
        <v>289</v>
      </c>
      <c r="D49" s="2" t="s">
        <v>290</v>
      </c>
      <c r="E49" s="2" t="s">
        <v>291</v>
      </c>
      <c r="F49" s="2" t="s">
        <v>292</v>
      </c>
      <c r="G49" s="2" t="s">
        <v>293</v>
      </c>
      <c r="H49" s="3"/>
      <c r="I49" s="3"/>
      <c r="J49" s="3"/>
      <c r="K49" s="2" t="s">
        <v>29</v>
      </c>
      <c r="L49" s="2">
        <v>0.5232</v>
      </c>
      <c r="M49" s="2" t="s">
        <v>30</v>
      </c>
      <c r="N49" s="2" t="s">
        <v>294</v>
      </c>
      <c r="O49" s="2">
        <v>0.74739999999999995</v>
      </c>
      <c r="P49" s="2" t="s">
        <v>32</v>
      </c>
    </row>
    <row r="50" spans="1:16" ht="25" x14ac:dyDescent="0.35">
      <c r="A50" s="2">
        <v>49</v>
      </c>
      <c r="B50" s="2" t="s">
        <v>295</v>
      </c>
      <c r="C50" s="2" t="s">
        <v>296</v>
      </c>
      <c r="D50" s="2" t="s">
        <v>296</v>
      </c>
      <c r="E50" s="2" t="s">
        <v>297</v>
      </c>
      <c r="F50" s="2" t="s">
        <v>298</v>
      </c>
      <c r="G50" s="2" t="s">
        <v>298</v>
      </c>
      <c r="H50" s="3"/>
      <c r="I50" s="3"/>
      <c r="J50" s="3"/>
      <c r="K50" s="2" t="s">
        <v>20</v>
      </c>
      <c r="L50" s="2">
        <v>0.59250000000000003</v>
      </c>
      <c r="M50" s="2" t="s">
        <v>21</v>
      </c>
      <c r="N50" s="2" t="s">
        <v>299</v>
      </c>
      <c r="O50" s="2">
        <v>0.59250000000000003</v>
      </c>
      <c r="P50" s="2" t="s">
        <v>53</v>
      </c>
    </row>
    <row r="51" spans="1:16" x14ac:dyDescent="0.35">
      <c r="A51" s="2">
        <v>50</v>
      </c>
      <c r="B51" s="2" t="s">
        <v>300</v>
      </c>
      <c r="C51" s="2" t="s">
        <v>301</v>
      </c>
      <c r="D51" s="2" t="s">
        <v>301</v>
      </c>
      <c r="E51" s="2" t="s">
        <v>57</v>
      </c>
      <c r="F51" s="2" t="s">
        <v>58</v>
      </c>
      <c r="G51" s="2" t="s">
        <v>59</v>
      </c>
      <c r="H51" s="3"/>
      <c r="I51" s="3"/>
      <c r="J51" s="3"/>
      <c r="K51" s="2" t="s">
        <v>60</v>
      </c>
      <c r="L51" s="2">
        <v>0.55220000000000002</v>
      </c>
      <c r="M51" s="2" t="s">
        <v>45</v>
      </c>
      <c r="N51" s="2" t="s">
        <v>61</v>
      </c>
      <c r="O51" s="2">
        <v>0.69020000000000004</v>
      </c>
      <c r="P51" s="2" t="s">
        <v>32</v>
      </c>
    </row>
    <row r="52" spans="1:16" ht="25" x14ac:dyDescent="0.35">
      <c r="A52" s="2">
        <v>51</v>
      </c>
      <c r="B52" s="2" t="s">
        <v>302</v>
      </c>
      <c r="C52" s="2" t="s">
        <v>303</v>
      </c>
      <c r="D52" s="2" t="s">
        <v>304</v>
      </c>
      <c r="E52" s="2" t="s">
        <v>305</v>
      </c>
      <c r="F52" s="2" t="s">
        <v>306</v>
      </c>
      <c r="G52" s="2" t="s">
        <v>307</v>
      </c>
      <c r="H52" s="3"/>
      <c r="I52" s="3"/>
      <c r="J52" s="3"/>
      <c r="K52" s="2" t="s">
        <v>74</v>
      </c>
      <c r="L52" s="2">
        <v>0</v>
      </c>
      <c r="M52" s="2"/>
      <c r="N52" s="2"/>
      <c r="O52" s="2"/>
      <c r="P52" s="2" t="s">
        <v>32</v>
      </c>
    </row>
    <row r="53" spans="1:16" x14ac:dyDescent="0.35">
      <c r="A53" s="2">
        <v>52</v>
      </c>
      <c r="B53" s="2" t="s">
        <v>308</v>
      </c>
      <c r="C53" s="2" t="s">
        <v>309</v>
      </c>
      <c r="D53" s="2" t="s">
        <v>310</v>
      </c>
      <c r="E53" s="2" t="s">
        <v>311</v>
      </c>
      <c r="F53" s="2" t="s">
        <v>312</v>
      </c>
      <c r="G53" s="2" t="s">
        <v>313</v>
      </c>
      <c r="H53" s="3"/>
      <c r="I53" s="3"/>
      <c r="J53" s="3"/>
      <c r="K53" s="2" t="s">
        <v>74</v>
      </c>
      <c r="L53" s="2">
        <v>0</v>
      </c>
      <c r="M53" s="2"/>
      <c r="N53" s="2"/>
      <c r="O53" s="2"/>
      <c r="P53" s="2" t="s">
        <v>32</v>
      </c>
    </row>
    <row r="54" spans="1:16" ht="25" x14ac:dyDescent="0.35">
      <c r="A54" s="2">
        <v>53</v>
      </c>
      <c r="B54" s="2" t="s">
        <v>314</v>
      </c>
      <c r="C54" s="2" t="s">
        <v>315</v>
      </c>
      <c r="D54" s="2" t="s">
        <v>316</v>
      </c>
      <c r="E54" s="2" t="s">
        <v>317</v>
      </c>
      <c r="F54" s="2" t="s">
        <v>318</v>
      </c>
      <c r="G54" s="2" t="s">
        <v>316</v>
      </c>
      <c r="H54" s="3"/>
      <c r="I54" s="3"/>
      <c r="J54" s="3"/>
      <c r="K54" s="2" t="s">
        <v>136</v>
      </c>
      <c r="L54" s="2">
        <v>0.76060000000000005</v>
      </c>
      <c r="M54" s="2" t="s">
        <v>82</v>
      </c>
      <c r="N54" s="2" t="s">
        <v>319</v>
      </c>
      <c r="O54" s="2">
        <v>0.84509999999999996</v>
      </c>
      <c r="P54" s="2" t="s">
        <v>22</v>
      </c>
    </row>
    <row r="55" spans="1:16" ht="62.5" x14ac:dyDescent="0.35">
      <c r="A55" s="2">
        <v>54</v>
      </c>
      <c r="B55" s="2" t="s">
        <v>320</v>
      </c>
      <c r="C55" s="2" t="s">
        <v>17</v>
      </c>
      <c r="D55" s="2" t="s">
        <v>17</v>
      </c>
      <c r="E55" s="2" t="s">
        <v>321</v>
      </c>
      <c r="F55" s="2" t="s">
        <v>322</v>
      </c>
      <c r="G55" s="2" t="s">
        <v>323</v>
      </c>
      <c r="H55" s="3"/>
      <c r="I55" s="3"/>
      <c r="J55" s="3"/>
      <c r="K55" s="2" t="s">
        <v>74</v>
      </c>
      <c r="L55" s="2">
        <v>0</v>
      </c>
      <c r="M55" s="2"/>
      <c r="N55" s="2"/>
      <c r="O55" s="2"/>
      <c r="P55" s="2" t="s">
        <v>32</v>
      </c>
    </row>
    <row r="56" spans="1:16" ht="125" x14ac:dyDescent="0.35">
      <c r="A56" s="2">
        <v>55</v>
      </c>
      <c r="B56" s="2" t="s">
        <v>324</v>
      </c>
      <c r="C56" s="2" t="s">
        <v>325</v>
      </c>
      <c r="D56" s="2" t="s">
        <v>326</v>
      </c>
      <c r="E56" s="2" t="s">
        <v>327</v>
      </c>
      <c r="F56" s="2" t="s">
        <v>328</v>
      </c>
      <c r="G56" s="2" t="s">
        <v>329</v>
      </c>
      <c r="H56" s="3"/>
      <c r="I56" s="3"/>
      <c r="J56" s="3"/>
      <c r="K56" s="2" t="s">
        <v>51</v>
      </c>
      <c r="L56" s="2">
        <v>0.44030000000000002</v>
      </c>
      <c r="M56" s="2" t="s">
        <v>21</v>
      </c>
      <c r="N56" s="2" t="s">
        <v>330</v>
      </c>
      <c r="O56" s="2">
        <v>0.44030000000000002</v>
      </c>
      <c r="P56" s="2" t="s">
        <v>47</v>
      </c>
    </row>
    <row r="57" spans="1:16" ht="100" x14ac:dyDescent="0.35">
      <c r="A57" s="2">
        <v>56</v>
      </c>
      <c r="B57" s="2" t="s">
        <v>331</v>
      </c>
      <c r="C57" s="2" t="s">
        <v>332</v>
      </c>
      <c r="D57" s="2" t="s">
        <v>333</v>
      </c>
      <c r="E57" s="2" t="s">
        <v>334</v>
      </c>
      <c r="F57" s="2" t="s">
        <v>335</v>
      </c>
      <c r="G57" s="2" t="s">
        <v>336</v>
      </c>
      <c r="H57" s="3"/>
      <c r="I57" s="3"/>
      <c r="J57" s="3"/>
      <c r="K57" s="2" t="s">
        <v>60</v>
      </c>
      <c r="L57" s="2">
        <v>0.50239999999999996</v>
      </c>
      <c r="M57" s="2" t="s">
        <v>45</v>
      </c>
      <c r="N57" s="2" t="s">
        <v>337</v>
      </c>
      <c r="O57" s="2">
        <v>0.628</v>
      </c>
      <c r="P57" s="2" t="s">
        <v>47</v>
      </c>
    </row>
    <row r="58" spans="1:16" ht="37.5" x14ac:dyDescent="0.35">
      <c r="A58" s="2">
        <v>57</v>
      </c>
      <c r="B58" s="2" t="s">
        <v>84</v>
      </c>
      <c r="C58" s="2" t="s">
        <v>85</v>
      </c>
      <c r="D58" s="2" t="s">
        <v>338</v>
      </c>
      <c r="E58" s="2" t="s">
        <v>339</v>
      </c>
      <c r="F58" s="2" t="s">
        <v>340</v>
      </c>
      <c r="G58" s="2" t="s">
        <v>341</v>
      </c>
      <c r="H58" s="3"/>
      <c r="I58" s="3"/>
      <c r="J58" s="3"/>
      <c r="K58" s="2" t="s">
        <v>287</v>
      </c>
      <c r="L58" s="2">
        <v>0.36109999999999998</v>
      </c>
      <c r="M58" s="2" t="s">
        <v>30</v>
      </c>
      <c r="N58" s="2" t="s">
        <v>342</v>
      </c>
      <c r="O58" s="2">
        <v>0.51590000000000003</v>
      </c>
      <c r="P58" s="2" t="s">
        <v>32</v>
      </c>
    </row>
    <row r="59" spans="1:16" ht="25" x14ac:dyDescent="0.35">
      <c r="A59" s="2">
        <v>58</v>
      </c>
      <c r="B59" s="2" t="s">
        <v>343</v>
      </c>
      <c r="C59" s="2" t="s">
        <v>344</v>
      </c>
      <c r="D59" s="2" t="s">
        <v>345</v>
      </c>
      <c r="E59" s="2" t="s">
        <v>346</v>
      </c>
      <c r="F59" s="2" t="s">
        <v>344</v>
      </c>
      <c r="G59" s="2" t="s">
        <v>345</v>
      </c>
      <c r="H59" s="3"/>
      <c r="I59" s="3"/>
      <c r="J59" s="3"/>
      <c r="K59" s="2" t="s">
        <v>169</v>
      </c>
      <c r="L59" s="2">
        <v>0.72409999999999997</v>
      </c>
      <c r="M59" s="2" t="s">
        <v>82</v>
      </c>
      <c r="N59" s="2" t="s">
        <v>347</v>
      </c>
      <c r="O59" s="2">
        <v>0.80459999999999998</v>
      </c>
      <c r="P59" s="2" t="s">
        <v>22</v>
      </c>
    </row>
    <row r="60" spans="1:16" ht="50" x14ac:dyDescent="0.35">
      <c r="A60" s="2">
        <v>59</v>
      </c>
      <c r="B60" s="2" t="s">
        <v>348</v>
      </c>
      <c r="C60" s="2" t="s">
        <v>349</v>
      </c>
      <c r="D60" s="2" t="s">
        <v>350</v>
      </c>
      <c r="E60" s="2" t="s">
        <v>351</v>
      </c>
      <c r="F60" s="2" t="s">
        <v>352</v>
      </c>
      <c r="G60" s="2" t="s">
        <v>353</v>
      </c>
      <c r="H60" s="3"/>
      <c r="I60" s="3"/>
      <c r="J60" s="3"/>
      <c r="K60" s="2" t="s">
        <v>74</v>
      </c>
      <c r="L60" s="2">
        <v>0</v>
      </c>
      <c r="M60" s="2"/>
      <c r="N60" s="2"/>
      <c r="O60" s="2"/>
      <c r="P60" s="2" t="s">
        <v>32</v>
      </c>
    </row>
    <row r="61" spans="1:16" x14ac:dyDescent="0.35">
      <c r="A61" s="2">
        <v>60</v>
      </c>
      <c r="B61" s="2" t="s">
        <v>354</v>
      </c>
      <c r="C61" s="2" t="s">
        <v>355</v>
      </c>
      <c r="D61" s="2" t="s">
        <v>356</v>
      </c>
      <c r="E61" s="2" t="s">
        <v>357</v>
      </c>
      <c r="F61" s="2" t="s">
        <v>358</v>
      </c>
      <c r="G61" s="2" t="s">
        <v>40</v>
      </c>
      <c r="H61" s="3"/>
      <c r="I61" s="3"/>
      <c r="J61" s="3"/>
      <c r="K61" s="2" t="s">
        <v>51</v>
      </c>
      <c r="L61" s="2">
        <v>0.40310000000000001</v>
      </c>
      <c r="M61" s="2" t="s">
        <v>21</v>
      </c>
      <c r="N61" s="2" t="s">
        <v>52</v>
      </c>
      <c r="O61" s="2">
        <v>0.40310000000000001</v>
      </c>
      <c r="P61" s="2" t="s">
        <v>22</v>
      </c>
    </row>
    <row r="62" spans="1:16" ht="112.5" x14ac:dyDescent="0.35">
      <c r="A62" s="2">
        <v>61</v>
      </c>
      <c r="B62" s="2" t="s">
        <v>222</v>
      </c>
      <c r="C62" s="2" t="s">
        <v>223</v>
      </c>
      <c r="D62" s="2" t="s">
        <v>359</v>
      </c>
      <c r="E62" s="2" t="s">
        <v>360</v>
      </c>
      <c r="F62" s="2" t="s">
        <v>361</v>
      </c>
      <c r="G62" s="2" t="s">
        <v>361</v>
      </c>
      <c r="H62" s="3"/>
      <c r="I62" s="3"/>
      <c r="J62" s="3"/>
      <c r="K62" s="2" t="s">
        <v>287</v>
      </c>
      <c r="L62" s="2">
        <v>0.30280000000000001</v>
      </c>
      <c r="M62" s="2" t="s">
        <v>30</v>
      </c>
      <c r="N62" s="2" t="s">
        <v>362</v>
      </c>
      <c r="O62" s="2">
        <v>0.4325</v>
      </c>
      <c r="P62" s="2" t="s">
        <v>32</v>
      </c>
    </row>
    <row r="63" spans="1:16" x14ac:dyDescent="0.35">
      <c r="A63" s="2">
        <v>62</v>
      </c>
      <c r="B63" s="2" t="s">
        <v>331</v>
      </c>
      <c r="C63" s="2" t="s">
        <v>332</v>
      </c>
      <c r="D63" s="2" t="s">
        <v>333</v>
      </c>
      <c r="E63" s="2" t="s">
        <v>363</v>
      </c>
      <c r="F63" s="2" t="s">
        <v>364</v>
      </c>
      <c r="G63" s="2" t="s">
        <v>365</v>
      </c>
      <c r="H63" s="3"/>
      <c r="I63" s="3"/>
      <c r="J63" s="3"/>
      <c r="K63" s="2" t="s">
        <v>60</v>
      </c>
      <c r="L63" s="2">
        <v>0.50239999999999996</v>
      </c>
      <c r="M63" s="2" t="s">
        <v>45</v>
      </c>
      <c r="N63" s="2" t="s">
        <v>337</v>
      </c>
      <c r="O63" s="2">
        <v>0.628</v>
      </c>
      <c r="P63" s="2" t="s">
        <v>47</v>
      </c>
    </row>
    <row r="64" spans="1:16" ht="62.5" x14ac:dyDescent="0.35">
      <c r="A64" s="2">
        <v>63</v>
      </c>
      <c r="B64" s="2" t="s">
        <v>366</v>
      </c>
      <c r="C64" s="2" t="s">
        <v>367</v>
      </c>
      <c r="D64" s="2" t="s">
        <v>367</v>
      </c>
      <c r="E64" s="2" t="s">
        <v>368</v>
      </c>
      <c r="F64" s="2" t="s">
        <v>369</v>
      </c>
      <c r="G64" s="2" t="s">
        <v>370</v>
      </c>
      <c r="H64" s="3"/>
      <c r="I64" s="3"/>
      <c r="J64" s="3"/>
      <c r="K64" s="2" t="s">
        <v>44</v>
      </c>
      <c r="L64" s="2">
        <v>0.437</v>
      </c>
      <c r="M64" s="2" t="s">
        <v>45</v>
      </c>
      <c r="N64" s="2" t="s">
        <v>371</v>
      </c>
      <c r="O64" s="2">
        <v>0.54620000000000002</v>
      </c>
      <c r="P64" s="2" t="s">
        <v>53</v>
      </c>
    </row>
    <row r="65" spans="1:16" ht="25" x14ac:dyDescent="0.35">
      <c r="A65" s="2">
        <v>64</v>
      </c>
      <c r="B65" s="2" t="s">
        <v>372</v>
      </c>
      <c r="C65" s="2" t="s">
        <v>373</v>
      </c>
      <c r="D65" s="2" t="s">
        <v>374</v>
      </c>
      <c r="E65" s="2" t="s">
        <v>375</v>
      </c>
      <c r="F65" s="2" t="s">
        <v>376</v>
      </c>
      <c r="G65" s="2" t="s">
        <v>377</v>
      </c>
      <c r="H65" s="3"/>
      <c r="I65" s="3"/>
      <c r="J65" s="3"/>
      <c r="K65" s="2" t="s">
        <v>51</v>
      </c>
      <c r="L65" s="2">
        <v>0.4325</v>
      </c>
      <c r="M65" s="2" t="s">
        <v>21</v>
      </c>
      <c r="N65" s="2" t="s">
        <v>184</v>
      </c>
      <c r="O65" s="2">
        <v>0.4325</v>
      </c>
      <c r="P65" s="2" t="s">
        <v>32</v>
      </c>
    </row>
    <row r="66" spans="1:16" ht="212.5" x14ac:dyDescent="0.35">
      <c r="A66" s="2">
        <v>65</v>
      </c>
      <c r="B66" s="2" t="s">
        <v>176</v>
      </c>
      <c r="C66" s="2" t="s">
        <v>177</v>
      </c>
      <c r="D66" s="2" t="s">
        <v>178</v>
      </c>
      <c r="E66" s="2" t="s">
        <v>48</v>
      </c>
      <c r="F66" s="2" t="s">
        <v>49</v>
      </c>
      <c r="G66" s="2" t="s">
        <v>50</v>
      </c>
      <c r="H66" s="3"/>
      <c r="I66" s="3"/>
      <c r="J66" s="3"/>
      <c r="K66" s="2" t="s">
        <v>287</v>
      </c>
      <c r="L66" s="2">
        <v>0.33600000000000002</v>
      </c>
      <c r="M66" s="2" t="s">
        <v>30</v>
      </c>
      <c r="N66" s="2" t="s">
        <v>179</v>
      </c>
      <c r="O66" s="2">
        <v>0.48</v>
      </c>
      <c r="P66" s="2" t="s">
        <v>32</v>
      </c>
    </row>
    <row r="67" spans="1:16" ht="37.5" x14ac:dyDescent="0.35">
      <c r="A67" s="2">
        <v>66</v>
      </c>
      <c r="B67" s="2" t="s">
        <v>378</v>
      </c>
      <c r="C67" s="2" t="s">
        <v>379</v>
      </c>
      <c r="D67" s="2" t="s">
        <v>380</v>
      </c>
      <c r="E67" s="2" t="s">
        <v>381</v>
      </c>
      <c r="F67" s="2" t="s">
        <v>96</v>
      </c>
      <c r="G67" s="2" t="s">
        <v>96</v>
      </c>
      <c r="H67" s="3"/>
      <c r="I67" s="3"/>
      <c r="J67" s="3"/>
      <c r="K67" s="2" t="s">
        <v>287</v>
      </c>
      <c r="L67" s="2">
        <v>0.2616</v>
      </c>
      <c r="M67" s="2" t="s">
        <v>30</v>
      </c>
      <c r="N67" s="2" t="s">
        <v>96</v>
      </c>
      <c r="O67" s="2">
        <v>0.37369999999999998</v>
      </c>
      <c r="P67" s="2" t="s">
        <v>32</v>
      </c>
    </row>
    <row r="68" spans="1:16" ht="37.5" x14ac:dyDescent="0.35">
      <c r="A68" s="2">
        <v>67</v>
      </c>
      <c r="B68" s="2" t="s">
        <v>382</v>
      </c>
      <c r="C68" s="2" t="s">
        <v>383</v>
      </c>
      <c r="D68" s="2" t="s">
        <v>384</v>
      </c>
      <c r="E68" s="2" t="s">
        <v>385</v>
      </c>
      <c r="F68" s="2" t="s">
        <v>386</v>
      </c>
      <c r="G68" s="2" t="s">
        <v>387</v>
      </c>
      <c r="H68" s="3"/>
      <c r="I68" s="3"/>
      <c r="J68" s="3"/>
      <c r="K68" s="2" t="s">
        <v>20</v>
      </c>
      <c r="L68" s="2">
        <v>0.57079999999999997</v>
      </c>
      <c r="M68" s="2" t="s">
        <v>21</v>
      </c>
      <c r="N68" s="2" t="s">
        <v>388</v>
      </c>
      <c r="O68" s="2">
        <v>0.57079999999999997</v>
      </c>
      <c r="P68" s="2" t="s">
        <v>22</v>
      </c>
    </row>
    <row r="69" spans="1:16" ht="25" x14ac:dyDescent="0.35">
      <c r="A69" s="2">
        <v>68</v>
      </c>
      <c r="B69" s="2" t="s">
        <v>389</v>
      </c>
      <c r="C69" s="2" t="s">
        <v>390</v>
      </c>
      <c r="D69" s="2" t="s">
        <v>391</v>
      </c>
      <c r="E69" s="2" t="s">
        <v>392</v>
      </c>
      <c r="F69" s="2" t="s">
        <v>393</v>
      </c>
      <c r="G69" s="2" t="s">
        <v>391</v>
      </c>
      <c r="H69" s="3"/>
      <c r="I69" s="3"/>
      <c r="J69" s="3"/>
      <c r="K69" s="2" t="s">
        <v>136</v>
      </c>
      <c r="L69" s="2">
        <v>0.76060000000000005</v>
      </c>
      <c r="M69" s="2" t="s">
        <v>82</v>
      </c>
      <c r="N69" s="2" t="s">
        <v>394</v>
      </c>
      <c r="O69" s="2">
        <v>0.84509999999999996</v>
      </c>
      <c r="P69" s="2" t="s">
        <v>22</v>
      </c>
    </row>
    <row r="70" spans="1:16" ht="37.5" x14ac:dyDescent="0.35">
      <c r="A70" s="2">
        <v>69</v>
      </c>
      <c r="B70" s="2" t="s">
        <v>395</v>
      </c>
      <c r="C70" s="2" t="s">
        <v>396</v>
      </c>
      <c r="D70" s="2" t="s">
        <v>397</v>
      </c>
      <c r="E70" s="2" t="s">
        <v>398</v>
      </c>
      <c r="F70" s="2" t="s">
        <v>399</v>
      </c>
      <c r="G70" s="2" t="s">
        <v>400</v>
      </c>
      <c r="H70" s="3"/>
      <c r="I70" s="3"/>
      <c r="J70" s="3"/>
      <c r="K70" s="2" t="s">
        <v>51</v>
      </c>
      <c r="L70" s="2">
        <v>0.37369999999999998</v>
      </c>
      <c r="M70" s="2" t="s">
        <v>21</v>
      </c>
      <c r="N70" s="2" t="s">
        <v>96</v>
      </c>
      <c r="O70" s="2">
        <v>0.37369999999999998</v>
      </c>
      <c r="P70" s="2" t="s">
        <v>32</v>
      </c>
    </row>
    <row r="71" spans="1:16" ht="62.5" x14ac:dyDescent="0.35">
      <c r="A71" s="2">
        <v>70</v>
      </c>
      <c r="B71" s="2" t="s">
        <v>401</v>
      </c>
      <c r="C71" s="2" t="s">
        <v>402</v>
      </c>
      <c r="D71" s="2" t="s">
        <v>403</v>
      </c>
      <c r="E71" s="2" t="s">
        <v>404</v>
      </c>
      <c r="F71" s="2" t="s">
        <v>405</v>
      </c>
      <c r="G71" s="2" t="s">
        <v>406</v>
      </c>
      <c r="H71" s="3"/>
      <c r="I71" s="3"/>
      <c r="J71" s="3"/>
      <c r="K71" s="2" t="s">
        <v>169</v>
      </c>
      <c r="L71" s="2">
        <v>0.5958</v>
      </c>
      <c r="M71" s="2" t="s">
        <v>82</v>
      </c>
      <c r="N71" s="2" t="s">
        <v>407</v>
      </c>
      <c r="O71" s="2">
        <v>0.66200000000000003</v>
      </c>
      <c r="P71" s="2" t="s">
        <v>53</v>
      </c>
    </row>
    <row r="72" spans="1:16" ht="25" x14ac:dyDescent="0.35">
      <c r="A72" s="2">
        <v>71</v>
      </c>
      <c r="B72" s="2" t="s">
        <v>408</v>
      </c>
      <c r="C72" s="2" t="s">
        <v>409</v>
      </c>
      <c r="D72" s="2" t="s">
        <v>410</v>
      </c>
      <c r="E72" s="2" t="s">
        <v>411</v>
      </c>
      <c r="F72" s="2" t="s">
        <v>412</v>
      </c>
      <c r="G72" s="2" t="s">
        <v>413</v>
      </c>
      <c r="H72" s="3"/>
      <c r="I72" s="3"/>
      <c r="J72" s="3"/>
      <c r="K72" s="2" t="s">
        <v>20</v>
      </c>
      <c r="L72" s="2">
        <v>0.52049999999999996</v>
      </c>
      <c r="M72" s="2" t="s">
        <v>21</v>
      </c>
      <c r="N72" s="2" t="s">
        <v>414</v>
      </c>
      <c r="O72" s="2">
        <v>0.52049999999999996</v>
      </c>
      <c r="P72" s="2" t="s">
        <v>47</v>
      </c>
    </row>
    <row r="73" spans="1:16" ht="25" x14ac:dyDescent="0.35">
      <c r="A73" s="2">
        <v>72</v>
      </c>
      <c r="B73" s="2" t="s">
        <v>415</v>
      </c>
      <c r="C73" s="2" t="s">
        <v>416</v>
      </c>
      <c r="D73" s="2" t="s">
        <v>417</v>
      </c>
      <c r="E73" s="2" t="s">
        <v>418</v>
      </c>
      <c r="F73" s="2" t="s">
        <v>419</v>
      </c>
      <c r="G73" s="2" t="s">
        <v>417</v>
      </c>
      <c r="H73" s="3"/>
      <c r="I73" s="3"/>
      <c r="J73" s="3"/>
      <c r="K73" s="2" t="s">
        <v>136</v>
      </c>
      <c r="L73" s="2">
        <v>0.76060000000000005</v>
      </c>
      <c r="M73" s="2" t="s">
        <v>82</v>
      </c>
      <c r="N73" s="2" t="s">
        <v>420</v>
      </c>
      <c r="O73" s="2">
        <v>0.84509999999999996</v>
      </c>
      <c r="P73" s="2" t="s">
        <v>22</v>
      </c>
    </row>
    <row r="74" spans="1:16" ht="37.5" x14ac:dyDescent="0.35">
      <c r="A74" s="2">
        <v>73</v>
      </c>
      <c r="B74" s="2" t="s">
        <v>421</v>
      </c>
      <c r="C74" s="2" t="s">
        <v>422</v>
      </c>
      <c r="D74" s="2" t="s">
        <v>423</v>
      </c>
      <c r="E74" s="2" t="s">
        <v>424</v>
      </c>
      <c r="F74" s="2" t="s">
        <v>425</v>
      </c>
      <c r="G74" s="2" t="s">
        <v>426</v>
      </c>
      <c r="H74" s="3"/>
      <c r="I74" s="3"/>
      <c r="J74" s="3"/>
      <c r="K74" s="2" t="s">
        <v>74</v>
      </c>
      <c r="L74" s="2">
        <v>0</v>
      </c>
      <c r="M74" s="2"/>
      <c r="N74" s="2"/>
      <c r="O74" s="2"/>
      <c r="P74" s="2" t="s">
        <v>32</v>
      </c>
    </row>
    <row r="75" spans="1:16" ht="25" x14ac:dyDescent="0.35">
      <c r="A75" s="2">
        <v>74</v>
      </c>
      <c r="B75" s="2" t="s">
        <v>427</v>
      </c>
      <c r="C75" s="2" t="s">
        <v>428</v>
      </c>
      <c r="D75" s="2" t="s">
        <v>403</v>
      </c>
      <c r="E75" s="2" t="s">
        <v>429</v>
      </c>
      <c r="F75" s="2" t="s">
        <v>430</v>
      </c>
      <c r="G75" s="2" t="s">
        <v>431</v>
      </c>
      <c r="H75" s="3"/>
      <c r="I75" s="3"/>
      <c r="J75" s="3"/>
      <c r="K75" s="2" t="s">
        <v>169</v>
      </c>
      <c r="L75" s="2">
        <v>0.5958</v>
      </c>
      <c r="M75" s="2" t="s">
        <v>82</v>
      </c>
      <c r="N75" s="2" t="s">
        <v>407</v>
      </c>
      <c r="O75" s="2">
        <v>0.66200000000000003</v>
      </c>
      <c r="P75" s="2" t="s">
        <v>22</v>
      </c>
    </row>
    <row r="76" spans="1:16" x14ac:dyDescent="0.35">
      <c r="A76" s="2">
        <v>75</v>
      </c>
      <c r="B76" s="2" t="s">
        <v>432</v>
      </c>
      <c r="C76" s="2" t="s">
        <v>433</v>
      </c>
      <c r="D76" s="2" t="s">
        <v>434</v>
      </c>
      <c r="E76" s="2" t="s">
        <v>435</v>
      </c>
      <c r="F76" s="2" t="s">
        <v>434</v>
      </c>
      <c r="G76" s="2" t="s">
        <v>434</v>
      </c>
      <c r="H76" s="3"/>
      <c r="I76" s="3"/>
      <c r="J76" s="3"/>
      <c r="K76" s="2" t="s">
        <v>116</v>
      </c>
      <c r="L76" s="2">
        <v>0.80459999999999998</v>
      </c>
      <c r="M76" s="2" t="s">
        <v>21</v>
      </c>
      <c r="N76" s="2" t="s">
        <v>436</v>
      </c>
      <c r="O76" s="2">
        <v>0.80459999999999998</v>
      </c>
      <c r="P76" s="2" t="s">
        <v>22</v>
      </c>
    </row>
    <row r="77" spans="1:16" x14ac:dyDescent="0.35">
      <c r="A77" s="2">
        <v>76</v>
      </c>
      <c r="B77" s="2" t="s">
        <v>437</v>
      </c>
      <c r="C77" s="2" t="s">
        <v>438</v>
      </c>
      <c r="D77" s="2" t="s">
        <v>439</v>
      </c>
      <c r="E77" s="2" t="s">
        <v>440</v>
      </c>
      <c r="F77" s="2" t="s">
        <v>438</v>
      </c>
      <c r="G77" s="2" t="s">
        <v>439</v>
      </c>
      <c r="H77" s="3"/>
      <c r="I77" s="3"/>
      <c r="J77" s="3"/>
      <c r="K77" s="2" t="s">
        <v>20</v>
      </c>
      <c r="L77" s="2">
        <v>0.6754</v>
      </c>
      <c r="M77" s="2" t="s">
        <v>21</v>
      </c>
      <c r="N77" s="2" t="s">
        <v>439</v>
      </c>
      <c r="O77" s="2">
        <v>0.6754</v>
      </c>
      <c r="P77" s="2" t="s">
        <v>22</v>
      </c>
    </row>
    <row r="78" spans="1:16" ht="37.5" x14ac:dyDescent="0.35">
      <c r="A78" s="2">
        <v>77</v>
      </c>
      <c r="B78" s="2" t="s">
        <v>441</v>
      </c>
      <c r="C78" s="2" t="s">
        <v>442</v>
      </c>
      <c r="D78" s="2" t="s">
        <v>443</v>
      </c>
      <c r="E78" s="2" t="s">
        <v>444</v>
      </c>
      <c r="F78" s="2" t="s">
        <v>445</v>
      </c>
      <c r="G78" s="2" t="s">
        <v>446</v>
      </c>
      <c r="H78" s="3"/>
      <c r="I78" s="3"/>
      <c r="J78" s="3"/>
      <c r="K78" s="2" t="s">
        <v>44</v>
      </c>
      <c r="L78" s="2">
        <v>0.31159999999999999</v>
      </c>
      <c r="M78" s="2" t="s">
        <v>45</v>
      </c>
      <c r="N78" s="2" t="s">
        <v>46</v>
      </c>
      <c r="O78" s="2">
        <v>0.38950000000000001</v>
      </c>
      <c r="P78" s="2" t="s">
        <v>53</v>
      </c>
    </row>
    <row r="79" spans="1:16" ht="25" x14ac:dyDescent="0.35">
      <c r="A79" s="2">
        <v>78</v>
      </c>
      <c r="B79" s="2" t="s">
        <v>447</v>
      </c>
      <c r="C79" s="2" t="s">
        <v>268</v>
      </c>
      <c r="D79" s="2" t="s">
        <v>269</v>
      </c>
      <c r="E79" s="2" t="s">
        <v>448</v>
      </c>
      <c r="F79" s="2" t="s">
        <v>449</v>
      </c>
      <c r="G79" s="2" t="s">
        <v>450</v>
      </c>
      <c r="H79" s="3"/>
      <c r="I79" s="3"/>
      <c r="J79" s="3"/>
      <c r="K79" s="2" t="s">
        <v>81</v>
      </c>
      <c r="L79" s="2">
        <v>0.42880000000000001</v>
      </c>
      <c r="M79" s="2" t="s">
        <v>82</v>
      </c>
      <c r="N79" s="2" t="s">
        <v>160</v>
      </c>
      <c r="O79" s="2">
        <v>0.47649999999999998</v>
      </c>
      <c r="P79" s="2" t="s">
        <v>32</v>
      </c>
    </row>
    <row r="80" spans="1:16" ht="75" x14ac:dyDescent="0.35">
      <c r="A80" s="2">
        <v>79</v>
      </c>
      <c r="B80" s="2" t="s">
        <v>451</v>
      </c>
      <c r="C80" s="2" t="s">
        <v>452</v>
      </c>
      <c r="D80" s="2" t="s">
        <v>453</v>
      </c>
      <c r="E80" s="2" t="s">
        <v>454</v>
      </c>
      <c r="F80" s="2" t="s">
        <v>455</v>
      </c>
      <c r="G80" s="2" t="s">
        <v>456</v>
      </c>
      <c r="H80" s="3"/>
      <c r="I80" s="3"/>
      <c r="J80" s="3"/>
      <c r="K80" s="2" t="s">
        <v>29</v>
      </c>
      <c r="L80" s="2">
        <v>0.5232</v>
      </c>
      <c r="M80" s="2" t="s">
        <v>30</v>
      </c>
      <c r="N80" s="2" t="s">
        <v>457</v>
      </c>
      <c r="O80" s="2">
        <v>0.74739999999999995</v>
      </c>
      <c r="P80" s="2" t="s">
        <v>32</v>
      </c>
    </row>
    <row r="81" spans="1:16" ht="25" x14ac:dyDescent="0.35">
      <c r="A81" s="2">
        <v>80</v>
      </c>
      <c r="B81" s="2" t="s">
        <v>458</v>
      </c>
      <c r="C81" s="2" t="s">
        <v>459</v>
      </c>
      <c r="D81" s="2" t="s">
        <v>460</v>
      </c>
      <c r="E81" s="2" t="s">
        <v>461</v>
      </c>
      <c r="F81" s="2" t="s">
        <v>462</v>
      </c>
      <c r="G81" s="2" t="s">
        <v>462</v>
      </c>
      <c r="H81" s="3"/>
      <c r="I81" s="3"/>
      <c r="J81" s="3"/>
      <c r="K81" s="2" t="s">
        <v>116</v>
      </c>
      <c r="L81" s="2">
        <v>0.80459999999999998</v>
      </c>
      <c r="M81" s="2" t="s">
        <v>21</v>
      </c>
      <c r="N81" s="2" t="s">
        <v>463</v>
      </c>
      <c r="O81" s="2">
        <v>0.80459999999999998</v>
      </c>
      <c r="P81" s="2" t="s">
        <v>47</v>
      </c>
    </row>
    <row r="82" spans="1:16" x14ac:dyDescent="0.35">
      <c r="A82" s="2">
        <v>81</v>
      </c>
      <c r="B82" s="2" t="s">
        <v>464</v>
      </c>
      <c r="C82" s="2" t="s">
        <v>465</v>
      </c>
      <c r="D82" s="2" t="s">
        <v>466</v>
      </c>
      <c r="E82" s="2" t="s">
        <v>467</v>
      </c>
      <c r="F82" s="2" t="s">
        <v>468</v>
      </c>
      <c r="G82" s="2" t="s">
        <v>469</v>
      </c>
      <c r="H82" s="3"/>
      <c r="I82" s="3"/>
      <c r="J82" s="3"/>
      <c r="K82" s="2" t="s">
        <v>287</v>
      </c>
      <c r="L82" s="2">
        <v>0.2616</v>
      </c>
      <c r="M82" s="2" t="s">
        <v>30</v>
      </c>
      <c r="N82" s="2" t="s">
        <v>96</v>
      </c>
      <c r="O82" s="2">
        <v>0.37369999999999998</v>
      </c>
      <c r="P82" s="2" t="s">
        <v>32</v>
      </c>
    </row>
    <row r="83" spans="1:16" ht="25" x14ac:dyDescent="0.35">
      <c r="A83" s="2">
        <v>82</v>
      </c>
      <c r="B83" s="2" t="s">
        <v>470</v>
      </c>
      <c r="C83" s="2" t="s">
        <v>471</v>
      </c>
      <c r="D83" s="2" t="s">
        <v>472</v>
      </c>
      <c r="E83" s="2" t="s">
        <v>473</v>
      </c>
      <c r="F83" s="2" t="s">
        <v>474</v>
      </c>
      <c r="G83" s="2" t="s">
        <v>475</v>
      </c>
      <c r="H83" s="3"/>
      <c r="I83" s="3"/>
      <c r="J83" s="3"/>
      <c r="K83" s="2" t="s">
        <v>116</v>
      </c>
      <c r="L83" s="2">
        <v>0.77310000000000001</v>
      </c>
      <c r="M83" s="2" t="s">
        <v>21</v>
      </c>
      <c r="N83" s="2" t="s">
        <v>472</v>
      </c>
      <c r="O83" s="2">
        <v>0.77310000000000001</v>
      </c>
      <c r="P83" s="2" t="s">
        <v>53</v>
      </c>
    </row>
    <row r="84" spans="1:16" x14ac:dyDescent="0.35">
      <c r="A84" s="2">
        <v>83</v>
      </c>
      <c r="B84" s="2" t="s">
        <v>476</v>
      </c>
      <c r="C84" s="2" t="s">
        <v>477</v>
      </c>
      <c r="D84" s="2" t="s">
        <v>478</v>
      </c>
      <c r="E84" s="2" t="s">
        <v>479</v>
      </c>
      <c r="F84" s="2" t="s">
        <v>281</v>
      </c>
      <c r="G84" s="2" t="s">
        <v>281</v>
      </c>
      <c r="H84" s="3"/>
      <c r="I84" s="3"/>
      <c r="J84" s="3"/>
      <c r="K84" s="2" t="s">
        <v>44</v>
      </c>
      <c r="L84" s="2">
        <v>0.31159999999999999</v>
      </c>
      <c r="M84" s="2" t="s">
        <v>45</v>
      </c>
      <c r="N84" s="2" t="s">
        <v>46</v>
      </c>
      <c r="O84" s="2">
        <v>0.38950000000000001</v>
      </c>
      <c r="P84" s="2" t="s">
        <v>47</v>
      </c>
    </row>
    <row r="85" spans="1:16" x14ac:dyDescent="0.35">
      <c r="A85" s="2">
        <v>84</v>
      </c>
      <c r="B85" s="2" t="s">
        <v>480</v>
      </c>
      <c r="C85" s="2" t="s">
        <v>481</v>
      </c>
      <c r="D85" s="2" t="s">
        <v>482</v>
      </c>
      <c r="E85" s="2" t="s">
        <v>483</v>
      </c>
      <c r="F85" s="2" t="s">
        <v>481</v>
      </c>
      <c r="G85" s="2" t="s">
        <v>482</v>
      </c>
      <c r="H85" s="3"/>
      <c r="I85" s="3"/>
      <c r="J85" s="3"/>
      <c r="K85" s="2" t="s">
        <v>116</v>
      </c>
      <c r="L85" s="2">
        <v>0.77310000000000001</v>
      </c>
      <c r="M85" s="2" t="s">
        <v>21</v>
      </c>
      <c r="N85" s="2" t="s">
        <v>484</v>
      </c>
      <c r="O85" s="2">
        <v>0.77310000000000001</v>
      </c>
      <c r="P85" s="2" t="s">
        <v>22</v>
      </c>
    </row>
    <row r="86" spans="1:16" ht="25" x14ac:dyDescent="0.35">
      <c r="A86" s="2">
        <v>85</v>
      </c>
      <c r="B86" s="2" t="s">
        <v>485</v>
      </c>
      <c r="C86" s="2" t="s">
        <v>486</v>
      </c>
      <c r="D86" s="2" t="s">
        <v>486</v>
      </c>
      <c r="E86" s="2" t="s">
        <v>487</v>
      </c>
      <c r="F86" s="2" t="s">
        <v>488</v>
      </c>
      <c r="G86" s="2" t="s">
        <v>489</v>
      </c>
      <c r="H86" s="3"/>
      <c r="I86" s="3"/>
      <c r="J86" s="3"/>
      <c r="K86" s="2" t="s">
        <v>81</v>
      </c>
      <c r="L86" s="2">
        <v>0.48659999999999998</v>
      </c>
      <c r="M86" s="2" t="s">
        <v>82</v>
      </c>
      <c r="N86" s="2" t="s">
        <v>83</v>
      </c>
      <c r="O86" s="2">
        <v>0.54069999999999996</v>
      </c>
      <c r="P86" s="2" t="s">
        <v>53</v>
      </c>
    </row>
    <row r="87" spans="1:16" ht="25" x14ac:dyDescent="0.35">
      <c r="A87" s="2">
        <v>86</v>
      </c>
      <c r="B87" s="2" t="s">
        <v>357</v>
      </c>
      <c r="C87" s="2" t="s">
        <v>358</v>
      </c>
      <c r="D87" s="2" t="s">
        <v>40</v>
      </c>
      <c r="E87" s="2" t="s">
        <v>490</v>
      </c>
      <c r="F87" s="2" t="s">
        <v>40</v>
      </c>
      <c r="G87" s="2" t="s">
        <v>40</v>
      </c>
      <c r="H87" s="3"/>
      <c r="I87" s="3"/>
      <c r="J87" s="3"/>
      <c r="K87" s="2" t="s">
        <v>169</v>
      </c>
      <c r="L87" s="2">
        <v>0.54820000000000002</v>
      </c>
      <c r="M87" s="2" t="s">
        <v>82</v>
      </c>
      <c r="N87" s="2" t="s">
        <v>491</v>
      </c>
      <c r="O87" s="2">
        <v>0.60909999999999997</v>
      </c>
      <c r="P87" s="2" t="s">
        <v>22</v>
      </c>
    </row>
    <row r="88" spans="1:16" ht="25" x14ac:dyDescent="0.35">
      <c r="A88" s="2">
        <v>87</v>
      </c>
      <c r="B88" s="2" t="s">
        <v>492</v>
      </c>
      <c r="C88" s="2" t="s">
        <v>493</v>
      </c>
      <c r="D88" s="2" t="s">
        <v>493</v>
      </c>
      <c r="E88" s="2" t="s">
        <v>372</v>
      </c>
      <c r="F88" s="2" t="s">
        <v>373</v>
      </c>
      <c r="G88" s="2" t="s">
        <v>374</v>
      </c>
      <c r="H88" s="3"/>
      <c r="I88" s="3"/>
      <c r="J88" s="3"/>
      <c r="K88" s="2" t="s">
        <v>287</v>
      </c>
      <c r="L88" s="2">
        <v>0.33600000000000002</v>
      </c>
      <c r="M88" s="2" t="s">
        <v>30</v>
      </c>
      <c r="N88" s="2" t="s">
        <v>251</v>
      </c>
      <c r="O88" s="2">
        <v>0.48</v>
      </c>
      <c r="P88" s="2" t="s">
        <v>32</v>
      </c>
    </row>
    <row r="89" spans="1:16" ht="25" x14ac:dyDescent="0.35">
      <c r="A89" s="2">
        <v>88</v>
      </c>
      <c r="B89" s="2" t="s">
        <v>494</v>
      </c>
      <c r="C89" s="2" t="s">
        <v>495</v>
      </c>
      <c r="D89" s="2" t="s">
        <v>496</v>
      </c>
      <c r="E89" s="2" t="s">
        <v>497</v>
      </c>
      <c r="F89" s="2" t="s">
        <v>498</v>
      </c>
      <c r="G89" s="2" t="s">
        <v>499</v>
      </c>
      <c r="H89" s="3"/>
      <c r="I89" s="3"/>
      <c r="J89" s="3"/>
      <c r="K89" s="2" t="s">
        <v>51</v>
      </c>
      <c r="L89" s="2">
        <v>0.37369999999999998</v>
      </c>
      <c r="M89" s="2" t="s">
        <v>21</v>
      </c>
      <c r="N89" s="2" t="s">
        <v>96</v>
      </c>
      <c r="O89" s="2">
        <v>0.37369999999999998</v>
      </c>
      <c r="P89" s="2" t="s">
        <v>22</v>
      </c>
    </row>
    <row r="90" spans="1:16" ht="25" x14ac:dyDescent="0.35">
      <c r="A90" s="2">
        <v>89</v>
      </c>
      <c r="B90" s="2" t="s">
        <v>500</v>
      </c>
      <c r="C90" s="2" t="s">
        <v>501</v>
      </c>
      <c r="D90" s="2" t="s">
        <v>502</v>
      </c>
      <c r="E90" s="2" t="s">
        <v>503</v>
      </c>
      <c r="F90" s="2" t="s">
        <v>504</v>
      </c>
      <c r="G90" s="2" t="s">
        <v>504</v>
      </c>
      <c r="H90" s="3"/>
      <c r="I90" s="3"/>
      <c r="J90" s="3"/>
      <c r="K90" s="2" t="s">
        <v>60</v>
      </c>
      <c r="L90" s="2">
        <v>0.50239999999999996</v>
      </c>
      <c r="M90" s="2" t="s">
        <v>45</v>
      </c>
      <c r="N90" s="2" t="s">
        <v>505</v>
      </c>
      <c r="O90" s="2">
        <v>0.628</v>
      </c>
      <c r="P90" s="2" t="s">
        <v>53</v>
      </c>
    </row>
    <row r="91" spans="1:16" ht="25" x14ac:dyDescent="0.35">
      <c r="A91" s="2">
        <v>90</v>
      </c>
      <c r="B91" s="2" t="s">
        <v>506</v>
      </c>
      <c r="C91" s="2" t="s">
        <v>507</v>
      </c>
      <c r="D91" s="2" t="s">
        <v>508</v>
      </c>
      <c r="E91" s="2" t="s">
        <v>509</v>
      </c>
      <c r="F91" s="2" t="s">
        <v>510</v>
      </c>
      <c r="G91" s="2" t="s">
        <v>511</v>
      </c>
      <c r="H91" s="3"/>
      <c r="I91" s="3"/>
      <c r="J91" s="3"/>
      <c r="K91" s="2" t="s">
        <v>74</v>
      </c>
      <c r="L91" s="2">
        <v>0</v>
      </c>
      <c r="M91" s="2"/>
      <c r="N91" s="2"/>
      <c r="O91" s="2"/>
      <c r="P91" s="2" t="s">
        <v>32</v>
      </c>
    </row>
    <row r="92" spans="1:16" ht="150" x14ac:dyDescent="0.35">
      <c r="A92" s="2">
        <v>91</v>
      </c>
      <c r="B92" s="2" t="s">
        <v>512</v>
      </c>
      <c r="C92" s="2" t="s">
        <v>513</v>
      </c>
      <c r="D92" s="2" t="s">
        <v>514</v>
      </c>
      <c r="E92" s="2" t="s">
        <v>503</v>
      </c>
      <c r="F92" s="2" t="s">
        <v>504</v>
      </c>
      <c r="G92" s="2" t="s">
        <v>504</v>
      </c>
      <c r="H92" s="3"/>
      <c r="I92" s="3"/>
      <c r="J92" s="3"/>
      <c r="K92" s="2" t="s">
        <v>60</v>
      </c>
      <c r="L92" s="2">
        <v>0.50239999999999996</v>
      </c>
      <c r="M92" s="2" t="s">
        <v>45</v>
      </c>
      <c r="N92" s="2" t="s">
        <v>505</v>
      </c>
      <c r="O92" s="2">
        <v>0.628</v>
      </c>
      <c r="P92" s="2" t="s">
        <v>53</v>
      </c>
    </row>
    <row r="93" spans="1:16" ht="37.5" x14ac:dyDescent="0.35">
      <c r="A93" s="2">
        <v>92</v>
      </c>
      <c r="B93" s="2" t="s">
        <v>515</v>
      </c>
      <c r="C93" s="2" t="s">
        <v>516</v>
      </c>
      <c r="D93" s="2" t="s">
        <v>517</v>
      </c>
      <c r="E93" s="2" t="s">
        <v>518</v>
      </c>
      <c r="F93" s="2" t="s">
        <v>519</v>
      </c>
      <c r="G93" s="2" t="s">
        <v>520</v>
      </c>
      <c r="H93" s="3"/>
      <c r="I93" s="3"/>
      <c r="J93" s="3"/>
      <c r="K93" s="2" t="s">
        <v>287</v>
      </c>
      <c r="L93" s="2">
        <v>0.3906</v>
      </c>
      <c r="M93" s="2" t="s">
        <v>30</v>
      </c>
      <c r="N93" s="2" t="s">
        <v>521</v>
      </c>
      <c r="O93" s="2">
        <v>0.55800000000000005</v>
      </c>
      <c r="P93" s="2" t="s">
        <v>32</v>
      </c>
    </row>
    <row r="94" spans="1:16" ht="25" x14ac:dyDescent="0.35">
      <c r="A94" s="2">
        <v>93</v>
      </c>
      <c r="B94" s="2" t="s">
        <v>522</v>
      </c>
      <c r="C94" s="2" t="s">
        <v>523</v>
      </c>
      <c r="D94" s="2" t="s">
        <v>524</v>
      </c>
      <c r="E94" s="2" t="s">
        <v>525</v>
      </c>
      <c r="F94" s="2" t="s">
        <v>524</v>
      </c>
      <c r="G94" s="2" t="s">
        <v>524</v>
      </c>
      <c r="H94" s="3"/>
      <c r="I94" s="3"/>
      <c r="J94" s="3"/>
      <c r="K94" s="2" t="s">
        <v>136</v>
      </c>
      <c r="L94" s="2">
        <v>0.76060000000000005</v>
      </c>
      <c r="M94" s="2" t="s">
        <v>82</v>
      </c>
      <c r="N94" s="2" t="s">
        <v>526</v>
      </c>
      <c r="O94" s="2">
        <v>0.84509999999999996</v>
      </c>
      <c r="P94" s="2" t="s">
        <v>22</v>
      </c>
    </row>
    <row r="95" spans="1:16" x14ac:dyDescent="0.35">
      <c r="A95" s="2">
        <v>94</v>
      </c>
      <c r="B95" s="2" t="s">
        <v>527</v>
      </c>
      <c r="C95" s="2" t="s">
        <v>528</v>
      </c>
      <c r="D95" s="2" t="s">
        <v>529</v>
      </c>
      <c r="E95" s="2" t="s">
        <v>530</v>
      </c>
      <c r="F95" s="2" t="s">
        <v>531</v>
      </c>
      <c r="G95" s="2" t="s">
        <v>529</v>
      </c>
      <c r="H95" s="3"/>
      <c r="I95" s="3"/>
      <c r="J95" s="3"/>
      <c r="K95" s="2" t="s">
        <v>20</v>
      </c>
      <c r="L95" s="2">
        <v>0.59250000000000003</v>
      </c>
      <c r="M95" s="2" t="s">
        <v>21</v>
      </c>
      <c r="N95" s="2" t="s">
        <v>532</v>
      </c>
      <c r="O95" s="2">
        <v>0.59250000000000003</v>
      </c>
      <c r="P95" s="2" t="s">
        <v>22</v>
      </c>
    </row>
    <row r="96" spans="1:16" ht="25" x14ac:dyDescent="0.35">
      <c r="A96" s="2">
        <v>95</v>
      </c>
      <c r="B96" s="2" t="s">
        <v>533</v>
      </c>
      <c r="C96" s="2" t="s">
        <v>534</v>
      </c>
      <c r="D96" s="2" t="s">
        <v>535</v>
      </c>
      <c r="E96" s="2" t="s">
        <v>536</v>
      </c>
      <c r="F96" s="2" t="s">
        <v>535</v>
      </c>
      <c r="G96" s="2" t="s">
        <v>535</v>
      </c>
      <c r="H96" s="3"/>
      <c r="I96" s="3"/>
      <c r="J96" s="3"/>
      <c r="K96" s="2" t="s">
        <v>116</v>
      </c>
      <c r="L96" s="2">
        <v>0.77310000000000001</v>
      </c>
      <c r="M96" s="2" t="s">
        <v>21</v>
      </c>
      <c r="N96" s="2" t="s">
        <v>537</v>
      </c>
      <c r="O96" s="2">
        <v>0.77310000000000001</v>
      </c>
      <c r="P96" s="2" t="s">
        <v>22</v>
      </c>
    </row>
    <row r="97" spans="1:16" ht="150" x14ac:dyDescent="0.35">
      <c r="A97" s="2">
        <v>96</v>
      </c>
      <c r="B97" s="2" t="s">
        <v>538</v>
      </c>
      <c r="C97" s="2" t="s">
        <v>266</v>
      </c>
      <c r="D97" s="2" t="s">
        <v>266</v>
      </c>
      <c r="E97" s="2" t="s">
        <v>185</v>
      </c>
      <c r="F97" s="2" t="s">
        <v>186</v>
      </c>
      <c r="G97" s="2" t="s">
        <v>187</v>
      </c>
      <c r="H97" s="3"/>
      <c r="I97" s="3"/>
      <c r="J97" s="3"/>
      <c r="K97" s="2" t="s">
        <v>287</v>
      </c>
      <c r="L97" s="2">
        <v>0.30280000000000001</v>
      </c>
      <c r="M97" s="2" t="s">
        <v>30</v>
      </c>
      <c r="N97" s="2" t="s">
        <v>362</v>
      </c>
      <c r="O97" s="2">
        <v>0.4325</v>
      </c>
      <c r="P97" s="2" t="s">
        <v>32</v>
      </c>
    </row>
    <row r="98" spans="1:16" ht="25" x14ac:dyDescent="0.35">
      <c r="A98" s="2">
        <v>97</v>
      </c>
      <c r="B98" s="2" t="s">
        <v>539</v>
      </c>
      <c r="C98" s="2" t="s">
        <v>540</v>
      </c>
      <c r="D98" s="2" t="s">
        <v>541</v>
      </c>
      <c r="E98" s="2" t="s">
        <v>542</v>
      </c>
      <c r="F98" s="2" t="s">
        <v>543</v>
      </c>
      <c r="G98" s="2" t="s">
        <v>544</v>
      </c>
      <c r="H98" s="3"/>
      <c r="I98" s="3"/>
      <c r="J98" s="3"/>
      <c r="K98" s="2" t="s">
        <v>169</v>
      </c>
      <c r="L98" s="2">
        <v>0.6079</v>
      </c>
      <c r="M98" s="2" t="s">
        <v>82</v>
      </c>
      <c r="N98" s="2" t="s">
        <v>545</v>
      </c>
      <c r="O98" s="2">
        <v>0.6754</v>
      </c>
      <c r="P98" s="2" t="s">
        <v>32</v>
      </c>
    </row>
    <row r="99" spans="1:16" ht="50" x14ac:dyDescent="0.35">
      <c r="A99" s="2">
        <v>98</v>
      </c>
      <c r="B99" s="2" t="s">
        <v>546</v>
      </c>
      <c r="C99" s="2" t="s">
        <v>99</v>
      </c>
      <c r="D99" s="2" t="s">
        <v>99</v>
      </c>
      <c r="E99" s="2" t="s">
        <v>547</v>
      </c>
      <c r="F99" s="2" t="s">
        <v>548</v>
      </c>
      <c r="G99" s="2" t="s">
        <v>548</v>
      </c>
      <c r="H99" s="3"/>
      <c r="I99" s="3"/>
      <c r="J99" s="3"/>
      <c r="K99" s="2" t="s">
        <v>74</v>
      </c>
      <c r="L99" s="2">
        <v>0</v>
      </c>
      <c r="M99" s="2"/>
      <c r="N99" s="2"/>
      <c r="O99" s="2"/>
      <c r="P99" s="2" t="s">
        <v>32</v>
      </c>
    </row>
    <row r="100" spans="1:16" ht="25" x14ac:dyDescent="0.35">
      <c r="A100" s="2">
        <v>99</v>
      </c>
      <c r="B100" s="2" t="s">
        <v>549</v>
      </c>
      <c r="C100" s="2" t="s">
        <v>550</v>
      </c>
      <c r="D100" s="2" t="s">
        <v>551</v>
      </c>
      <c r="E100" s="2" t="s">
        <v>552</v>
      </c>
      <c r="F100" s="2" t="s">
        <v>553</v>
      </c>
      <c r="G100" s="2" t="s">
        <v>554</v>
      </c>
      <c r="H100" s="3"/>
      <c r="I100" s="3"/>
      <c r="J100" s="3"/>
      <c r="K100" s="2" t="s">
        <v>44</v>
      </c>
      <c r="L100" s="2">
        <v>0.35220000000000001</v>
      </c>
      <c r="M100" s="2" t="s">
        <v>45</v>
      </c>
      <c r="N100" s="2" t="s">
        <v>330</v>
      </c>
      <c r="O100" s="2">
        <v>0.44030000000000002</v>
      </c>
      <c r="P100" s="2" t="s">
        <v>53</v>
      </c>
    </row>
    <row r="101" spans="1:16" ht="25" x14ac:dyDescent="0.35">
      <c r="A101" s="2">
        <v>100</v>
      </c>
      <c r="B101" s="2" t="s">
        <v>69</v>
      </c>
      <c r="C101" s="2" t="s">
        <v>70</v>
      </c>
      <c r="D101" s="2" t="s">
        <v>70</v>
      </c>
      <c r="E101" s="2" t="s">
        <v>555</v>
      </c>
      <c r="F101" s="2" t="s">
        <v>70</v>
      </c>
      <c r="G101" s="2" t="s">
        <v>70</v>
      </c>
      <c r="H101" s="3"/>
      <c r="I101" s="3"/>
      <c r="J101" s="3"/>
      <c r="K101" s="2" t="s">
        <v>136</v>
      </c>
      <c r="L101" s="2">
        <v>0.76060000000000005</v>
      </c>
      <c r="M101" s="2" t="s">
        <v>82</v>
      </c>
      <c r="N101" s="2" t="s">
        <v>556</v>
      </c>
      <c r="O101" s="2">
        <v>0.84509999999999996</v>
      </c>
      <c r="P101" s="2" t="s">
        <v>22</v>
      </c>
    </row>
    <row r="102" spans="1:16" x14ac:dyDescent="0.35">
      <c r="A102" s="2">
        <v>101</v>
      </c>
      <c r="B102" s="2" t="s">
        <v>557</v>
      </c>
      <c r="C102" s="2" t="s">
        <v>96</v>
      </c>
      <c r="D102" s="2" t="s">
        <v>96</v>
      </c>
      <c r="E102" s="2" t="s">
        <v>558</v>
      </c>
      <c r="F102" s="2" t="s">
        <v>559</v>
      </c>
      <c r="G102" s="2" t="s">
        <v>559</v>
      </c>
      <c r="H102" s="3"/>
      <c r="I102" s="3"/>
      <c r="J102" s="3"/>
      <c r="K102" s="2" t="s">
        <v>74</v>
      </c>
      <c r="L102" s="2">
        <v>0</v>
      </c>
      <c r="M102" s="2"/>
      <c r="N102" s="2"/>
      <c r="O102" s="2"/>
      <c r="P102" s="2" t="s">
        <v>32</v>
      </c>
    </row>
    <row r="103" spans="1:16" ht="50" x14ac:dyDescent="0.35">
      <c r="A103" s="2">
        <v>102</v>
      </c>
      <c r="B103" s="2" t="s">
        <v>560</v>
      </c>
      <c r="C103" s="2" t="s">
        <v>561</v>
      </c>
      <c r="D103" s="2" t="s">
        <v>562</v>
      </c>
      <c r="E103" s="2" t="s">
        <v>563</v>
      </c>
      <c r="F103" s="2" t="s">
        <v>564</v>
      </c>
      <c r="G103" s="2" t="s">
        <v>565</v>
      </c>
      <c r="H103" s="3"/>
      <c r="I103" s="3"/>
      <c r="J103" s="3"/>
      <c r="K103" s="2" t="s">
        <v>51</v>
      </c>
      <c r="L103" s="2">
        <v>0.37369999999999998</v>
      </c>
      <c r="M103" s="2" t="s">
        <v>21</v>
      </c>
      <c r="N103" s="2" t="s">
        <v>96</v>
      </c>
      <c r="O103" s="2">
        <v>0.37369999999999998</v>
      </c>
      <c r="P103" s="2" t="s">
        <v>47</v>
      </c>
    </row>
    <row r="104" spans="1:16" ht="150" x14ac:dyDescent="0.35">
      <c r="A104" s="2">
        <v>103</v>
      </c>
      <c r="B104" s="2" t="s">
        <v>566</v>
      </c>
      <c r="C104" s="2" t="s">
        <v>567</v>
      </c>
      <c r="D104" s="2" t="s">
        <v>568</v>
      </c>
      <c r="E104" s="2" t="s">
        <v>569</v>
      </c>
      <c r="F104" s="2" t="s">
        <v>570</v>
      </c>
      <c r="G104" s="2" t="s">
        <v>571</v>
      </c>
      <c r="H104" s="3"/>
      <c r="I104" s="3"/>
      <c r="J104" s="3"/>
      <c r="K104" s="2" t="s">
        <v>29</v>
      </c>
      <c r="L104" s="2">
        <v>0.59160000000000001</v>
      </c>
      <c r="M104" s="2" t="s">
        <v>30</v>
      </c>
      <c r="N104" s="2" t="s">
        <v>572</v>
      </c>
      <c r="O104" s="2">
        <v>0.84509999999999996</v>
      </c>
      <c r="P104" s="2" t="s">
        <v>32</v>
      </c>
    </row>
    <row r="105" spans="1:16" ht="87.5" x14ac:dyDescent="0.35">
      <c r="A105" s="2">
        <v>104</v>
      </c>
      <c r="B105" s="2" t="s">
        <v>573</v>
      </c>
      <c r="C105" s="2" t="s">
        <v>574</v>
      </c>
      <c r="D105" s="2" t="s">
        <v>575</v>
      </c>
      <c r="E105" s="2" t="s">
        <v>576</v>
      </c>
      <c r="F105" s="2" t="s">
        <v>577</v>
      </c>
      <c r="G105" s="2" t="s">
        <v>140</v>
      </c>
      <c r="H105" s="3"/>
      <c r="I105" s="3"/>
      <c r="J105" s="3"/>
      <c r="K105" s="2" t="s">
        <v>287</v>
      </c>
      <c r="L105" s="2">
        <v>0.34100000000000003</v>
      </c>
      <c r="M105" s="2" t="s">
        <v>30</v>
      </c>
      <c r="N105" s="2" t="s">
        <v>140</v>
      </c>
      <c r="O105" s="2">
        <v>0.48720000000000002</v>
      </c>
      <c r="P105" s="2" t="s">
        <v>32</v>
      </c>
    </row>
    <row r="106" spans="1:16" ht="25" x14ac:dyDescent="0.35">
      <c r="A106" s="2">
        <v>105</v>
      </c>
      <c r="B106" s="2" t="s">
        <v>578</v>
      </c>
      <c r="C106" s="2" t="s">
        <v>579</v>
      </c>
      <c r="D106" s="2" t="s">
        <v>580</v>
      </c>
      <c r="E106" s="2" t="s">
        <v>581</v>
      </c>
      <c r="F106" s="2" t="s">
        <v>582</v>
      </c>
      <c r="G106" s="2" t="s">
        <v>583</v>
      </c>
      <c r="H106" s="3"/>
      <c r="I106" s="3"/>
      <c r="J106" s="3"/>
      <c r="K106" s="2" t="s">
        <v>169</v>
      </c>
      <c r="L106" s="2">
        <v>0.62119999999999997</v>
      </c>
      <c r="M106" s="2" t="s">
        <v>82</v>
      </c>
      <c r="N106" s="2" t="s">
        <v>584</v>
      </c>
      <c r="O106" s="2">
        <v>0.69020000000000004</v>
      </c>
      <c r="P106" s="2" t="s">
        <v>32</v>
      </c>
    </row>
    <row r="107" spans="1:16" x14ac:dyDescent="0.35">
      <c r="A107" s="2">
        <v>106</v>
      </c>
      <c r="B107" s="2" t="s">
        <v>585</v>
      </c>
      <c r="C107" s="2" t="s">
        <v>332</v>
      </c>
      <c r="D107" s="2" t="s">
        <v>333</v>
      </c>
      <c r="E107" s="2" t="s">
        <v>586</v>
      </c>
      <c r="F107" s="2" t="s">
        <v>587</v>
      </c>
      <c r="G107" s="2" t="s">
        <v>588</v>
      </c>
      <c r="H107" s="3"/>
      <c r="I107" s="3"/>
      <c r="J107" s="3"/>
      <c r="K107" s="2" t="s">
        <v>60</v>
      </c>
      <c r="L107" s="2">
        <v>0.50239999999999996</v>
      </c>
      <c r="M107" s="2" t="s">
        <v>45</v>
      </c>
      <c r="N107" s="2" t="s">
        <v>337</v>
      </c>
      <c r="O107" s="2">
        <v>0.628</v>
      </c>
      <c r="P107" s="2" t="s">
        <v>47</v>
      </c>
    </row>
    <row r="108" spans="1:16" ht="25" x14ac:dyDescent="0.35">
      <c r="A108" s="2">
        <v>107</v>
      </c>
      <c r="B108" s="2" t="s">
        <v>589</v>
      </c>
      <c r="C108" s="2" t="s">
        <v>590</v>
      </c>
      <c r="D108" s="2" t="s">
        <v>591</v>
      </c>
      <c r="E108" s="2" t="s">
        <v>592</v>
      </c>
      <c r="F108" s="2" t="s">
        <v>593</v>
      </c>
      <c r="G108" s="2" t="s">
        <v>594</v>
      </c>
      <c r="H108" s="3"/>
      <c r="I108" s="3"/>
      <c r="J108" s="3"/>
      <c r="K108" s="2" t="s">
        <v>74</v>
      </c>
      <c r="L108" s="2">
        <v>0</v>
      </c>
      <c r="M108" s="2"/>
      <c r="N108" s="2"/>
      <c r="O108" s="2"/>
      <c r="P108" s="2" t="s">
        <v>32</v>
      </c>
    </row>
    <row r="109" spans="1:16" ht="25" x14ac:dyDescent="0.35">
      <c r="A109" s="2">
        <v>108</v>
      </c>
      <c r="B109" s="2" t="s">
        <v>595</v>
      </c>
      <c r="C109" s="2" t="s">
        <v>596</v>
      </c>
      <c r="D109" s="2" t="s">
        <v>597</v>
      </c>
      <c r="E109" s="2" t="s">
        <v>576</v>
      </c>
      <c r="F109" s="2" t="s">
        <v>577</v>
      </c>
      <c r="G109" s="2" t="s">
        <v>17</v>
      </c>
      <c r="H109" s="3"/>
      <c r="I109" s="3"/>
      <c r="J109" s="3"/>
      <c r="K109" s="2" t="s">
        <v>20</v>
      </c>
      <c r="L109" s="2">
        <v>0.56420000000000003</v>
      </c>
      <c r="M109" s="2" t="s">
        <v>21</v>
      </c>
      <c r="N109" s="2" t="s">
        <v>17</v>
      </c>
      <c r="O109" s="2">
        <v>0.56420000000000003</v>
      </c>
      <c r="P109" s="2" t="s">
        <v>47</v>
      </c>
    </row>
    <row r="110" spans="1:16" ht="25" x14ac:dyDescent="0.35">
      <c r="A110" s="2">
        <v>109</v>
      </c>
      <c r="B110" s="2" t="s">
        <v>598</v>
      </c>
      <c r="C110" s="2" t="s">
        <v>599</v>
      </c>
      <c r="D110" s="2" t="s">
        <v>600</v>
      </c>
      <c r="E110" s="2" t="s">
        <v>601</v>
      </c>
      <c r="F110" s="2" t="s">
        <v>602</v>
      </c>
      <c r="G110" s="2" t="s">
        <v>603</v>
      </c>
      <c r="H110" s="3"/>
      <c r="I110" s="3"/>
      <c r="J110" s="3"/>
      <c r="K110" s="2" t="s">
        <v>20</v>
      </c>
      <c r="L110" s="2">
        <v>0.61819999999999997</v>
      </c>
      <c r="M110" s="2" t="s">
        <v>21</v>
      </c>
      <c r="N110" s="2" t="s">
        <v>604</v>
      </c>
      <c r="O110" s="2">
        <v>0.61819999999999997</v>
      </c>
      <c r="P110" s="2" t="s">
        <v>47</v>
      </c>
    </row>
    <row r="111" spans="1:16" ht="25" x14ac:dyDescent="0.35">
      <c r="A111" s="2">
        <v>110</v>
      </c>
      <c r="B111" s="2" t="s">
        <v>605</v>
      </c>
      <c r="C111" s="2" t="s">
        <v>606</v>
      </c>
      <c r="D111" s="2" t="s">
        <v>96</v>
      </c>
      <c r="E111" s="2" t="s">
        <v>90</v>
      </c>
      <c r="F111" s="2" t="s">
        <v>91</v>
      </c>
      <c r="G111" s="2" t="s">
        <v>92</v>
      </c>
      <c r="H111" s="3"/>
      <c r="I111" s="3"/>
      <c r="J111" s="3"/>
      <c r="K111" s="2" t="s">
        <v>51</v>
      </c>
      <c r="L111" s="2">
        <v>0.37369999999999998</v>
      </c>
      <c r="M111" s="2" t="s">
        <v>21</v>
      </c>
      <c r="N111" s="2" t="s">
        <v>96</v>
      </c>
      <c r="O111" s="2">
        <v>0.37369999999999998</v>
      </c>
      <c r="P111" s="2" t="s">
        <v>53</v>
      </c>
    </row>
    <row r="112" spans="1:16" ht="87.5" x14ac:dyDescent="0.35">
      <c r="A112" s="2">
        <v>111</v>
      </c>
      <c r="B112" s="2" t="s">
        <v>607</v>
      </c>
      <c r="C112" s="2" t="s">
        <v>608</v>
      </c>
      <c r="D112" s="2" t="s">
        <v>609</v>
      </c>
      <c r="E112" s="2" t="s">
        <v>610</v>
      </c>
      <c r="F112" s="2" t="s">
        <v>611</v>
      </c>
      <c r="G112" s="2" t="s">
        <v>612</v>
      </c>
      <c r="H112" s="3"/>
      <c r="I112" s="3"/>
      <c r="J112" s="3"/>
      <c r="K112" s="2" t="s">
        <v>29</v>
      </c>
      <c r="L112" s="2">
        <v>0.59160000000000001</v>
      </c>
      <c r="M112" s="2" t="s">
        <v>30</v>
      </c>
      <c r="N112" s="2" t="s">
        <v>613</v>
      </c>
      <c r="O112" s="2">
        <v>0.84509999999999996</v>
      </c>
      <c r="P112" s="2" t="s">
        <v>32</v>
      </c>
    </row>
    <row r="113" spans="1:16" ht="25" x14ac:dyDescent="0.35">
      <c r="A113" s="2">
        <v>112</v>
      </c>
      <c r="B113" s="2" t="s">
        <v>614</v>
      </c>
      <c r="C113" s="2" t="s">
        <v>615</v>
      </c>
      <c r="D113" s="2" t="s">
        <v>616</v>
      </c>
      <c r="E113" s="2" t="s">
        <v>617</v>
      </c>
      <c r="F113" s="2" t="s">
        <v>618</v>
      </c>
      <c r="G113" s="2" t="s">
        <v>618</v>
      </c>
      <c r="H113" s="3"/>
      <c r="I113" s="3"/>
      <c r="J113" s="3"/>
      <c r="K113" s="2" t="s">
        <v>60</v>
      </c>
      <c r="L113" s="2">
        <v>0.51980000000000004</v>
      </c>
      <c r="M113" s="2" t="s">
        <v>45</v>
      </c>
      <c r="N113" s="2" t="s">
        <v>103</v>
      </c>
      <c r="O113" s="2">
        <v>0.64970000000000006</v>
      </c>
      <c r="P113" s="2" t="s">
        <v>32</v>
      </c>
    </row>
    <row r="114" spans="1:16" x14ac:dyDescent="0.35">
      <c r="A114" s="2">
        <v>113</v>
      </c>
      <c r="B114" s="2" t="s">
        <v>619</v>
      </c>
      <c r="C114" s="2" t="s">
        <v>620</v>
      </c>
      <c r="D114" s="2" t="s">
        <v>620</v>
      </c>
      <c r="E114" s="2" t="s">
        <v>464</v>
      </c>
      <c r="F114" s="2" t="s">
        <v>465</v>
      </c>
      <c r="G114" s="2" t="s">
        <v>466</v>
      </c>
      <c r="H114" s="3"/>
      <c r="I114" s="3"/>
      <c r="J114" s="3"/>
      <c r="K114" s="2" t="s">
        <v>116</v>
      </c>
      <c r="L114" s="2">
        <v>0.84509999999999996</v>
      </c>
      <c r="M114" s="2" t="s">
        <v>21</v>
      </c>
      <c r="N114" s="2" t="s">
        <v>621</v>
      </c>
      <c r="O114" s="2">
        <v>0.84509999999999996</v>
      </c>
      <c r="P114" s="2" t="s">
        <v>22</v>
      </c>
    </row>
    <row r="115" spans="1:16" x14ac:dyDescent="0.35">
      <c r="A115" s="2">
        <v>114</v>
      </c>
      <c r="B115" s="2" t="s">
        <v>622</v>
      </c>
      <c r="C115" s="2" t="s">
        <v>623</v>
      </c>
      <c r="D115" s="2" t="s">
        <v>624</v>
      </c>
      <c r="E115" s="2" t="s">
        <v>625</v>
      </c>
      <c r="F115" s="2" t="s">
        <v>626</v>
      </c>
      <c r="G115" s="2" t="s">
        <v>627</v>
      </c>
      <c r="H115" s="3"/>
      <c r="I115" s="3"/>
      <c r="J115" s="3"/>
      <c r="K115" s="2" t="s">
        <v>74</v>
      </c>
      <c r="L115" s="2">
        <v>0</v>
      </c>
      <c r="M115" s="2"/>
      <c r="N115" s="2"/>
      <c r="O115" s="2"/>
      <c r="P115" s="2" t="s">
        <v>32</v>
      </c>
    </row>
    <row r="116" spans="1:16" ht="25" x14ac:dyDescent="0.35">
      <c r="A116" s="2">
        <v>115</v>
      </c>
      <c r="B116" s="2" t="s">
        <v>229</v>
      </c>
      <c r="C116" s="2" t="s">
        <v>230</v>
      </c>
      <c r="D116" s="2" t="s">
        <v>230</v>
      </c>
      <c r="E116" s="2" t="s">
        <v>444</v>
      </c>
      <c r="F116" s="2" t="s">
        <v>445</v>
      </c>
      <c r="G116" s="2" t="s">
        <v>446</v>
      </c>
      <c r="H116" s="3"/>
      <c r="I116" s="3"/>
      <c r="J116" s="3"/>
      <c r="K116" s="2" t="s">
        <v>81</v>
      </c>
      <c r="L116" s="2">
        <v>0.49159999999999998</v>
      </c>
      <c r="M116" s="2" t="s">
        <v>82</v>
      </c>
      <c r="N116" s="2" t="s">
        <v>143</v>
      </c>
      <c r="O116" s="2">
        <v>0.54620000000000002</v>
      </c>
      <c r="P116" s="2" t="s">
        <v>32</v>
      </c>
    </row>
  </sheetData>
  <dataValidations count="2">
    <dataValidation type="list" allowBlank="1" sqref="H2:H116" xr:uid="{00000000-0002-0000-0000-000000000000}">
      <formula1>"same,related,different,unclear"</formula1>
    </dataValidation>
    <dataValidation type="list" allowBlank="1" sqref="I2:I116" xr:uid="{00000000-0002-0000-0000-000001000000}">
      <formula1>"duplicate,contradiction,lex specialis,overlap,none,unclear"</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4"/>
  <sheetViews>
    <sheetView workbookViewId="0"/>
  </sheetViews>
  <sheetFormatPr defaultRowHeight="14.5" x14ac:dyDescent="0.35"/>
  <cols>
    <col min="1" max="1" width="58" customWidth="1"/>
    <col min="2" max="15" width="12" customWidth="1"/>
  </cols>
  <sheetData>
    <row r="1" spans="1:15" ht="15.5" x14ac:dyDescent="0.35">
      <c r="A1" s="4" t="s">
        <v>628</v>
      </c>
      <c r="B1" s="5"/>
      <c r="C1" s="5"/>
      <c r="D1" s="5"/>
      <c r="E1" s="5"/>
      <c r="F1" s="5"/>
      <c r="G1" s="5"/>
      <c r="H1" s="5"/>
      <c r="I1" s="5"/>
      <c r="J1" s="5"/>
      <c r="K1" s="5"/>
      <c r="L1" s="5"/>
      <c r="M1" s="5"/>
      <c r="N1" s="5"/>
      <c r="O1" s="5"/>
    </row>
    <row r="2" spans="1:15" x14ac:dyDescent="0.35">
      <c r="A2" s="5"/>
      <c r="B2" s="5"/>
      <c r="C2" s="5"/>
      <c r="D2" s="5"/>
      <c r="E2" s="5"/>
      <c r="F2" s="5"/>
      <c r="G2" s="5"/>
      <c r="H2" s="5"/>
      <c r="I2" s="5"/>
      <c r="J2" s="5"/>
      <c r="K2" s="5"/>
      <c r="L2" s="5"/>
      <c r="M2" s="5"/>
      <c r="N2" s="5"/>
      <c r="O2" s="5"/>
    </row>
    <row r="3" spans="1:15" x14ac:dyDescent="0.35">
      <c r="A3" s="5" t="s">
        <v>629</v>
      </c>
      <c r="B3" s="6">
        <v>0.5</v>
      </c>
      <c r="C3" s="5" t="s">
        <v>630</v>
      </c>
      <c r="D3" s="5"/>
      <c r="E3" s="5"/>
      <c r="F3" s="5"/>
      <c r="G3" s="5"/>
      <c r="H3" s="5"/>
      <c r="I3" s="5"/>
      <c r="J3" s="5"/>
      <c r="K3" s="5"/>
      <c r="L3" s="5"/>
      <c r="M3" s="5"/>
      <c r="N3" s="5"/>
      <c r="O3" s="5"/>
    </row>
    <row r="4" spans="1:15" x14ac:dyDescent="0.35">
      <c r="A4" s="5"/>
      <c r="B4" s="5"/>
      <c r="C4" s="5"/>
      <c r="D4" s="5"/>
      <c r="E4" s="5"/>
      <c r="F4" s="5"/>
      <c r="G4" s="5"/>
      <c r="H4" s="5"/>
      <c r="I4" s="5"/>
      <c r="J4" s="5"/>
      <c r="K4" s="5"/>
      <c r="L4" s="5"/>
      <c r="M4" s="5"/>
      <c r="N4" s="5"/>
      <c r="O4" s="5"/>
    </row>
    <row r="5" spans="1:15" x14ac:dyDescent="0.35">
      <c r="A5" s="7" t="s">
        <v>10</v>
      </c>
      <c r="B5" s="7" t="s">
        <v>631</v>
      </c>
      <c r="C5" s="7" t="s">
        <v>12</v>
      </c>
      <c r="D5" s="7" t="s">
        <v>632</v>
      </c>
      <c r="E5" s="7" t="s">
        <v>633</v>
      </c>
      <c r="F5" s="7" t="s">
        <v>22</v>
      </c>
      <c r="G5" s="7" t="s">
        <v>634</v>
      </c>
      <c r="H5" s="7" t="s">
        <v>635</v>
      </c>
      <c r="I5" s="7" t="s">
        <v>636</v>
      </c>
      <c r="J5" s="7" t="s">
        <v>637</v>
      </c>
      <c r="K5" s="7" t="s">
        <v>638</v>
      </c>
      <c r="L5" s="7" t="s">
        <v>639</v>
      </c>
      <c r="M5" s="7" t="s">
        <v>640</v>
      </c>
      <c r="N5" s="7" t="s">
        <v>641</v>
      </c>
      <c r="O5" s="7" t="s">
        <v>642</v>
      </c>
    </row>
    <row r="6" spans="1:15" x14ac:dyDescent="0.35">
      <c r="A6" s="5" t="s">
        <v>51</v>
      </c>
      <c r="B6" s="5">
        <v>0</v>
      </c>
      <c r="C6" s="5" t="s">
        <v>21</v>
      </c>
      <c r="D6" s="5">
        <v>4696</v>
      </c>
      <c r="E6" s="5">
        <f>COUNTIF(Review!$K$2:$K$116,$A6)</f>
        <v>10</v>
      </c>
      <c r="F6" s="5">
        <f>COUNTIFS(Review!$K$2:$K$116,$A6,Review!$H$2:$H$116,"same")</f>
        <v>0</v>
      </c>
      <c r="G6" s="5">
        <f>COUNTIFS(Review!$K$2:$K$116,$A6,Review!$H$2:$H$116,"related")</f>
        <v>0</v>
      </c>
      <c r="H6" s="5">
        <f>COUNTIFS(Review!$K$2:$K$116,$A6,Review!$H$2:$H$116,"different")</f>
        <v>0</v>
      </c>
      <c r="I6" s="5">
        <f>COUNTIFS(Review!$K$2:$K$116,$A6,Review!$H$2:$H$116,"unclear")</f>
        <v>0</v>
      </c>
      <c r="J6" s="5">
        <f t="shared" ref="J6:J16" si="0">F6+G6+H6</f>
        <v>0</v>
      </c>
      <c r="K6" s="8" t="str">
        <f t="shared" ref="K6:K16" si="1">IF(J6=0,"",F6/J6)</f>
        <v/>
      </c>
      <c r="L6" s="8" t="str">
        <f t="shared" ref="L6:L16" si="2">IF(J6=0,"",(F6+G6)/J6)</f>
        <v/>
      </c>
      <c r="M6" s="5">
        <f t="shared" ref="M6:M16" si="3">IF(J6=0,0,D6)</f>
        <v>0</v>
      </c>
      <c r="N6" s="5">
        <f t="shared" ref="N6:N16" si="4">IF(J6=0,0,D6*F6/J6)</f>
        <v>0</v>
      </c>
      <c r="O6" s="5">
        <f t="shared" ref="O6:O16" si="5">IF(J6=0,0,D6*(F6+G6)/J6)</f>
        <v>0</v>
      </c>
    </row>
    <row r="7" spans="1:15" x14ac:dyDescent="0.35">
      <c r="A7" s="5" t="s">
        <v>44</v>
      </c>
      <c r="B7" s="5">
        <v>0</v>
      </c>
      <c r="C7" s="5" t="s">
        <v>45</v>
      </c>
      <c r="D7" s="5">
        <v>2642</v>
      </c>
      <c r="E7" s="5">
        <f>COUNTIF(Review!$K$2:$K$116,$A7)</f>
        <v>10</v>
      </c>
      <c r="F7" s="5">
        <f>COUNTIFS(Review!$K$2:$K$116,$A7,Review!$H$2:$H$116,"same")</f>
        <v>0</v>
      </c>
      <c r="G7" s="5">
        <f>COUNTIFS(Review!$K$2:$K$116,$A7,Review!$H$2:$H$116,"related")</f>
        <v>0</v>
      </c>
      <c r="H7" s="5">
        <f>COUNTIFS(Review!$K$2:$K$116,$A7,Review!$H$2:$H$116,"different")</f>
        <v>0</v>
      </c>
      <c r="I7" s="5">
        <f>COUNTIFS(Review!$K$2:$K$116,$A7,Review!$H$2:$H$116,"unclear")</f>
        <v>0</v>
      </c>
      <c r="J7" s="5">
        <f t="shared" si="0"/>
        <v>0</v>
      </c>
      <c r="K7" s="8" t="str">
        <f t="shared" si="1"/>
        <v/>
      </c>
      <c r="L7" s="8" t="str">
        <f t="shared" si="2"/>
        <v/>
      </c>
      <c r="M7" s="5">
        <f t="shared" si="3"/>
        <v>0</v>
      </c>
      <c r="N7" s="5">
        <f t="shared" si="4"/>
        <v>0</v>
      </c>
      <c r="O7" s="5">
        <f t="shared" si="5"/>
        <v>0</v>
      </c>
    </row>
    <row r="8" spans="1:15" x14ac:dyDescent="0.35">
      <c r="A8" s="5" t="s">
        <v>81</v>
      </c>
      <c r="B8" s="5">
        <v>0</v>
      </c>
      <c r="C8" s="5" t="s">
        <v>82</v>
      </c>
      <c r="D8" s="5">
        <v>1282</v>
      </c>
      <c r="E8" s="5">
        <f>COUNTIF(Review!$K$2:$K$116,$A8)</f>
        <v>10</v>
      </c>
      <c r="F8" s="5">
        <f>COUNTIFS(Review!$K$2:$K$116,$A8,Review!$H$2:$H$116,"same")</f>
        <v>0</v>
      </c>
      <c r="G8" s="5">
        <f>COUNTIFS(Review!$K$2:$K$116,$A8,Review!$H$2:$H$116,"related")</f>
        <v>0</v>
      </c>
      <c r="H8" s="5">
        <f>COUNTIFS(Review!$K$2:$K$116,$A8,Review!$H$2:$H$116,"different")</f>
        <v>0</v>
      </c>
      <c r="I8" s="5">
        <f>COUNTIFS(Review!$K$2:$K$116,$A8,Review!$H$2:$H$116,"unclear")</f>
        <v>0</v>
      </c>
      <c r="J8" s="5">
        <f t="shared" si="0"/>
        <v>0</v>
      </c>
      <c r="K8" s="8" t="str">
        <f t="shared" si="1"/>
        <v/>
      </c>
      <c r="L8" s="8" t="str">
        <f t="shared" si="2"/>
        <v/>
      </c>
      <c r="M8" s="5">
        <f t="shared" si="3"/>
        <v>0</v>
      </c>
      <c r="N8" s="5">
        <f t="shared" si="4"/>
        <v>0</v>
      </c>
      <c r="O8" s="5">
        <f t="shared" si="5"/>
        <v>0</v>
      </c>
    </row>
    <row r="9" spans="1:15" x14ac:dyDescent="0.35">
      <c r="A9" s="5" t="s">
        <v>287</v>
      </c>
      <c r="B9" s="5">
        <v>0</v>
      </c>
      <c r="C9" s="5" t="s">
        <v>30</v>
      </c>
      <c r="D9" s="5">
        <v>9862</v>
      </c>
      <c r="E9" s="5">
        <f>COUNTIF(Review!$K$2:$K$116,$A9)</f>
        <v>10</v>
      </c>
      <c r="F9" s="5">
        <f>COUNTIFS(Review!$K$2:$K$116,$A9,Review!$H$2:$H$116,"same")</f>
        <v>0</v>
      </c>
      <c r="G9" s="5">
        <f>COUNTIFS(Review!$K$2:$K$116,$A9,Review!$H$2:$H$116,"related")</f>
        <v>0</v>
      </c>
      <c r="H9" s="5">
        <f>COUNTIFS(Review!$K$2:$K$116,$A9,Review!$H$2:$H$116,"different")</f>
        <v>0</v>
      </c>
      <c r="I9" s="5">
        <f>COUNTIFS(Review!$K$2:$K$116,$A9,Review!$H$2:$H$116,"unclear")</f>
        <v>0</v>
      </c>
      <c r="J9" s="5">
        <f t="shared" si="0"/>
        <v>0</v>
      </c>
      <c r="K9" s="8" t="str">
        <f t="shared" si="1"/>
        <v/>
      </c>
      <c r="L9" s="8" t="str">
        <f t="shared" si="2"/>
        <v/>
      </c>
      <c r="M9" s="5">
        <f t="shared" si="3"/>
        <v>0</v>
      </c>
      <c r="N9" s="5">
        <f t="shared" si="4"/>
        <v>0</v>
      </c>
      <c r="O9" s="5">
        <f t="shared" si="5"/>
        <v>0</v>
      </c>
    </row>
    <row r="10" spans="1:15" x14ac:dyDescent="0.35">
      <c r="A10" s="5" t="s">
        <v>20</v>
      </c>
      <c r="B10" s="5">
        <v>0.5</v>
      </c>
      <c r="C10" s="5" t="s">
        <v>21</v>
      </c>
      <c r="D10" s="5">
        <v>2268</v>
      </c>
      <c r="E10" s="5">
        <f>COUNTIF(Review!$K$2:$K$116,$A10)</f>
        <v>10</v>
      </c>
      <c r="F10" s="5">
        <f>COUNTIFS(Review!$K$2:$K$116,$A10,Review!$H$2:$H$116,"same")</f>
        <v>0</v>
      </c>
      <c r="G10" s="5">
        <f>COUNTIFS(Review!$K$2:$K$116,$A10,Review!$H$2:$H$116,"related")</f>
        <v>0</v>
      </c>
      <c r="H10" s="5">
        <f>COUNTIFS(Review!$K$2:$K$116,$A10,Review!$H$2:$H$116,"different")</f>
        <v>0</v>
      </c>
      <c r="I10" s="5">
        <f>COUNTIFS(Review!$K$2:$K$116,$A10,Review!$H$2:$H$116,"unclear")</f>
        <v>0</v>
      </c>
      <c r="J10" s="5">
        <f t="shared" si="0"/>
        <v>0</v>
      </c>
      <c r="K10" s="8" t="str">
        <f t="shared" si="1"/>
        <v/>
      </c>
      <c r="L10" s="8" t="str">
        <f t="shared" si="2"/>
        <v/>
      </c>
      <c r="M10" s="5">
        <f t="shared" si="3"/>
        <v>0</v>
      </c>
      <c r="N10" s="5">
        <f t="shared" si="4"/>
        <v>0</v>
      </c>
      <c r="O10" s="5">
        <f t="shared" si="5"/>
        <v>0</v>
      </c>
    </row>
    <row r="11" spans="1:15" x14ac:dyDescent="0.35">
      <c r="A11" s="5" t="s">
        <v>60</v>
      </c>
      <c r="B11" s="5">
        <v>0.5</v>
      </c>
      <c r="C11" s="5" t="s">
        <v>45</v>
      </c>
      <c r="D11" s="5">
        <v>163</v>
      </c>
      <c r="E11" s="5">
        <f>COUNTIF(Review!$K$2:$K$116,$A11)</f>
        <v>10</v>
      </c>
      <c r="F11" s="5">
        <f>COUNTIFS(Review!$K$2:$K$116,$A11,Review!$H$2:$H$116,"same")</f>
        <v>0</v>
      </c>
      <c r="G11" s="5">
        <f>COUNTIFS(Review!$K$2:$K$116,$A11,Review!$H$2:$H$116,"related")</f>
        <v>0</v>
      </c>
      <c r="H11" s="5">
        <f>COUNTIFS(Review!$K$2:$K$116,$A11,Review!$H$2:$H$116,"different")</f>
        <v>0</v>
      </c>
      <c r="I11" s="5">
        <f>COUNTIFS(Review!$K$2:$K$116,$A11,Review!$H$2:$H$116,"unclear")</f>
        <v>0</v>
      </c>
      <c r="J11" s="5">
        <f t="shared" si="0"/>
        <v>0</v>
      </c>
      <c r="K11" s="8" t="str">
        <f t="shared" si="1"/>
        <v/>
      </c>
      <c r="L11" s="8" t="str">
        <f t="shared" si="2"/>
        <v/>
      </c>
      <c r="M11" s="5">
        <f t="shared" si="3"/>
        <v>0</v>
      </c>
      <c r="N11" s="5">
        <f t="shared" si="4"/>
        <v>0</v>
      </c>
      <c r="O11" s="5">
        <f t="shared" si="5"/>
        <v>0</v>
      </c>
    </row>
    <row r="12" spans="1:15" x14ac:dyDescent="0.35">
      <c r="A12" s="5" t="s">
        <v>169</v>
      </c>
      <c r="B12" s="5">
        <v>0.5</v>
      </c>
      <c r="C12" s="5" t="s">
        <v>82</v>
      </c>
      <c r="D12" s="5">
        <v>1738</v>
      </c>
      <c r="E12" s="5">
        <f>COUNTIF(Review!$K$2:$K$116,$A12)</f>
        <v>10</v>
      </c>
      <c r="F12" s="5">
        <f>COUNTIFS(Review!$K$2:$K$116,$A12,Review!$H$2:$H$116,"same")</f>
        <v>0</v>
      </c>
      <c r="G12" s="5">
        <f>COUNTIFS(Review!$K$2:$K$116,$A12,Review!$H$2:$H$116,"related")</f>
        <v>0</v>
      </c>
      <c r="H12" s="5">
        <f>COUNTIFS(Review!$K$2:$K$116,$A12,Review!$H$2:$H$116,"different")</f>
        <v>0</v>
      </c>
      <c r="I12" s="5">
        <f>COUNTIFS(Review!$K$2:$K$116,$A12,Review!$H$2:$H$116,"unclear")</f>
        <v>0</v>
      </c>
      <c r="J12" s="5">
        <f t="shared" si="0"/>
        <v>0</v>
      </c>
      <c r="K12" s="8" t="str">
        <f t="shared" si="1"/>
        <v/>
      </c>
      <c r="L12" s="8" t="str">
        <f t="shared" si="2"/>
        <v/>
      </c>
      <c r="M12" s="5">
        <f t="shared" si="3"/>
        <v>0</v>
      </c>
      <c r="N12" s="5">
        <f t="shared" si="4"/>
        <v>0</v>
      </c>
      <c r="O12" s="5">
        <f t="shared" si="5"/>
        <v>0</v>
      </c>
    </row>
    <row r="13" spans="1:15" x14ac:dyDescent="0.35">
      <c r="A13" s="5" t="s">
        <v>29</v>
      </c>
      <c r="B13" s="5">
        <v>0.5</v>
      </c>
      <c r="C13" s="5" t="s">
        <v>30</v>
      </c>
      <c r="D13" s="5">
        <v>516</v>
      </c>
      <c r="E13" s="5">
        <f>COUNTIF(Review!$K$2:$K$116,$A13)</f>
        <v>10</v>
      </c>
      <c r="F13" s="5">
        <f>COUNTIFS(Review!$K$2:$K$116,$A13,Review!$H$2:$H$116,"same")</f>
        <v>0</v>
      </c>
      <c r="G13" s="5">
        <f>COUNTIFS(Review!$K$2:$K$116,$A13,Review!$H$2:$H$116,"related")</f>
        <v>0</v>
      </c>
      <c r="H13" s="5">
        <f>COUNTIFS(Review!$K$2:$K$116,$A13,Review!$H$2:$H$116,"different")</f>
        <v>0</v>
      </c>
      <c r="I13" s="5">
        <f>COUNTIFS(Review!$K$2:$K$116,$A13,Review!$H$2:$H$116,"unclear")</f>
        <v>0</v>
      </c>
      <c r="J13" s="5">
        <f t="shared" si="0"/>
        <v>0</v>
      </c>
      <c r="K13" s="8" t="str">
        <f t="shared" si="1"/>
        <v/>
      </c>
      <c r="L13" s="8" t="str">
        <f t="shared" si="2"/>
        <v/>
      </c>
      <c r="M13" s="5">
        <f t="shared" si="3"/>
        <v>0</v>
      </c>
      <c r="N13" s="5">
        <f t="shared" si="4"/>
        <v>0</v>
      </c>
      <c r="O13" s="5">
        <f t="shared" si="5"/>
        <v>0</v>
      </c>
    </row>
    <row r="14" spans="1:15" x14ac:dyDescent="0.35">
      <c r="A14" s="5" t="s">
        <v>116</v>
      </c>
      <c r="B14" s="5">
        <v>0.75</v>
      </c>
      <c r="C14" s="5" t="s">
        <v>21</v>
      </c>
      <c r="D14" s="5">
        <v>179</v>
      </c>
      <c r="E14" s="5">
        <f>COUNTIF(Review!$K$2:$K$116,$A14)</f>
        <v>10</v>
      </c>
      <c r="F14" s="5">
        <f>COUNTIFS(Review!$K$2:$K$116,$A14,Review!$H$2:$H$116,"same")</f>
        <v>0</v>
      </c>
      <c r="G14" s="5">
        <f>COUNTIFS(Review!$K$2:$K$116,$A14,Review!$H$2:$H$116,"related")</f>
        <v>0</v>
      </c>
      <c r="H14" s="5">
        <f>COUNTIFS(Review!$K$2:$K$116,$A14,Review!$H$2:$H$116,"different")</f>
        <v>0</v>
      </c>
      <c r="I14" s="5">
        <f>COUNTIFS(Review!$K$2:$K$116,$A14,Review!$H$2:$H$116,"unclear")</f>
        <v>0</v>
      </c>
      <c r="J14" s="5">
        <f t="shared" si="0"/>
        <v>0</v>
      </c>
      <c r="K14" s="8" t="str">
        <f t="shared" si="1"/>
        <v/>
      </c>
      <c r="L14" s="8" t="str">
        <f t="shared" si="2"/>
        <v/>
      </c>
      <c r="M14" s="5">
        <f t="shared" si="3"/>
        <v>0</v>
      </c>
      <c r="N14" s="5">
        <f t="shared" si="4"/>
        <v>0</v>
      </c>
      <c r="O14" s="5">
        <f t="shared" si="5"/>
        <v>0</v>
      </c>
    </row>
    <row r="15" spans="1:15" x14ac:dyDescent="0.35">
      <c r="A15" s="5" t="s">
        <v>136</v>
      </c>
      <c r="B15" s="5">
        <v>0.75</v>
      </c>
      <c r="C15" s="5" t="s">
        <v>82</v>
      </c>
      <c r="D15" s="5">
        <v>50</v>
      </c>
      <c r="E15" s="5">
        <f>COUNTIF(Review!$K$2:$K$116,$A15)</f>
        <v>10</v>
      </c>
      <c r="F15" s="5">
        <f>COUNTIFS(Review!$K$2:$K$116,$A15,Review!$H$2:$H$116,"same")</f>
        <v>0</v>
      </c>
      <c r="G15" s="5">
        <f>COUNTIFS(Review!$K$2:$K$116,$A15,Review!$H$2:$H$116,"related")</f>
        <v>0</v>
      </c>
      <c r="H15" s="5">
        <f>COUNTIFS(Review!$K$2:$K$116,$A15,Review!$H$2:$H$116,"different")</f>
        <v>0</v>
      </c>
      <c r="I15" s="5">
        <f>COUNTIFS(Review!$K$2:$K$116,$A15,Review!$H$2:$H$116,"unclear")</f>
        <v>0</v>
      </c>
      <c r="J15" s="5">
        <f t="shared" si="0"/>
        <v>0</v>
      </c>
      <c r="K15" s="8" t="str">
        <f t="shared" si="1"/>
        <v/>
      </c>
      <c r="L15" s="8" t="str">
        <f t="shared" si="2"/>
        <v/>
      </c>
      <c r="M15" s="5">
        <f t="shared" si="3"/>
        <v>0</v>
      </c>
      <c r="N15" s="5">
        <f t="shared" si="4"/>
        <v>0</v>
      </c>
      <c r="O15" s="5">
        <f t="shared" si="5"/>
        <v>0</v>
      </c>
    </row>
    <row r="16" spans="1:15" x14ac:dyDescent="0.35">
      <c r="A16" s="5" t="s">
        <v>74</v>
      </c>
      <c r="B16" s="5"/>
      <c r="C16" s="5"/>
      <c r="D16" s="5">
        <v>5238</v>
      </c>
      <c r="E16" s="5">
        <f>COUNTIF(Review!$K$2:$K$116,$A16)</f>
        <v>15</v>
      </c>
      <c r="F16" s="5">
        <f>COUNTIFS(Review!$K$2:$K$116,$A16,Review!$H$2:$H$116,"same")</f>
        <v>0</v>
      </c>
      <c r="G16" s="5">
        <f>COUNTIFS(Review!$K$2:$K$116,$A16,Review!$H$2:$H$116,"related")</f>
        <v>0</v>
      </c>
      <c r="H16" s="5">
        <f>COUNTIFS(Review!$K$2:$K$116,$A16,Review!$H$2:$H$116,"different")</f>
        <v>0</v>
      </c>
      <c r="I16" s="5">
        <f>COUNTIFS(Review!$K$2:$K$116,$A16,Review!$H$2:$H$116,"unclear")</f>
        <v>0</v>
      </c>
      <c r="J16" s="5">
        <f t="shared" si="0"/>
        <v>0</v>
      </c>
      <c r="K16" s="8" t="str">
        <f t="shared" si="1"/>
        <v/>
      </c>
      <c r="L16" s="8" t="str">
        <f t="shared" si="2"/>
        <v/>
      </c>
      <c r="M16" s="5">
        <f t="shared" si="3"/>
        <v>0</v>
      </c>
      <c r="N16" s="5">
        <f t="shared" si="4"/>
        <v>0</v>
      </c>
      <c r="O16" s="5">
        <f t="shared" si="5"/>
        <v>0</v>
      </c>
    </row>
    <row r="17" spans="1:15" x14ac:dyDescent="0.35">
      <c r="A17" s="5"/>
      <c r="B17" s="5"/>
      <c r="C17" s="5"/>
      <c r="D17" s="5"/>
      <c r="E17" s="5"/>
      <c r="F17" s="5"/>
      <c r="G17" s="5"/>
      <c r="H17" s="5"/>
      <c r="I17" s="5"/>
      <c r="J17" s="5"/>
      <c r="K17" s="5"/>
      <c r="L17" s="5"/>
      <c r="M17" s="5"/>
      <c r="N17" s="5"/>
      <c r="O17" s="5"/>
    </row>
    <row r="18" spans="1:15" x14ac:dyDescent="0.35">
      <c r="A18" s="9" t="s">
        <v>643</v>
      </c>
      <c r="B18" s="5"/>
      <c r="C18" s="5"/>
      <c r="D18" s="5"/>
      <c r="E18" s="5"/>
      <c r="F18" s="5"/>
      <c r="G18" s="5"/>
      <c r="H18" s="5"/>
      <c r="I18" s="5"/>
      <c r="J18" s="5"/>
      <c r="K18" s="5"/>
      <c r="L18" s="5"/>
      <c r="M18" s="5"/>
      <c r="N18" s="5"/>
      <c r="O18" s="5"/>
    </row>
    <row r="19" spans="1:15" x14ac:dyDescent="0.35">
      <c r="A19" s="5" t="s">
        <v>644</v>
      </c>
      <c r="B19" s="5"/>
      <c r="C19" s="5"/>
      <c r="D19" s="5">
        <f>SUMIFS($D$6:$D$16,$B$6:$B$16,"&gt;="&amp;$B$3)</f>
        <v>4914</v>
      </c>
      <c r="E19" s="5"/>
      <c r="F19" s="5"/>
      <c r="G19" s="5"/>
      <c r="H19" s="5"/>
      <c r="I19" s="5"/>
      <c r="J19" s="5"/>
      <c r="K19" s="5"/>
      <c r="L19" s="5"/>
      <c r="M19" s="5"/>
      <c r="N19" s="5"/>
      <c r="O19" s="5"/>
    </row>
    <row r="20" spans="1:15" x14ac:dyDescent="0.35">
      <c r="A20" s="5" t="s">
        <v>645</v>
      </c>
      <c r="B20" s="5"/>
      <c r="C20" s="5"/>
      <c r="D20" s="8" t="str">
        <f>IFERROR(SUMIFS($N$6:$N$16,$B$6:$B$16,"&gt;="&amp;$B$3)/SUMIFS($M$6:$M$16,$B$6:$B$16,"&gt;="&amp;$B$3),"")</f>
        <v/>
      </c>
      <c r="E20" s="5"/>
      <c r="F20" s="5"/>
      <c r="G20" s="5"/>
      <c r="H20" s="5"/>
      <c r="I20" s="5"/>
      <c r="J20" s="5"/>
      <c r="K20" s="5"/>
      <c r="L20" s="5"/>
      <c r="M20" s="5"/>
      <c r="N20" s="5"/>
      <c r="O20" s="5"/>
    </row>
    <row r="21" spans="1:15" x14ac:dyDescent="0.35">
      <c r="A21" s="5" t="s">
        <v>646</v>
      </c>
      <c r="B21" s="5"/>
      <c r="C21" s="5"/>
      <c r="D21" s="8" t="str">
        <f>IFERROR(SUMIFS($O$6:$O$16,$B$6:$B$16,"&gt;="&amp;$B$3)/SUMIFS($M$6:$M$16,$B$6:$B$16,"&gt;="&amp;$B$3),"")</f>
        <v/>
      </c>
      <c r="E21" s="5"/>
      <c r="F21" s="5"/>
      <c r="G21" s="5"/>
      <c r="H21" s="5"/>
      <c r="I21" s="5"/>
      <c r="J21" s="5"/>
      <c r="K21" s="5"/>
      <c r="L21" s="5"/>
      <c r="M21" s="5"/>
      <c r="N21" s="5"/>
      <c r="O21" s="5"/>
    </row>
    <row r="22" spans="1:15" x14ac:dyDescent="0.35">
      <c r="A22" s="5" t="s">
        <v>647</v>
      </c>
      <c r="B22" s="5"/>
      <c r="C22" s="5"/>
      <c r="D22" s="8" t="str">
        <f>IFERROR(SUMIFS($O$6:$O$16,$C$6:$C$16,"head")/SUMIFS($M$6:$M$16,$C$6:$C$16,"head"),"")</f>
        <v/>
      </c>
      <c r="E22" s="5"/>
      <c r="F22" s="5"/>
      <c r="G22" s="5"/>
      <c r="H22" s="5"/>
      <c r="I22" s="5"/>
      <c r="J22" s="5"/>
      <c r="K22" s="5"/>
      <c r="L22" s="5"/>
      <c r="M22" s="5"/>
      <c r="N22" s="5"/>
      <c r="O22" s="5"/>
    </row>
    <row r="23" spans="1:15" x14ac:dyDescent="0.35">
      <c r="A23" s="5" t="s">
        <v>648</v>
      </c>
      <c r="B23" s="5"/>
      <c r="C23" s="5"/>
      <c r="D23" s="8" t="str">
        <f>IFERROR(SUMIFS($O$6:$O$16,$C$6:$C$16,"tail")/SUMIFS($M$6:$M$16,$C$6:$C$16,"tail"),"")</f>
        <v/>
      </c>
      <c r="E23" s="5"/>
      <c r="F23" s="5"/>
      <c r="G23" s="5"/>
      <c r="H23" s="5"/>
      <c r="I23" s="5"/>
      <c r="J23" s="5"/>
      <c r="K23" s="5"/>
      <c r="L23" s="5"/>
      <c r="M23" s="5"/>
      <c r="N23" s="5"/>
      <c r="O23" s="5"/>
    </row>
    <row r="24" spans="1:15" x14ac:dyDescent="0.35">
      <c r="A24" s="5" t="s">
        <v>649</v>
      </c>
      <c r="B24" s="5"/>
      <c r="C24" s="5"/>
      <c r="D24" s="8" t="str">
        <f>IFERROR(SUMIFS($O$6:$O$16,$C$6:$C$16,"eurovoc")/SUMIFS($M$6:$M$16,$C$6:$C$16,"eurovoc"),"")</f>
        <v/>
      </c>
      <c r="E24" s="5"/>
      <c r="F24" s="5"/>
      <c r="G24" s="5"/>
      <c r="H24" s="5"/>
      <c r="I24" s="5"/>
      <c r="J24" s="5"/>
      <c r="K24" s="5"/>
      <c r="L24" s="5"/>
      <c r="M24" s="5"/>
      <c r="N24" s="5"/>
      <c r="O24" s="5"/>
    </row>
    <row r="25" spans="1:15" x14ac:dyDescent="0.35">
      <c r="A25" s="5" t="s">
        <v>650</v>
      </c>
      <c r="B25" s="5"/>
      <c r="C25" s="5"/>
      <c r="D25" s="8" t="str">
        <f>IFERROR(SUMIFS($O$6:$O$16,$C$6:$C$16,"noun")/SUMIFS($M$6:$M$16,$C$6:$C$16,"noun"),"")</f>
        <v/>
      </c>
      <c r="E25" s="5"/>
      <c r="F25" s="5"/>
      <c r="G25" s="5"/>
      <c r="H25" s="5"/>
      <c r="I25" s="5"/>
      <c r="J25" s="5"/>
      <c r="K25" s="5"/>
      <c r="L25" s="5"/>
      <c r="M25" s="5"/>
      <c r="N25" s="5"/>
      <c r="O25" s="5"/>
    </row>
    <row r="26" spans="1:15" x14ac:dyDescent="0.35">
      <c r="A26" s="5" t="s">
        <v>651</v>
      </c>
      <c r="B26" s="5"/>
      <c r="C26" s="5"/>
      <c r="D26" s="8" t="str">
        <f>IFERROR(INDEX($L$6:$L$16,MATCH("zero same-group",$A$6:$A$16,0)),"")</f>
        <v/>
      </c>
      <c r="E26" s="5"/>
      <c r="F26" s="5"/>
      <c r="G26" s="5"/>
      <c r="H26" s="5"/>
      <c r="I26" s="5"/>
      <c r="J26" s="5"/>
      <c r="K26" s="5"/>
      <c r="L26" s="5"/>
      <c r="M26" s="5"/>
      <c r="N26" s="5"/>
      <c r="O26" s="5"/>
    </row>
    <row r="27" spans="1:15" x14ac:dyDescent="0.35">
      <c r="A27" s="5" t="s">
        <v>652</v>
      </c>
      <c r="B27" s="5"/>
      <c r="C27" s="5"/>
      <c r="D27" s="8" t="str">
        <f>IFERROR(COUNTIFS(Review!$K$2:$K$116,"known",Review!$L$2:$L$116,"&gt;="&amp;$B$3)/COUNTIF(Review!$K$2:$K$116,"known"),"")</f>
        <v/>
      </c>
      <c r="E27" s="5"/>
      <c r="F27" s="5"/>
      <c r="G27" s="5"/>
      <c r="H27" s="5"/>
      <c r="I27" s="5"/>
      <c r="J27" s="5"/>
      <c r="K27" s="5"/>
      <c r="L27" s="5"/>
      <c r="M27" s="5"/>
      <c r="N27" s="5"/>
      <c r="O27" s="5"/>
    </row>
    <row r="28" spans="1:15" x14ac:dyDescent="0.35">
      <c r="A28" s="5"/>
      <c r="B28" s="5"/>
      <c r="C28" s="5"/>
      <c r="D28" s="5"/>
      <c r="E28" s="5"/>
      <c r="F28" s="5"/>
      <c r="G28" s="5"/>
      <c r="H28" s="5"/>
      <c r="I28" s="5"/>
      <c r="J28" s="5"/>
      <c r="K28" s="5"/>
      <c r="L28" s="5"/>
      <c r="M28" s="5"/>
      <c r="N28" s="5"/>
      <c r="O28" s="5"/>
    </row>
    <row r="29" spans="1:15" x14ac:dyDescent="0.35">
      <c r="A29" s="9" t="s">
        <v>653</v>
      </c>
      <c r="B29" s="5"/>
      <c r="C29" s="5"/>
      <c r="D29" s="5"/>
      <c r="E29" s="5"/>
      <c r="F29" s="5"/>
      <c r="G29" s="5"/>
      <c r="H29" s="5"/>
      <c r="I29" s="5"/>
      <c r="J29" s="5"/>
      <c r="K29" s="5"/>
      <c r="L29" s="5"/>
      <c r="M29" s="5"/>
      <c r="N29" s="5"/>
      <c r="O29" s="5"/>
    </row>
    <row r="30" spans="1:15" x14ac:dyDescent="0.35">
      <c r="A30" s="5"/>
      <c r="B30" s="7" t="s">
        <v>654</v>
      </c>
      <c r="C30" s="7" t="s">
        <v>655</v>
      </c>
      <c r="D30" s="7" t="s">
        <v>656</v>
      </c>
      <c r="E30" s="7" t="s">
        <v>657</v>
      </c>
      <c r="F30" s="7" t="s">
        <v>32</v>
      </c>
      <c r="G30" s="7" t="s">
        <v>636</v>
      </c>
      <c r="H30" s="5"/>
      <c r="I30" s="5"/>
      <c r="J30" s="5"/>
      <c r="K30" s="5"/>
      <c r="L30" s="5"/>
      <c r="M30" s="5"/>
      <c r="N30" s="5"/>
      <c r="O30" s="5"/>
    </row>
    <row r="31" spans="1:15" x14ac:dyDescent="0.35">
      <c r="A31" s="5" t="s">
        <v>22</v>
      </c>
      <c r="B31" s="5">
        <f>COUNTIFS(Review!$P$2:$P$116,$A31,Review!$I$2:$I$116,"duplicate")</f>
        <v>0</v>
      </c>
      <c r="C31" s="5">
        <f>COUNTIFS(Review!$P$2:$P$116,$A31,Review!$I$2:$I$116,"contradiction")</f>
        <v>0</v>
      </c>
      <c r="D31" s="5">
        <f>COUNTIFS(Review!$P$2:$P$116,$A31,Review!$I$2:$I$116,"lex specialis")</f>
        <v>0</v>
      </c>
      <c r="E31" s="5">
        <f>COUNTIFS(Review!$P$2:$P$116,$A31,Review!$I$2:$I$116,"overlap")</f>
        <v>0</v>
      </c>
      <c r="F31" s="5">
        <f>COUNTIFS(Review!$P$2:$P$116,$A31,Review!$I$2:$I$116,"none")</f>
        <v>0</v>
      </c>
      <c r="G31" s="5">
        <f>COUNTIFS(Review!$P$2:$P$116,$A31,Review!$I$2:$I$116,"unclear")</f>
        <v>0</v>
      </c>
      <c r="H31" s="5"/>
      <c r="I31" s="5"/>
      <c r="J31" s="5"/>
      <c r="K31" s="5"/>
      <c r="L31" s="5"/>
      <c r="M31" s="5"/>
      <c r="N31" s="5"/>
      <c r="O31" s="5"/>
    </row>
    <row r="32" spans="1:15" x14ac:dyDescent="0.35">
      <c r="A32" s="5" t="s">
        <v>47</v>
      </c>
      <c r="B32" s="5">
        <f>COUNTIFS(Review!$P$2:$P$116,$A32,Review!$I$2:$I$116,"duplicate")</f>
        <v>0</v>
      </c>
      <c r="C32" s="5">
        <f>COUNTIFS(Review!$P$2:$P$116,$A32,Review!$I$2:$I$116,"contradiction")</f>
        <v>0</v>
      </c>
      <c r="D32" s="5">
        <f>COUNTIFS(Review!$P$2:$P$116,$A32,Review!$I$2:$I$116,"lex specialis")</f>
        <v>0</v>
      </c>
      <c r="E32" s="5">
        <f>COUNTIFS(Review!$P$2:$P$116,$A32,Review!$I$2:$I$116,"overlap")</f>
        <v>0</v>
      </c>
      <c r="F32" s="5">
        <f>COUNTIFS(Review!$P$2:$P$116,$A32,Review!$I$2:$I$116,"none")</f>
        <v>0</v>
      </c>
      <c r="G32" s="5">
        <f>COUNTIFS(Review!$P$2:$P$116,$A32,Review!$I$2:$I$116,"unclear")</f>
        <v>0</v>
      </c>
      <c r="H32" s="5"/>
      <c r="I32" s="5"/>
      <c r="J32" s="5"/>
      <c r="K32" s="5"/>
      <c r="L32" s="5"/>
      <c r="M32" s="5"/>
      <c r="N32" s="5"/>
      <c r="O32" s="5"/>
    </row>
    <row r="33" spans="1:15" x14ac:dyDescent="0.35">
      <c r="A33" s="5" t="s">
        <v>53</v>
      </c>
      <c r="B33" s="5">
        <f>COUNTIFS(Review!$P$2:$P$116,$A33,Review!$I$2:$I$116,"duplicate")</f>
        <v>0</v>
      </c>
      <c r="C33" s="5">
        <f>COUNTIFS(Review!$P$2:$P$116,$A33,Review!$I$2:$I$116,"contradiction")</f>
        <v>0</v>
      </c>
      <c r="D33" s="5">
        <f>COUNTIFS(Review!$P$2:$P$116,$A33,Review!$I$2:$I$116,"lex specialis")</f>
        <v>0</v>
      </c>
      <c r="E33" s="5">
        <f>COUNTIFS(Review!$P$2:$P$116,$A33,Review!$I$2:$I$116,"overlap")</f>
        <v>0</v>
      </c>
      <c r="F33" s="5">
        <f>COUNTIFS(Review!$P$2:$P$116,$A33,Review!$I$2:$I$116,"none")</f>
        <v>0</v>
      </c>
      <c r="G33" s="5">
        <f>COUNTIFS(Review!$P$2:$P$116,$A33,Review!$I$2:$I$116,"unclear")</f>
        <v>0</v>
      </c>
      <c r="H33" s="5"/>
      <c r="I33" s="5"/>
      <c r="J33" s="5"/>
      <c r="K33" s="5"/>
      <c r="L33" s="5"/>
      <c r="M33" s="5"/>
      <c r="N33" s="5"/>
      <c r="O33" s="5"/>
    </row>
    <row r="34" spans="1:15" x14ac:dyDescent="0.35">
      <c r="A34" s="5" t="s">
        <v>32</v>
      </c>
      <c r="B34" s="5">
        <f>COUNTIFS(Review!$P$2:$P$116,$A34,Review!$I$2:$I$116,"duplicate")</f>
        <v>0</v>
      </c>
      <c r="C34" s="5">
        <f>COUNTIFS(Review!$P$2:$P$116,$A34,Review!$I$2:$I$116,"contradiction")</f>
        <v>0</v>
      </c>
      <c r="D34" s="5">
        <f>COUNTIFS(Review!$P$2:$P$116,$A34,Review!$I$2:$I$116,"lex specialis")</f>
        <v>0</v>
      </c>
      <c r="E34" s="5">
        <f>COUNTIFS(Review!$P$2:$P$116,$A34,Review!$I$2:$I$116,"overlap")</f>
        <v>0</v>
      </c>
      <c r="F34" s="5">
        <f>COUNTIFS(Review!$P$2:$P$116,$A34,Review!$I$2:$I$116,"none")</f>
        <v>0</v>
      </c>
      <c r="G34" s="5">
        <f>COUNTIFS(Review!$P$2:$P$116,$A34,Review!$I$2:$I$116,"unclear")</f>
        <v>0</v>
      </c>
      <c r="H34" s="5"/>
      <c r="I34" s="5"/>
      <c r="J34" s="5"/>
      <c r="K34" s="5"/>
      <c r="L34" s="5"/>
      <c r="M34" s="5"/>
      <c r="N34" s="5"/>
      <c r="O34" s="5"/>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17"/>
  <sheetViews>
    <sheetView workbookViewId="0"/>
  </sheetViews>
  <sheetFormatPr defaultRowHeight="14.5" x14ac:dyDescent="0.35"/>
  <cols>
    <col min="1" max="1" width="100" customWidth="1"/>
  </cols>
  <sheetData>
    <row r="1" spans="1:1" x14ac:dyDescent="0.35">
      <c r="A1" s="9" t="s">
        <v>658</v>
      </c>
    </row>
    <row r="2" spans="1:1" x14ac:dyDescent="0.35">
      <c r="A2" s="5" t="s">
        <v>659</v>
      </c>
    </row>
    <row r="3" spans="1:1" x14ac:dyDescent="0.35">
      <c r="A3" s="5" t="s">
        <v>660</v>
      </c>
    </row>
    <row r="4" spans="1:1" x14ac:dyDescent="0.35">
      <c r="A4" s="5" t="s">
        <v>661</v>
      </c>
    </row>
    <row r="5" spans="1:1" x14ac:dyDescent="0.35">
      <c r="A5" s="5" t="s">
        <v>662</v>
      </c>
    </row>
    <row r="6" spans="1:1" x14ac:dyDescent="0.35">
      <c r="A6" s="5" t="s">
        <v>663</v>
      </c>
    </row>
    <row r="7" spans="1:1" x14ac:dyDescent="0.35">
      <c r="A7" s="5" t="s">
        <v>664</v>
      </c>
    </row>
    <row r="8" spans="1:1" x14ac:dyDescent="0.35">
      <c r="A8" s="5" t="s">
        <v>665</v>
      </c>
    </row>
    <row r="9" spans="1:1" x14ac:dyDescent="0.35">
      <c r="A9" s="5" t="s">
        <v>666</v>
      </c>
    </row>
    <row r="10" spans="1:1" x14ac:dyDescent="0.35">
      <c r="A10" s="5" t="s">
        <v>667</v>
      </c>
    </row>
    <row r="11" spans="1:1" x14ac:dyDescent="0.35">
      <c r="A11" s="5" t="s">
        <v>668</v>
      </c>
    </row>
    <row r="12" spans="1:1" x14ac:dyDescent="0.35">
      <c r="A12" s="5"/>
    </row>
    <row r="13" spans="1:1" x14ac:dyDescent="0.35">
      <c r="A13" s="9" t="s">
        <v>669</v>
      </c>
    </row>
    <row r="14" spans="1:1" x14ac:dyDescent="0.35">
      <c r="A14" s="5" t="s">
        <v>670</v>
      </c>
    </row>
    <row r="15" spans="1:1" x14ac:dyDescent="0.35">
      <c r="A15" s="5" t="s">
        <v>671</v>
      </c>
    </row>
    <row r="16" spans="1:1" x14ac:dyDescent="0.35">
      <c r="A16" s="5"/>
    </row>
    <row r="17" spans="1:1" x14ac:dyDescent="0.35">
      <c r="A17" s="5" t="s">
        <v>672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Review</vt:lpstr>
      <vt:lpstr>Summary</vt:lpstr>
      <vt:lpstr>Instructions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Tiago Silva</cp:lastModifiedBy>
  <dcterms:created xsi:type="dcterms:W3CDTF">2026-10-18T10:43:57Z</dcterms:created>
  <dcterms:modified xsi:type="dcterms:W3CDTF">2026-10-18T10:55:19Z</dcterms:modified>
</cp:coreProperties>
</file>