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2"/>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pivotButton="0" quotePrefix="0" xfId="0"/>
    <xf numFmtId="0" fontId="2" fillId="0" borderId="0" pivotButton="0" quotePrefix="0" xfId="0"/>
    <xf numFmtId="0" fontId="2" fillId="3" borderId="0" pivotButton="0" quotePrefix="0" xfId="0"/>
    <xf numFmtId="0" fontId="1" fillId="2" borderId="0" pivotButton="0" quotePrefix="0" xfId="0"/>
    <xf numFmtId="9"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45" customWidth="1" min="3" max="3"/>
    <col width="30" customWidth="1" min="4" max="4"/>
    <col width="22" customWidth="1" min="5" max="5"/>
    <col width="45" customWidth="1" min="6" max="6"/>
    <col width="30" customWidth="1" min="7" max="7"/>
    <col width="13" customWidth="1" min="8" max="8"/>
    <col width="15" customWidth="1" min="9" max="9"/>
    <col width="30" customWidth="1" min="10" max="10"/>
    <col hidden="1" width="18" customWidth="1" min="11" max="11"/>
    <col hidden="1" width="8" customWidth="1" min="12" max="12"/>
    <col hidden="1" width="11" customWidth="1" min="13" max="13"/>
    <col hidden="1" width="18" customWidth="1" min="14" max="14"/>
    <col hidden="1" width="8" customWidth="1" min="15" max="15"/>
    <col hidden="1" width="11" customWidth="1" min="16" max="16"/>
  </cols>
  <sheetData>
    <row r="1">
      <c r="A1" s="1" t="inlineStr">
        <is>
          <t>#</t>
        </is>
      </c>
      <c r="B1" s="1" t="inlineStr">
        <is>
          <t>Norm A</t>
        </is>
      </c>
      <c r="C1" s="1" t="inlineStr">
        <is>
          <t>Object A</t>
        </is>
      </c>
      <c r="D1" s="1" t="inlineStr">
        <is>
          <t>Matched unit A</t>
        </is>
      </c>
      <c r="E1" s="1" t="inlineStr">
        <is>
          <t>Norm B</t>
        </is>
      </c>
      <c r="F1" s="1" t="inlineStr">
        <is>
          <t>Object B</t>
        </is>
      </c>
      <c r="G1" s="1" t="inlineStr">
        <is>
          <t>Matched unit B</t>
        </is>
      </c>
      <c r="H1" s="1" t="inlineStr">
        <is>
          <t>Same thing?</t>
        </is>
      </c>
      <c r="I1" s="1" t="inlineStr">
        <is>
          <t>Relation type</t>
        </is>
      </c>
      <c r="J1" s="1" t="inlineStr">
        <is>
          <t>Note</t>
        </is>
      </c>
      <c r="K1" s="1" t="inlineStr">
        <is>
          <t>Stratum</t>
        </is>
      </c>
      <c r="L1" s="1" t="inlineStr">
        <is>
          <t>Score</t>
        </is>
      </c>
      <c r="M1" s="1" t="inlineStr">
        <is>
          <t>Key relation</t>
        </is>
      </c>
      <c r="N1" s="1" t="inlineStr">
        <is>
          <t>Key</t>
        </is>
      </c>
      <c r="O1" s="1" t="inlineStr">
        <is>
          <t>Spec</t>
        </is>
      </c>
      <c r="P1" s="1" t="inlineStr">
        <is>
          <t>Direction</t>
        </is>
      </c>
    </row>
    <row r="2">
      <c r="A2" s="2" t="n">
        <v>1</v>
      </c>
      <c r="B2" s="2" t="inlineStr">
        <is>
          <t>32016R0679:40:5:9</t>
        </is>
      </c>
      <c r="C2" s="2" t="inlineStr">
        <is>
          <t>advies</t>
        </is>
      </c>
      <c r="D2" s="2" t="inlineStr">
        <is>
          <t>advies</t>
        </is>
      </c>
      <c r="E2" s="2" t="inlineStr">
        <is>
          <t>32016R0679:40:8:15</t>
        </is>
      </c>
      <c r="F2" s="2" t="inlineStr">
        <is>
          <t>zijn advies</t>
        </is>
      </c>
      <c r="G2" s="2" t="inlineStr">
        <is>
          <t>advies</t>
        </is>
      </c>
      <c r="H2" s="3" t="n"/>
      <c r="I2" s="3" t="n"/>
      <c r="J2" s="3" t="n"/>
      <c r="K2" s="2" t="inlineStr">
        <is>
          <t>0.50-0.75 head</t>
        </is>
      </c>
      <c r="L2" s="2" t="n">
        <v>0.5642</v>
      </c>
      <c r="M2" s="2" t="inlineStr">
        <is>
          <t>head</t>
        </is>
      </c>
      <c r="N2" s="2" t="inlineStr">
        <is>
          <t>advies</t>
        </is>
      </c>
      <c r="O2" s="2" t="n">
        <v>0.5642</v>
      </c>
      <c r="P2" s="2" t="inlineStr">
        <is>
          <t>same</t>
        </is>
      </c>
    </row>
    <row r="3">
      <c r="A3" s="2" t="n">
        <v>2</v>
      </c>
      <c r="B3" s="2" t="inlineStr">
        <is>
          <t>32016R0679:60:10:25</t>
        </is>
      </c>
      <c r="C3" s="2" t="inlineStr">
        <is>
          <t>de door hem met het oog op de naleving van het besluit getroffen maatregelen</t>
        </is>
      </c>
      <c r="D3" s="2" t="inlineStr">
        <is>
          <t>door hem met het oog op de naleving van het besluit getroffen maatregelen</t>
        </is>
      </c>
      <c r="E3" s="2" t="inlineStr">
        <is>
          <t>32024R1689:5:5:13</t>
        </is>
      </c>
      <c r="F3" s="2" t="inlineStr">
        <is>
          <t>voor welke doelstellingen van lid 1, eerste alinea, punt h), en voor welke strafbare feiten als bedoeld in punt h), iii), daarvan de bevoegde autoriteiten deze systemen mogen gebruiken met het oog op de rechtshandhaving</t>
        </is>
      </c>
      <c r="G3" s="2" t="inlineStr">
        <is>
          <t>welke doelstellingen en voor welke strafbare feiten de bevoegde autoriteiten deze systemen mogen gebruiken met het oog op de rechtshandhaving</t>
        </is>
      </c>
      <c r="H3" s="3" t="n"/>
      <c r="I3" s="3" t="n"/>
      <c r="J3" s="3" t="n"/>
      <c r="K3" s="2" t="inlineStr">
        <is>
          <t>0.50-0.75 noun</t>
        </is>
      </c>
      <c r="L3" s="2" t="n">
        <v>0.508</v>
      </c>
      <c r="M3" s="2" t="inlineStr">
        <is>
          <t>noun</t>
        </is>
      </c>
      <c r="N3" s="2" t="inlineStr">
        <is>
          <t>oog</t>
        </is>
      </c>
      <c r="O3" s="2" t="n">
        <v>0.7257</v>
      </c>
      <c r="P3" s="2" t="inlineStr">
        <is>
          <t>none</t>
        </is>
      </c>
    </row>
    <row r="4">
      <c r="A4" s="2" t="n">
        <v>3</v>
      </c>
      <c r="B4" s="2" t="inlineStr">
        <is>
          <t>32016R0679:58:3:23</t>
        </is>
      </c>
      <c r="C4" s="2" t="inlineStr">
        <is>
          <t>certificeringen</t>
        </is>
      </c>
      <c r="D4" s="2" t="inlineStr">
        <is>
          <t>certificeringen</t>
        </is>
      </c>
      <c r="E4" s="2" t="inlineStr">
        <is>
          <t>32024R1689:58:3:4</t>
        </is>
      </c>
      <c r="F4" s="2" t="inlineStr">
        <is>
          <t>diensten die aan het inzetten voorafgaan, zoals begeleiding bij de uitvoering van deze verordening, op andere diensten die waarde toevoegen, zoals hulp bij normalisatiedocumenten en certificering, test- en experimenteervoorzieningen, Europese digitale-innovatiehubs en kenniscentra</t>
        </is>
      </c>
      <c r="G4" s="2" t="inlineStr">
        <is>
          <t>diensten die aan het inzetten voorafgaan, zoals begeleiding bij de uitvoering op andere diensten die waarde toevoegen, zoals hulp bij normalisatiedocumenten en certificering, test- en experimenteervoorzieningen, Europese digitale-innovatiehubs en kenniscentra</t>
        </is>
      </c>
      <c r="H4" s="3" t="n"/>
      <c r="I4" s="3" t="n"/>
      <c r="J4" s="3" t="n"/>
      <c r="K4" s="2" t="inlineStr">
        <is>
          <t>0.50-0.75 noun</t>
        </is>
      </c>
      <c r="L4" s="2" t="n">
        <v>0.5412</v>
      </c>
      <c r="M4" s="2" t="inlineStr">
        <is>
          <t>noun</t>
        </is>
      </c>
      <c r="N4" s="2" t="inlineStr">
        <is>
          <t>certificer</t>
        </is>
      </c>
      <c r="O4" s="2" t="n">
        <v>0.7731</v>
      </c>
      <c r="P4" s="2" t="inlineStr">
        <is>
          <t>none</t>
        </is>
      </c>
    </row>
    <row r="5">
      <c r="A5" s="2" t="n">
        <v>4</v>
      </c>
      <c r="B5" s="2" t="inlineStr">
        <is>
          <t>32016R0679:14:5:13</t>
        </is>
      </c>
      <c r="C5" s="2" t="inlineStr">
        <is>
          <t>passende maatregelen</t>
        </is>
      </c>
      <c r="D5" s="2" t="inlineStr">
        <is>
          <t>passende maatregelen</t>
        </is>
      </c>
      <c r="E5" s="2" t="inlineStr">
        <is>
          <t>32016R0679:84:1:1</t>
        </is>
      </c>
      <c r="F5" s="2" t="inlineStr">
        <is>
          <t>de regels inzake andere sancties</t>
        </is>
      </c>
      <c r="G5" s="2" t="inlineStr">
        <is>
          <t>regels inzake andere sancties</t>
        </is>
      </c>
      <c r="H5" s="3" t="n"/>
      <c r="I5" s="3" t="n"/>
      <c r="J5" s="3" t="n"/>
      <c r="K5" s="2" t="inlineStr">
        <is>
          <t>0.00-0.50 tail</t>
        </is>
      </c>
      <c r="L5" s="2" t="n">
        <v>0.3116</v>
      </c>
      <c r="M5" s="2" t="inlineStr">
        <is>
          <t>tail</t>
        </is>
      </c>
      <c r="N5" s="2" t="inlineStr">
        <is>
          <t>regel</t>
        </is>
      </c>
      <c r="O5" s="2" t="n">
        <v>0.3895</v>
      </c>
      <c r="P5" s="2" t="inlineStr">
        <is>
          <t>a_narrower</t>
        </is>
      </c>
    </row>
    <row r="6">
      <c r="A6" s="2" t="n">
        <v>5</v>
      </c>
      <c r="B6" s="2" t="inlineStr">
        <is>
          <t>32016R0679:14:5:13</t>
        </is>
      </c>
      <c r="C6" s="2" t="inlineStr">
        <is>
          <t>passende maatregelen</t>
        </is>
      </c>
      <c r="D6" s="2" t="inlineStr">
        <is>
          <t>passende maatregelen</t>
        </is>
      </c>
      <c r="E6" s="2" t="inlineStr">
        <is>
          <t>32024R1689:15:5:6</t>
        </is>
      </c>
      <c r="F6" s="2" t="inlineStr">
        <is>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is>
      </c>
      <c r="G6" s="2" t="inlineStr">
        <is>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is>
      </c>
      <c r="H6" s="3" t="n"/>
      <c r="I6" s="3" t="n"/>
      <c r="J6" s="3" t="n"/>
      <c r="K6" s="2" t="inlineStr">
        <is>
          <t>0.00-0.50 head</t>
        </is>
      </c>
      <c r="L6" s="2" t="n">
        <v>0.4031</v>
      </c>
      <c r="M6" s="2" t="inlineStr">
        <is>
          <t>head</t>
        </is>
      </c>
      <c r="N6" s="2" t="inlineStr">
        <is>
          <t>maatregel</t>
        </is>
      </c>
      <c r="O6" s="2" t="n">
        <v>0.4031</v>
      </c>
      <c r="P6" s="2" t="inlineStr">
        <is>
          <t>b_narrower</t>
        </is>
      </c>
    </row>
    <row r="7">
      <c r="A7" s="2" t="n">
        <v>6</v>
      </c>
      <c r="B7" s="2" t="inlineStr">
        <is>
          <t>32016R0679:16:whole:3</t>
        </is>
      </c>
      <c r="C7" s="2" t="inlineStr">
        <is>
          <t>een aanvullende verklaring</t>
        </is>
      </c>
      <c r="D7" s="2" t="inlineStr">
        <is>
          <t>aanvullende verklaring</t>
        </is>
      </c>
      <c r="E7" s="2" t="inlineStr">
        <is>
          <t>32024R1689:68:4:4</t>
        </is>
      </c>
      <c r="F7" s="2" t="inlineStr">
        <is>
          <t>een belangenverklaring</t>
        </is>
      </c>
      <c r="G7" s="2" t="inlineStr">
        <is>
          <t>belangenverklaring</t>
        </is>
      </c>
      <c r="H7" s="3" t="n"/>
      <c r="I7" s="3" t="n"/>
      <c r="J7" s="3" t="n"/>
      <c r="K7" s="2" t="inlineStr">
        <is>
          <t>0.50-0.75 tail</t>
        </is>
      </c>
      <c r="L7" s="2" t="n">
        <v>0.5522</v>
      </c>
      <c r="M7" s="2" t="inlineStr">
        <is>
          <t>tail</t>
        </is>
      </c>
      <c r="N7" s="2" t="inlineStr">
        <is>
          <t>verklar</t>
        </is>
      </c>
      <c r="O7" s="2" t="n">
        <v>0.6902</v>
      </c>
      <c r="P7" s="2" t="inlineStr">
        <is>
          <t>b_narrower</t>
        </is>
      </c>
    </row>
    <row r="8">
      <c r="A8" s="2" t="n">
        <v>7</v>
      </c>
      <c r="B8" s="2" t="inlineStr">
        <is>
          <t>32024R1689:24:2:2</t>
        </is>
      </c>
      <c r="C8" s="2" t="inlineStr">
        <is>
          <t>het AI-systeem met een hoog risico</t>
        </is>
      </c>
      <c r="D8" s="2" t="inlineStr">
        <is>
          <t>AI-systeem met een hoog risico</t>
        </is>
      </c>
      <c r="E8" s="2" t="inlineStr">
        <is>
          <t>32024R1689:95:3:2</t>
        </is>
      </c>
      <c r="F8" s="2" t="inlineStr">
        <is>
          <t>op een of meer AI-systemen</t>
        </is>
      </c>
      <c r="G8" s="2" t="inlineStr">
        <is>
          <t>of meer AI-systemen</t>
        </is>
      </c>
      <c r="H8" s="3" t="n"/>
      <c r="I8" s="3" t="n"/>
      <c r="J8" s="3" t="n"/>
      <c r="K8" s="2" t="inlineStr">
        <is>
          <t>0.00-0.50 head</t>
        </is>
      </c>
      <c r="L8" s="2" t="n">
        <v>0.4513</v>
      </c>
      <c r="M8" s="2" t="inlineStr">
        <is>
          <t>head</t>
        </is>
      </c>
      <c r="N8" s="2" t="inlineStr">
        <is>
          <t>aisystem</t>
        </is>
      </c>
      <c r="O8" s="2" t="n">
        <v>0.4513</v>
      </c>
      <c r="P8" s="2" t="inlineStr">
        <is>
          <t>a_narrower</t>
        </is>
      </c>
    </row>
    <row r="9">
      <c r="A9" s="2" t="n">
        <v>8</v>
      </c>
      <c r="B9" s="2" t="inlineStr">
        <is>
          <t>32024R1689:36:7:22</t>
        </is>
      </c>
      <c r="C9" s="2" t="inlineStr">
        <is>
          <t>onterecht afgegeven certificaten</t>
        </is>
      </c>
      <c r="D9" s="2" t="inlineStr">
        <is>
          <t>onterecht afgegeven certificaten</t>
        </is>
      </c>
      <c r="E9" s="2" t="inlineStr">
        <is>
          <t>32024R1689:36:7:24</t>
        </is>
      </c>
      <c r="F9" s="2" t="inlineStr">
        <is>
          <t>de Commissie en de lidstaten</t>
        </is>
      </c>
      <c r="G9" s="2" t="inlineStr">
        <is>
          <t>Commissie | lidstaten</t>
        </is>
      </c>
      <c r="H9" s="3" t="n"/>
      <c r="I9" s="3" t="n"/>
      <c r="J9" s="3" t="n"/>
      <c r="K9" s="2" t="inlineStr">
        <is>
          <t>zero same-group</t>
        </is>
      </c>
      <c r="L9" s="2" t="n">
        <v>0</v>
      </c>
      <c r="M9" s="2" t="inlineStr"/>
      <c r="N9" s="2" t="inlineStr"/>
      <c r="O9" s="2" t="inlineStr"/>
      <c r="P9" s="2" t="inlineStr">
        <is>
          <t>none</t>
        </is>
      </c>
    </row>
    <row r="10">
      <c r="A10" s="2" t="n">
        <v>9</v>
      </c>
      <c r="B10" s="2" t="inlineStr">
        <is>
          <t>32024R1689:27:3:7</t>
        </is>
      </c>
      <c r="C10" s="2" t="inlineStr">
        <is>
          <t>de verplichting tot kennisgeving</t>
        </is>
      </c>
      <c r="D10" s="2" t="inlineStr">
        <is>
          <t>verplichting tot kennisgeving</t>
        </is>
      </c>
      <c r="E10" s="2" t="inlineStr">
        <is>
          <t>32024R1689:50:4:9</t>
        </is>
      </c>
      <c r="F10" s="2" t="inlineStr">
        <is>
          <t>de transparantieverplichtingen van dit lid</t>
        </is>
      </c>
      <c r="G10" s="2" t="inlineStr">
        <is>
          <t>transparantieverplichtingen</t>
        </is>
      </c>
      <c r="H10" s="3" t="n"/>
      <c r="I10" s="3" t="n"/>
      <c r="J10" s="3" t="n"/>
      <c r="K10" s="2" t="inlineStr">
        <is>
          <t>0.00-0.50 eurovoc</t>
        </is>
      </c>
      <c r="L10" s="2" t="n">
        <v>0.4866</v>
      </c>
      <c r="M10" s="2" t="inlineStr">
        <is>
          <t>eurovoc</t>
        </is>
      </c>
      <c r="N10" s="2" t="inlineStr">
        <is>
          <t>http://eurovoc.europa.eu/164</t>
        </is>
      </c>
      <c r="O10" s="2" t="n">
        <v>0.5407</v>
      </c>
      <c r="P10" s="2" t="inlineStr">
        <is>
          <t>b_narrower</t>
        </is>
      </c>
    </row>
    <row r="11">
      <c r="A11" s="2" t="n">
        <v>10</v>
      </c>
      <c r="B11" s="2" t="inlineStr">
        <is>
          <t>32016R0679:36:3:4</t>
        </is>
      </c>
      <c r="C11" s="2" t="inlineStr">
        <is>
          <t>de doeleinden en de middelen van de voorgenomen verwerking</t>
        </is>
      </c>
      <c r="D11" s="2" t="inlineStr">
        <is>
          <t>doeleinden | middelen van de voorgenomen verwerking</t>
        </is>
      </c>
      <c r="E11" s="2" t="inlineStr">
        <is>
          <t>32016R0679:36:3:7</t>
        </is>
      </c>
      <c r="F11" s="2" t="inlineStr">
        <is>
          <t>de gegevensbeschermingseffectbeoordeling waarin bij artikel 35 is voorzien</t>
        </is>
      </c>
      <c r="G11" s="2" t="inlineStr">
        <is>
          <t>gegevensbeschermingseffectbeoordeling waarin is voorzien</t>
        </is>
      </c>
      <c r="H11" s="3" t="n"/>
      <c r="I11" s="3" t="n"/>
      <c r="J11" s="3" t="n"/>
      <c r="K11" s="2" t="inlineStr">
        <is>
          <t>zero same-group</t>
        </is>
      </c>
      <c r="L11" s="2" t="n">
        <v>0</v>
      </c>
      <c r="M11" s="2" t="inlineStr"/>
      <c r="N11" s="2" t="inlineStr"/>
      <c r="O11" s="2" t="inlineStr"/>
      <c r="P11" s="2" t="inlineStr">
        <is>
          <t>none</t>
        </is>
      </c>
    </row>
    <row r="12">
      <c r="A12" s="2" t="n">
        <v>11</v>
      </c>
      <c r="B12" s="2" t="inlineStr">
        <is>
          <t>32016R0679:58:1:2</t>
        </is>
      </c>
      <c r="C12" s="2" t="inlineStr">
        <is>
          <t>alle voor de uitvoering van haar taken vereiste informatie</t>
        </is>
      </c>
      <c r="D12" s="2" t="inlineStr">
        <is>
          <t>voor de uitvoering van haar taken vereiste informatie</t>
        </is>
      </c>
      <c r="E12" s="2" t="inlineStr">
        <is>
          <t>32024R1689:53:7:13</t>
        </is>
      </c>
      <c r="F12" s="2" t="inlineStr">
        <is>
          <t>Informatie of documentatie</t>
        </is>
      </c>
      <c r="G12" s="2" t="inlineStr">
        <is>
          <t>Informatie</t>
        </is>
      </c>
      <c r="H12" s="3" t="n"/>
      <c r="I12" s="3" t="n"/>
      <c r="J12" s="3" t="n"/>
      <c r="K12" s="2" t="inlineStr">
        <is>
          <t>0.00-0.50 head</t>
        </is>
      </c>
      <c r="L12" s="2" t="n">
        <v>0.3737</v>
      </c>
      <c r="M12" s="2" t="inlineStr">
        <is>
          <t>head</t>
        </is>
      </c>
      <c r="N12" s="2" t="inlineStr">
        <is>
          <t>informatie</t>
        </is>
      </c>
      <c r="O12" s="2" t="n">
        <v>0.3737</v>
      </c>
      <c r="P12" s="2" t="inlineStr">
        <is>
          <t>a_narrower</t>
        </is>
      </c>
    </row>
    <row r="13">
      <c r="A13" s="2" t="n">
        <v>12</v>
      </c>
      <c r="B13" s="2" t="inlineStr">
        <is>
          <t>32016R0679:42:1:1</t>
        </is>
      </c>
      <c r="C13" s="2" t="inlineStr">
        <is>
          <t>de invoering van certificeringsmechanismen voor gegevensbescherming en gegevensbeschermingszegels en -merktekens</t>
        </is>
      </c>
      <c r="D13" s="2" t="inlineStr">
        <is>
          <t>certificeringsmechanismen voor gegevensbescherming en gegevensbeschermingszegels en -merktekens</t>
        </is>
      </c>
      <c r="E13" s="2" t="inlineStr">
        <is>
          <t>32016R0679:46:4:5</t>
        </is>
      </c>
      <c r="F13" s="2" t="inlineStr">
        <is>
          <t>het in artikel 63 bedoelde coherentiemechanisme</t>
        </is>
      </c>
      <c r="G13" s="2" t="inlineStr">
        <is>
          <t>coherentiemechanisme</t>
        </is>
      </c>
      <c r="H13" s="3" t="n"/>
      <c r="I13" s="3" t="n"/>
      <c r="J13" s="3" t="n"/>
      <c r="K13" s="2" t="inlineStr">
        <is>
          <t>0.50-0.75 tail</t>
        </is>
      </c>
      <c r="L13" s="2" t="n">
        <v>0.5198</v>
      </c>
      <c r="M13" s="2" t="inlineStr">
        <is>
          <t>tail</t>
        </is>
      </c>
      <c r="N13" s="2" t="inlineStr">
        <is>
          <t>mechanism</t>
        </is>
      </c>
      <c r="O13" s="2" t="n">
        <v>0.6497000000000001</v>
      </c>
      <c r="P13" s="2" t="inlineStr">
        <is>
          <t>none</t>
        </is>
      </c>
    </row>
    <row r="14">
      <c r="A14" s="2" t="n">
        <v>13</v>
      </c>
      <c r="B14" s="2" t="inlineStr">
        <is>
          <t>32016R0679:97:4:5</t>
        </is>
      </c>
      <c r="C14" s="2" t="inlineStr">
        <is>
          <t>de standpunten en bevindingen van het Europees Parlement, van de Raad, en van andere relevante instanties of bronnen</t>
        </is>
      </c>
      <c r="D14" s="2" t="inlineStr">
        <is>
          <t>bevindingen van het Europees Parlement</t>
        </is>
      </c>
      <c r="E14" s="2" t="inlineStr">
        <is>
          <t>32024R1689:36:7:20</t>
        </is>
      </c>
      <c r="F14" s="2" t="inlineStr">
        <is>
          <t>een verslag over haar bevindingen</t>
        </is>
      </c>
      <c r="G14" s="2" t="inlineStr">
        <is>
          <t>verslag over haar bevindingen</t>
        </is>
      </c>
      <c r="H14" s="3" t="n"/>
      <c r="I14" s="3" t="n"/>
      <c r="J14" s="3" t="n"/>
      <c r="K14" s="2" t="inlineStr">
        <is>
          <t>0.50-0.75 noun</t>
        </is>
      </c>
      <c r="L14" s="2" t="n">
        <v>0.5232</v>
      </c>
      <c r="M14" s="2" t="inlineStr">
        <is>
          <t>noun</t>
        </is>
      </c>
      <c r="N14" s="2" t="inlineStr">
        <is>
          <t>bevind</t>
        </is>
      </c>
      <c r="O14" s="2" t="n">
        <v>0.7474</v>
      </c>
      <c r="P14" s="2" t="inlineStr">
        <is>
          <t>none</t>
        </is>
      </c>
    </row>
    <row r="15">
      <c r="A15" s="2" t="n">
        <v>14</v>
      </c>
      <c r="B15" s="2" t="inlineStr">
        <is>
          <t>32024R1689:46:3:5</t>
        </is>
      </c>
      <c r="C15" s="2" t="inlineStr">
        <is>
          <t>De in lid 1 bedoelde toelating</t>
        </is>
      </c>
      <c r="D15" s="2" t="inlineStr">
        <is>
          <t>toelating</t>
        </is>
      </c>
      <c r="E15" s="2" t="inlineStr">
        <is>
          <t>32024R1689:46:4:8</t>
        </is>
      </c>
      <c r="F15" s="2" t="inlineStr">
        <is>
          <t>die toelating</t>
        </is>
      </c>
      <c r="G15" s="2" t="inlineStr">
        <is>
          <t>toelating</t>
        </is>
      </c>
      <c r="H15" s="3" t="n"/>
      <c r="I15" s="3" t="n"/>
      <c r="J15" s="3" t="n"/>
      <c r="K15" s="2" t="inlineStr">
        <is>
          <t>0.75-1.00 head</t>
        </is>
      </c>
      <c r="L15" s="2" t="n">
        <v>0.7731</v>
      </c>
      <c r="M15" s="2" t="inlineStr">
        <is>
          <t>head</t>
        </is>
      </c>
      <c r="N15" s="2" t="inlineStr">
        <is>
          <t>toelat</t>
        </is>
      </c>
      <c r="O15" s="2" t="n">
        <v>0.7731</v>
      </c>
      <c r="P15" s="2" t="inlineStr">
        <is>
          <t>same</t>
        </is>
      </c>
    </row>
    <row r="16">
      <c r="A16" s="2" t="n">
        <v>15</v>
      </c>
      <c r="B16" s="2" t="inlineStr">
        <is>
          <t>32016R0679:59:whole:1</t>
        </is>
      </c>
      <c r="C16" s="2" t="inlineStr">
        <is>
          <t>een verslag over haar activiteiten</t>
        </is>
      </c>
      <c r="D16" s="2" t="inlineStr">
        <is>
          <t>verslag over haar activiteiten</t>
        </is>
      </c>
      <c r="E16" s="2" t="inlineStr">
        <is>
          <t>32024R1689:112:6:14</t>
        </is>
      </c>
      <c r="F16" s="2" t="inlineStr">
        <is>
          <t>Dit verslag</t>
        </is>
      </c>
      <c r="G16" s="2" t="inlineStr">
        <is>
          <t>verslag</t>
        </is>
      </c>
      <c r="H16" s="3" t="n"/>
      <c r="I16" s="3" t="n"/>
      <c r="J16" s="3" t="n"/>
      <c r="K16" s="2" t="inlineStr">
        <is>
          <t>0.50-0.75 head</t>
        </is>
      </c>
      <c r="L16" s="2" t="n">
        <v>0.5253</v>
      </c>
      <c r="M16" s="2" t="inlineStr">
        <is>
          <t>head</t>
        </is>
      </c>
      <c r="N16" s="2" t="inlineStr">
        <is>
          <t>verslag</t>
        </is>
      </c>
      <c r="O16" s="2" t="n">
        <v>0.5253</v>
      </c>
      <c r="P16" s="2" t="inlineStr">
        <is>
          <t>a_narrower</t>
        </is>
      </c>
    </row>
    <row r="17">
      <c r="A17" s="2" t="n">
        <v>16</v>
      </c>
      <c r="B17" s="2" t="inlineStr">
        <is>
          <t>32024R1689:16:whole:6</t>
        </is>
      </c>
      <c r="C17" s="2" t="inlineStr">
        <is>
          <t>de CE-markering</t>
        </is>
      </c>
      <c r="D17" s="2" t="inlineStr">
        <is>
          <t>CE-markering</t>
        </is>
      </c>
      <c r="E17" s="2" t="inlineStr">
        <is>
          <t>32024R1689:24:1:1</t>
        </is>
      </c>
      <c r="F17" s="2" t="inlineStr">
        <is>
          <t>of daarop de vereiste CE-markering is aangebracht, of het systeem vergezeld gaat van de in artikel 47 bedoelde EU-conformiteitsverklaring en gebruiksinstructies en of de aanbieder en importeur van dat systeem, naargelang het geval, hun respectievelijke verplichtingen als vastgelegd in artikel 16, punten b) en c), en artikel 23, lid 3, hebben nageleefd</t>
        </is>
      </c>
      <c r="G17" s="2" t="inlineStr">
        <is>
          <t>of de vereiste CE-markering is aangebracht, of het systeem vergezeld gaat van de EU-conformiteitsverklaring en gebruiksinstructies en of de aanbieder en importeur van dat systeem, naargelang het geval, hun respectievelijke verplichtingen als vastgelegd hebben nageleefd</t>
        </is>
      </c>
      <c r="H17" s="3" t="n"/>
      <c r="I17" s="3" t="n"/>
      <c r="J17" s="3" t="n"/>
      <c r="K17" s="2" t="inlineStr">
        <is>
          <t>0.75-1.00 head</t>
        </is>
      </c>
      <c r="L17" s="2" t="n">
        <v>0.7731</v>
      </c>
      <c r="M17" s="2" t="inlineStr">
        <is>
          <t>head</t>
        </is>
      </c>
      <c r="N17" s="2" t="inlineStr">
        <is>
          <t>cemarker</t>
        </is>
      </c>
      <c r="O17" s="2" t="n">
        <v>0.7731</v>
      </c>
      <c r="P17" s="2" t="inlineStr">
        <is>
          <t>b_narrower</t>
        </is>
      </c>
    </row>
    <row r="18">
      <c r="A18" s="2" t="n">
        <v>17</v>
      </c>
      <c r="B18" s="2" t="inlineStr">
        <is>
          <t>32016R0679:57:4:35</t>
        </is>
      </c>
      <c r="C18" s="2" t="inlineStr">
        <is>
          <t>aan het verzoek</t>
        </is>
      </c>
      <c r="D18" s="2" t="inlineStr">
        <is>
          <t>verzoek</t>
        </is>
      </c>
      <c r="E18" s="2" t="inlineStr">
        <is>
          <t>32016R0679:61:4:7</t>
        </is>
      </c>
      <c r="F18" s="2" t="inlineStr">
        <is>
          <t>dit verzoek</t>
        </is>
      </c>
      <c r="G18" s="2" t="inlineStr">
        <is>
          <t>verzoek</t>
        </is>
      </c>
      <c r="H18" s="3" t="n"/>
      <c r="I18" s="3" t="n"/>
      <c r="J18" s="3" t="n"/>
      <c r="K18" s="2" t="inlineStr">
        <is>
          <t>0.75-1.00 eurovoc</t>
        </is>
      </c>
      <c r="L18" s="2" t="n">
        <v>0.7606000000000001</v>
      </c>
      <c r="M18" s="2" t="inlineStr">
        <is>
          <t>eurovoc</t>
        </is>
      </c>
      <c r="N18" s="2" t="inlineStr">
        <is>
          <t>http://eurovoc.europa.eu/2363</t>
        </is>
      </c>
      <c r="O18" s="2" t="n">
        <v>0.8451</v>
      </c>
      <c r="P18" s="2" t="inlineStr">
        <is>
          <t>same</t>
        </is>
      </c>
    </row>
    <row r="19">
      <c r="A19" s="2" t="n">
        <v>18</v>
      </c>
      <c r="B19" s="2" t="inlineStr">
        <is>
          <t>32016R0679:60:7:11</t>
        </is>
      </c>
      <c r="C19" s="2" t="inlineStr">
        <is>
          <t>het besluit</t>
        </is>
      </c>
      <c r="D19" s="2" t="inlineStr">
        <is>
          <t>besluit</t>
        </is>
      </c>
      <c r="E19" s="2" t="inlineStr">
        <is>
          <t>32016R0679:65:3:6</t>
        </is>
      </c>
      <c r="F19" s="2" t="inlineStr">
        <is>
          <t>zijn besluit</t>
        </is>
      </c>
      <c r="G19" s="2" t="inlineStr">
        <is>
          <t>besluit</t>
        </is>
      </c>
      <c r="H19" s="3" t="n"/>
      <c r="I19" s="3" t="n"/>
      <c r="J19" s="3" t="n"/>
      <c r="K19" s="2" t="inlineStr">
        <is>
          <t>0.00-0.50 eurovoc</t>
        </is>
      </c>
      <c r="L19" s="2" t="n">
        <v>0.4916</v>
      </c>
      <c r="M19" s="2" t="inlineStr">
        <is>
          <t>eurovoc</t>
        </is>
      </c>
      <c r="N19" s="2" t="inlineStr">
        <is>
          <t>http://eurovoc.europa.eu/2669</t>
        </is>
      </c>
      <c r="O19" s="2" t="n">
        <v>0.5462</v>
      </c>
      <c r="P19" s="2" t="inlineStr">
        <is>
          <t>same</t>
        </is>
      </c>
    </row>
    <row r="20">
      <c r="A20" s="2" t="n">
        <v>19</v>
      </c>
      <c r="B20" s="2" t="inlineStr">
        <is>
          <t>32016R0679:57:1:28</t>
        </is>
      </c>
      <c r="C20" s="2" t="inlineStr">
        <is>
          <t>toestemming</t>
        </is>
      </c>
      <c r="D20" s="2" t="inlineStr">
        <is>
          <t>toestemming</t>
        </is>
      </c>
      <c r="E20" s="2" t="inlineStr">
        <is>
          <t>32016R0679:57:3:33</t>
        </is>
      </c>
      <c r="F20" s="2" t="inlineStr">
        <is>
          <t>haar taken</t>
        </is>
      </c>
      <c r="G20" s="2" t="inlineStr">
        <is>
          <t>taken</t>
        </is>
      </c>
      <c r="H20" s="3" t="n"/>
      <c r="I20" s="3" t="n"/>
      <c r="J20" s="3" t="n"/>
      <c r="K20" s="2" t="inlineStr">
        <is>
          <t>zero same-group</t>
        </is>
      </c>
      <c r="L20" s="2" t="n">
        <v>0</v>
      </c>
      <c r="M20" s="2" t="inlineStr"/>
      <c r="N20" s="2" t="inlineStr"/>
      <c r="O20" s="2" t="inlineStr"/>
      <c r="P20" s="2" t="inlineStr">
        <is>
          <t>none</t>
        </is>
      </c>
    </row>
    <row r="21">
      <c r="A21" s="2" t="n">
        <v>20</v>
      </c>
      <c r="B21" s="2" t="inlineStr">
        <is>
          <t>32024R1689:71:1:1</t>
        </is>
      </c>
      <c r="C21" s="2" t="inlineStr">
        <is>
          <t>de deskundigen ter zake</t>
        </is>
      </c>
      <c r="D21" s="2" t="inlineStr">
        <is>
          <t>deskundigen ter zake</t>
        </is>
      </c>
      <c r="E21" s="2" t="inlineStr">
        <is>
          <t>32024R1689:71:3:5</t>
        </is>
      </c>
      <c r="F21" s="2" t="inlineStr">
        <is>
          <t>De in afdeling C van bijlage VIII vermelde gegevens</t>
        </is>
      </c>
      <c r="G21" s="2" t="inlineStr">
        <is>
          <t>gegevens</t>
        </is>
      </c>
      <c r="H21" s="3" t="n"/>
      <c r="I21" s="3" t="n"/>
      <c r="J21" s="3" t="n"/>
      <c r="K21" s="2" t="inlineStr">
        <is>
          <t>zero same-group</t>
        </is>
      </c>
      <c r="L21" s="2" t="n">
        <v>0</v>
      </c>
      <c r="M21" s="2" t="inlineStr"/>
      <c r="N21" s="2" t="inlineStr"/>
      <c r="O21" s="2" t="inlineStr"/>
      <c r="P21" s="2" t="inlineStr">
        <is>
          <t>none</t>
        </is>
      </c>
    </row>
    <row r="22">
      <c r="A22" s="2" t="n">
        <v>21</v>
      </c>
      <c r="B22" s="2" t="inlineStr">
        <is>
          <t>32016R0679:11:1:1</t>
        </is>
      </c>
      <c r="C22" s="2" t="inlineStr">
        <is>
          <t>aanvullende gegevens ter identificatie van de betrokkene bij te houden, te verkrijgen of te verwerken</t>
        </is>
      </c>
      <c r="D22" s="2" t="inlineStr">
        <is>
          <t>aanvullende gegevens ter identificatie van de betrokkene bij te houden, te verkrijgen of te verwerken</t>
        </is>
      </c>
      <c r="E22" s="2" t="inlineStr">
        <is>
          <t>32016R0679:36:3:6</t>
        </is>
      </c>
      <c r="F22" s="2" t="inlineStr">
        <is>
          <t>de contactgegevens van de functionaris voor gegevensbescherming</t>
        </is>
      </c>
      <c r="G22" s="2" t="inlineStr">
        <is>
          <t>contactgegevens van de functionaris voor gegevensbescherming</t>
        </is>
      </c>
      <c r="H22" s="3" t="n"/>
      <c r="I22" s="3" t="n"/>
      <c r="J22" s="3" t="n"/>
      <c r="K22" s="2" t="inlineStr">
        <is>
          <t>0.00-0.50 eurovoc</t>
        </is>
      </c>
      <c r="L22" s="2" t="n">
        <v>0.4288</v>
      </c>
      <c r="M22" s="2" t="inlineStr">
        <is>
          <t>eurovoc</t>
        </is>
      </c>
      <c r="N22" s="2" t="inlineStr">
        <is>
          <t>http://eurovoc.europa.eu/5181</t>
        </is>
      </c>
      <c r="O22" s="2" t="n">
        <v>0.4765</v>
      </c>
      <c r="P22" s="2" t="inlineStr">
        <is>
          <t>b_narrower</t>
        </is>
      </c>
    </row>
    <row r="23">
      <c r="A23" s="2" t="n">
        <v>22</v>
      </c>
      <c r="B23" s="2" t="inlineStr">
        <is>
          <t>32016R0679:46:4:5</t>
        </is>
      </c>
      <c r="C23" s="2" t="inlineStr">
        <is>
          <t>het in artikel 63 bedoelde coherentiemechanisme</t>
        </is>
      </c>
      <c r="D23" s="2" t="inlineStr">
        <is>
          <t>coherentiemechanisme</t>
        </is>
      </c>
      <c r="E23" s="2" t="inlineStr">
        <is>
          <t>32016R0679:57:1:23</t>
        </is>
      </c>
      <c r="F23" s="2" t="inlineStr">
        <is>
          <t>de invoering van certificeringsmechanismen voor gegevensbescherming en van gegevensbeschermingszegels en -merktekens overeenkomstig artikel 42, lid 1</t>
        </is>
      </c>
      <c r="G23" s="2" t="inlineStr">
        <is>
          <t>certificeringsmechanismen voor gegevensbescherming en van gegevensbeschermingszegels en -merktekens</t>
        </is>
      </c>
      <c r="H23" s="3" t="n"/>
      <c r="I23" s="3" t="n"/>
      <c r="J23" s="3" t="n"/>
      <c r="K23" s="2" t="inlineStr">
        <is>
          <t>0.50-0.75 tail</t>
        </is>
      </c>
      <c r="L23" s="2" t="n">
        <v>0.5198</v>
      </c>
      <c r="M23" s="2" t="inlineStr">
        <is>
          <t>tail</t>
        </is>
      </c>
      <c r="N23" s="2" t="inlineStr">
        <is>
          <t>mechanism</t>
        </is>
      </c>
      <c r="O23" s="2" t="n">
        <v>0.6497000000000001</v>
      </c>
      <c r="P23" s="2" t="inlineStr">
        <is>
          <t>none</t>
        </is>
      </c>
    </row>
    <row r="24">
      <c r="A24" s="2" t="n">
        <v>23</v>
      </c>
      <c r="B24" s="2" t="inlineStr">
        <is>
          <t>32016R0679:52:2:2</t>
        </is>
      </c>
      <c r="C24" s="2" t="inlineStr">
        <is>
          <t>instructies</t>
        </is>
      </c>
      <c r="D24" s="2" t="inlineStr">
        <is>
          <t>instructies</t>
        </is>
      </c>
      <c r="E24" s="2" t="inlineStr">
        <is>
          <t>32024R1689:67:8:10</t>
        </is>
      </c>
      <c r="F24" s="2" t="inlineStr">
        <is>
          <t>adviezen, aanbevelingen en schriftelijke bijdragen</t>
        </is>
      </c>
      <c r="G24" s="2" t="inlineStr">
        <is>
          <t>aanbevelingen</t>
        </is>
      </c>
      <c r="H24" s="3" t="n"/>
      <c r="I24" s="3" t="n"/>
      <c r="J24" s="3" t="n"/>
      <c r="K24" s="2" t="inlineStr">
        <is>
          <t>0.50-0.75 eurovoc</t>
        </is>
      </c>
      <c r="L24" s="2" t="n">
        <v>0.6958</v>
      </c>
      <c r="M24" s="2" t="inlineStr">
        <is>
          <t>eurovoc</t>
        </is>
      </c>
      <c r="N24" s="2" t="inlineStr">
        <is>
          <t>http://eurovoc.europa.eu/2926</t>
        </is>
      </c>
      <c r="O24" s="2" t="n">
        <v>0.7731</v>
      </c>
      <c r="P24" s="2" t="inlineStr">
        <is>
          <t>none</t>
        </is>
      </c>
    </row>
    <row r="25">
      <c r="A25" s="2" t="n">
        <v>24</v>
      </c>
      <c r="B25" s="2" t="inlineStr">
        <is>
          <t>32016R0679:45:5:5</t>
        </is>
      </c>
      <c r="C25" s="2" t="inlineStr">
        <is>
          <t>het in lid 3 van dit artikel bedoelde besluit</t>
        </is>
      </c>
      <c r="D25" s="2" t="inlineStr">
        <is>
          <t>besluit</t>
        </is>
      </c>
      <c r="E25" s="2" t="inlineStr">
        <is>
          <t>32016R0679:65:2:1</t>
        </is>
      </c>
      <c r="F25" s="2" t="inlineStr">
        <is>
          <t>Het in lid 1 bedoelde besluit</t>
        </is>
      </c>
      <c r="G25" s="2" t="inlineStr">
        <is>
          <t>besluit</t>
        </is>
      </c>
      <c r="H25" s="3" t="n"/>
      <c r="I25" s="3" t="n"/>
      <c r="J25" s="3" t="n"/>
      <c r="K25" s="2" t="inlineStr">
        <is>
          <t>0.00-0.50 eurovoc</t>
        </is>
      </c>
      <c r="L25" s="2" t="n">
        <v>0.4916</v>
      </c>
      <c r="M25" s="2" t="inlineStr">
        <is>
          <t>eurovoc</t>
        </is>
      </c>
      <c r="N25" s="2" t="inlineStr">
        <is>
          <t>http://eurovoc.europa.eu/2669</t>
        </is>
      </c>
      <c r="O25" s="2" t="n">
        <v>0.5462</v>
      </c>
      <c r="P25" s="2" t="inlineStr">
        <is>
          <t>same</t>
        </is>
      </c>
    </row>
    <row r="26">
      <c r="A26" s="2" t="n">
        <v>25</v>
      </c>
      <c r="B26" s="2" t="inlineStr">
        <is>
          <t>32016R0679:14:1:3</t>
        </is>
      </c>
      <c r="C26" s="2" t="inlineStr">
        <is>
          <t>de contactgegevens van de functionaris voor gegevensbescherming</t>
        </is>
      </c>
      <c r="D26" s="2" t="inlineStr">
        <is>
          <t>contactgegevens van de functionaris voor gegevensbescherming</t>
        </is>
      </c>
      <c r="E26" s="2" t="inlineStr">
        <is>
          <t>32016R0679:58:1:4</t>
        </is>
      </c>
      <c r="F26" s="2" t="inlineStr">
        <is>
          <t>alle persoonsgegevens en alle informatie die noodzakelijk is voor de uitvoering van haar taken</t>
        </is>
      </c>
      <c r="G26" s="2" t="inlineStr">
        <is>
          <t>persoonsgegevens en alle informatie die noodzakelijk is voor de uitvoering van haar taken</t>
        </is>
      </c>
      <c r="H26" s="3" t="n"/>
      <c r="I26" s="3" t="n"/>
      <c r="J26" s="3" t="n"/>
      <c r="K26" s="2" t="inlineStr">
        <is>
          <t>0.00-0.50 tail</t>
        </is>
      </c>
      <c r="L26" s="2" t="n">
        <v>0.384</v>
      </c>
      <c r="M26" s="2" t="inlineStr">
        <is>
          <t>tail</t>
        </is>
      </c>
      <c r="N26" s="2" t="inlineStr">
        <is>
          <t>gegev</t>
        </is>
      </c>
      <c r="O26" s="2" t="n">
        <v>0.48</v>
      </c>
      <c r="P26" s="2" t="inlineStr">
        <is>
          <t>none</t>
        </is>
      </c>
    </row>
    <row r="27">
      <c r="A27" s="2" t="n">
        <v>26</v>
      </c>
      <c r="B27" s="2" t="inlineStr">
        <is>
          <t>32024R1689:49:2:2</t>
        </is>
      </c>
      <c r="C27" s="2" t="inlineStr">
        <is>
          <t>zichzelf en dat systeem</t>
        </is>
      </c>
      <c r="D27" s="2" t="inlineStr">
        <is>
          <t>zichzelf en dat systeem</t>
        </is>
      </c>
      <c r="E27" s="2" t="inlineStr">
        <is>
          <t>32024R1689:9:6:12</t>
        </is>
      </c>
      <c r="F27" s="2" t="inlineStr">
        <is>
          <t>AI-systemen met een hoog risico</t>
        </is>
      </c>
      <c r="G27" s="2" t="inlineStr">
        <is>
          <t>AI-systemen met een hoog risico</t>
        </is>
      </c>
      <c r="H27" s="3" t="n"/>
      <c r="I27" s="3" t="n"/>
      <c r="J27" s="3" t="n"/>
      <c r="K27" s="2" t="inlineStr">
        <is>
          <t>0.00-0.50 tail</t>
        </is>
      </c>
      <c r="L27" s="2" t="n">
        <v>0.346</v>
      </c>
      <c r="M27" s="2" t="inlineStr">
        <is>
          <t>tail</t>
        </is>
      </c>
      <c r="N27" s="2" t="inlineStr">
        <is>
          <t>system</t>
        </is>
      </c>
      <c r="O27" s="2" t="n">
        <v>0.4325</v>
      </c>
      <c r="P27" s="2" t="inlineStr">
        <is>
          <t>b_narrower</t>
        </is>
      </c>
    </row>
    <row r="28">
      <c r="A28" s="2" t="n">
        <v>27</v>
      </c>
      <c r="B28" s="2" t="inlineStr">
        <is>
          <t>32016R0679:39:1:5</t>
        </is>
      </c>
      <c r="C28" s="2" t="inlineStr">
        <is>
          <t>naleving van deze verordening, van andere 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is>
      </c>
      <c r="D28" s="2" t="inlineStr">
        <is>
          <t>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is>
      </c>
      <c r="E28" s="2" t="inlineStr">
        <is>
          <t>32024R1689:53:1:6</t>
        </is>
      </c>
      <c r="F28" s="2" t="inlineStr">
        <is>
          <t>beleid</t>
        </is>
      </c>
      <c r="G28" s="2" t="inlineStr">
        <is>
          <t>beleid</t>
        </is>
      </c>
      <c r="H28" s="3" t="n"/>
      <c r="I28" s="3" t="n"/>
      <c r="J28" s="3" t="n"/>
      <c r="K28" s="2" t="inlineStr">
        <is>
          <t>0.50-0.75 noun</t>
        </is>
      </c>
      <c r="L28" s="2" t="n">
        <v>0.5916</v>
      </c>
      <c r="M28" s="2" t="inlineStr">
        <is>
          <t>noun</t>
        </is>
      </c>
      <c r="N28" s="2" t="inlineStr">
        <is>
          <t>beleid</t>
        </is>
      </c>
      <c r="O28" s="2" t="n">
        <v>0.8451</v>
      </c>
      <c r="P28" s="2" t="inlineStr">
        <is>
          <t>none</t>
        </is>
      </c>
    </row>
    <row r="29">
      <c r="A29" s="2" t="n">
        <v>28</v>
      </c>
      <c r="B29" s="2" t="inlineStr">
        <is>
          <t>32016R0679:97:1:1</t>
        </is>
      </c>
      <c r="C29" s="2" t="inlineStr">
        <is>
          <t>een verslag</t>
        </is>
      </c>
      <c r="D29" s="2" t="inlineStr">
        <is>
          <t>verslag</t>
        </is>
      </c>
      <c r="E29" s="2" t="inlineStr">
        <is>
          <t>32024R1689:112:6:14</t>
        </is>
      </c>
      <c r="F29" s="2" t="inlineStr">
        <is>
          <t>Dit verslag</t>
        </is>
      </c>
      <c r="G29" s="2" t="inlineStr">
        <is>
          <t>verslag</t>
        </is>
      </c>
      <c r="H29" s="3" t="n"/>
      <c r="I29" s="3" t="n"/>
      <c r="J29" s="3" t="n"/>
      <c r="K29" s="2" t="inlineStr">
        <is>
          <t>0.50-0.75 head</t>
        </is>
      </c>
      <c r="L29" s="2" t="n">
        <v>0.5253</v>
      </c>
      <c r="M29" s="2" t="inlineStr">
        <is>
          <t>head</t>
        </is>
      </c>
      <c r="N29" s="2" t="inlineStr">
        <is>
          <t>verslag</t>
        </is>
      </c>
      <c r="O29" s="2" t="n">
        <v>0.5253</v>
      </c>
      <c r="P29" s="2" t="inlineStr">
        <is>
          <t>same</t>
        </is>
      </c>
    </row>
    <row r="30">
      <c r="A30" s="2" t="n">
        <v>29</v>
      </c>
      <c r="B30" s="2" t="inlineStr">
        <is>
          <t>32016R0679:40:10:16</t>
        </is>
      </c>
      <c r="C30" s="2" t="inlineStr">
        <is>
          <t>passende bekendheid</t>
        </is>
      </c>
      <c r="D30" s="2" t="inlineStr">
        <is>
          <t>passende bekendheid</t>
        </is>
      </c>
      <c r="E30" s="2" t="inlineStr">
        <is>
          <t>32016R0679:57:1:4</t>
        </is>
      </c>
      <c r="F30" s="2" t="inlineStr">
        <is>
          <t>Bijzondere aandacht</t>
        </is>
      </c>
      <c r="G30" s="2" t="inlineStr">
        <is>
          <t>Bijzondere aandacht</t>
        </is>
      </c>
      <c r="H30" s="3" t="n"/>
      <c r="I30" s="3" t="n"/>
      <c r="J30" s="3" t="n"/>
      <c r="K30" s="2" t="inlineStr">
        <is>
          <t>0.75-1.00 eurovoc</t>
        </is>
      </c>
      <c r="L30" s="2" t="n">
        <v>0.7606000000000001</v>
      </c>
      <c r="M30" s="2" t="inlineStr">
        <is>
          <t>eurovoc</t>
        </is>
      </c>
      <c r="N30" s="2" t="inlineStr">
        <is>
          <t>http://eurovoc.europa.eu/3329</t>
        </is>
      </c>
      <c r="O30" s="2" t="n">
        <v>0.8451</v>
      </c>
      <c r="P30" s="2" t="inlineStr">
        <is>
          <t>none</t>
        </is>
      </c>
    </row>
    <row r="31">
      <c r="A31" s="2" t="n">
        <v>30</v>
      </c>
      <c r="B31" s="2" t="inlineStr">
        <is>
          <t>32024R1689:57:7:11</t>
        </is>
      </c>
      <c r="C31" s="2" t="inlineStr">
        <is>
          <t>aanbieders en potentiële aanbieders die deelnemen aan de AI-testomgeving voor regelgeving</t>
        </is>
      </c>
      <c r="D31" s="2" t="inlineStr">
        <is>
          <t>aanbieders en potentiële aanbieders die deelnemen aan de AI-testomgeving voor regelgeving</t>
        </is>
      </c>
      <c r="E31" s="2" t="inlineStr">
        <is>
          <t>32024R1689:59:2:13</t>
        </is>
      </c>
      <c r="F31" s="2" t="inlineStr">
        <is>
          <t>de verwerking van persoonsgegevens in AI-testomgevingen voor regelgeving</t>
        </is>
      </c>
      <c r="G31" s="2" t="inlineStr">
        <is>
          <t>verwerking van persoonsgegevens in AI-testomgevingen voor regelgeving</t>
        </is>
      </c>
      <c r="H31" s="3" t="n"/>
      <c r="I31" s="3" t="n"/>
      <c r="J31" s="3" t="n"/>
      <c r="K31" s="2" t="inlineStr">
        <is>
          <t>0.50-0.75 noun</t>
        </is>
      </c>
      <c r="L31" s="2" t="n">
        <v>0.508</v>
      </c>
      <c r="M31" s="2" t="inlineStr">
        <is>
          <t>noun</t>
        </is>
      </c>
      <c r="N31" s="2" t="inlineStr">
        <is>
          <t>aitestomgev</t>
        </is>
      </c>
      <c r="O31" s="2" t="n">
        <v>0.7257</v>
      </c>
      <c r="P31" s="2" t="inlineStr">
        <is>
          <t>none</t>
        </is>
      </c>
    </row>
    <row r="32">
      <c r="A32" s="2" t="n">
        <v>31</v>
      </c>
      <c r="B32" s="2" t="inlineStr">
        <is>
          <t>32016R0679:79:2:3</t>
        </is>
      </c>
      <c r="C32" s="2" t="inlineStr">
        <is>
          <t>Een dergelijke procedure</t>
        </is>
      </c>
      <c r="D32" s="2" t="inlineStr">
        <is>
          <t>procedure</t>
        </is>
      </c>
      <c r="E32" s="2" t="inlineStr">
        <is>
          <t>32016R0679:81:2:2</t>
        </is>
      </c>
      <c r="F32" s="2" t="inlineStr">
        <is>
          <t>zijn procedure</t>
        </is>
      </c>
      <c r="G32" s="2" t="inlineStr">
        <is>
          <t>procedure</t>
        </is>
      </c>
      <c r="H32" s="3" t="n"/>
      <c r="I32" s="3" t="n"/>
      <c r="J32" s="3" t="n"/>
      <c r="K32" s="2" t="inlineStr">
        <is>
          <t>0.50-0.75 eurovoc</t>
        </is>
      </c>
      <c r="L32" s="2" t="n">
        <v>0.5482</v>
      </c>
      <c r="M32" s="2" t="inlineStr">
        <is>
          <t>eurovoc</t>
        </is>
      </c>
      <c r="N32" s="2" t="inlineStr">
        <is>
          <t>http://eurovoc.europa.eu/2701</t>
        </is>
      </c>
      <c r="O32" s="2" t="n">
        <v>0.6091</v>
      </c>
      <c r="P32" s="2" t="inlineStr">
        <is>
          <t>same</t>
        </is>
      </c>
    </row>
    <row r="33">
      <c r="A33" s="2" t="n">
        <v>32</v>
      </c>
      <c r="B33" s="2" t="inlineStr">
        <is>
          <t>32024R1689:81:1:1</t>
        </is>
      </c>
      <c r="C33" s="2" t="inlineStr">
        <is>
          <t>de nationale maatregel</t>
        </is>
      </c>
      <c r="D33" s="2" t="inlineStr">
        <is>
          <t>nationale maatregel</t>
        </is>
      </c>
      <c r="E33" s="2" t="inlineStr">
        <is>
          <t>32024R1689:81:1:3</t>
        </is>
      </c>
      <c r="F33" s="2" t="inlineStr">
        <is>
          <t>of de nationale maatregel gerechtvaardigd is</t>
        </is>
      </c>
      <c r="G33" s="2" t="inlineStr">
        <is>
          <t>of de nationale maatregel gerechtvaardigd is</t>
        </is>
      </c>
      <c r="H33" s="3" t="n"/>
      <c r="I33" s="3" t="n"/>
      <c r="J33" s="3" t="n"/>
      <c r="K33" s="2" t="inlineStr">
        <is>
          <t>0.50-0.75 eurovoc</t>
        </is>
      </c>
      <c r="L33" s="2" t="n">
        <v>0.7241</v>
      </c>
      <c r="M33" s="2" t="inlineStr">
        <is>
          <t>eurovoc</t>
        </is>
      </c>
      <c r="N33" s="2" t="inlineStr">
        <is>
          <t>http://eurovoc.europa.eu/5739</t>
        </is>
      </c>
      <c r="O33" s="2" t="n">
        <v>0.8046</v>
      </c>
      <c r="P33" s="2" t="inlineStr">
        <is>
          <t>same</t>
        </is>
      </c>
    </row>
    <row r="34">
      <c r="A34" s="2" t="n">
        <v>33</v>
      </c>
      <c r="B34" s="2" t="inlineStr">
        <is>
          <t>32016R0679:40:5:10</t>
        </is>
      </c>
      <c r="C34" s="2" t="inlineStr">
        <is>
          <t>deze ontwerpgedragscode, die wijziging of uitbreiding</t>
        </is>
      </c>
      <c r="D34" s="2" t="inlineStr">
        <is>
          <t>ontwerpgedragscode, die wijziging of uitbreiding</t>
        </is>
      </c>
      <c r="E34" s="2" t="inlineStr">
        <is>
          <t>32024R1689:20:1:1</t>
        </is>
      </c>
      <c r="F34" s="2" t="inlineStr">
        <is>
          <t>de nodige corrigerende maatregelen</t>
        </is>
      </c>
      <c r="G34" s="2" t="inlineStr">
        <is>
          <t>nodige corrigerende maatregelen</t>
        </is>
      </c>
      <c r="H34" s="3" t="n"/>
      <c r="I34" s="3" t="n"/>
      <c r="J34" s="3" t="n"/>
      <c r="K34" s="2" t="inlineStr">
        <is>
          <t>0.50-0.75 eurovoc</t>
        </is>
      </c>
      <c r="L34" s="2" t="n">
        <v>0.5405</v>
      </c>
      <c r="M34" s="2" t="inlineStr">
        <is>
          <t>eurovoc</t>
        </is>
      </c>
      <c r="N34" s="2" t="inlineStr">
        <is>
          <t>http://eurovoc.europa.eu/23</t>
        </is>
      </c>
      <c r="O34" s="2" t="n">
        <v>0.6006</v>
      </c>
      <c r="P34" s="2" t="inlineStr">
        <is>
          <t>none</t>
        </is>
      </c>
    </row>
    <row r="35">
      <c r="A35" s="2" t="n">
        <v>34</v>
      </c>
      <c r="B35" s="2" t="inlineStr">
        <is>
          <t>32016R0679:9:1:1</t>
        </is>
      </c>
      <c r="C35" s="2" t="inlineStr">
        <is>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is>
      </c>
      <c r="D35" s="2" t="inlineStr">
        <is>
          <t>gegevens over gezondheid, of gegevens</t>
        </is>
      </c>
      <c r="E35" s="2" t="inlineStr">
        <is>
          <t>32024R1689:100:5:7</t>
        </is>
      </c>
      <c r="F35" s="2" t="inlineStr">
        <is>
          <t>het dossier</t>
        </is>
      </c>
      <c r="G35" s="2" t="inlineStr">
        <is>
          <t>dossier</t>
        </is>
      </c>
      <c r="H35" s="3" t="n"/>
      <c r="I35" s="3" t="n"/>
      <c r="J35" s="3" t="n"/>
      <c r="K35" s="2" t="inlineStr">
        <is>
          <t>0.75-1.00 eurovoc</t>
        </is>
      </c>
      <c r="L35" s="2" t="n">
        <v>0.7606000000000001</v>
      </c>
      <c r="M35" s="2" t="inlineStr">
        <is>
          <t>eurovoc</t>
        </is>
      </c>
      <c r="N35" s="2" t="inlineStr">
        <is>
          <t>http://eurovoc.europa.eu/5594</t>
        </is>
      </c>
      <c r="O35" s="2" t="n">
        <v>0.8451</v>
      </c>
      <c r="P35" s="2" t="inlineStr">
        <is>
          <t>none</t>
        </is>
      </c>
    </row>
    <row r="36">
      <c r="A36" s="2" t="n">
        <v>35</v>
      </c>
      <c r="B36" s="2" t="inlineStr">
        <is>
          <t>32016R0679:60:7:11</t>
        </is>
      </c>
      <c r="C36" s="2" t="inlineStr">
        <is>
          <t>het besluit</t>
        </is>
      </c>
      <c r="D36" s="2" t="inlineStr">
        <is>
          <t>besluit</t>
        </is>
      </c>
      <c r="E36" s="2" t="inlineStr">
        <is>
          <t>32016R0679:72:1:1</t>
        </is>
      </c>
      <c r="F36" s="2" t="inlineStr">
        <is>
          <t>besluiten</t>
        </is>
      </c>
      <c r="G36" s="2" t="inlineStr">
        <is>
          <t>besluiten</t>
        </is>
      </c>
      <c r="H36" s="3" t="n"/>
      <c r="I36" s="3" t="n"/>
      <c r="J36" s="3" t="n"/>
      <c r="K36" s="2" t="inlineStr">
        <is>
          <t>0.00-0.50 eurovoc</t>
        </is>
      </c>
      <c r="L36" s="2" t="n">
        <v>0.4916</v>
      </c>
      <c r="M36" s="2" t="inlineStr">
        <is>
          <t>eurovoc</t>
        </is>
      </c>
      <c r="N36" s="2" t="inlineStr">
        <is>
          <t>http://eurovoc.europa.eu/2669</t>
        </is>
      </c>
      <c r="O36" s="2" t="n">
        <v>0.5462</v>
      </c>
      <c r="P36" s="2" t="inlineStr">
        <is>
          <t>same</t>
        </is>
      </c>
    </row>
    <row r="37">
      <c r="A37" s="2" t="n">
        <v>36</v>
      </c>
      <c r="B37" s="2" t="inlineStr">
        <is>
          <t>32016R0679:60:9:22</t>
        </is>
      </c>
      <c r="C37" s="2" t="inlineStr">
        <is>
          <t>het besluit</t>
        </is>
      </c>
      <c r="D37" s="2" t="inlineStr">
        <is>
          <t>besluit</t>
        </is>
      </c>
      <c r="E37" s="2" t="inlineStr">
        <is>
          <t>32016R0679:72:1:1</t>
        </is>
      </c>
      <c r="F37" s="2" t="inlineStr">
        <is>
          <t>besluiten</t>
        </is>
      </c>
      <c r="G37" s="2" t="inlineStr">
        <is>
          <t>besluiten</t>
        </is>
      </c>
      <c r="H37" s="3" t="n"/>
      <c r="I37" s="3" t="n"/>
      <c r="J37" s="3" t="n"/>
      <c r="K37" s="2" t="inlineStr">
        <is>
          <t>0.00-0.50 eurovoc</t>
        </is>
      </c>
      <c r="L37" s="2" t="n">
        <v>0.4916</v>
      </c>
      <c r="M37" s="2" t="inlineStr">
        <is>
          <t>eurovoc</t>
        </is>
      </c>
      <c r="N37" s="2" t="inlineStr">
        <is>
          <t>http://eurovoc.europa.eu/2669</t>
        </is>
      </c>
      <c r="O37" s="2" t="n">
        <v>0.5462</v>
      </c>
      <c r="P37" s="2" t="inlineStr">
        <is>
          <t>same</t>
        </is>
      </c>
    </row>
    <row r="38">
      <c r="A38" s="2" t="n">
        <v>37</v>
      </c>
      <c r="B38" s="2" t="inlineStr">
        <is>
          <t>32016R0679:75:6:6</t>
        </is>
      </c>
      <c r="C38" s="2" t="inlineStr">
        <is>
          <t>de communicatie met andere instellingen en het brede publiek</t>
        </is>
      </c>
      <c r="D38" s="2" t="inlineStr">
        <is>
          <t>communicatie met andere instellingen</t>
        </is>
      </c>
      <c r="E38" s="2" t="inlineStr">
        <is>
          <t>32024R1689:100:4:4</t>
        </is>
      </c>
      <c r="F38" s="2" t="inlineStr">
        <is>
          <t>de instelling, het orgaan of de instantie van de Unie ten aanzien waarvan hij een procedure voert</t>
        </is>
      </c>
      <c r="G38" s="2" t="inlineStr">
        <is>
          <t>instelling, het orgaan of de instantie van de Unie ten aanzien waarvan hij een procedure voert</t>
        </is>
      </c>
      <c r="H38" s="3" t="n"/>
      <c r="I38" s="3" t="n"/>
      <c r="J38" s="3" t="n"/>
      <c r="K38" s="2" t="inlineStr">
        <is>
          <t>0.50-0.75 noun</t>
        </is>
      </c>
      <c r="L38" s="2" t="n">
        <v>0.5916</v>
      </c>
      <c r="M38" s="2" t="inlineStr">
        <is>
          <t>noun</t>
        </is>
      </c>
      <c r="N38" s="2" t="inlineStr">
        <is>
          <t>instell</t>
        </is>
      </c>
      <c r="O38" s="2" t="n">
        <v>0.8451</v>
      </c>
      <c r="P38" s="2" t="inlineStr">
        <is>
          <t>none</t>
        </is>
      </c>
    </row>
    <row r="39">
      <c r="A39" s="2" t="n">
        <v>38</v>
      </c>
      <c r="B39" s="2" t="inlineStr">
        <is>
          <t>32016R0679:60:12:28</t>
        </is>
      </c>
      <c r="C39" s="2" t="inlineStr">
        <is>
          <t>de krachtens dit artikel vereiste informatie</t>
        </is>
      </c>
      <c r="D39" s="2" t="inlineStr">
        <is>
          <t>vereiste informatie</t>
        </is>
      </c>
      <c r="E39" s="2" t="inlineStr">
        <is>
          <t>32016R0679:60:9:19</t>
        </is>
      </c>
      <c r="F39" s="2" t="inlineStr">
        <is>
          <t>de klager</t>
        </is>
      </c>
      <c r="G39" s="2" t="inlineStr">
        <is>
          <t>klager</t>
        </is>
      </c>
      <c r="H39" s="3" t="n"/>
      <c r="I39" s="3" t="n"/>
      <c r="J39" s="3" t="n"/>
      <c r="K39" s="2" t="inlineStr">
        <is>
          <t>zero same-group</t>
        </is>
      </c>
      <c r="L39" s="2" t="n">
        <v>0</v>
      </c>
      <c r="M39" s="2" t="inlineStr"/>
      <c r="N39" s="2" t="inlineStr"/>
      <c r="O39" s="2" t="inlineStr"/>
      <c r="P39" s="2" t="inlineStr">
        <is>
          <t>none</t>
        </is>
      </c>
    </row>
    <row r="40">
      <c r="A40" s="2" t="n">
        <v>39</v>
      </c>
      <c r="B40" s="2" t="inlineStr">
        <is>
          <t>32016R0679:28:9:11</t>
        </is>
      </c>
      <c r="C40" s="2" t="inlineStr">
        <is>
          <t>De in de leden 3 en 4 bedoelde overeenkomst of andere rechtshandeling</t>
        </is>
      </c>
      <c r="D40" s="2" t="inlineStr">
        <is>
          <t>rechtshandeling</t>
        </is>
      </c>
      <c r="E40" s="2" t="inlineStr">
        <is>
          <t>32016R0679:43:9:14</t>
        </is>
      </c>
      <c r="F40" s="2" t="inlineStr">
        <is>
          <t>Die uitvoeringshandelingen</t>
        </is>
      </c>
      <c r="G40" s="2" t="inlineStr">
        <is>
          <t>uitvoeringshandelingen</t>
        </is>
      </c>
      <c r="H40" s="3" t="n"/>
      <c r="I40" s="3" t="n"/>
      <c r="J40" s="3" t="n"/>
      <c r="K40" s="2" t="inlineStr">
        <is>
          <t>0.00-0.50 tail</t>
        </is>
      </c>
      <c r="L40" s="2" t="n">
        <v>0.384</v>
      </c>
      <c r="M40" s="2" t="inlineStr">
        <is>
          <t>tail</t>
        </is>
      </c>
      <c r="N40" s="2" t="inlineStr">
        <is>
          <t>handel</t>
        </is>
      </c>
      <c r="O40" s="2" t="n">
        <v>0.48</v>
      </c>
      <c r="P40" s="2" t="inlineStr">
        <is>
          <t>none</t>
        </is>
      </c>
    </row>
    <row r="41">
      <c r="A41" s="2" t="n">
        <v>40</v>
      </c>
      <c r="B41" s="2" t="inlineStr">
        <is>
          <t>32024R1689:11:1:10</t>
        </is>
      </c>
      <c r="C41" s="2" t="inlineStr">
        <is>
          <t>ten minste de in bijlage IV uiteengezette elementen</t>
        </is>
      </c>
      <c r="D41" s="2" t="inlineStr">
        <is>
          <t>uiteengezette elementen</t>
        </is>
      </c>
      <c r="E41" s="2" t="inlineStr">
        <is>
          <t>32024R1689:53:1:5</t>
        </is>
      </c>
      <c r="F41" s="2" t="inlineStr">
        <is>
          <t>de in bijlage XII uiteengezette elementen</t>
        </is>
      </c>
      <c r="G41" s="2" t="inlineStr">
        <is>
          <t>uiteengezette elementen</t>
        </is>
      </c>
      <c r="H41" s="3" t="n"/>
      <c r="I41" s="3" t="n"/>
      <c r="J41" s="3" t="n"/>
      <c r="K41" s="2" t="inlineStr">
        <is>
          <t>0.75-1.00 eurovoc</t>
        </is>
      </c>
      <c r="L41" s="2" t="n">
        <v>0.7606000000000001</v>
      </c>
      <c r="M41" s="2" t="inlineStr">
        <is>
          <t>eurovoc</t>
        </is>
      </c>
      <c r="N41" s="2" t="inlineStr">
        <is>
          <t>http://eurovoc.europa.eu/3692</t>
        </is>
      </c>
      <c r="O41" s="2" t="n">
        <v>0.8451</v>
      </c>
      <c r="P41" s="2" t="inlineStr">
        <is>
          <t>same</t>
        </is>
      </c>
    </row>
    <row r="42">
      <c r="A42" s="2" t="n">
        <v>41</v>
      </c>
      <c r="B42" s="2" t="inlineStr">
        <is>
          <t>32016R0679:40:11:17</t>
        </is>
      </c>
      <c r="C42" s="2" t="inlineStr">
        <is>
          <t>alle goedgekeurde gedragscodes, wijzigingen en uitbreidingen</t>
        </is>
      </c>
      <c r="D42" s="2" t="inlineStr">
        <is>
          <t>wijzigingen</t>
        </is>
      </c>
      <c r="E42" s="2" t="inlineStr">
        <is>
          <t>32016R0679:90:2:3</t>
        </is>
      </c>
      <c r="F42" s="2" t="inlineStr">
        <is>
          <t>alle wijzigingen daarvan</t>
        </is>
      </c>
      <c r="G42" s="2" t="inlineStr">
        <is>
          <t>wijzigingen</t>
        </is>
      </c>
      <c r="H42" s="3" t="n"/>
      <c r="I42" s="3" t="n"/>
      <c r="J42" s="3" t="n"/>
      <c r="K42" s="2" t="inlineStr">
        <is>
          <t>0.75-1.00 eurovoc</t>
        </is>
      </c>
      <c r="L42" s="2" t="n">
        <v>0.7606000000000001</v>
      </c>
      <c r="M42" s="2" t="inlineStr">
        <is>
          <t>eurovoc</t>
        </is>
      </c>
      <c r="N42" s="2" t="inlineStr">
        <is>
          <t>http://eurovoc.europa.eu/1439</t>
        </is>
      </c>
      <c r="O42" s="2" t="n">
        <v>0.8451</v>
      </c>
      <c r="P42" s="2" t="inlineStr">
        <is>
          <t>same</t>
        </is>
      </c>
    </row>
    <row r="43">
      <c r="A43" s="2" t="n">
        <v>42</v>
      </c>
      <c r="B43" s="2" t="inlineStr">
        <is>
          <t>32016R0679:20:2:4</t>
        </is>
      </c>
      <c r="C43" s="2" t="inlineStr">
        <is>
          <t>de persoonsgegevens</t>
        </is>
      </c>
      <c r="D43" s="2" t="inlineStr">
        <is>
          <t>persoonsgegevens</t>
        </is>
      </c>
      <c r="E43" s="2" t="inlineStr">
        <is>
          <t>32016R0679:37:4:5</t>
        </is>
      </c>
      <c r="F43" s="2" t="inlineStr">
        <is>
          <t>een functionaris voor gegevensbescherming</t>
        </is>
      </c>
      <c r="G43" s="2" t="inlineStr">
        <is>
          <t>functionaris voor gegevensbescherming</t>
        </is>
      </c>
      <c r="H43" s="3" t="n"/>
      <c r="I43" s="3" t="n"/>
      <c r="J43" s="3" t="n"/>
      <c r="K43" s="2" t="inlineStr">
        <is>
          <t>0.00-0.50 eurovoc</t>
        </is>
      </c>
      <c r="L43" s="2" t="n">
        <v>0.4288</v>
      </c>
      <c r="M43" s="2" t="inlineStr">
        <is>
          <t>eurovoc</t>
        </is>
      </c>
      <c r="N43" s="2" t="inlineStr">
        <is>
          <t>http://eurovoc.europa.eu/5181</t>
        </is>
      </c>
      <c r="O43" s="2" t="n">
        <v>0.4765</v>
      </c>
      <c r="P43" s="2" t="inlineStr">
        <is>
          <t>none</t>
        </is>
      </c>
    </row>
    <row r="44">
      <c r="A44" s="2" t="n">
        <v>43</v>
      </c>
      <c r="B44" s="2" t="inlineStr">
        <is>
          <t>32016R0679:70:1:5</t>
        </is>
      </c>
      <c r="C44" s="2" t="inlineStr">
        <is>
          <t>richtsnoeren, aanbevelingen en beste praktijken</t>
        </is>
      </c>
      <c r="D44" s="2" t="inlineStr">
        <is>
          <t>richtsnoeren, aanbevelingen en beste praktijken</t>
        </is>
      </c>
      <c r="E44" s="2" t="inlineStr">
        <is>
          <t>32016R0679:70:1:8</t>
        </is>
      </c>
      <c r="F44" s="2" t="inlineStr">
        <is>
          <t>de praktische toepassing van de in de punten e) en f) bedoelde richtsnoeren, aanbevelingen en beste praktijken</t>
        </is>
      </c>
      <c r="G44" s="2" t="inlineStr">
        <is>
          <t>richtsnoeren, aanbevelingen en beste praktijken</t>
        </is>
      </c>
      <c r="H44" s="3" t="n"/>
      <c r="I44" s="3" t="n"/>
      <c r="J44" s="3" t="n"/>
      <c r="K44" s="2" t="inlineStr">
        <is>
          <t>0.75-1.00 head</t>
        </is>
      </c>
      <c r="L44" s="2" t="n">
        <v>0.7731</v>
      </c>
      <c r="M44" s="2" t="inlineStr">
        <is>
          <t>head</t>
        </is>
      </c>
      <c r="N44" s="2" t="inlineStr">
        <is>
          <t>aanbevel</t>
        </is>
      </c>
      <c r="O44" s="2" t="n">
        <v>0.7731</v>
      </c>
      <c r="P44" s="2" t="inlineStr">
        <is>
          <t>same</t>
        </is>
      </c>
    </row>
    <row r="45">
      <c r="A45" s="2" t="n">
        <v>44</v>
      </c>
      <c r="B45" s="2" t="inlineStr">
        <is>
          <t>32016R0679:35:6:9</t>
        </is>
      </c>
      <c r="C45" s="2" t="inlineStr">
        <is>
          <t>het in artikel 63 bedoelde coherentiemechanisme</t>
        </is>
      </c>
      <c r="D45" s="2" t="inlineStr">
        <is>
          <t>coherentiemechanisme</t>
        </is>
      </c>
      <c r="E45" s="2" t="inlineStr">
        <is>
          <t>32016R0679:46:4:5</t>
        </is>
      </c>
      <c r="F45" s="2" t="inlineStr">
        <is>
          <t>het in artikel 63 bedoelde coherentiemechanisme</t>
        </is>
      </c>
      <c r="G45" s="2" t="inlineStr">
        <is>
          <t>coherentiemechanisme</t>
        </is>
      </c>
      <c r="H45" s="3" t="n"/>
      <c r="I45" s="3" t="n"/>
      <c r="J45" s="3" t="n"/>
      <c r="K45" s="2" t="inlineStr">
        <is>
          <t>0.75-1.00 head</t>
        </is>
      </c>
      <c r="L45" s="2" t="n">
        <v>0.8451</v>
      </c>
      <c r="M45" s="2" t="inlineStr">
        <is>
          <t>head</t>
        </is>
      </c>
      <c r="N45" s="2" t="inlineStr">
        <is>
          <t>coherentiemechanism</t>
        </is>
      </c>
      <c r="O45" s="2" t="n">
        <v>0.8451</v>
      </c>
      <c r="P45" s="2" t="inlineStr">
        <is>
          <t>same</t>
        </is>
      </c>
    </row>
    <row r="46">
      <c r="A46" s="2" t="n">
        <v>45</v>
      </c>
      <c r="B46" s="2" t="inlineStr">
        <is>
          <t>32024R1689:5:2:2</t>
        </is>
      </c>
      <c r="C46" s="2" t="inlineStr">
        <is>
          <t>Het gebruik van systemen voor biometrische identificatie op afstand in real time in openbare ruimten met het oog op de rechtshandhaving</t>
        </is>
      </c>
      <c r="D46" s="2" t="inlineStr">
        <is>
          <t>systemen voor biometrische identificatie op afstand in real time in openbare ruimten met het oog op de rechtshandhaving</t>
        </is>
      </c>
      <c r="E46" s="2" t="inlineStr">
        <is>
          <t>32024R1689:95:3:2</t>
        </is>
      </c>
      <c r="F46" s="2" t="inlineStr">
        <is>
          <t>op een of meer AI-systemen</t>
        </is>
      </c>
      <c r="G46" s="2" t="inlineStr">
        <is>
          <t>of meer AI-systemen</t>
        </is>
      </c>
      <c r="H46" s="3" t="n"/>
      <c r="I46" s="3" t="n"/>
      <c r="J46" s="3" t="n"/>
      <c r="K46" s="2" t="inlineStr">
        <is>
          <t>0.00-0.50 tail</t>
        </is>
      </c>
      <c r="L46" s="2" t="n">
        <v>0.346</v>
      </c>
      <c r="M46" s="2" t="inlineStr">
        <is>
          <t>tail</t>
        </is>
      </c>
      <c r="N46" s="2" t="inlineStr">
        <is>
          <t>system</t>
        </is>
      </c>
      <c r="O46" s="2" t="n">
        <v>0.4325</v>
      </c>
      <c r="P46" s="2" t="inlineStr">
        <is>
          <t>b_narrower</t>
        </is>
      </c>
    </row>
    <row r="47">
      <c r="A47" s="2" t="n">
        <v>46</v>
      </c>
      <c r="B47" s="2" t="inlineStr">
        <is>
          <t>32016R0679:14:5:13</t>
        </is>
      </c>
      <c r="C47" s="2" t="inlineStr">
        <is>
          <t>passende maatregelen</t>
        </is>
      </c>
      <c r="D47" s="2" t="inlineStr">
        <is>
          <t>passende maatregelen</t>
        </is>
      </c>
      <c r="E47" s="2" t="inlineStr">
        <is>
          <t>32024R1689:99:8:13</t>
        </is>
      </c>
      <c r="F47" s="2" t="inlineStr">
        <is>
          <t>regels</t>
        </is>
      </c>
      <c r="G47" s="2" t="inlineStr">
        <is>
          <t>regels</t>
        </is>
      </c>
      <c r="H47" s="3" t="n"/>
      <c r="I47" s="3" t="n"/>
      <c r="J47" s="3" t="n"/>
      <c r="K47" s="2" t="inlineStr">
        <is>
          <t>0.00-0.50 tail</t>
        </is>
      </c>
      <c r="L47" s="2" t="n">
        <v>0.3116</v>
      </c>
      <c r="M47" s="2" t="inlineStr">
        <is>
          <t>tail</t>
        </is>
      </c>
      <c r="N47" s="2" t="inlineStr">
        <is>
          <t>regel</t>
        </is>
      </c>
      <c r="O47" s="2" t="n">
        <v>0.3895</v>
      </c>
      <c r="P47" s="2" t="inlineStr">
        <is>
          <t>a_narrower</t>
        </is>
      </c>
    </row>
    <row r="48">
      <c r="A48" s="2" t="n">
        <v>47</v>
      </c>
      <c r="B48" s="2" t="inlineStr">
        <is>
          <t>32016R0679:22:1:1</t>
        </is>
      </c>
      <c r="C48" s="2" t="inlineStr">
        <is>
          <t>een uitsluitend op geautomatiseerde verwerking, waaronder profilering, gebaseerd besluit</t>
        </is>
      </c>
      <c r="D48" s="2" t="inlineStr">
        <is>
          <t>op geautomatiseerde verwerking, waaronder profilering, gebaseerd besluit</t>
        </is>
      </c>
      <c r="E48" s="2" t="inlineStr">
        <is>
          <t>32016R0679:22:4:2</t>
        </is>
      </c>
      <c r="F48" s="2" t="inlineStr">
        <is>
          <t>De in lid 2 bedoelde besluiten</t>
        </is>
      </c>
      <c r="G48" s="2" t="inlineStr">
        <is>
          <t>besluiten</t>
        </is>
      </c>
      <c r="H48" s="3" t="n"/>
      <c r="I48" s="3" t="n"/>
      <c r="J48" s="3" t="n"/>
      <c r="K48" s="2" t="inlineStr">
        <is>
          <t>0.00-0.50 noun</t>
        </is>
      </c>
      <c r="L48" s="2" t="n">
        <v>0.341</v>
      </c>
      <c r="M48" s="2" t="inlineStr">
        <is>
          <t>noun</t>
        </is>
      </c>
      <c r="N48" s="2" t="inlineStr">
        <is>
          <t>besluit</t>
        </is>
      </c>
      <c r="O48" s="2" t="n">
        <v>0.4872</v>
      </c>
      <c r="P48" s="2" t="inlineStr">
        <is>
          <t>none</t>
        </is>
      </c>
    </row>
    <row r="49">
      <c r="A49" s="2" t="n">
        <v>48</v>
      </c>
      <c r="B49" s="2" t="inlineStr">
        <is>
          <t>32024R1689:21:1:1</t>
        </is>
      </c>
      <c r="C49" s="2" t="inlineStr">
        <is>
          <t>alle informatie en documentatie die noodzakelijk is om de overeenstemming van het AI-systeem met een hoog risico met de eisen van afdeling 2 aan te tonen</t>
        </is>
      </c>
      <c r="D49" s="2" t="inlineStr">
        <is>
          <t>informatie en documentatie die noodzakelijk is om de overeenstemming van het AI-systeem met een hoog risico met de eisen aan te tonen</t>
        </is>
      </c>
      <c r="E49" s="2" t="inlineStr">
        <is>
          <t>32024R1689:55:2:2</t>
        </is>
      </c>
      <c r="F49" s="2" t="inlineStr">
        <is>
          <t>een vermoeden van overeenstemming</t>
        </is>
      </c>
      <c r="G49" s="2" t="inlineStr">
        <is>
          <t>vermoeden van overeenstemming</t>
        </is>
      </c>
      <c r="H49" s="3" t="n"/>
      <c r="I49" s="3" t="n"/>
      <c r="J49" s="3" t="n"/>
      <c r="K49" s="2" t="inlineStr">
        <is>
          <t>0.50-0.75 noun</t>
        </is>
      </c>
      <c r="L49" s="2" t="n">
        <v>0.5232</v>
      </c>
      <c r="M49" s="2" t="inlineStr">
        <is>
          <t>noun</t>
        </is>
      </c>
      <c r="N49" s="2" t="inlineStr">
        <is>
          <t>overeenstemm</t>
        </is>
      </c>
      <c r="O49" s="2" t="n">
        <v>0.7474</v>
      </c>
      <c r="P49" s="2" t="inlineStr">
        <is>
          <t>none</t>
        </is>
      </c>
    </row>
    <row r="50">
      <c r="A50" s="2" t="n">
        <v>49</v>
      </c>
      <c r="B50" s="2" t="inlineStr">
        <is>
          <t>32024R1689:28:5:8</t>
        </is>
      </c>
      <c r="C50" s="2" t="inlineStr">
        <is>
          <t>activiteiten</t>
        </is>
      </c>
      <c r="D50" s="2" t="inlineStr">
        <is>
          <t>activiteiten</t>
        </is>
      </c>
      <c r="E50" s="2" t="inlineStr">
        <is>
          <t>32024R1689:74:11:9</t>
        </is>
      </c>
      <c r="F50" s="2" t="inlineStr">
        <is>
          <t>gezamenlijke activiteiten, waaronder gezamenlijke onderzoeken</t>
        </is>
      </c>
      <c r="G50" s="2" t="inlineStr">
        <is>
          <t>gezamenlijke activiteiten, waaronder gezamenlijke onderzoeken</t>
        </is>
      </c>
      <c r="H50" s="3" t="n"/>
      <c r="I50" s="3" t="n"/>
      <c r="J50" s="3" t="n"/>
      <c r="K50" s="2" t="inlineStr">
        <is>
          <t>0.50-0.75 head</t>
        </is>
      </c>
      <c r="L50" s="2" t="n">
        <v>0.5925</v>
      </c>
      <c r="M50" s="2" t="inlineStr">
        <is>
          <t>head</t>
        </is>
      </c>
      <c r="N50" s="2" t="inlineStr">
        <is>
          <t>activiteit</t>
        </is>
      </c>
      <c r="O50" s="2" t="n">
        <v>0.5925</v>
      </c>
      <c r="P50" s="2" t="inlineStr">
        <is>
          <t>b_narrower</t>
        </is>
      </c>
    </row>
    <row r="51">
      <c r="A51" s="2" t="n">
        <v>50</v>
      </c>
      <c r="B51" s="2" t="inlineStr">
        <is>
          <t>32024R1689:47:3:8</t>
        </is>
      </c>
      <c r="C51" s="2" t="inlineStr">
        <is>
          <t>één EU-conformiteitsverklaring</t>
        </is>
      </c>
      <c r="D51" s="2" t="inlineStr">
        <is>
          <t>één EU-conformiteitsverklaring</t>
        </is>
      </c>
      <c r="E51" s="2" t="inlineStr">
        <is>
          <t>32024R1689:68:4:4</t>
        </is>
      </c>
      <c r="F51" s="2" t="inlineStr">
        <is>
          <t>een belangenverklaring</t>
        </is>
      </c>
      <c r="G51" s="2" t="inlineStr">
        <is>
          <t>belangenverklaring</t>
        </is>
      </c>
      <c r="H51" s="3" t="n"/>
      <c r="I51" s="3" t="n"/>
      <c r="J51" s="3" t="n"/>
      <c r="K51" s="2" t="inlineStr">
        <is>
          <t>0.50-0.75 tail</t>
        </is>
      </c>
      <c r="L51" s="2" t="n">
        <v>0.5522</v>
      </c>
      <c r="M51" s="2" t="inlineStr">
        <is>
          <t>tail</t>
        </is>
      </c>
      <c r="N51" s="2" t="inlineStr">
        <is>
          <t>verklar</t>
        </is>
      </c>
      <c r="O51" s="2" t="n">
        <v>0.6902</v>
      </c>
      <c r="P51" s="2" t="inlineStr">
        <is>
          <t>none</t>
        </is>
      </c>
    </row>
    <row r="52">
      <c r="A52" s="2" t="n">
        <v>51</v>
      </c>
      <c r="B52" s="2" t="inlineStr">
        <is>
          <t>32024R1689:56:5:5</t>
        </is>
      </c>
      <c r="C52" s="2" t="inlineStr">
        <is>
          <t>de verschillen in omvang en capaciteit tussen de verschillende deelnemers</t>
        </is>
      </c>
      <c r="D52" s="2" t="inlineStr">
        <is>
          <t>verschillen in omvang en capaciteit tussen de verschillende deelnemers</t>
        </is>
      </c>
      <c r="E52" s="2" t="inlineStr">
        <is>
          <t>32024R1689:56:7:14</t>
        </is>
      </c>
      <c r="F52" s="2" t="inlineStr">
        <is>
          <t>alle aanbieders van AI-modellen voor algemene doeleinden</t>
        </is>
      </c>
      <c r="G52" s="2" t="inlineStr">
        <is>
          <t>aanbieders van AI-modellen voor algemene doeleinden</t>
        </is>
      </c>
      <c r="H52" s="3" t="n"/>
      <c r="I52" s="3" t="n"/>
      <c r="J52" s="3" t="n"/>
      <c r="K52" s="2" t="inlineStr">
        <is>
          <t>zero same-group</t>
        </is>
      </c>
      <c r="L52" s="2" t="n">
        <v>0</v>
      </c>
      <c r="M52" s="2" t="inlineStr"/>
      <c r="N52" s="2" t="inlineStr"/>
      <c r="O52" s="2" t="inlineStr"/>
      <c r="P52" s="2" t="inlineStr">
        <is>
          <t>none</t>
        </is>
      </c>
    </row>
    <row r="53">
      <c r="A53" s="2" t="n">
        <v>52</v>
      </c>
      <c r="B53" s="2" t="inlineStr">
        <is>
          <t>32024R1689:57:11:21</t>
        </is>
      </c>
      <c r="C53" s="2" t="inlineStr">
        <is>
          <t>hun discretionaire bevoegdheden</t>
        </is>
      </c>
      <c r="D53" s="2" t="inlineStr">
        <is>
          <t>discretionaire bevoegdheden</t>
        </is>
      </c>
      <c r="E53" s="2" t="inlineStr">
        <is>
          <t>32024R1689:57:12:24</t>
        </is>
      </c>
      <c r="F53" s="2" t="inlineStr">
        <is>
          <t>voor aan derden toegebrachte schade</t>
        </is>
      </c>
      <c r="G53" s="2" t="inlineStr">
        <is>
          <t>aan derden toegebrachte schade</t>
        </is>
      </c>
      <c r="H53" s="3" t="n"/>
      <c r="I53" s="3" t="n"/>
      <c r="J53" s="3" t="n"/>
      <c r="K53" s="2" t="inlineStr">
        <is>
          <t>zero same-group</t>
        </is>
      </c>
      <c r="L53" s="2" t="n">
        <v>0</v>
      </c>
      <c r="M53" s="2" t="inlineStr"/>
      <c r="N53" s="2" t="inlineStr"/>
      <c r="O53" s="2" t="inlineStr"/>
      <c r="P53" s="2" t="inlineStr">
        <is>
          <t>none</t>
        </is>
      </c>
    </row>
    <row r="54">
      <c r="A54" s="2" t="n">
        <v>53</v>
      </c>
      <c r="B54" s="2" t="inlineStr">
        <is>
          <t>32016R0679:47:2:2</t>
        </is>
      </c>
      <c r="C54" s="2" t="inlineStr">
        <is>
          <t>minstens de volgende elementen</t>
        </is>
      </c>
      <c r="D54" s="2" t="inlineStr">
        <is>
          <t>elementen</t>
        </is>
      </c>
      <c r="E54" s="2" t="inlineStr">
        <is>
          <t>32024R1689:18:1:1</t>
        </is>
      </c>
      <c r="F54" s="2" t="inlineStr">
        <is>
          <t>de volgende elementen</t>
        </is>
      </c>
      <c r="G54" s="2" t="inlineStr">
        <is>
          <t>elementen</t>
        </is>
      </c>
      <c r="H54" s="3" t="n"/>
      <c r="I54" s="3" t="n"/>
      <c r="J54" s="3" t="n"/>
      <c r="K54" s="2" t="inlineStr">
        <is>
          <t>0.75-1.00 eurovoc</t>
        </is>
      </c>
      <c r="L54" s="2" t="n">
        <v>0.7606000000000001</v>
      </c>
      <c r="M54" s="2" t="inlineStr">
        <is>
          <t>eurovoc</t>
        </is>
      </c>
      <c r="N54" s="2" t="inlineStr">
        <is>
          <t>http://eurovoc.europa.eu/3809</t>
        </is>
      </c>
      <c r="O54" s="2" t="n">
        <v>0.8451</v>
      </c>
      <c r="P54" s="2" t="inlineStr">
        <is>
          <t>same</t>
        </is>
      </c>
    </row>
    <row r="55">
      <c r="A55" s="2" t="n">
        <v>54</v>
      </c>
      <c r="B55" s="2" t="inlineStr">
        <is>
          <t>32016R0679:57:1:21</t>
        </is>
      </c>
      <c r="C55" s="2" t="inlineStr">
        <is>
          <t>advies</t>
        </is>
      </c>
      <c r="D55" s="2" t="inlineStr">
        <is>
          <t>advies</t>
        </is>
      </c>
      <c r="E55" s="2" t="inlineStr">
        <is>
          <t>32016R0679:57:1:26</t>
        </is>
      </c>
      <c r="F55" s="2" t="inlineStr">
        <is>
          <t>het opstellen en het bekendmaken van de criteria voor de accreditatie van een orgaan voor het toezicht op gedragscodes op grond van artikel 41 en van een certificeringsorgaan op grond van artikel 43</t>
        </is>
      </c>
      <c r="G55" s="2" t="inlineStr">
        <is>
          <t>opstellen en het bekendmaken van de criteria voor de accreditatie van een orgaan voor het toezicht op gedragscodes en van een certificeringsorgaan</t>
        </is>
      </c>
      <c r="H55" s="3" t="n"/>
      <c r="I55" s="3" t="n"/>
      <c r="J55" s="3" t="n"/>
      <c r="K55" s="2" t="inlineStr">
        <is>
          <t>zero same-group</t>
        </is>
      </c>
      <c r="L55" s="2" t="n">
        <v>0</v>
      </c>
      <c r="M55" s="2" t="inlineStr"/>
      <c r="N55" s="2" t="inlineStr"/>
      <c r="O55" s="2" t="inlineStr"/>
      <c r="P55" s="2" t="inlineStr">
        <is>
          <t>none</t>
        </is>
      </c>
    </row>
    <row r="56">
      <c r="A56" s="2" t="n">
        <v>55</v>
      </c>
      <c r="B56" s="2" t="inlineStr">
        <is>
          <t>32016R0679:52:4:6</t>
        </is>
      </c>
      <c r="C56" s="2" t="inlineStr">
        <is>
          <t>dat elke 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is>
      </c>
      <c r="D56" s="2" t="inlineStr">
        <is>
          <t>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is>
      </c>
      <c r="E56" s="2" t="inlineStr">
        <is>
          <t>32016R0679:58:6:30</t>
        </is>
      </c>
      <c r="F56" s="2" t="inlineStr">
        <is>
          <t>dat zijn toezichthoudende autoriteit, naast de in lid 1, 2 en 3 bedoelde bevoegdheden bijkomende bevoegdheden heeft</t>
        </is>
      </c>
      <c r="G56" s="2" t="inlineStr">
        <is>
          <t>toezichthoudende autoriteit, naast de bevoegdheden bijkomende bevoegdheden heeft</t>
        </is>
      </c>
      <c r="H56" s="3" t="n"/>
      <c r="I56" s="3" t="n"/>
      <c r="J56" s="3" t="n"/>
      <c r="K56" s="2" t="inlineStr">
        <is>
          <t>0.00-0.50 head</t>
        </is>
      </c>
      <c r="L56" s="2" t="n">
        <v>0.4403</v>
      </c>
      <c r="M56" s="2" t="inlineStr">
        <is>
          <t>head</t>
        </is>
      </c>
      <c r="N56" s="2" t="inlineStr">
        <is>
          <t>autoriteit</t>
        </is>
      </c>
      <c r="O56" s="2" t="n">
        <v>0.4403</v>
      </c>
      <c r="P56" s="2" t="inlineStr">
        <is>
          <t>a_narrower</t>
        </is>
      </c>
    </row>
    <row r="57">
      <c r="A57" s="2" t="n">
        <v>56</v>
      </c>
      <c r="B57" s="2" t="inlineStr">
        <is>
          <t>32016R0679:33:2:3</t>
        </is>
      </c>
      <c r="C57" s="2" t="inlineStr">
        <is>
          <t>de verwerkingsverantwoordelijke</t>
        </is>
      </c>
      <c r="D57" s="2" t="inlineStr">
        <is>
          <t>verwerkingsverantwoordelijke</t>
        </is>
      </c>
      <c r="E57" s="2" t="inlineStr">
        <is>
          <t>32016R0679:36:3:3</t>
        </is>
      </c>
      <c r="F57" s="2" t="inlineStr">
        <is>
          <t>de respectieve verantwoordelijkheden van de verwerkingsverantwoordelijke, bij de verwerking betrokken gezamenlijke verwerkingsverantwoordelijken en verwerkers, in het bijzonder voor verwerking binnen een concern</t>
        </is>
      </c>
      <c r="G57" s="2" t="inlineStr">
        <is>
          <t>respectieve verantwoordelijkheden van de verwerkingsverantwoordelijke, bij de verwerking betrokken gezamenlijke verwerkingsverantwoordelijken en verwerkers, in het bijzonder voor verwerking binnen een concern</t>
        </is>
      </c>
      <c r="H57" s="3" t="n"/>
      <c r="I57" s="3" t="n"/>
      <c r="J57" s="3" t="n"/>
      <c r="K57" s="2" t="inlineStr">
        <is>
          <t>0.50-0.75 tail</t>
        </is>
      </c>
      <c r="L57" s="2" t="n">
        <v>0.5024</v>
      </c>
      <c r="M57" s="2" t="inlineStr">
        <is>
          <t>tail</t>
        </is>
      </c>
      <c r="N57" s="2" t="inlineStr">
        <is>
          <t>verantwoord</t>
        </is>
      </c>
      <c r="O57" s="2" t="n">
        <v>0.628</v>
      </c>
      <c r="P57" s="2" t="inlineStr">
        <is>
          <t>a_narrower</t>
        </is>
      </c>
    </row>
    <row r="58">
      <c r="A58" s="2" t="n">
        <v>57</v>
      </c>
      <c r="B58" s="2" t="inlineStr">
        <is>
          <t>32016R0679:36:3:4</t>
        </is>
      </c>
      <c r="C58" s="2" t="inlineStr">
        <is>
          <t>de doeleinden en de middelen van de voorgenomen verwerking</t>
        </is>
      </c>
      <c r="D58" s="2" t="inlineStr">
        <is>
          <t>middelen van de voorgenomen verwerking</t>
        </is>
      </c>
      <c r="E58" s="2" t="inlineStr">
        <is>
          <t>32024R1689:59:1:10</t>
        </is>
      </c>
      <c r="F58" s="2" t="inlineStr">
        <is>
          <t>de logbestanden van de verwerking van persoonsgegevens in het kader van de testomgeving</t>
        </is>
      </c>
      <c r="G58" s="2" t="inlineStr">
        <is>
          <t>logbestanden van de verwerking van persoonsgegevens in het kader van de testomgeving</t>
        </is>
      </c>
      <c r="H58" s="3" t="n"/>
      <c r="I58" s="3" t="n"/>
      <c r="J58" s="3" t="n"/>
      <c r="K58" s="2" t="inlineStr">
        <is>
          <t>0.00-0.50 noun</t>
        </is>
      </c>
      <c r="L58" s="2" t="n">
        <v>0.3611</v>
      </c>
      <c r="M58" s="2" t="inlineStr">
        <is>
          <t>noun</t>
        </is>
      </c>
      <c r="N58" s="2" t="inlineStr">
        <is>
          <t>verwerk</t>
        </is>
      </c>
      <c r="O58" s="2" t="n">
        <v>0.5159</v>
      </c>
      <c r="P58" s="2" t="inlineStr">
        <is>
          <t>none</t>
        </is>
      </c>
    </row>
    <row r="59">
      <c r="A59" s="2" t="n">
        <v>58</v>
      </c>
      <c r="B59" s="2" t="inlineStr">
        <is>
          <t>32016R0679:61:5:9</t>
        </is>
      </c>
      <c r="C59" s="2" t="inlineStr">
        <is>
          <t>de redenen daarvoor</t>
        </is>
      </c>
      <c r="D59" s="2" t="inlineStr">
        <is>
          <t>redenen</t>
        </is>
      </c>
      <c r="E59" s="2" t="inlineStr">
        <is>
          <t>32024R1689:76:5:8</t>
        </is>
      </c>
      <c r="F59" s="2" t="inlineStr">
        <is>
          <t>de redenen daarvoor</t>
        </is>
      </c>
      <c r="G59" s="2" t="inlineStr">
        <is>
          <t>redenen</t>
        </is>
      </c>
      <c r="H59" s="3" t="n"/>
      <c r="I59" s="3" t="n"/>
      <c r="J59" s="3" t="n"/>
      <c r="K59" s="2" t="inlineStr">
        <is>
          <t>0.50-0.75 eurovoc</t>
        </is>
      </c>
      <c r="L59" s="2" t="n">
        <v>0.7241</v>
      </c>
      <c r="M59" s="2" t="inlineStr">
        <is>
          <t>eurovoc</t>
        </is>
      </c>
      <c r="N59" s="2" t="inlineStr">
        <is>
          <t>http://eurovoc.europa.eu/1667</t>
        </is>
      </c>
      <c r="O59" s="2" t="n">
        <v>0.8046</v>
      </c>
      <c r="P59" s="2" t="inlineStr">
        <is>
          <t>same</t>
        </is>
      </c>
    </row>
    <row r="60">
      <c r="A60" s="2" t="n">
        <v>59</v>
      </c>
      <c r="B60" s="2" t="inlineStr">
        <is>
          <t>32024R1689:24:4:5</t>
        </is>
      </c>
      <c r="C60" s="2" t="inlineStr">
        <is>
          <t>de aanbieder of importeur van het systeem en de autoriteiten die bevoegd zijn voor het betreffende AI-systeem met een hoog risico</t>
        </is>
      </c>
      <c r="D60" s="2" t="inlineStr">
        <is>
          <t>aanbieder of importeur van het systeem en de autoriteiten die bevoegd zijn voor het betreffende AI-systeem met een hoog risico</t>
        </is>
      </c>
      <c r="E60" s="2" t="inlineStr">
        <is>
          <t>32024R1689:24:4:6</t>
        </is>
      </c>
      <c r="F60" s="2" t="inlineStr">
        <is>
          <t>de non-conformiteit en de eventueel getroffen corrigerende maatregelen</t>
        </is>
      </c>
      <c r="G60" s="2" t="inlineStr">
        <is>
          <t>non-conformiteit | eventueel getroffen corrigerende maatregelen</t>
        </is>
      </c>
      <c r="H60" s="3" t="n"/>
      <c r="I60" s="3" t="n"/>
      <c r="J60" s="3" t="n"/>
      <c r="K60" s="2" t="inlineStr">
        <is>
          <t>zero same-group</t>
        </is>
      </c>
      <c r="L60" s="2" t="n">
        <v>0</v>
      </c>
      <c r="M60" s="2" t="inlineStr"/>
      <c r="N60" s="2" t="inlineStr"/>
      <c r="O60" s="2" t="inlineStr"/>
      <c r="P60" s="2" t="inlineStr">
        <is>
          <t>none</t>
        </is>
      </c>
    </row>
    <row r="61">
      <c r="A61" s="2" t="n">
        <v>60</v>
      </c>
      <c r="B61" s="2" t="inlineStr">
        <is>
          <t>32016R0679:24:1:3</t>
        </is>
      </c>
      <c r="C61" s="2" t="inlineStr">
        <is>
          <t>Die maatregelen</t>
        </is>
      </c>
      <c r="D61" s="2" t="inlineStr">
        <is>
          <t>maatregelen</t>
        </is>
      </c>
      <c r="E61" s="2" t="inlineStr">
        <is>
          <t>32016R0679:61:2:3</t>
        </is>
      </c>
      <c r="F61" s="2" t="inlineStr">
        <is>
          <t>alle passende maatregelen</t>
        </is>
      </c>
      <c r="G61" s="2" t="inlineStr">
        <is>
          <t>passende maatregelen</t>
        </is>
      </c>
      <c r="H61" s="3" t="n"/>
      <c r="I61" s="3" t="n"/>
      <c r="J61" s="3" t="n"/>
      <c r="K61" s="2" t="inlineStr">
        <is>
          <t>0.00-0.50 head</t>
        </is>
      </c>
      <c r="L61" s="2" t="n">
        <v>0.4031</v>
      </c>
      <c r="M61" s="2" t="inlineStr">
        <is>
          <t>head</t>
        </is>
      </c>
      <c r="N61" s="2" t="inlineStr">
        <is>
          <t>maatregel</t>
        </is>
      </c>
      <c r="O61" s="2" t="n">
        <v>0.4031</v>
      </c>
      <c r="P61" s="2" t="inlineStr">
        <is>
          <t>same</t>
        </is>
      </c>
    </row>
    <row r="62">
      <c r="A62" s="2" t="n">
        <v>61</v>
      </c>
      <c r="B62" s="2" t="inlineStr">
        <is>
          <t>32016R0679:9:1:1</t>
        </is>
      </c>
      <c r="C62" s="2" t="inlineStr">
        <is>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is>
      </c>
      <c r="D62" s="2" t="inlineStr">
        <is>
          <t>Verwerking van persoonsgegevens waaruit ras of etnische afkomst, politieke opvattingen, religieuze of levensbeschouwelijke overtuigingen, of het lidmaatschap van een vakbond blijkenmet betrekking tot iemands seksueel gedrag of seksuele gerichtheid</t>
        </is>
      </c>
      <c r="E62" s="2" t="inlineStr">
        <is>
          <t>32024R1689:59:1:1</t>
        </is>
      </c>
      <c r="F62" s="2" t="inlineStr">
        <is>
          <t>rechtmatig voor andere doeleinden verzamelde persoonsgegevens</t>
        </is>
      </c>
      <c r="G62" s="2" t="inlineStr">
        <is>
          <t>rechtmatig voor andere doeleinden verzamelde persoonsgegevens</t>
        </is>
      </c>
      <c r="H62" s="3" t="n"/>
      <c r="I62" s="3" t="n"/>
      <c r="J62" s="3" t="n"/>
      <c r="K62" s="2" t="inlineStr">
        <is>
          <t>0.00-0.50 noun</t>
        </is>
      </c>
      <c r="L62" s="2" t="n">
        <v>0.3028</v>
      </c>
      <c r="M62" s="2" t="inlineStr">
        <is>
          <t>noun</t>
        </is>
      </c>
      <c r="N62" s="2" t="inlineStr">
        <is>
          <t>persoonsgegev</t>
        </is>
      </c>
      <c r="O62" s="2" t="n">
        <v>0.4325</v>
      </c>
      <c r="P62" s="2" t="inlineStr">
        <is>
          <t>none</t>
        </is>
      </c>
    </row>
    <row r="63">
      <c r="A63" s="2" t="n">
        <v>62</v>
      </c>
      <c r="B63" s="2" t="inlineStr">
        <is>
          <t>32016R0679:33:2:3</t>
        </is>
      </c>
      <c r="C63" s="2" t="inlineStr">
        <is>
          <t>de verwerkingsverantwoordelijke</t>
        </is>
      </c>
      <c r="D63" s="2" t="inlineStr">
        <is>
          <t>verwerkingsverantwoordelijke</t>
        </is>
      </c>
      <c r="E63" s="2" t="inlineStr">
        <is>
          <t>32024R1689:47:4:10</t>
        </is>
      </c>
      <c r="F63" s="2" t="inlineStr">
        <is>
          <t>de verantwoordelijkheid</t>
        </is>
      </c>
      <c r="G63" s="2" t="inlineStr">
        <is>
          <t>verantwoordelijkheid</t>
        </is>
      </c>
      <c r="H63" s="3" t="n"/>
      <c r="I63" s="3" t="n"/>
      <c r="J63" s="3" t="n"/>
      <c r="K63" s="2" t="inlineStr">
        <is>
          <t>0.50-0.75 tail</t>
        </is>
      </c>
      <c r="L63" s="2" t="n">
        <v>0.5024</v>
      </c>
      <c r="M63" s="2" t="inlineStr">
        <is>
          <t>tail</t>
        </is>
      </c>
      <c r="N63" s="2" t="inlineStr">
        <is>
          <t>verantwoord</t>
        </is>
      </c>
      <c r="O63" s="2" t="n">
        <v>0.628</v>
      </c>
      <c r="P63" s="2" t="inlineStr">
        <is>
          <t>a_narrower</t>
        </is>
      </c>
    </row>
    <row r="64">
      <c r="A64" s="2" t="n">
        <v>63</v>
      </c>
      <c r="B64" s="2" t="inlineStr">
        <is>
          <t>32024R1689:36:3:6</t>
        </is>
      </c>
      <c r="C64" s="2" t="inlineStr">
        <is>
          <t>nieuwe certificaten</t>
        </is>
      </c>
      <c r="D64" s="2" t="inlineStr">
        <is>
          <t>nieuwe certificaten</t>
        </is>
      </c>
      <c r="E64" s="2" t="inlineStr">
        <is>
          <t>32024R1689:45:2:9</t>
        </is>
      </c>
      <c r="F64" s="2" t="inlineStr">
        <is>
          <t>beoordelingscertificaten van technische documentatie van de Unie of aanvullingen daarop die zij heeft geweigerd, ingetrokken, opgeschort of anderszins beperkt</t>
        </is>
      </c>
      <c r="G64" s="2" t="inlineStr">
        <is>
          <t>beoordelingscertificaten van technische documentatie van de Unie of aanvullingen die zij heeft geweigerd, ingetrokken, opgeschort of anderszins beperkt</t>
        </is>
      </c>
      <c r="H64" s="3" t="n"/>
      <c r="I64" s="3" t="n"/>
      <c r="J64" s="3" t="n"/>
      <c r="K64" s="2" t="inlineStr">
        <is>
          <t>0.00-0.50 tail</t>
        </is>
      </c>
      <c r="L64" s="2" t="n">
        <v>0.437</v>
      </c>
      <c r="M64" s="2" t="inlineStr">
        <is>
          <t>tail</t>
        </is>
      </c>
      <c r="N64" s="2" t="inlineStr">
        <is>
          <t>certificat</t>
        </is>
      </c>
      <c r="O64" s="2" t="n">
        <v>0.5462</v>
      </c>
      <c r="P64" s="2" t="inlineStr">
        <is>
          <t>b_narrower</t>
        </is>
      </c>
    </row>
    <row r="65">
      <c r="A65" s="2" t="n">
        <v>64</v>
      </c>
      <c r="B65" s="2" t="inlineStr">
        <is>
          <t>32024R1689:72:1:1</t>
        </is>
      </c>
      <c r="C65" s="2" t="inlineStr">
        <is>
          <t>een systeem voor monitoring na het in de handel brengen</t>
        </is>
      </c>
      <c r="D65" s="2" t="inlineStr">
        <is>
          <t>systeem voor monitoring na het in de handel brengen</t>
        </is>
      </c>
      <c r="E65" s="2" t="inlineStr">
        <is>
          <t>32024R1689:9:1:4</t>
        </is>
      </c>
      <c r="F65" s="2" t="inlineStr">
        <is>
          <t>een systeem voor risicobeheer</t>
        </is>
      </c>
      <c r="G65" s="2" t="inlineStr">
        <is>
          <t>systeem voor risicobeheer</t>
        </is>
      </c>
      <c r="H65" s="3" t="n"/>
      <c r="I65" s="3" t="n"/>
      <c r="J65" s="3" t="n"/>
      <c r="K65" s="2" t="inlineStr">
        <is>
          <t>0.00-0.50 head</t>
        </is>
      </c>
      <c r="L65" s="2" t="n">
        <v>0.4325</v>
      </c>
      <c r="M65" s="2" t="inlineStr">
        <is>
          <t>head</t>
        </is>
      </c>
      <c r="N65" s="2" t="inlineStr">
        <is>
          <t>system</t>
        </is>
      </c>
      <c r="O65" s="2" t="n">
        <v>0.4325</v>
      </c>
      <c r="P65" s="2" t="inlineStr">
        <is>
          <t>none</t>
        </is>
      </c>
    </row>
    <row r="66">
      <c r="A66" s="2" t="n">
        <v>65</v>
      </c>
      <c r="B66" s="2" t="inlineStr">
        <is>
          <t>32016R0679:58:1:4</t>
        </is>
      </c>
      <c r="C66" s="2" t="inlineStr">
        <is>
          <t>alle persoonsgegevens en alle informatie die noodzakelijk is voor de uitvoering van haar taken</t>
        </is>
      </c>
      <c r="D66" s="2" t="inlineStr">
        <is>
          <t>persoonsgegevens en alle informatie die noodzakelijk is voor de uitvoering van haar taken</t>
        </is>
      </c>
      <c r="E66" s="2" t="inlineStr">
        <is>
          <t>32024R1689:15:5:6</t>
        </is>
      </c>
      <c r="F66" s="2" t="inlineStr">
        <is>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is>
      </c>
      <c r="G66" s="2" t="inlineStr">
        <is>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is>
      </c>
      <c r="H66" s="3" t="n"/>
      <c r="I66" s="3" t="n"/>
      <c r="J66" s="3" t="n"/>
      <c r="K66" s="2" t="inlineStr">
        <is>
          <t>0.00-0.50 noun</t>
        </is>
      </c>
      <c r="L66" s="2" t="n">
        <v>0.336</v>
      </c>
      <c r="M66" s="2" t="inlineStr">
        <is>
          <t>noun</t>
        </is>
      </c>
      <c r="N66" s="2" t="inlineStr">
        <is>
          <t>gegev</t>
        </is>
      </c>
      <c r="O66" s="2" t="n">
        <v>0.48</v>
      </c>
      <c r="P66" s="2" t="inlineStr">
        <is>
          <t>none</t>
        </is>
      </c>
    </row>
    <row r="67">
      <c r="A67" s="2" t="n">
        <v>66</v>
      </c>
      <c r="B67" s="2" t="inlineStr">
        <is>
          <t>32016R0679:70:1:18</t>
        </is>
      </c>
      <c r="C67" s="2" t="inlineStr">
        <is>
          <t>samenwerking en effectieve bilaterale en multilaterale uitwisseling van informatie en beste praktijken tussen de toezichthoudende autoriteiten</t>
        </is>
      </c>
      <c r="D67" s="2" t="inlineStr">
        <is>
          <t>effectieve bilaterale en multilaterale uitwisseling van informatie en beste praktijken</t>
        </is>
      </c>
      <c r="E67" s="2" t="inlineStr">
        <is>
          <t>32024R1689:70:2:1</t>
        </is>
      </c>
      <c r="F67" s="2" t="inlineStr">
        <is>
          <t>informatie</t>
        </is>
      </c>
      <c r="G67" s="2" t="inlineStr">
        <is>
          <t>informatie</t>
        </is>
      </c>
      <c r="H67" s="3" t="n"/>
      <c r="I67" s="3" t="n"/>
      <c r="J67" s="3" t="n"/>
      <c r="K67" s="2" t="inlineStr">
        <is>
          <t>0.00-0.50 noun</t>
        </is>
      </c>
      <c r="L67" s="2" t="n">
        <v>0.2616</v>
      </c>
      <c r="M67" s="2" t="inlineStr">
        <is>
          <t>noun</t>
        </is>
      </c>
      <c r="N67" s="2" t="inlineStr">
        <is>
          <t>informatie</t>
        </is>
      </c>
      <c r="O67" s="2" t="n">
        <v>0.3737</v>
      </c>
      <c r="P67" s="2" t="inlineStr">
        <is>
          <t>none</t>
        </is>
      </c>
    </row>
    <row r="68">
      <c r="A68" s="2" t="n">
        <v>67</v>
      </c>
      <c r="B68" s="2" t="inlineStr">
        <is>
          <t>32016R0679:35:8:15</t>
        </is>
      </c>
      <c r="C68" s="2" t="inlineStr">
        <is>
          <t>de naleving van de in artikel 40 bedoelde goedgekeurde gedragscodes</t>
        </is>
      </c>
      <c r="D68" s="2" t="inlineStr">
        <is>
          <t>goedgekeurde gedragscodes</t>
        </is>
      </c>
      <c r="E68" s="2" t="inlineStr">
        <is>
          <t>32016R0679:40:3:5</t>
        </is>
      </c>
      <c r="F68" s="2" t="inlineStr">
        <is>
          <t>bij overeenkomstig lid 5 van dit artikel goedgekeurde gedragscodes die overeenkomstig lid 9 van dit artikel algemeen geldig zijn verklaard</t>
        </is>
      </c>
      <c r="G68" s="2" t="inlineStr">
        <is>
          <t>goedgekeurde gedragscodes die algemeen geldig zijn verklaard</t>
        </is>
      </c>
      <c r="H68" s="3" t="n"/>
      <c r="I68" s="3" t="n"/>
      <c r="J68" s="3" t="n"/>
      <c r="K68" s="2" t="inlineStr">
        <is>
          <t>0.50-0.75 head</t>
        </is>
      </c>
      <c r="L68" s="2" t="n">
        <v>0.5708</v>
      </c>
      <c r="M68" s="2" t="inlineStr">
        <is>
          <t>head</t>
        </is>
      </c>
      <c r="N68" s="2" t="inlineStr">
        <is>
          <t>gedragscod</t>
        </is>
      </c>
      <c r="O68" s="2" t="n">
        <v>0.5708</v>
      </c>
      <c r="P68" s="2" t="inlineStr">
        <is>
          <t>same</t>
        </is>
      </c>
    </row>
    <row r="69">
      <c r="A69" s="2" t="n">
        <v>68</v>
      </c>
      <c r="B69" s="2" t="inlineStr">
        <is>
          <t>32024R1689:16:whole:5</t>
        </is>
      </c>
      <c r="C69" s="2" t="inlineStr">
        <is>
          <t>een EU-conformiteitsverklaring</t>
        </is>
      </c>
      <c r="D69" s="2" t="inlineStr">
        <is>
          <t>EU-conformiteitsverklaring</t>
        </is>
      </c>
      <c r="E69" s="2" t="inlineStr">
        <is>
          <t>32024R1689:47:4:11</t>
        </is>
      </c>
      <c r="F69" s="2" t="inlineStr">
        <is>
          <t>de EU-conformiteitsverklaring</t>
        </is>
      </c>
      <c r="G69" s="2" t="inlineStr">
        <is>
          <t>EU-conformiteitsverklaring</t>
        </is>
      </c>
      <c r="H69" s="3" t="n"/>
      <c r="I69" s="3" t="n"/>
      <c r="J69" s="3" t="n"/>
      <c r="K69" s="2" t="inlineStr">
        <is>
          <t>0.75-1.00 eurovoc</t>
        </is>
      </c>
      <c r="L69" s="2" t="n">
        <v>0.7606000000000001</v>
      </c>
      <c r="M69" s="2" t="inlineStr">
        <is>
          <t>eurovoc</t>
        </is>
      </c>
      <c r="N69" s="2" t="inlineStr">
        <is>
          <t>http://eurovoc.europa.eu/1464</t>
        </is>
      </c>
      <c r="O69" s="2" t="n">
        <v>0.8451</v>
      </c>
      <c r="P69" s="2" t="inlineStr">
        <is>
          <t>same</t>
        </is>
      </c>
    </row>
    <row r="70">
      <c r="A70" s="2" t="n">
        <v>69</v>
      </c>
      <c r="B70" s="2" t="inlineStr">
        <is>
          <t>32016R0679:60:3:5</t>
        </is>
      </c>
      <c r="C70" s="2" t="inlineStr">
        <is>
          <t>alle relevante informatie over de aangelegenheid</t>
        </is>
      </c>
      <c r="D70" s="2" t="inlineStr">
        <is>
          <t>relevante informatie over de aangelegenheid</t>
        </is>
      </c>
      <c r="E70" s="2" t="inlineStr">
        <is>
          <t>32024R1689:52:1:3</t>
        </is>
      </c>
      <c r="F70" s="2" t="inlineStr">
        <is>
          <t>de informatie die nodig is om aan te tonen dat aan de desbetreffende eis is voldaan</t>
        </is>
      </c>
      <c r="G70" s="2" t="inlineStr">
        <is>
          <t>informatie die nodig is om aan te tonen dat aan de desbetreffende eis is voldaan</t>
        </is>
      </c>
      <c r="H70" s="3" t="n"/>
      <c r="I70" s="3" t="n"/>
      <c r="J70" s="3" t="n"/>
      <c r="K70" s="2" t="inlineStr">
        <is>
          <t>0.00-0.50 head</t>
        </is>
      </c>
      <c r="L70" s="2" t="n">
        <v>0.3737</v>
      </c>
      <c r="M70" s="2" t="inlineStr">
        <is>
          <t>head</t>
        </is>
      </c>
      <c r="N70" s="2" t="inlineStr">
        <is>
          <t>informatie</t>
        </is>
      </c>
      <c r="O70" s="2" t="n">
        <v>0.3737</v>
      </c>
      <c r="P70" s="2" t="inlineStr">
        <is>
          <t>none</t>
        </is>
      </c>
    </row>
    <row r="71">
      <c r="A71" s="2" t="n">
        <v>70</v>
      </c>
      <c r="B71" s="2" t="inlineStr">
        <is>
          <t>32024R1689:28:1:2</t>
        </is>
      </c>
      <c r="C71" s="2" t="inlineStr">
        <is>
          <t>een aanmeldende autoriteit</t>
        </is>
      </c>
      <c r="D71" s="2" t="inlineStr">
        <is>
          <t>aanmeldende autoriteit</t>
        </is>
      </c>
      <c r="E71" s="2" t="inlineStr">
        <is>
          <t>32024R1689:70:3:6</t>
        </is>
      </c>
      <c r="F71" s="2" t="inlineStr">
        <is>
          <t>hun nationale bevoegde autoriteiten over voldoende technische, financiële en personele middelen en over passende infrastructuur beschikken</t>
        </is>
      </c>
      <c r="G71" s="2" t="inlineStr">
        <is>
          <t>nationale bevoegde autoriteiten over voldoende technische, financiële en personele middelen en over passende infrastructuur beschikken</t>
        </is>
      </c>
      <c r="H71" s="3" t="n"/>
      <c r="I71" s="3" t="n"/>
      <c r="J71" s="3" t="n"/>
      <c r="K71" s="2" t="inlineStr">
        <is>
          <t>0.50-0.75 eurovoc</t>
        </is>
      </c>
      <c r="L71" s="2" t="n">
        <v>0.5958</v>
      </c>
      <c r="M71" s="2" t="inlineStr">
        <is>
          <t>eurovoc</t>
        </is>
      </c>
      <c r="N71" s="2" t="inlineStr">
        <is>
          <t>http://eurovoc.europa.eu/c_71b063b1</t>
        </is>
      </c>
      <c r="O71" s="2" t="n">
        <v>0.662</v>
      </c>
      <c r="P71" s="2" t="inlineStr">
        <is>
          <t>b_narrower</t>
        </is>
      </c>
    </row>
    <row r="72">
      <c r="A72" s="2" t="n">
        <v>71</v>
      </c>
      <c r="B72" s="2" t="inlineStr">
        <is>
          <t>32016R0679:28:4:5</t>
        </is>
      </c>
      <c r="C72" s="2" t="inlineStr">
        <is>
          <t>voor het nakomen van de verplichtingen van die andere verwerker</t>
        </is>
      </c>
      <c r="D72" s="2" t="inlineStr">
        <is>
          <t>verplichtingen van die andere verwerker</t>
        </is>
      </c>
      <c r="E72" s="2" t="inlineStr">
        <is>
          <t>32024R1689:63:2:1</t>
        </is>
      </c>
      <c r="F72" s="2" t="inlineStr">
        <is>
          <t>de naleving van andere in deze verordening vastgelegde eisen of verplichtingen</t>
        </is>
      </c>
      <c r="G72" s="2" t="inlineStr">
        <is>
          <t>verplichtingen</t>
        </is>
      </c>
      <c r="H72" s="3" t="n"/>
      <c r="I72" s="3" t="n"/>
      <c r="J72" s="3" t="n"/>
      <c r="K72" s="2" t="inlineStr">
        <is>
          <t>0.50-0.75 head</t>
        </is>
      </c>
      <c r="L72" s="2" t="n">
        <v>0.5205</v>
      </c>
      <c r="M72" s="2" t="inlineStr">
        <is>
          <t>head</t>
        </is>
      </c>
      <c r="N72" s="2" t="inlineStr">
        <is>
          <t>verplicht</t>
        </is>
      </c>
      <c r="O72" s="2" t="n">
        <v>0.5205</v>
      </c>
      <c r="P72" s="2" t="inlineStr">
        <is>
          <t>a_narrower</t>
        </is>
      </c>
    </row>
    <row r="73">
      <c r="A73" s="2" t="n">
        <v>72</v>
      </c>
      <c r="B73" s="2" t="inlineStr">
        <is>
          <t>32016R0679:43:6:8</t>
        </is>
      </c>
      <c r="C73" s="2" t="inlineStr">
        <is>
          <t>die eisen en criteria</t>
        </is>
      </c>
      <c r="D73" s="2" t="inlineStr">
        <is>
          <t>eisen</t>
        </is>
      </c>
      <c r="E73" s="2" t="inlineStr">
        <is>
          <t>32024R1689:8:1:1</t>
        </is>
      </c>
      <c r="F73" s="2" t="inlineStr">
        <is>
          <t>de eisen van deze afdeling</t>
        </is>
      </c>
      <c r="G73" s="2" t="inlineStr">
        <is>
          <t>eisen</t>
        </is>
      </c>
      <c r="H73" s="3" t="n"/>
      <c r="I73" s="3" t="n"/>
      <c r="J73" s="3" t="n"/>
      <c r="K73" s="2" t="inlineStr">
        <is>
          <t>0.75-1.00 eurovoc</t>
        </is>
      </c>
      <c r="L73" s="2" t="n">
        <v>0.7606000000000001</v>
      </c>
      <c r="M73" s="2" t="inlineStr">
        <is>
          <t>eurovoc</t>
        </is>
      </c>
      <c r="N73" s="2" t="inlineStr">
        <is>
          <t>http://eurovoc.europa.eu/2121</t>
        </is>
      </c>
      <c r="O73" s="2" t="n">
        <v>0.8451</v>
      </c>
      <c r="P73" s="2" t="inlineStr">
        <is>
          <t>same</t>
        </is>
      </c>
    </row>
    <row r="74">
      <c r="A74" s="2" t="n">
        <v>73</v>
      </c>
      <c r="B74" s="2" t="inlineStr">
        <is>
          <t>32024R1689:36:1:1</t>
        </is>
      </c>
      <c r="C74" s="2" t="inlineStr">
        <is>
          <t>alle relevante wijzigingen in de aanmelding van een aangemelde instantie</t>
        </is>
      </c>
      <c r="D74" s="2" t="inlineStr">
        <is>
          <t>relevante wijzigingen in de aanmelding van een aangemelde instantie</t>
        </is>
      </c>
      <c r="E74" s="2" t="inlineStr">
        <is>
          <t>32024R1689:36:4:8</t>
        </is>
      </c>
      <c r="F74" s="2" t="inlineStr">
        <is>
          <t>de kwestie</t>
        </is>
      </c>
      <c r="G74" s="2" t="inlineStr">
        <is>
          <t>kwestie</t>
        </is>
      </c>
      <c r="H74" s="3" t="n"/>
      <c r="I74" s="3" t="n"/>
      <c r="J74" s="3" t="n"/>
      <c r="K74" s="2" t="inlineStr">
        <is>
          <t>zero same-group</t>
        </is>
      </c>
      <c r="L74" s="2" t="n">
        <v>0</v>
      </c>
      <c r="M74" s="2" t="inlineStr"/>
      <c r="N74" s="2" t="inlineStr"/>
      <c r="O74" s="2" t="inlineStr"/>
      <c r="P74" s="2" t="inlineStr">
        <is>
          <t>none</t>
        </is>
      </c>
    </row>
    <row r="75">
      <c r="A75" s="2" t="n">
        <v>74</v>
      </c>
      <c r="B75" s="2" t="inlineStr">
        <is>
          <t>32024R1689:33:1:2</t>
        </is>
      </c>
      <c r="C75" s="2" t="inlineStr">
        <is>
          <t>de aanmeldende autoriteit</t>
        </is>
      </c>
      <c r="D75" s="2" t="inlineStr">
        <is>
          <t>aanmeldende autoriteit</t>
        </is>
      </c>
      <c r="E75" s="2" t="inlineStr">
        <is>
          <t>32024R1689:74:3:1</t>
        </is>
      </c>
      <c r="F75" s="2" t="inlineStr">
        <is>
          <t>een andere relevante autoriteit</t>
        </is>
      </c>
      <c r="G75" s="2" t="inlineStr">
        <is>
          <t>relevante autoriteit</t>
        </is>
      </c>
      <c r="H75" s="3" t="n"/>
      <c r="I75" s="3" t="n"/>
      <c r="J75" s="3" t="n"/>
      <c r="K75" s="2" t="inlineStr">
        <is>
          <t>0.50-0.75 eurovoc</t>
        </is>
      </c>
      <c r="L75" s="2" t="n">
        <v>0.5958</v>
      </c>
      <c r="M75" s="2" t="inlineStr">
        <is>
          <t>eurovoc</t>
        </is>
      </c>
      <c r="N75" s="2" t="inlineStr">
        <is>
          <t>http://eurovoc.europa.eu/c_71b063b1</t>
        </is>
      </c>
      <c r="O75" s="2" t="n">
        <v>0.662</v>
      </c>
      <c r="P75" s="2" t="inlineStr">
        <is>
          <t>same</t>
        </is>
      </c>
    </row>
    <row r="76">
      <c r="A76" s="2" t="n">
        <v>75</v>
      </c>
      <c r="B76" s="2" t="inlineStr">
        <is>
          <t>32024R1689:65:6:6</t>
        </is>
      </c>
      <c r="C76" s="2" t="inlineStr">
        <is>
          <t>andere permanente of tijdelijke subgroepen</t>
        </is>
      </c>
      <c r="D76" s="2" t="inlineStr">
        <is>
          <t>permanente of tijdelijke subgroepen</t>
        </is>
      </c>
      <c r="E76" s="2" t="inlineStr">
        <is>
          <t>32024R1689:67:9:11</t>
        </is>
      </c>
      <c r="F76" s="2" t="inlineStr">
        <is>
          <t>permanente of tijdelijke subgroepen</t>
        </is>
      </c>
      <c r="G76" s="2" t="inlineStr">
        <is>
          <t>permanente of tijdelijke subgroepen</t>
        </is>
      </c>
      <c r="H76" s="3" t="n"/>
      <c r="I76" s="3" t="n"/>
      <c r="J76" s="3" t="n"/>
      <c r="K76" s="2" t="inlineStr">
        <is>
          <t>0.75-1.00 head</t>
        </is>
      </c>
      <c r="L76" s="2" t="n">
        <v>0.8046</v>
      </c>
      <c r="M76" s="2" t="inlineStr">
        <is>
          <t>head</t>
        </is>
      </c>
      <c r="N76" s="2" t="inlineStr">
        <is>
          <t>subgroep</t>
        </is>
      </c>
      <c r="O76" s="2" t="n">
        <v>0.8046</v>
      </c>
      <c r="P76" s="2" t="inlineStr">
        <is>
          <t>same</t>
        </is>
      </c>
    </row>
    <row r="77">
      <c r="A77" s="2" t="n">
        <v>76</v>
      </c>
      <c r="B77" s="2" t="inlineStr">
        <is>
          <t>32024R1689:93:1:4</t>
        </is>
      </c>
      <c r="C77" s="2" t="inlineStr">
        <is>
          <t>het model</t>
        </is>
      </c>
      <c r="D77" s="2" t="inlineStr">
        <is>
          <t>model</t>
        </is>
      </c>
      <c r="E77" s="2" t="inlineStr">
        <is>
          <t>32024R1689:93:1:5</t>
        </is>
      </c>
      <c r="F77" s="2" t="inlineStr">
        <is>
          <t>het model</t>
        </is>
      </c>
      <c r="G77" s="2" t="inlineStr">
        <is>
          <t>model</t>
        </is>
      </c>
      <c r="H77" s="3" t="n"/>
      <c r="I77" s="3" t="n"/>
      <c r="J77" s="3" t="n"/>
      <c r="K77" s="2" t="inlineStr">
        <is>
          <t>0.50-0.75 head</t>
        </is>
      </c>
      <c r="L77" s="2" t="n">
        <v>0.6754</v>
      </c>
      <c r="M77" s="2" t="inlineStr">
        <is>
          <t>head</t>
        </is>
      </c>
      <c r="N77" s="2" t="inlineStr">
        <is>
          <t>model</t>
        </is>
      </c>
      <c r="O77" s="2" t="n">
        <v>0.6754</v>
      </c>
      <c r="P77" s="2" t="inlineStr">
        <is>
          <t>same</t>
        </is>
      </c>
    </row>
    <row r="78">
      <c r="A78" s="2" t="n">
        <v>77</v>
      </c>
      <c r="B78" s="2" t="inlineStr">
        <is>
          <t>32016R0679:54:1:4</t>
        </is>
      </c>
      <c r="C78" s="2" t="inlineStr">
        <is>
          <t>de regels en procedures voor de benoeming van het lid of de leden van elke toezichthoudende autoriteit</t>
        </is>
      </c>
      <c r="D78" s="2" t="inlineStr">
        <is>
          <t>regels voor de benoeming of de leden van elke toezichthoudende autoriteit</t>
        </is>
      </c>
      <c r="E78" s="2" t="inlineStr">
        <is>
          <t>32024R1689:59:1:8</t>
        </is>
      </c>
      <c r="F78" s="2" t="inlineStr">
        <is>
          <t>tot maatregelen of besluiten</t>
        </is>
      </c>
      <c r="G78" s="2" t="inlineStr">
        <is>
          <t>maatregelen of besluiten</t>
        </is>
      </c>
      <c r="H78" s="3" t="n"/>
      <c r="I78" s="3" t="n"/>
      <c r="J78" s="3" t="n"/>
      <c r="K78" s="2" t="inlineStr">
        <is>
          <t>0.00-0.50 tail</t>
        </is>
      </c>
      <c r="L78" s="2" t="n">
        <v>0.3116</v>
      </c>
      <c r="M78" s="2" t="inlineStr">
        <is>
          <t>tail</t>
        </is>
      </c>
      <c r="N78" s="2" t="inlineStr">
        <is>
          <t>regel</t>
        </is>
      </c>
      <c r="O78" s="2" t="n">
        <v>0.3895</v>
      </c>
      <c r="P78" s="2" t="inlineStr">
        <is>
          <t>b_narrower</t>
        </is>
      </c>
    </row>
    <row r="79">
      <c r="A79" s="2" t="n">
        <v>78</v>
      </c>
      <c r="B79" s="2" t="inlineStr">
        <is>
          <t>32016R0679:37:4:4</t>
        </is>
      </c>
      <c r="C79" s="2" t="inlineStr">
        <is>
          <t>een functionaris voor gegevensbescherming</t>
        </is>
      </c>
      <c r="D79" s="2" t="inlineStr">
        <is>
          <t>functionaris voor gegevensbescherming</t>
        </is>
      </c>
      <c r="E79" s="2" t="inlineStr">
        <is>
          <t>32024R1689:59:1:9</t>
        </is>
      </c>
      <c r="F79" s="2" t="inlineStr">
        <is>
          <t>in het kader van de testomgeving verwerkte persoonsgegevens</t>
        </is>
      </c>
      <c r="G79" s="2" t="inlineStr">
        <is>
          <t>kader van de testomgeving verwerkte persoonsgegevens</t>
        </is>
      </c>
      <c r="H79" s="3" t="n"/>
      <c r="I79" s="3" t="n"/>
      <c r="J79" s="3" t="n"/>
      <c r="K79" s="2" t="inlineStr">
        <is>
          <t>0.00-0.50 eurovoc</t>
        </is>
      </c>
      <c r="L79" s="2" t="n">
        <v>0.4288</v>
      </c>
      <c r="M79" s="2" t="inlineStr">
        <is>
          <t>eurovoc</t>
        </is>
      </c>
      <c r="N79" s="2" t="inlineStr">
        <is>
          <t>http://eurovoc.europa.eu/5181</t>
        </is>
      </c>
      <c r="O79" s="2" t="n">
        <v>0.4765</v>
      </c>
      <c r="P79" s="2" t="inlineStr">
        <is>
          <t>none</t>
        </is>
      </c>
    </row>
    <row r="80">
      <c r="A80" s="2" t="n">
        <v>79</v>
      </c>
      <c r="B80" s="2" t="inlineStr">
        <is>
          <t>32024R1689:112:12:20</t>
        </is>
      </c>
      <c r="C80" s="2" t="inlineStr">
        <is>
          <t>de regelgevingsspecificaties van elke sector, met de bestaande mechanismen voor governance, conformiteitsbeoordeling en handhaving en met de autoriteiten die daarin zijn vastgesteld</t>
        </is>
      </c>
      <c r="D80" s="2" t="inlineStr">
        <is>
          <t>regelgevingsspecificaties van elke sector, met de bestaande mechanismen voor governance, conformiteitsbeoordeling en handhaving en met de autoriteiten die zijn vastgesteld</t>
        </is>
      </c>
      <c r="E80" s="2" t="inlineStr">
        <is>
          <t>32024R1689:112:3:6</t>
        </is>
      </c>
      <c r="F80" s="2" t="inlineStr">
        <is>
          <t>een beoordeling van de structuur van de handhaving en de eventuele noodzaak van een Agentschap van de Unie om vastgestelde tekortkomingen op te lossen</t>
        </is>
      </c>
      <c r="G80" s="2" t="inlineStr">
        <is>
          <t>beoordeling van de structuur van de handhaving en de eventuele noodzaak van een Agentschap van de Unie om vastgestelde tekortkomingen op te lossen</t>
        </is>
      </c>
      <c r="H80" s="3" t="n"/>
      <c r="I80" s="3" t="n"/>
      <c r="J80" s="3" t="n"/>
      <c r="K80" s="2" t="inlineStr">
        <is>
          <t>0.50-0.75 noun</t>
        </is>
      </c>
      <c r="L80" s="2" t="n">
        <v>0.5232</v>
      </c>
      <c r="M80" s="2" t="inlineStr">
        <is>
          <t>noun</t>
        </is>
      </c>
      <c r="N80" s="2" t="inlineStr">
        <is>
          <t>handhav</t>
        </is>
      </c>
      <c r="O80" s="2" t="n">
        <v>0.7474</v>
      </c>
      <c r="P80" s="2" t="inlineStr">
        <is>
          <t>none</t>
        </is>
      </c>
    </row>
    <row r="81">
      <c r="A81" s="2" t="n">
        <v>80</v>
      </c>
      <c r="B81" s="2" t="inlineStr">
        <is>
          <t>32016R0679:87:whole:2</t>
        </is>
      </c>
      <c r="C81" s="2" t="inlineStr">
        <is>
          <t>het nationale identificatienummer of enige andere identificator van algemene aard</t>
        </is>
      </c>
      <c r="D81" s="2" t="inlineStr">
        <is>
          <t>nationale identificatienummer van algemene aard</t>
        </is>
      </c>
      <c r="E81" s="2" t="inlineStr">
        <is>
          <t>32024R1689:35:1:1</t>
        </is>
      </c>
      <c r="F81" s="2" t="inlineStr">
        <is>
          <t>één enkel identificatienummer</t>
        </is>
      </c>
      <c r="G81" s="2" t="inlineStr">
        <is>
          <t>één enkel identificatienummer</t>
        </is>
      </c>
      <c r="H81" s="3" t="n"/>
      <c r="I81" s="3" t="n"/>
      <c r="J81" s="3" t="n"/>
      <c r="K81" s="2" t="inlineStr">
        <is>
          <t>0.75-1.00 head</t>
        </is>
      </c>
      <c r="L81" s="2" t="n">
        <v>0.8046</v>
      </c>
      <c r="M81" s="2" t="inlineStr">
        <is>
          <t>head</t>
        </is>
      </c>
      <c r="N81" s="2" t="inlineStr">
        <is>
          <t>identificatienummer</t>
        </is>
      </c>
      <c r="O81" s="2" t="n">
        <v>0.8046</v>
      </c>
      <c r="P81" s="2" t="inlineStr">
        <is>
          <t>a_narrower</t>
        </is>
      </c>
    </row>
    <row r="82">
      <c r="A82" s="2" t="n">
        <v>81</v>
      </c>
      <c r="B82" s="2" t="inlineStr">
        <is>
          <t>32016R0679:75:6:8</t>
        </is>
      </c>
      <c r="C82" s="2" t="inlineStr">
        <is>
          <t>de vertaling van relevante informatie</t>
        </is>
      </c>
      <c r="D82" s="2" t="inlineStr">
        <is>
          <t>vertaling van relevante informatie</t>
        </is>
      </c>
      <c r="E82" s="2" t="inlineStr">
        <is>
          <t>32024R1689:25:2:8</t>
        </is>
      </c>
      <c r="F82" s="2" t="inlineStr">
        <is>
          <t>de nodige informatie</t>
        </is>
      </c>
      <c r="G82" s="2" t="inlineStr">
        <is>
          <t>nodige informatie</t>
        </is>
      </c>
      <c r="H82" s="3" t="n"/>
      <c r="I82" s="3" t="n"/>
      <c r="J82" s="3" t="n"/>
      <c r="K82" s="2" t="inlineStr">
        <is>
          <t>0.00-0.50 noun</t>
        </is>
      </c>
      <c r="L82" s="2" t="n">
        <v>0.2616</v>
      </c>
      <c r="M82" s="2" t="inlineStr">
        <is>
          <t>noun</t>
        </is>
      </c>
      <c r="N82" s="2" t="inlineStr">
        <is>
          <t>informatie</t>
        </is>
      </c>
      <c r="O82" s="2" t="n">
        <v>0.3737</v>
      </c>
      <c r="P82" s="2" t="inlineStr">
        <is>
          <t>none</t>
        </is>
      </c>
    </row>
    <row r="83">
      <c r="A83" s="2" t="n">
        <v>82</v>
      </c>
      <c r="B83" s="2" t="inlineStr">
        <is>
          <t>32016R0679:35:11:18</t>
        </is>
      </c>
      <c r="C83" s="2" t="inlineStr">
        <is>
          <t>een toetsing</t>
        </is>
      </c>
      <c r="D83" s="2" t="inlineStr">
        <is>
          <t>toetsing</t>
        </is>
      </c>
      <c r="E83" s="2" t="inlineStr">
        <is>
          <t>32016R0679:57:1:25</t>
        </is>
      </c>
      <c r="F83" s="2" t="inlineStr">
        <is>
          <t>een periodieke toetsing van de overeenkomstig artikel 42, lid 7, afgegeven certificeringen</t>
        </is>
      </c>
      <c r="G83" s="2" t="inlineStr">
        <is>
          <t>periodieke toetsing van de afgegeven certificeringen</t>
        </is>
      </c>
      <c r="H83" s="3" t="n"/>
      <c r="I83" s="3" t="n"/>
      <c r="J83" s="3" t="n"/>
      <c r="K83" s="2" t="inlineStr">
        <is>
          <t>0.75-1.00 head</t>
        </is>
      </c>
      <c r="L83" s="2" t="n">
        <v>0.7731</v>
      </c>
      <c r="M83" s="2" t="inlineStr">
        <is>
          <t>head</t>
        </is>
      </c>
      <c r="N83" s="2" t="inlineStr">
        <is>
          <t>toetsing</t>
        </is>
      </c>
      <c r="O83" s="2" t="n">
        <v>0.7731</v>
      </c>
      <c r="P83" s="2" t="inlineStr">
        <is>
          <t>b_narrower</t>
        </is>
      </c>
    </row>
    <row r="84">
      <c r="A84" s="2" t="n">
        <v>83</v>
      </c>
      <c r="B84" s="2" t="inlineStr">
        <is>
          <t>32016R0679:60:10:23</t>
        </is>
      </c>
      <c r="C84" s="2" t="inlineStr">
        <is>
          <t>de nodige maatregelen</t>
        </is>
      </c>
      <c r="D84" s="2" t="inlineStr">
        <is>
          <t>nodige maatregelen</t>
        </is>
      </c>
      <c r="E84" s="2" t="inlineStr">
        <is>
          <t>32016R0679:61:7:11</t>
        </is>
      </c>
      <c r="F84" s="2" t="inlineStr">
        <is>
          <t>regels</t>
        </is>
      </c>
      <c r="G84" s="2" t="inlineStr">
        <is>
          <t>regels</t>
        </is>
      </c>
      <c r="H84" s="3" t="n"/>
      <c r="I84" s="3" t="n"/>
      <c r="J84" s="3" t="n"/>
      <c r="K84" s="2" t="inlineStr">
        <is>
          <t>0.00-0.50 tail</t>
        </is>
      </c>
      <c r="L84" s="2" t="n">
        <v>0.3116</v>
      </c>
      <c r="M84" s="2" t="inlineStr">
        <is>
          <t>tail</t>
        </is>
      </c>
      <c r="N84" s="2" t="inlineStr">
        <is>
          <t>regel</t>
        </is>
      </c>
      <c r="O84" s="2" t="n">
        <v>0.3895</v>
      </c>
      <c r="P84" s="2" t="inlineStr">
        <is>
          <t>a_narrower</t>
        </is>
      </c>
    </row>
    <row r="85">
      <c r="A85" s="2" t="n">
        <v>84</v>
      </c>
      <c r="B85" s="2" t="inlineStr">
        <is>
          <t>32016R0679:78:1:1</t>
        </is>
      </c>
      <c r="C85" s="2" t="inlineStr">
        <is>
          <t>een doeltreffende voorziening in rechte</t>
        </is>
      </c>
      <c r="D85" s="2" t="inlineStr">
        <is>
          <t>doeltreffende voorziening in rechte</t>
        </is>
      </c>
      <c r="E85" s="2" t="inlineStr">
        <is>
          <t>32016R0679:78:2:2</t>
        </is>
      </c>
      <c r="F85" s="2" t="inlineStr">
        <is>
          <t>een doeltreffende voorziening in rechte</t>
        </is>
      </c>
      <c r="G85" s="2" t="inlineStr">
        <is>
          <t>doeltreffende voorziening in rechte</t>
        </is>
      </c>
      <c r="H85" s="3" t="n"/>
      <c r="I85" s="3" t="n"/>
      <c r="J85" s="3" t="n"/>
      <c r="K85" s="2" t="inlineStr">
        <is>
          <t>0.75-1.00 head</t>
        </is>
      </c>
      <c r="L85" s="2" t="n">
        <v>0.7731</v>
      </c>
      <c r="M85" s="2" t="inlineStr">
        <is>
          <t>head</t>
        </is>
      </c>
      <c r="N85" s="2" t="inlineStr">
        <is>
          <t>voorzien</t>
        </is>
      </c>
      <c r="O85" s="2" t="n">
        <v>0.7731</v>
      </c>
      <c r="P85" s="2" t="inlineStr">
        <is>
          <t>same</t>
        </is>
      </c>
    </row>
    <row r="86">
      <c r="A86" s="2" t="n">
        <v>85</v>
      </c>
      <c r="B86" s="2" t="inlineStr">
        <is>
          <t>32016R0679:28:4:6</t>
        </is>
      </c>
      <c r="C86" s="2" t="inlineStr">
        <is>
          <t>dezelfde verplichtingen inzake gegevensbescherming</t>
        </is>
      </c>
      <c r="D86" s="2" t="inlineStr">
        <is>
          <t>dezelfde verplichtingen inzake gegevensbescherming</t>
        </is>
      </c>
      <c r="E86" s="2" t="inlineStr">
        <is>
          <t>32024R1689:26:8:16</t>
        </is>
      </c>
      <c r="F86" s="2" t="inlineStr">
        <is>
          <t>de in artikel 49 bedoelde registratieverplichtingen</t>
        </is>
      </c>
      <c r="G86" s="2" t="inlineStr">
        <is>
          <t>registratieverplichtingen</t>
        </is>
      </c>
      <c r="H86" s="3" t="n"/>
      <c r="I86" s="3" t="n"/>
      <c r="J86" s="3" t="n"/>
      <c r="K86" s="2" t="inlineStr">
        <is>
          <t>0.00-0.50 eurovoc</t>
        </is>
      </c>
      <c r="L86" s="2" t="n">
        <v>0.4866</v>
      </c>
      <c r="M86" s="2" t="inlineStr">
        <is>
          <t>eurovoc</t>
        </is>
      </c>
      <c r="N86" s="2" t="inlineStr">
        <is>
          <t>http://eurovoc.europa.eu/164</t>
        </is>
      </c>
      <c r="O86" s="2" t="n">
        <v>0.5407</v>
      </c>
      <c r="P86" s="2" t="inlineStr">
        <is>
          <t>b_narrower</t>
        </is>
      </c>
    </row>
    <row r="87">
      <c r="A87" s="2" t="n">
        <v>86</v>
      </c>
      <c r="B87" s="2" t="inlineStr">
        <is>
          <t>32016R0679:61:2:3</t>
        </is>
      </c>
      <c r="C87" s="2" t="inlineStr">
        <is>
          <t>alle passende maatregelen</t>
        </is>
      </c>
      <c r="D87" s="2" t="inlineStr">
        <is>
          <t>passende maatregelen</t>
        </is>
      </c>
      <c r="E87" s="2" t="inlineStr">
        <is>
          <t>32024R1689:73:8:9</t>
        </is>
      </c>
      <c r="F87" s="2" t="inlineStr">
        <is>
          <t>passende maatregelen</t>
        </is>
      </c>
      <c r="G87" s="2" t="inlineStr">
        <is>
          <t>passende maatregelen</t>
        </is>
      </c>
      <c r="H87" s="3" t="n"/>
      <c r="I87" s="3" t="n"/>
      <c r="J87" s="3" t="n"/>
      <c r="K87" s="2" t="inlineStr">
        <is>
          <t>0.50-0.75 eurovoc</t>
        </is>
      </c>
      <c r="L87" s="2" t="n">
        <v>0.5482</v>
      </c>
      <c r="M87" s="2" t="inlineStr">
        <is>
          <t>eurovoc</t>
        </is>
      </c>
      <c r="N87" s="2" t="inlineStr">
        <is>
          <t>http://eurovoc.europa.eu/c_cef8ea9d</t>
        </is>
      </c>
      <c r="O87" s="2" t="n">
        <v>0.6091</v>
      </c>
      <c r="P87" s="2" t="inlineStr">
        <is>
          <t>same</t>
        </is>
      </c>
    </row>
    <row r="88">
      <c r="A88" s="2" t="n">
        <v>87</v>
      </c>
      <c r="B88" s="2" t="inlineStr">
        <is>
          <t>32016R0679:67:whole:2</t>
        </is>
      </c>
      <c r="C88" s="2" t="inlineStr">
        <is>
          <t>uitvoeringshandelingen van algemene aard</t>
        </is>
      </c>
      <c r="D88" s="2" t="inlineStr">
        <is>
          <t>uitvoeringshandelingen van algemene aard</t>
        </is>
      </c>
      <c r="E88" s="2" t="inlineStr">
        <is>
          <t>32024R1689:72:1:1</t>
        </is>
      </c>
      <c r="F88" s="2" t="inlineStr">
        <is>
          <t>een systeem voor monitoring na het in de handel brengen</t>
        </is>
      </c>
      <c r="G88" s="2" t="inlineStr">
        <is>
          <t>systeem voor monitoring na het in de handel brengen</t>
        </is>
      </c>
      <c r="H88" s="3" t="n"/>
      <c r="I88" s="3" t="n"/>
      <c r="J88" s="3" t="n"/>
      <c r="K88" s="2" t="inlineStr">
        <is>
          <t>0.00-0.50 noun</t>
        </is>
      </c>
      <c r="L88" s="2" t="n">
        <v>0.336</v>
      </c>
      <c r="M88" s="2" t="inlineStr">
        <is>
          <t>noun</t>
        </is>
      </c>
      <c r="N88" s="2" t="inlineStr">
        <is>
          <t>handel</t>
        </is>
      </c>
      <c r="O88" s="2" t="n">
        <v>0.48</v>
      </c>
      <c r="P88" s="2" t="inlineStr">
        <is>
          <t>none</t>
        </is>
      </c>
    </row>
    <row r="89">
      <c r="A89" s="2" t="n">
        <v>88</v>
      </c>
      <c r="B89" s="2" t="inlineStr">
        <is>
          <t>32016R0679:15:1:2</t>
        </is>
      </c>
      <c r="C89" s="2" t="inlineStr">
        <is>
          <t>die persoonsgegevens en van de volgende informatie</t>
        </is>
      </c>
      <c r="D89" s="2" t="inlineStr">
        <is>
          <t>van de volgende informatie</t>
        </is>
      </c>
      <c r="E89" s="2" t="inlineStr">
        <is>
          <t>32024R1689:26:9:18</t>
        </is>
      </c>
      <c r="F89" s="2" t="inlineStr">
        <is>
          <t>de informatie die op grond van artikel 13 van deze verordening wordt verstrekt</t>
        </is>
      </c>
      <c r="G89" s="2" t="inlineStr">
        <is>
          <t>informatie die wordt verstrekt</t>
        </is>
      </c>
      <c r="H89" s="3" t="n"/>
      <c r="I89" s="3" t="n"/>
      <c r="J89" s="3" t="n"/>
      <c r="K89" s="2" t="inlineStr">
        <is>
          <t>0.00-0.50 head</t>
        </is>
      </c>
      <c r="L89" s="2" t="n">
        <v>0.3737</v>
      </c>
      <c r="M89" s="2" t="inlineStr">
        <is>
          <t>head</t>
        </is>
      </c>
      <c r="N89" s="2" t="inlineStr">
        <is>
          <t>informatie</t>
        </is>
      </c>
      <c r="O89" s="2" t="n">
        <v>0.3737</v>
      </c>
      <c r="P89" s="2" t="inlineStr">
        <is>
          <t>same</t>
        </is>
      </c>
    </row>
    <row r="90">
      <c r="A90" s="2" t="n">
        <v>89</v>
      </c>
      <c r="B90" s="2" t="inlineStr">
        <is>
          <t>32016R0679:34:4:4</t>
        </is>
      </c>
      <c r="C90" s="2" t="inlineStr">
        <is>
          <t>dat aan een van de in lid 3 bedoelde voorwaarden is voldaan</t>
        </is>
      </c>
      <c r="D90" s="2" t="inlineStr">
        <is>
          <t>aan een van de voorwaarden is voldaan</t>
        </is>
      </c>
      <c r="E90" s="2" t="inlineStr">
        <is>
          <t>32024R1689:25:4:13</t>
        </is>
      </c>
      <c r="F90" s="2" t="inlineStr">
        <is>
          <t>vrijwillige modelvoorwaarden</t>
        </is>
      </c>
      <c r="G90" s="2" t="inlineStr">
        <is>
          <t>vrijwillige modelvoorwaarden</t>
        </is>
      </c>
      <c r="H90" s="3" t="n"/>
      <c r="I90" s="3" t="n"/>
      <c r="J90" s="3" t="n"/>
      <c r="K90" s="2" t="inlineStr">
        <is>
          <t>0.50-0.75 tail</t>
        </is>
      </c>
      <c r="L90" s="2" t="n">
        <v>0.5024</v>
      </c>
      <c r="M90" s="2" t="inlineStr">
        <is>
          <t>tail</t>
        </is>
      </c>
      <c r="N90" s="2" t="inlineStr">
        <is>
          <t>voorwaard</t>
        </is>
      </c>
      <c r="O90" s="2" t="n">
        <v>0.628</v>
      </c>
      <c r="P90" s="2" t="inlineStr">
        <is>
          <t>b_narrower</t>
        </is>
      </c>
    </row>
    <row r="91">
      <c r="A91" s="2" t="n">
        <v>90</v>
      </c>
      <c r="B91" s="2" t="inlineStr">
        <is>
          <t>32024R1689:99:1:1</t>
        </is>
      </c>
      <c r="C91" s="2" t="inlineStr">
        <is>
          <t>de voorschriften</t>
        </is>
      </c>
      <c r="D91" s="2" t="inlineStr">
        <is>
          <t>voorschriften</t>
        </is>
      </c>
      <c r="E91" s="2" t="inlineStr">
        <is>
          <t>32024R1689:99:7:11</t>
        </is>
      </c>
      <c r="F91" s="2" t="inlineStr">
        <is>
          <t>alle relevante omstandigheden van de specifieke situatie</t>
        </is>
      </c>
      <c r="G91" s="2" t="inlineStr">
        <is>
          <t>relevante omstandigheden van de specifieke situatie</t>
        </is>
      </c>
      <c r="H91" s="3" t="n"/>
      <c r="I91" s="3" t="n"/>
      <c r="J91" s="3" t="n"/>
      <c r="K91" s="2" t="inlineStr">
        <is>
          <t>zero same-group</t>
        </is>
      </c>
      <c r="L91" s="2" t="n">
        <v>0</v>
      </c>
      <c r="M91" s="2" t="inlineStr"/>
      <c r="N91" s="2" t="inlineStr"/>
      <c r="O91" s="2" t="inlineStr"/>
      <c r="P91" s="2" t="inlineStr">
        <is>
          <t>none</t>
        </is>
      </c>
    </row>
    <row r="92">
      <c r="A92" s="2" t="n">
        <v>91</v>
      </c>
      <c r="B92" s="2" t="inlineStr">
        <is>
          <t>32016R0679:54:1:7</t>
        </is>
      </c>
      <c r="C92" s="2" t="inlineStr">
        <is>
          <t>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is>
      </c>
      <c r="D92" s="2" t="inlineStr">
        <is>
          <t>voorwaarden in verband met de plichten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is>
      </c>
      <c r="E92" s="2" t="inlineStr">
        <is>
          <t>32024R1689:25:4:13</t>
        </is>
      </c>
      <c r="F92" s="2" t="inlineStr">
        <is>
          <t>vrijwillige modelvoorwaarden</t>
        </is>
      </c>
      <c r="G92" s="2" t="inlineStr">
        <is>
          <t>vrijwillige modelvoorwaarden</t>
        </is>
      </c>
      <c r="H92" s="3" t="n"/>
      <c r="I92" s="3" t="n"/>
      <c r="J92" s="3" t="n"/>
      <c r="K92" s="2" t="inlineStr">
        <is>
          <t>0.50-0.75 tail</t>
        </is>
      </c>
      <c r="L92" s="2" t="n">
        <v>0.5024</v>
      </c>
      <c r="M92" s="2" t="inlineStr">
        <is>
          <t>tail</t>
        </is>
      </c>
      <c r="N92" s="2" t="inlineStr">
        <is>
          <t>voorwaard</t>
        </is>
      </c>
      <c r="O92" s="2" t="n">
        <v>0.628</v>
      </c>
      <c r="P92" s="2" t="inlineStr">
        <is>
          <t>b_narrower</t>
        </is>
      </c>
    </row>
    <row r="93">
      <c r="A93" s="2" t="n">
        <v>92</v>
      </c>
      <c r="B93" s="2" t="inlineStr">
        <is>
          <t>32016R0679:23:1:1</t>
        </is>
      </c>
      <c r="C93" s="2" t="inlineStr">
        <is>
          <t>De reikwijdte van de verplichtingen en rechten als bedoeld in de artikelen 12 tot en met 22 en artikel 34, alsmede in artikel 5</t>
        </is>
      </c>
      <c r="D93" s="2" t="inlineStr">
        <is>
          <t>reikwijdte van de verplichtingen en rechten</t>
        </is>
      </c>
      <c r="E93" s="2" t="inlineStr">
        <is>
          <t>32016R0679:38:6:11</t>
        </is>
      </c>
      <c r="F93" s="2" t="inlineStr">
        <is>
          <t>deze taken of plichten niet tot een belangenconflict leiden</t>
        </is>
      </c>
      <c r="G93" s="2" t="inlineStr">
        <is>
          <t>taken of plichten niet tot een belangenconflict leiden</t>
        </is>
      </c>
      <c r="H93" s="3" t="n"/>
      <c r="I93" s="3" t="n"/>
      <c r="J93" s="3" t="n"/>
      <c r="K93" s="2" t="inlineStr">
        <is>
          <t>0.00-0.50 noun</t>
        </is>
      </c>
      <c r="L93" s="2" t="n">
        <v>0.3906</v>
      </c>
      <c r="M93" s="2" t="inlineStr">
        <is>
          <t>noun</t>
        </is>
      </c>
      <c r="N93" s="2" t="inlineStr">
        <is>
          <t>plicht</t>
        </is>
      </c>
      <c r="O93" s="2" t="n">
        <v>0.5580000000000001</v>
      </c>
      <c r="P93" s="2" t="inlineStr">
        <is>
          <t>none</t>
        </is>
      </c>
    </row>
    <row r="94">
      <c r="A94" s="2" t="n">
        <v>93</v>
      </c>
      <c r="B94" s="2" t="inlineStr">
        <is>
          <t>32024R1689:25:1:3</t>
        </is>
      </c>
      <c r="C94" s="2" t="inlineStr">
        <is>
          <t>een substantiële wijziging</t>
        </is>
      </c>
      <c r="D94" s="2" t="inlineStr">
        <is>
          <t>substantiële wijziging</t>
        </is>
      </c>
      <c r="E94" s="2" t="inlineStr">
        <is>
          <t>32024R1689:43:4:7</t>
        </is>
      </c>
      <c r="F94" s="2" t="inlineStr">
        <is>
          <t>substantiële wijziging</t>
        </is>
      </c>
      <c r="G94" s="2" t="inlineStr">
        <is>
          <t>substantiële wijziging</t>
        </is>
      </c>
      <c r="H94" s="3" t="n"/>
      <c r="I94" s="3" t="n"/>
      <c r="J94" s="3" t="n"/>
      <c r="K94" s="2" t="inlineStr">
        <is>
          <t>0.75-1.00 eurovoc</t>
        </is>
      </c>
      <c r="L94" s="2" t="n">
        <v>0.7606000000000001</v>
      </c>
      <c r="M94" s="2" t="inlineStr">
        <is>
          <t>eurovoc</t>
        </is>
      </c>
      <c r="N94" s="2" t="inlineStr">
        <is>
          <t>http://eurovoc.europa.eu/3260</t>
        </is>
      </c>
      <c r="O94" s="2" t="n">
        <v>0.8451</v>
      </c>
      <c r="P94" s="2" t="inlineStr">
        <is>
          <t>same</t>
        </is>
      </c>
    </row>
    <row r="95">
      <c r="A95" s="2" t="n">
        <v>94</v>
      </c>
      <c r="B95" s="2" t="inlineStr">
        <is>
          <t>32024R1689:70:2:4</t>
        </is>
      </c>
      <c r="C95" s="2" t="inlineStr">
        <is>
          <t>de Commissie</t>
        </is>
      </c>
      <c r="D95" s="2" t="inlineStr">
        <is>
          <t>Commissie</t>
        </is>
      </c>
      <c r="E95" s="2" t="inlineStr">
        <is>
          <t>32024R1689:77:2:5</t>
        </is>
      </c>
      <c r="F95" s="2" t="inlineStr">
        <is>
          <t>de Commissie en de andere lidstaten</t>
        </is>
      </c>
      <c r="G95" s="2" t="inlineStr">
        <is>
          <t>Commissie</t>
        </is>
      </c>
      <c r="H95" s="3" t="n"/>
      <c r="I95" s="3" t="n"/>
      <c r="J95" s="3" t="n"/>
      <c r="K95" s="2" t="inlineStr">
        <is>
          <t>0.50-0.75 head</t>
        </is>
      </c>
      <c r="L95" s="2" t="n">
        <v>0.5925</v>
      </c>
      <c r="M95" s="2" t="inlineStr">
        <is>
          <t>head</t>
        </is>
      </c>
      <c r="N95" s="2" t="inlineStr">
        <is>
          <t>commissie</t>
        </is>
      </c>
      <c r="O95" s="2" t="n">
        <v>0.5925</v>
      </c>
      <c r="P95" s="2" t="inlineStr">
        <is>
          <t>same</t>
        </is>
      </c>
    </row>
    <row r="96">
      <c r="A96" s="2" t="n">
        <v>95</v>
      </c>
      <c r="B96" s="2" t="inlineStr">
        <is>
          <t>32016R0679:28:6:8</t>
        </is>
      </c>
      <c r="C96" s="2" t="inlineStr">
        <is>
          <t>op de in de leden 7 en 8 van dit artikel bedoelde standaardcontractbepalingen</t>
        </is>
      </c>
      <c r="D96" s="2" t="inlineStr">
        <is>
          <t>standaardcontractbepalingen</t>
        </is>
      </c>
      <c r="E96" s="2" t="inlineStr">
        <is>
          <t>32016R0679:28:7:9</t>
        </is>
      </c>
      <c r="F96" s="2" t="inlineStr">
        <is>
          <t>standaardcontractbepalingen</t>
        </is>
      </c>
      <c r="G96" s="2" t="inlineStr">
        <is>
          <t>standaardcontractbepalingen</t>
        </is>
      </c>
      <c r="H96" s="3" t="n"/>
      <c r="I96" s="3" t="n"/>
      <c r="J96" s="3" t="n"/>
      <c r="K96" s="2" t="inlineStr">
        <is>
          <t>0.75-1.00 head</t>
        </is>
      </c>
      <c r="L96" s="2" t="n">
        <v>0.7731</v>
      </c>
      <c r="M96" s="2" t="inlineStr">
        <is>
          <t>head</t>
        </is>
      </c>
      <c r="N96" s="2" t="inlineStr">
        <is>
          <t>standaardcontractbepal</t>
        </is>
      </c>
      <c r="O96" s="2" t="n">
        <v>0.7731</v>
      </c>
      <c r="P96" s="2" t="inlineStr">
        <is>
          <t>same</t>
        </is>
      </c>
    </row>
    <row r="97">
      <c r="A97" s="2" t="n">
        <v>96</v>
      </c>
      <c r="B97" s="2" t="inlineStr">
        <is>
          <t>32016R0679:25:2:4</t>
        </is>
      </c>
      <c r="C97" s="2" t="inlineStr">
        <is>
          <t>persoonsgegevens</t>
        </is>
      </c>
      <c r="D97" s="2" t="inlineStr">
        <is>
          <t>persoonsgegevens</t>
        </is>
      </c>
      <c r="E97" s="2" t="inlineStr">
        <is>
          <t>32016R0679:39:1:5</t>
        </is>
      </c>
      <c r="F97" s="2" t="inlineStr">
        <is>
          <t>naleving van deze verordening, van andere 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is>
      </c>
      <c r="G97" s="2" t="inlineStr">
        <is>
          <t>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is>
      </c>
      <c r="H97" s="3" t="n"/>
      <c r="I97" s="3" t="n"/>
      <c r="J97" s="3" t="n"/>
      <c r="K97" s="2" t="inlineStr">
        <is>
          <t>0.00-0.50 noun</t>
        </is>
      </c>
      <c r="L97" s="2" t="n">
        <v>0.3028</v>
      </c>
      <c r="M97" s="2" t="inlineStr">
        <is>
          <t>noun</t>
        </is>
      </c>
      <c r="N97" s="2" t="inlineStr">
        <is>
          <t>persoonsgegev</t>
        </is>
      </c>
      <c r="O97" s="2" t="n">
        <v>0.4325</v>
      </c>
      <c r="P97" s="2" t="inlineStr">
        <is>
          <t>none</t>
        </is>
      </c>
    </row>
    <row r="98">
      <c r="A98" s="2" t="n">
        <v>97</v>
      </c>
      <c r="B98" s="2" t="inlineStr">
        <is>
          <t>32016R0679:42:7:5</t>
        </is>
      </c>
      <c r="C98" s="2" t="inlineStr">
        <is>
          <t>Het certificaat</t>
        </is>
      </c>
      <c r="D98" s="2" t="inlineStr">
        <is>
          <t>certificaat</t>
        </is>
      </c>
      <c r="E98" s="2" t="inlineStr">
        <is>
          <t>32016R0679:43:7:11</t>
        </is>
      </c>
      <c r="F98" s="2" t="inlineStr">
        <is>
          <t>de overeenkomstig lid 1 van dit artikel aan een certificeringsorgaan afgegeven accreditatie</t>
        </is>
      </c>
      <c r="G98" s="2" t="inlineStr">
        <is>
          <t>aan een certificeringsorgaan afgegeven accreditatie</t>
        </is>
      </c>
      <c r="H98" s="3" t="n"/>
      <c r="I98" s="3" t="n"/>
      <c r="J98" s="3" t="n"/>
      <c r="K98" s="2" t="inlineStr">
        <is>
          <t>0.50-0.75 eurovoc</t>
        </is>
      </c>
      <c r="L98" s="2" t="n">
        <v>0.6079</v>
      </c>
      <c r="M98" s="2" t="inlineStr">
        <is>
          <t>eurovoc</t>
        </is>
      </c>
      <c r="N98" s="2" t="inlineStr">
        <is>
          <t>http://eurovoc.europa.eu/1252</t>
        </is>
      </c>
      <c r="O98" s="2" t="n">
        <v>0.6754</v>
      </c>
      <c r="P98" s="2" t="inlineStr">
        <is>
          <t>none</t>
        </is>
      </c>
    </row>
    <row r="99">
      <c r="A99" s="2" t="n">
        <v>98</v>
      </c>
      <c r="B99" s="2" t="inlineStr">
        <is>
          <t>32016R0679:70:1:10</t>
        </is>
      </c>
      <c r="C99" s="2" t="inlineStr">
        <is>
          <t>certificeringsmechanismen voor gegevensbescherming en gegevensbeschermingszegels en -merktekens</t>
        </is>
      </c>
      <c r="D99" s="2" t="inlineStr">
        <is>
          <t>certificeringsmechanismen voor gegevensbescherming en gegevensbeschermingszegels en -merktekens</t>
        </is>
      </c>
      <c r="E99" s="2" t="inlineStr">
        <is>
          <t>32016R0679:70:1:19</t>
        </is>
      </c>
      <c r="F99" s="2" t="inlineStr">
        <is>
          <t>gemeenschappelijke opleidingsprogramma's</t>
        </is>
      </c>
      <c r="G99" s="2" t="inlineStr">
        <is>
          <t>gemeenschappelijke opleidingsprogramma's</t>
        </is>
      </c>
      <c r="H99" s="3" t="n"/>
      <c r="I99" s="3" t="n"/>
      <c r="J99" s="3" t="n"/>
      <c r="K99" s="2" t="inlineStr">
        <is>
          <t>zero same-group</t>
        </is>
      </c>
      <c r="L99" s="2" t="n">
        <v>0</v>
      </c>
      <c r="M99" s="2" t="inlineStr"/>
      <c r="N99" s="2" t="inlineStr"/>
      <c r="O99" s="2" t="inlineStr"/>
      <c r="P99" s="2" t="inlineStr">
        <is>
          <t>none</t>
        </is>
      </c>
    </row>
    <row r="100">
      <c r="A100" s="2" t="n">
        <v>99</v>
      </c>
      <c r="B100" s="2" t="inlineStr">
        <is>
          <t>32016R0679:60:7:13</t>
        </is>
      </c>
      <c r="C100" s="2" t="inlineStr">
        <is>
          <t>de andere betrokken toezichthoudende autoriteiten, alsmede het Comité</t>
        </is>
      </c>
      <c r="D100" s="2" t="inlineStr">
        <is>
          <t>toezichthoudende autoriteiten</t>
        </is>
      </c>
      <c r="E100" s="2" t="inlineStr">
        <is>
          <t>32024R1689:74:6:5</t>
        </is>
      </c>
      <c r="F100" s="2" t="inlineStr">
        <is>
          <t>de markttoezichtautoriteit</t>
        </is>
      </c>
      <c r="G100" s="2" t="inlineStr">
        <is>
          <t>markttoezichtautoriteit</t>
        </is>
      </c>
      <c r="H100" s="3" t="n"/>
      <c r="I100" s="3" t="n"/>
      <c r="J100" s="3" t="n"/>
      <c r="K100" s="2" t="inlineStr">
        <is>
          <t>0.00-0.50 tail</t>
        </is>
      </c>
      <c r="L100" s="2" t="n">
        <v>0.3522</v>
      </c>
      <c r="M100" s="2" t="inlineStr">
        <is>
          <t>tail</t>
        </is>
      </c>
      <c r="N100" s="2" t="inlineStr">
        <is>
          <t>autoriteit</t>
        </is>
      </c>
      <c r="O100" s="2" t="n">
        <v>0.4403</v>
      </c>
      <c r="P100" s="2" t="inlineStr">
        <is>
          <t>b_narrower</t>
        </is>
      </c>
    </row>
    <row r="101">
      <c r="A101" s="2" t="n">
        <v>100</v>
      </c>
      <c r="B101" s="2" t="inlineStr">
        <is>
          <t>32024R1689:36:7:22</t>
        </is>
      </c>
      <c r="C101" s="2" t="inlineStr">
        <is>
          <t>onterecht afgegeven certificaten</t>
        </is>
      </c>
      <c r="D101" s="2" t="inlineStr">
        <is>
          <t>onterecht afgegeven certificaten</t>
        </is>
      </c>
      <c r="E101" s="2" t="inlineStr">
        <is>
          <t>32024R1689:36:7:23</t>
        </is>
      </c>
      <c r="F101" s="2" t="inlineStr">
        <is>
          <t>onterecht afgegeven certificaten</t>
        </is>
      </c>
      <c r="G101" s="2" t="inlineStr">
        <is>
          <t>onterecht afgegeven certificaten</t>
        </is>
      </c>
      <c r="H101" s="3" t="n"/>
      <c r="I101" s="3" t="n"/>
      <c r="J101" s="3" t="n"/>
      <c r="K101" s="2" t="inlineStr">
        <is>
          <t>0.75-1.00 eurovoc</t>
        </is>
      </c>
      <c r="L101" s="2" t="n">
        <v>0.7606000000000001</v>
      </c>
      <c r="M101" s="2" t="inlineStr">
        <is>
          <t>eurovoc</t>
        </is>
      </c>
      <c r="N101" s="2" t="inlineStr">
        <is>
          <t>http://eurovoc.europa.eu/5336</t>
        </is>
      </c>
      <c r="O101" s="2" t="n">
        <v>0.8451</v>
      </c>
      <c r="P101" s="2" t="inlineStr">
        <is>
          <t>same</t>
        </is>
      </c>
    </row>
    <row r="102">
      <c r="A102" s="2" t="n">
        <v>101</v>
      </c>
      <c r="B102" s="2" t="inlineStr">
        <is>
          <t>32016R0679:57:1:12</t>
        </is>
      </c>
      <c r="C102" s="2" t="inlineStr">
        <is>
          <t>informatie</t>
        </is>
      </c>
      <c r="D102" s="2" t="inlineStr">
        <is>
          <t>informatie</t>
        </is>
      </c>
      <c r="E102" s="2" t="inlineStr">
        <is>
          <t>32016R0679:57:1:29</t>
        </is>
      </c>
      <c r="F102" s="2" t="inlineStr">
        <is>
          <t>bindende bedrijfsvoorschriften</t>
        </is>
      </c>
      <c r="G102" s="2" t="inlineStr">
        <is>
          <t>bindende bedrijfsvoorschriften</t>
        </is>
      </c>
      <c r="H102" s="3" t="n"/>
      <c r="I102" s="3" t="n"/>
      <c r="J102" s="3" t="n"/>
      <c r="K102" s="2" t="inlineStr">
        <is>
          <t>zero same-group</t>
        </is>
      </c>
      <c r="L102" s="2" t="n">
        <v>0</v>
      </c>
      <c r="M102" s="2" t="inlineStr"/>
      <c r="N102" s="2" t="inlineStr"/>
      <c r="O102" s="2" t="inlineStr"/>
      <c r="P102" s="2" t="inlineStr">
        <is>
          <t>none</t>
        </is>
      </c>
    </row>
    <row r="103">
      <c r="A103" s="2" t="n">
        <v>102</v>
      </c>
      <c r="B103" s="2" t="inlineStr">
        <is>
          <t>32016R0679:12:5:12</t>
        </is>
      </c>
      <c r="C103" s="2" t="inlineStr">
        <is>
          <t>Het verstrekken van de in de artikelen 13 en 14 bedoelde informatie, en het verstrekken van de communicatie en het treffen van de maatregelen bedoeld in de artikelen 15 tot en met 22 en artikel 34</t>
        </is>
      </c>
      <c r="D103" s="2" t="inlineStr">
        <is>
          <t>informatie, en het verstrekken van de communicatie en het treffen van de maatregelen</t>
        </is>
      </c>
      <c r="E103" s="2" t="inlineStr">
        <is>
          <t>32024R1689:75:3:4</t>
        </is>
      </c>
      <c r="F103" s="2" t="inlineStr">
        <is>
          <t>dat de door hen verkregen informatie overeenkomstig artikel 78 van deze verordening vertrouwelijk wordt behandeld</t>
        </is>
      </c>
      <c r="G103" s="2" t="inlineStr">
        <is>
          <t>door hen verkregen informatie vertrouwelijk wordt behandeld</t>
        </is>
      </c>
      <c r="H103" s="3" t="n"/>
      <c r="I103" s="3" t="n"/>
      <c r="J103" s="3" t="n"/>
      <c r="K103" s="2" t="inlineStr">
        <is>
          <t>0.00-0.50 head</t>
        </is>
      </c>
      <c r="L103" s="2" t="n">
        <v>0.3737</v>
      </c>
      <c r="M103" s="2" t="inlineStr">
        <is>
          <t>head</t>
        </is>
      </c>
      <c r="N103" s="2" t="inlineStr">
        <is>
          <t>informatie</t>
        </is>
      </c>
      <c r="O103" s="2" t="n">
        <v>0.3737</v>
      </c>
      <c r="P103" s="2" t="inlineStr">
        <is>
          <t>a_narrower</t>
        </is>
      </c>
    </row>
    <row r="104">
      <c r="A104" s="2" t="n">
        <v>103</v>
      </c>
      <c r="B104" s="2" t="inlineStr">
        <is>
          <t>32024R1689:10:5:8</t>
        </is>
      </c>
      <c r="C104" s="2" t="inlineStr">
        <is>
          <t>aan maatregelen om ervoor te zorgen dat de verwerkte persoonsgegevens worden beveiligd, beschermd met passende waarborgen, waaronder strikte controles en documentatie van de toegang ertoe, om misbruik te voorkomen en ervoor te zorgen dat alleen personen die gemachtigd zijn toegang tot die persoonsgegevens hebben met passende vertrouwelijkheidsverplichtingen</t>
        </is>
      </c>
      <c r="D104" s="2" t="inlineStr">
        <is>
          <t>maatregelen om ervoor te zorgen dat de verwerkte persoonsgegevens worden beveiligd, beschermd met passende waarborgen, waaronder strikte controles en documentatie van de toegang, om misbruik te voorkomen en ervoor te zorgen dat alleen personen die gemachtigd zijn toegang tot die persoonsgegevens hebben met passende vertrouwelijkheidsverplichtingen</t>
        </is>
      </c>
      <c r="E104" s="2" t="inlineStr">
        <is>
          <t>32024R1689:70:5:9</t>
        </is>
      </c>
      <c r="F104" s="2" t="inlineStr">
        <is>
          <t>de in artikel 78 vastgelegde vertrouwelijkheidsverplichtingen</t>
        </is>
      </c>
      <c r="G104" s="2" t="inlineStr">
        <is>
          <t>vastgelegde vertrouwelijkheidsverplichtingen</t>
        </is>
      </c>
      <c r="H104" s="3" t="n"/>
      <c r="I104" s="3" t="n"/>
      <c r="J104" s="3" t="n"/>
      <c r="K104" s="2" t="inlineStr">
        <is>
          <t>0.50-0.75 noun</t>
        </is>
      </c>
      <c r="L104" s="2" t="n">
        <v>0.5916</v>
      </c>
      <c r="M104" s="2" t="inlineStr">
        <is>
          <t>noun</t>
        </is>
      </c>
      <c r="N104" s="2" t="inlineStr">
        <is>
          <t>vertrouwelijkheidsverplicht</t>
        </is>
      </c>
      <c r="O104" s="2" t="n">
        <v>0.8451</v>
      </c>
      <c r="P104" s="2" t="inlineStr">
        <is>
          <t>none</t>
        </is>
      </c>
    </row>
    <row r="105">
      <c r="A105" s="2" t="n">
        <v>104</v>
      </c>
      <c r="B105" s="2" t="inlineStr">
        <is>
          <t>32016R0679:48:whole:1</t>
        </is>
      </c>
      <c r="C105" s="2" t="inlineStr">
        <is>
          <t>Elke rechterlijke uitspraak en elk besluit van een administratieve autoriteit van een derde land op grond waarvan een verwerkingsverantwoordelijke of een verwerker persoonsgegevens moet doorgeven of verstrekken</t>
        </is>
      </c>
      <c r="D105" s="2" t="inlineStr">
        <is>
          <t>rechterlijke uitspraak en elk besluit van een administratieve autoriteit van een derde land op grond waarvan een verwerkingsverantwoordelijke of een verwerker persoonsgegevens moet doorgeven of verstrekken</t>
        </is>
      </c>
      <c r="E105" s="2" t="inlineStr">
        <is>
          <t>32016R0679:78:4:4</t>
        </is>
      </c>
      <c r="F105" s="2" t="inlineStr">
        <is>
          <t>dat advies of besluit</t>
        </is>
      </c>
      <c r="G105" s="2" t="inlineStr">
        <is>
          <t>besluit</t>
        </is>
      </c>
      <c r="H105" s="3" t="n"/>
      <c r="I105" s="3" t="n"/>
      <c r="J105" s="3" t="n"/>
      <c r="K105" s="2" t="inlineStr">
        <is>
          <t>0.00-0.50 noun</t>
        </is>
      </c>
      <c r="L105" s="2" t="n">
        <v>0.341</v>
      </c>
      <c r="M105" s="2" t="inlineStr">
        <is>
          <t>noun</t>
        </is>
      </c>
      <c r="N105" s="2" t="inlineStr">
        <is>
          <t>besluit</t>
        </is>
      </c>
      <c r="O105" s="2" t="n">
        <v>0.4872</v>
      </c>
      <c r="P105" s="2" t="inlineStr">
        <is>
          <t>none</t>
        </is>
      </c>
    </row>
    <row r="106">
      <c r="A106" s="2" t="n">
        <v>105</v>
      </c>
      <c r="B106" s="2" t="inlineStr">
        <is>
          <t>32016R0679:60:5:9</t>
        </is>
      </c>
      <c r="C106" s="2" t="inlineStr">
        <is>
          <t>een herzien ontwerpbesluit</t>
        </is>
      </c>
      <c r="D106" s="2" t="inlineStr">
        <is>
          <t>herzien ontwerpbesluit</t>
        </is>
      </c>
      <c r="E106" s="2" t="inlineStr">
        <is>
          <t>32024R1689:72:3:3</t>
        </is>
      </c>
      <c r="F106" s="2" t="inlineStr">
        <is>
          <t>een uitvoeringshandeling</t>
        </is>
      </c>
      <c r="G106" s="2" t="inlineStr">
        <is>
          <t>uitvoeringshandeling</t>
        </is>
      </c>
      <c r="H106" s="3" t="n"/>
      <c r="I106" s="3" t="n"/>
      <c r="J106" s="3" t="n"/>
      <c r="K106" s="2" t="inlineStr">
        <is>
          <t>0.50-0.75 eurovoc</t>
        </is>
      </c>
      <c r="L106" s="2" t="n">
        <v>0.6212</v>
      </c>
      <c r="M106" s="2" t="inlineStr">
        <is>
          <t>eurovoc</t>
        </is>
      </c>
      <c r="N106" s="2" t="inlineStr">
        <is>
          <t>http://eurovoc.europa.eu/440579</t>
        </is>
      </c>
      <c r="O106" s="2" t="n">
        <v>0.6902</v>
      </c>
      <c r="P106" s="2" t="inlineStr">
        <is>
          <t>none</t>
        </is>
      </c>
    </row>
    <row r="107">
      <c r="A107" s="2" t="n">
        <v>106</v>
      </c>
      <c r="B107" s="2" t="inlineStr">
        <is>
          <t>32016R0679:60:8:17</t>
        </is>
      </c>
      <c r="C107" s="2" t="inlineStr">
        <is>
          <t>de verwerkingsverantwoordelijke</t>
        </is>
      </c>
      <c r="D107" s="2" t="inlineStr">
        <is>
          <t>verwerkingsverantwoordelijke</t>
        </is>
      </c>
      <c r="E107" s="2" t="inlineStr">
        <is>
          <t>32024R1689:33:2:3</t>
        </is>
      </c>
      <c r="F107" s="2" t="inlineStr">
        <is>
          <t>de volledige verantwoordelijkheid</t>
        </is>
      </c>
      <c r="G107" s="2" t="inlineStr">
        <is>
          <t>volledige verantwoordelijkheid</t>
        </is>
      </c>
      <c r="H107" s="3" t="n"/>
      <c r="I107" s="3" t="n"/>
      <c r="J107" s="3" t="n"/>
      <c r="K107" s="2" t="inlineStr">
        <is>
          <t>0.50-0.75 tail</t>
        </is>
      </c>
      <c r="L107" s="2" t="n">
        <v>0.5024</v>
      </c>
      <c r="M107" s="2" t="inlineStr">
        <is>
          <t>tail</t>
        </is>
      </c>
      <c r="N107" s="2" t="inlineStr">
        <is>
          <t>verantwoord</t>
        </is>
      </c>
      <c r="O107" s="2" t="n">
        <v>0.628</v>
      </c>
      <c r="P107" s="2" t="inlineStr">
        <is>
          <t>a_narrower</t>
        </is>
      </c>
    </row>
    <row r="108">
      <c r="A108" s="2" t="n">
        <v>107</v>
      </c>
      <c r="B108" s="2" t="inlineStr">
        <is>
          <t>32016R0679:51:3:4</t>
        </is>
      </c>
      <c r="C108" s="2" t="inlineStr">
        <is>
          <t>de toezichthoudende autoriteit</t>
        </is>
      </c>
      <c r="D108" s="2" t="inlineStr">
        <is>
          <t>toezichthoudende autoriteit</t>
        </is>
      </c>
      <c r="E108" s="2" t="inlineStr">
        <is>
          <t>32016R0679:51:4:6</t>
        </is>
      </c>
      <c r="F108" s="2" t="inlineStr">
        <is>
          <t>de wettelijke bepalingen die hij overeenkomstig dit hoofdstuk vaststelt</t>
        </is>
      </c>
      <c r="G108" s="2" t="inlineStr">
        <is>
          <t>wettelijke bepalingen die hij vaststelt</t>
        </is>
      </c>
      <c r="H108" s="3" t="n"/>
      <c r="I108" s="3" t="n"/>
      <c r="J108" s="3" t="n"/>
      <c r="K108" s="2" t="inlineStr">
        <is>
          <t>zero same-group</t>
        </is>
      </c>
      <c r="L108" s="2" t="n">
        <v>0</v>
      </c>
      <c r="M108" s="2" t="inlineStr"/>
      <c r="N108" s="2" t="inlineStr"/>
      <c r="O108" s="2" t="inlineStr"/>
      <c r="P108" s="2" t="inlineStr">
        <is>
          <t>none</t>
        </is>
      </c>
    </row>
    <row r="109">
      <c r="A109" s="2" t="n">
        <v>108</v>
      </c>
      <c r="B109" s="2" t="inlineStr">
        <is>
          <t>32016R0679:66:3:4</t>
        </is>
      </c>
      <c r="C109" s="2" t="inlineStr">
        <is>
          <t>een dringend advies of een dringend bindend besluit</t>
        </is>
      </c>
      <c r="D109" s="2" t="inlineStr">
        <is>
          <t>dringend advies of een dringend bindend besluit</t>
        </is>
      </c>
      <c r="E109" s="2" t="inlineStr">
        <is>
          <t>32016R0679:78:4:4</t>
        </is>
      </c>
      <c r="F109" s="2" t="inlineStr">
        <is>
          <t>dat advies of besluit</t>
        </is>
      </c>
      <c r="G109" s="2" t="inlineStr">
        <is>
          <t>advies</t>
        </is>
      </c>
      <c r="H109" s="3" t="n"/>
      <c r="I109" s="3" t="n"/>
      <c r="J109" s="3" t="n"/>
      <c r="K109" s="2" t="inlineStr">
        <is>
          <t>0.50-0.75 head</t>
        </is>
      </c>
      <c r="L109" s="2" t="n">
        <v>0.5642</v>
      </c>
      <c r="M109" s="2" t="inlineStr">
        <is>
          <t>head</t>
        </is>
      </c>
      <c r="N109" s="2" t="inlineStr">
        <is>
          <t>advies</t>
        </is>
      </c>
      <c r="O109" s="2" t="n">
        <v>0.5642</v>
      </c>
      <c r="P109" s="2" t="inlineStr">
        <is>
          <t>a_narrower</t>
        </is>
      </c>
    </row>
    <row r="110">
      <c r="A110" s="2" t="n">
        <v>109</v>
      </c>
      <c r="B110" s="2" t="inlineStr">
        <is>
          <t>32016R0679:83:9:11</t>
        </is>
      </c>
      <c r="C110" s="2" t="inlineStr">
        <is>
          <t>alle latere wijzigingen daarvan en alle daarop van invloed zijnde wijzigingswetgeving</t>
        </is>
      </c>
      <c r="D110" s="2" t="inlineStr">
        <is>
          <t>latere wijzigingen en alle van invloed zijnde wijzigingswetgeving</t>
        </is>
      </c>
      <c r="E110" s="2" t="inlineStr">
        <is>
          <t>32024R1689:99:2:6</t>
        </is>
      </c>
      <c r="F110" s="2" t="inlineStr">
        <is>
          <t>alle latere wijzigingen daarvan</t>
        </is>
      </c>
      <c r="G110" s="2" t="inlineStr">
        <is>
          <t>latere wijzigingen</t>
        </is>
      </c>
      <c r="H110" s="3" t="n"/>
      <c r="I110" s="3" t="n"/>
      <c r="J110" s="3" t="n"/>
      <c r="K110" s="2" t="inlineStr">
        <is>
          <t>0.50-0.75 head</t>
        </is>
      </c>
      <c r="L110" s="2" t="n">
        <v>0.6182</v>
      </c>
      <c r="M110" s="2" t="inlineStr">
        <is>
          <t>head</t>
        </is>
      </c>
      <c r="N110" s="2" t="inlineStr">
        <is>
          <t>wijzig</t>
        </is>
      </c>
      <c r="O110" s="2" t="n">
        <v>0.6182</v>
      </c>
      <c r="P110" s="2" t="inlineStr">
        <is>
          <t>a_narrower</t>
        </is>
      </c>
    </row>
    <row r="111">
      <c r="A111" s="2" t="n">
        <v>110</v>
      </c>
      <c r="B111" s="2" t="inlineStr">
        <is>
          <t>32016R0679:14:5:11</t>
        </is>
      </c>
      <c r="C111" s="2" t="inlineStr">
        <is>
          <t>de informatie</t>
        </is>
      </c>
      <c r="D111" s="2" t="inlineStr">
        <is>
          <t>informatie</t>
        </is>
      </c>
      <c r="E111" s="2" t="inlineStr">
        <is>
          <t>32016R0679:58:1:2</t>
        </is>
      </c>
      <c r="F111" s="2" t="inlineStr">
        <is>
          <t>alle voor de uitvoering van haar taken vereiste informatie</t>
        </is>
      </c>
      <c r="G111" s="2" t="inlineStr">
        <is>
          <t>voor de uitvoering van haar taken vereiste informatie</t>
        </is>
      </c>
      <c r="H111" s="3" t="n"/>
      <c r="I111" s="3" t="n"/>
      <c r="J111" s="3" t="n"/>
      <c r="K111" s="2" t="inlineStr">
        <is>
          <t>0.00-0.50 head</t>
        </is>
      </c>
      <c r="L111" s="2" t="n">
        <v>0.3737</v>
      </c>
      <c r="M111" s="2" t="inlineStr">
        <is>
          <t>head</t>
        </is>
      </c>
      <c r="N111" s="2" t="inlineStr">
        <is>
          <t>informatie</t>
        </is>
      </c>
      <c r="O111" s="2" t="n">
        <v>0.3737</v>
      </c>
      <c r="P111" s="2" t="inlineStr">
        <is>
          <t>b_narrower</t>
        </is>
      </c>
    </row>
    <row r="112">
      <c r="A112" s="2" t="n">
        <v>111</v>
      </c>
      <c r="B112" s="2" t="inlineStr">
        <is>
          <t>32024R1689:36:7:25</t>
        </is>
      </c>
      <c r="C112" s="2" t="inlineStr">
        <is>
          <t>alle relevante informatie over de certificaten waarvan zij de schorsing of intrekking heeft gelast</t>
        </is>
      </c>
      <c r="D112" s="2" t="inlineStr">
        <is>
          <t>relevante informatie over de certificaten waarvan zij de schorsing of intrekking heeft gelast</t>
        </is>
      </c>
      <c r="E112" s="2" t="inlineStr">
        <is>
          <t>32024R1689:45:1:2</t>
        </is>
      </c>
      <c r="F112" s="2" t="inlineStr">
        <is>
          <t>weigering, beperking, schorsing of intrekking van een beoordelingscertificaat technische documentatie van de Unie of een goedkeuring voor systemen voor kwaliteitsbeheer afgegeven overeenkomstig de eisen van bijlage VII</t>
        </is>
      </c>
      <c r="G112" s="2" t="inlineStr">
        <is>
          <t>weigering, beperking, schorsing of intrekking van een beoordelingscertificaat technische documentatie van de Unie of een goedkeuring voor systemen voor kwaliteitsbeheer afgegeven overeenkomstig de eisen</t>
        </is>
      </c>
      <c r="H112" s="3" t="n"/>
      <c r="I112" s="3" t="n"/>
      <c r="J112" s="3" t="n"/>
      <c r="K112" s="2" t="inlineStr">
        <is>
          <t>0.50-0.75 noun</t>
        </is>
      </c>
      <c r="L112" s="2" t="n">
        <v>0.5916</v>
      </c>
      <c r="M112" s="2" t="inlineStr">
        <is>
          <t>noun</t>
        </is>
      </c>
      <c r="N112" s="2" t="inlineStr">
        <is>
          <t>intrek</t>
        </is>
      </c>
      <c r="O112" s="2" t="n">
        <v>0.8451</v>
      </c>
      <c r="P112" s="2" t="inlineStr">
        <is>
          <t>none</t>
        </is>
      </c>
    </row>
    <row r="113">
      <c r="A113" s="2" t="n">
        <v>112</v>
      </c>
      <c r="B113" s="2" t="inlineStr">
        <is>
          <t>32016R0679:43:6:9</t>
        </is>
      </c>
      <c r="C113" s="2" t="inlineStr">
        <is>
          <t>alle certificeringsmechanismen en gegevensbeschermingszegels</t>
        </is>
      </c>
      <c r="D113" s="2" t="inlineStr">
        <is>
          <t>certificeringsmechanismen</t>
        </is>
      </c>
      <c r="E113" s="2" t="inlineStr">
        <is>
          <t>32024R1689:59:1:4</t>
        </is>
      </c>
      <c r="F113" s="2" t="inlineStr">
        <is>
          <t>doeltreffende monitoringmechanismen</t>
        </is>
      </c>
      <c r="G113" s="2" t="inlineStr">
        <is>
          <t>doeltreffende monitoringmechanismen</t>
        </is>
      </c>
      <c r="H113" s="3" t="n"/>
      <c r="I113" s="3" t="n"/>
      <c r="J113" s="3" t="n"/>
      <c r="K113" s="2" t="inlineStr">
        <is>
          <t>0.50-0.75 tail</t>
        </is>
      </c>
      <c r="L113" s="2" t="n">
        <v>0.5198</v>
      </c>
      <c r="M113" s="2" t="inlineStr">
        <is>
          <t>tail</t>
        </is>
      </c>
      <c r="N113" s="2" t="inlineStr">
        <is>
          <t>mechanism</t>
        </is>
      </c>
      <c r="O113" s="2" t="n">
        <v>0.6497000000000001</v>
      </c>
      <c r="P113" s="2" t="inlineStr">
        <is>
          <t>none</t>
        </is>
      </c>
    </row>
    <row r="114">
      <c r="A114" s="2" t="n">
        <v>113</v>
      </c>
      <c r="B114" s="2" t="inlineStr">
        <is>
          <t>32016R0679:64:5:7</t>
        </is>
      </c>
      <c r="C114" s="2" t="inlineStr">
        <is>
          <t>vertalingen van relevante informatie</t>
        </is>
      </c>
      <c r="D114" s="2" t="inlineStr">
        <is>
          <t>vertalingen van relevante informatie</t>
        </is>
      </c>
      <c r="E114" s="2" t="inlineStr">
        <is>
          <t>32016R0679:75:6:8</t>
        </is>
      </c>
      <c r="F114" s="2" t="inlineStr">
        <is>
          <t>de vertaling van relevante informatie</t>
        </is>
      </c>
      <c r="G114" s="2" t="inlineStr">
        <is>
          <t>vertaling van relevante informatie</t>
        </is>
      </c>
      <c r="H114" s="3" t="n"/>
      <c r="I114" s="3" t="n"/>
      <c r="J114" s="3" t="n"/>
      <c r="K114" s="2" t="inlineStr">
        <is>
          <t>0.75-1.00 head</t>
        </is>
      </c>
      <c r="L114" s="2" t="n">
        <v>0.8451</v>
      </c>
      <c r="M114" s="2" t="inlineStr">
        <is>
          <t>head</t>
        </is>
      </c>
      <c r="N114" s="2" t="inlineStr">
        <is>
          <t>vertal</t>
        </is>
      </c>
      <c r="O114" s="2" t="n">
        <v>0.8451</v>
      </c>
      <c r="P114" s="2" t="inlineStr">
        <is>
          <t>same</t>
        </is>
      </c>
    </row>
    <row r="115">
      <c r="A115" s="2" t="n">
        <v>114</v>
      </c>
      <c r="B115" s="2" t="inlineStr">
        <is>
          <t>32024R1689:71:1:2</t>
        </is>
      </c>
      <c r="C115" s="2" t="inlineStr">
        <is>
          <t>de AI-board</t>
        </is>
      </c>
      <c r="D115" s="2" t="inlineStr">
        <is>
          <t>AI-board</t>
        </is>
      </c>
      <c r="E115" s="2" t="inlineStr">
        <is>
          <t>32024R1689:71:6:7</t>
        </is>
      </c>
      <c r="F115" s="2" t="inlineStr">
        <is>
          <t>aan de toepasselijke toegankelijkheidseisen</t>
        </is>
      </c>
      <c r="G115" s="2" t="inlineStr">
        <is>
          <t>toepasselijke toegankelijkheidseisen</t>
        </is>
      </c>
      <c r="H115" s="3" t="n"/>
      <c r="I115" s="3" t="n"/>
      <c r="J115" s="3" t="n"/>
      <c r="K115" s="2" t="inlineStr">
        <is>
          <t>zero same-group</t>
        </is>
      </c>
      <c r="L115" s="2" t="n">
        <v>0</v>
      </c>
      <c r="M115" s="2" t="inlineStr"/>
      <c r="N115" s="2" t="inlineStr"/>
      <c r="O115" s="2" t="inlineStr"/>
      <c r="P115" s="2" t="inlineStr">
        <is>
          <t>none</t>
        </is>
      </c>
    </row>
    <row r="116">
      <c r="A116" s="2" t="n">
        <v>115</v>
      </c>
      <c r="B116" s="2" t="inlineStr">
        <is>
          <t>32016R0679:72:1:1</t>
        </is>
      </c>
      <c r="C116" s="2" t="inlineStr">
        <is>
          <t>besluiten</t>
        </is>
      </c>
      <c r="D116" s="2" t="inlineStr">
        <is>
          <t>besluiten</t>
        </is>
      </c>
      <c r="E116" s="2" t="inlineStr">
        <is>
          <t>32024R1689:59:1:8</t>
        </is>
      </c>
      <c r="F116" s="2" t="inlineStr">
        <is>
          <t>tot maatregelen of besluiten</t>
        </is>
      </c>
      <c r="G116" s="2" t="inlineStr">
        <is>
          <t>maatregelen of besluiten</t>
        </is>
      </c>
      <c r="H116" s="3" t="n"/>
      <c r="I116" s="3" t="n"/>
      <c r="J116" s="3" t="n"/>
      <c r="K116" s="2" t="inlineStr">
        <is>
          <t>0.00-0.50 eurovoc</t>
        </is>
      </c>
      <c r="L116" s="2" t="n">
        <v>0.4916</v>
      </c>
      <c r="M116" s="2" t="inlineStr">
        <is>
          <t>eurovoc</t>
        </is>
      </c>
      <c r="N116" s="2" t="inlineStr">
        <is>
          <t>http://eurovoc.europa.eu/2669</t>
        </is>
      </c>
      <c r="O116" s="2" t="n">
        <v>0.5462</v>
      </c>
      <c r="P116" s="2" t="inlineStr">
        <is>
          <t>none</t>
        </is>
      </c>
    </row>
  </sheetData>
  <dataValidations count="2">
    <dataValidation sqref="H2:H116" showDropDown="0" showInputMessage="0" showErrorMessage="0" allowBlank="1" type="list">
      <formula1>"same,related,different,unclear"</formula1>
    </dataValidation>
    <dataValidation sqref="I2:I116" showDropDown="0" showInputMessage="0" showErrorMessage="0" allowBlank="1" type="list">
      <formula1>"duplicate,contradiction,lex specialis,overlap,none,unclear"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4" t="inlineStr">
        <is>
          <t>Object filter: pair review summary</t>
        </is>
      </c>
      <c r="B1" s="5" t="n"/>
      <c r="C1" s="5" t="n"/>
      <c r="D1" s="5" t="n"/>
      <c r="E1" s="5" t="n"/>
      <c r="F1" s="5" t="n"/>
      <c r="G1" s="5" t="n"/>
      <c r="H1" s="5" t="n"/>
      <c r="I1" s="5" t="n"/>
      <c r="J1" s="5" t="n"/>
      <c r="K1" s="5" t="n"/>
      <c r="L1" s="5" t="n"/>
      <c r="M1" s="5" t="n"/>
      <c r="N1" s="5" t="n"/>
      <c r="O1" s="5" t="n"/>
    </row>
    <row r="2">
      <c r="A2" s="5" t="n"/>
      <c r="B2" s="5" t="n"/>
      <c r="C2" s="5" t="n"/>
      <c r="D2" s="5" t="n"/>
      <c r="E2" s="5" t="n"/>
      <c r="F2" s="5" t="n"/>
      <c r="G2" s="5" t="n"/>
      <c r="H2" s="5" t="n"/>
      <c r="I2" s="5" t="n"/>
      <c r="J2" s="5" t="n"/>
      <c r="K2" s="5" t="n"/>
      <c r="L2" s="5" t="n"/>
      <c r="M2" s="5" t="n"/>
      <c r="N2" s="5" t="n"/>
      <c r="O2" s="5" t="n"/>
    </row>
    <row r="3">
      <c r="A3" s="5" t="inlineStr">
        <is>
          <t>Threshold (use a band edge)</t>
        </is>
      </c>
      <c r="B3" s="6" t="n">
        <v>0.5</v>
      </c>
      <c r="C3" s="5" t="inlineStr">
        <is>
          <t>Change this cell; the estimates below follow.</t>
        </is>
      </c>
      <c r="D3" s="5" t="n"/>
      <c r="E3" s="5" t="n"/>
      <c r="F3" s="5" t="n"/>
      <c r="G3" s="5" t="n"/>
      <c r="H3" s="5" t="n"/>
      <c r="I3" s="5" t="n"/>
      <c r="J3" s="5" t="n"/>
      <c r="K3" s="5" t="n"/>
      <c r="L3" s="5" t="n"/>
      <c r="M3" s="5" t="n"/>
      <c r="N3" s="5" t="n"/>
      <c r="O3" s="5" t="n"/>
    </row>
    <row r="4">
      <c r="A4" s="5" t="n"/>
      <c r="B4" s="5" t="n"/>
      <c r="C4" s="5" t="n"/>
      <c r="D4" s="5" t="n"/>
      <c r="E4" s="5" t="n"/>
      <c r="F4" s="5" t="n"/>
      <c r="G4" s="5" t="n"/>
      <c r="H4" s="5" t="n"/>
      <c r="I4" s="5" t="n"/>
      <c r="J4" s="5" t="n"/>
      <c r="K4" s="5" t="n"/>
      <c r="L4" s="5" t="n"/>
      <c r="M4" s="5" t="n"/>
      <c r="N4" s="5" t="n"/>
      <c r="O4" s="5" t="n"/>
    </row>
    <row r="5">
      <c r="A5" s="7" t="inlineStr">
        <is>
          <t>Stratum</t>
        </is>
      </c>
      <c r="B5" s="7" t="inlineStr">
        <is>
          <t>Band from</t>
        </is>
      </c>
      <c r="C5" s="7" t="inlineStr">
        <is>
          <t>Key relation</t>
        </is>
      </c>
      <c r="D5" s="7" t="inlineStr">
        <is>
          <t>Population</t>
        </is>
      </c>
      <c r="E5" s="7" t="inlineStr">
        <is>
          <t>Sampled</t>
        </is>
      </c>
      <c r="F5" s="7" t="inlineStr">
        <is>
          <t>same</t>
        </is>
      </c>
      <c r="G5" s="7" t="inlineStr">
        <is>
          <t>related</t>
        </is>
      </c>
      <c r="H5" s="7" t="inlineStr">
        <is>
          <t>different</t>
        </is>
      </c>
      <c r="I5" s="7" t="inlineStr">
        <is>
          <t>unclear</t>
        </is>
      </c>
      <c r="J5" s="7" t="inlineStr">
        <is>
          <t>Judged</t>
        </is>
      </c>
      <c r="K5" s="7" t="inlineStr">
        <is>
          <t>Strict</t>
        </is>
      </c>
      <c r="L5" s="7" t="inlineStr">
        <is>
          <t>Lenient</t>
        </is>
      </c>
      <c r="M5" s="7" t="inlineStr">
        <is>
          <t>Pop (judged)</t>
        </is>
      </c>
      <c r="N5" s="7" t="inlineStr">
        <is>
          <t>Pop x strict</t>
        </is>
      </c>
      <c r="O5" s="7" t="inlineStr">
        <is>
          <t>Pop x lenient</t>
        </is>
      </c>
    </row>
    <row r="6">
      <c r="A6" s="5" t="inlineStr">
        <is>
          <t>0.00-0.50 head</t>
        </is>
      </c>
      <c r="B6" s="5" t="n">
        <v>0</v>
      </c>
      <c r="C6" s="5" t="inlineStr">
        <is>
          <t>head</t>
        </is>
      </c>
      <c r="D6" s="5" t="n">
        <v>4696</v>
      </c>
      <c r="E6" s="5">
        <f>COUNTIF(Review!$K$2:$K$116,$A6)</f>
        <v/>
      </c>
      <c r="F6" s="5">
        <f>COUNTIFS(Review!$K$2:$K$116,$A6,Review!$H$2:$H$116,"same")</f>
        <v/>
      </c>
      <c r="G6" s="5">
        <f>COUNTIFS(Review!$K$2:$K$116,$A6,Review!$H$2:$H$116,"related")</f>
        <v/>
      </c>
      <c r="H6" s="5">
        <f>COUNTIFS(Review!$K$2:$K$116,$A6,Review!$H$2:$H$116,"different")</f>
        <v/>
      </c>
      <c r="I6" s="5">
        <f>COUNTIFS(Review!$K$2:$K$116,$A6,Review!$H$2:$H$116,"unclear")</f>
        <v/>
      </c>
      <c r="J6" s="5">
        <f>F6+G6+H6</f>
        <v/>
      </c>
      <c r="K6" s="8">
        <f>IF(J6=0,"",F6/J6)</f>
        <v/>
      </c>
      <c r="L6" s="8">
        <f>IF(J6=0,"",(F6+G6)/J6)</f>
        <v/>
      </c>
      <c r="M6" s="5">
        <f>IF(J6=0,0,D6)</f>
        <v/>
      </c>
      <c r="N6" s="5">
        <f>IF(J6=0,0,D6*F6/J6)</f>
        <v/>
      </c>
      <c r="O6" s="5">
        <f>IF(J6=0,0,D6*(F6+G6)/J6)</f>
        <v/>
      </c>
    </row>
    <row r="7">
      <c r="A7" s="5" t="inlineStr">
        <is>
          <t>0.00-0.50 tail</t>
        </is>
      </c>
      <c r="B7" s="5" t="n">
        <v>0</v>
      </c>
      <c r="C7" s="5" t="inlineStr">
        <is>
          <t>tail</t>
        </is>
      </c>
      <c r="D7" s="5" t="n">
        <v>2642</v>
      </c>
      <c r="E7" s="5">
        <f>COUNTIF(Review!$K$2:$K$116,$A7)</f>
        <v/>
      </c>
      <c r="F7" s="5">
        <f>COUNTIFS(Review!$K$2:$K$116,$A7,Review!$H$2:$H$116,"same")</f>
        <v/>
      </c>
      <c r="G7" s="5">
        <f>COUNTIFS(Review!$K$2:$K$116,$A7,Review!$H$2:$H$116,"related")</f>
        <v/>
      </c>
      <c r="H7" s="5">
        <f>COUNTIFS(Review!$K$2:$K$116,$A7,Review!$H$2:$H$116,"different")</f>
        <v/>
      </c>
      <c r="I7" s="5">
        <f>COUNTIFS(Review!$K$2:$K$116,$A7,Review!$H$2:$H$116,"unclear")</f>
        <v/>
      </c>
      <c r="J7" s="5">
        <f>F7+G7+H7</f>
        <v/>
      </c>
      <c r="K7" s="8">
        <f>IF(J7=0,"",F7/J7)</f>
        <v/>
      </c>
      <c r="L7" s="8">
        <f>IF(J7=0,"",(F7+G7)/J7)</f>
        <v/>
      </c>
      <c r="M7" s="5">
        <f>IF(J7=0,0,D7)</f>
        <v/>
      </c>
      <c r="N7" s="5">
        <f>IF(J7=0,0,D7*F7/J7)</f>
        <v/>
      </c>
      <c r="O7" s="5">
        <f>IF(J7=0,0,D7*(F7+G7)/J7)</f>
        <v/>
      </c>
    </row>
    <row r="8">
      <c r="A8" s="5" t="inlineStr">
        <is>
          <t>0.00-0.50 eurovoc</t>
        </is>
      </c>
      <c r="B8" s="5" t="n">
        <v>0</v>
      </c>
      <c r="C8" s="5" t="inlineStr">
        <is>
          <t>eurovoc</t>
        </is>
      </c>
      <c r="D8" s="5" t="n">
        <v>1282</v>
      </c>
      <c r="E8" s="5">
        <f>COUNTIF(Review!$K$2:$K$116,$A8)</f>
        <v/>
      </c>
      <c r="F8" s="5">
        <f>COUNTIFS(Review!$K$2:$K$116,$A8,Review!$H$2:$H$116,"same")</f>
        <v/>
      </c>
      <c r="G8" s="5">
        <f>COUNTIFS(Review!$K$2:$K$116,$A8,Review!$H$2:$H$116,"related")</f>
        <v/>
      </c>
      <c r="H8" s="5">
        <f>COUNTIFS(Review!$K$2:$K$116,$A8,Review!$H$2:$H$116,"different")</f>
        <v/>
      </c>
      <c r="I8" s="5">
        <f>COUNTIFS(Review!$K$2:$K$116,$A8,Review!$H$2:$H$116,"unclear")</f>
        <v/>
      </c>
      <c r="J8" s="5">
        <f>F8+G8+H8</f>
        <v/>
      </c>
      <c r="K8" s="8">
        <f>IF(J8=0,"",F8/J8)</f>
        <v/>
      </c>
      <c r="L8" s="8">
        <f>IF(J8=0,"",(F8+G8)/J8)</f>
        <v/>
      </c>
      <c r="M8" s="5">
        <f>IF(J8=0,0,D8)</f>
        <v/>
      </c>
      <c r="N8" s="5">
        <f>IF(J8=0,0,D8*F8/J8)</f>
        <v/>
      </c>
      <c r="O8" s="5">
        <f>IF(J8=0,0,D8*(F8+G8)/J8)</f>
        <v/>
      </c>
    </row>
    <row r="9">
      <c r="A9" s="5" t="inlineStr">
        <is>
          <t>0.00-0.50 noun</t>
        </is>
      </c>
      <c r="B9" s="5" t="n">
        <v>0</v>
      </c>
      <c r="C9" s="5" t="inlineStr">
        <is>
          <t>noun</t>
        </is>
      </c>
      <c r="D9" s="5" t="n">
        <v>9862</v>
      </c>
      <c r="E9" s="5">
        <f>COUNTIF(Review!$K$2:$K$116,$A9)</f>
        <v/>
      </c>
      <c r="F9" s="5">
        <f>COUNTIFS(Review!$K$2:$K$116,$A9,Review!$H$2:$H$116,"same")</f>
        <v/>
      </c>
      <c r="G9" s="5">
        <f>COUNTIFS(Review!$K$2:$K$116,$A9,Review!$H$2:$H$116,"related")</f>
        <v/>
      </c>
      <c r="H9" s="5">
        <f>COUNTIFS(Review!$K$2:$K$116,$A9,Review!$H$2:$H$116,"different")</f>
        <v/>
      </c>
      <c r="I9" s="5">
        <f>COUNTIFS(Review!$K$2:$K$116,$A9,Review!$H$2:$H$116,"unclear")</f>
        <v/>
      </c>
      <c r="J9" s="5">
        <f>F9+G9+H9</f>
        <v/>
      </c>
      <c r="K9" s="8">
        <f>IF(J9=0,"",F9/J9)</f>
        <v/>
      </c>
      <c r="L9" s="8">
        <f>IF(J9=0,"",(F9+G9)/J9)</f>
        <v/>
      </c>
      <c r="M9" s="5">
        <f>IF(J9=0,0,D9)</f>
        <v/>
      </c>
      <c r="N9" s="5">
        <f>IF(J9=0,0,D9*F9/J9)</f>
        <v/>
      </c>
      <c r="O9" s="5">
        <f>IF(J9=0,0,D9*(F9+G9)/J9)</f>
        <v/>
      </c>
    </row>
    <row r="10">
      <c r="A10" s="5" t="inlineStr">
        <is>
          <t>0.50-0.75 head</t>
        </is>
      </c>
      <c r="B10" s="5" t="n">
        <v>0.5</v>
      </c>
      <c r="C10" s="5" t="inlineStr">
        <is>
          <t>head</t>
        </is>
      </c>
      <c r="D10" s="5" t="n">
        <v>2268</v>
      </c>
      <c r="E10" s="5">
        <f>COUNTIF(Review!$K$2:$K$116,$A10)</f>
        <v/>
      </c>
      <c r="F10" s="5">
        <f>COUNTIFS(Review!$K$2:$K$116,$A10,Review!$H$2:$H$116,"same")</f>
        <v/>
      </c>
      <c r="G10" s="5">
        <f>COUNTIFS(Review!$K$2:$K$116,$A10,Review!$H$2:$H$116,"related")</f>
        <v/>
      </c>
      <c r="H10" s="5">
        <f>COUNTIFS(Review!$K$2:$K$116,$A10,Review!$H$2:$H$116,"different")</f>
        <v/>
      </c>
      <c r="I10" s="5">
        <f>COUNTIFS(Review!$K$2:$K$116,$A10,Review!$H$2:$H$116,"unclear")</f>
        <v/>
      </c>
      <c r="J10" s="5">
        <f>F10+G10+H10</f>
        <v/>
      </c>
      <c r="K10" s="8">
        <f>IF(J10=0,"",F10/J10)</f>
        <v/>
      </c>
      <c r="L10" s="8">
        <f>IF(J10=0,"",(F10+G10)/J10)</f>
        <v/>
      </c>
      <c r="M10" s="5">
        <f>IF(J10=0,0,D10)</f>
        <v/>
      </c>
      <c r="N10" s="5">
        <f>IF(J10=0,0,D10*F10/J10)</f>
        <v/>
      </c>
      <c r="O10" s="5">
        <f>IF(J10=0,0,D10*(F10+G10)/J10)</f>
        <v/>
      </c>
    </row>
    <row r="11">
      <c r="A11" s="5" t="inlineStr">
        <is>
          <t>0.50-0.75 tail</t>
        </is>
      </c>
      <c r="B11" s="5" t="n">
        <v>0.5</v>
      </c>
      <c r="C11" s="5" t="inlineStr">
        <is>
          <t>tail</t>
        </is>
      </c>
      <c r="D11" s="5" t="n">
        <v>163</v>
      </c>
      <c r="E11" s="5">
        <f>COUNTIF(Review!$K$2:$K$116,$A11)</f>
        <v/>
      </c>
      <c r="F11" s="5">
        <f>COUNTIFS(Review!$K$2:$K$116,$A11,Review!$H$2:$H$116,"same")</f>
        <v/>
      </c>
      <c r="G11" s="5">
        <f>COUNTIFS(Review!$K$2:$K$116,$A11,Review!$H$2:$H$116,"related")</f>
        <v/>
      </c>
      <c r="H11" s="5">
        <f>COUNTIFS(Review!$K$2:$K$116,$A11,Review!$H$2:$H$116,"different")</f>
        <v/>
      </c>
      <c r="I11" s="5">
        <f>COUNTIFS(Review!$K$2:$K$116,$A11,Review!$H$2:$H$116,"unclear")</f>
        <v/>
      </c>
      <c r="J11" s="5">
        <f>F11+G11+H11</f>
        <v/>
      </c>
      <c r="K11" s="8">
        <f>IF(J11=0,"",F11/J11)</f>
        <v/>
      </c>
      <c r="L11" s="8">
        <f>IF(J11=0,"",(F11+G11)/J11)</f>
        <v/>
      </c>
      <c r="M11" s="5">
        <f>IF(J11=0,0,D11)</f>
        <v/>
      </c>
      <c r="N11" s="5">
        <f>IF(J11=0,0,D11*F11/J11)</f>
        <v/>
      </c>
      <c r="O11" s="5">
        <f>IF(J11=0,0,D11*(F11+G11)/J11)</f>
        <v/>
      </c>
    </row>
    <row r="12">
      <c r="A12" s="5" t="inlineStr">
        <is>
          <t>0.50-0.75 eurovoc</t>
        </is>
      </c>
      <c r="B12" s="5" t="n">
        <v>0.5</v>
      </c>
      <c r="C12" s="5" t="inlineStr">
        <is>
          <t>eurovoc</t>
        </is>
      </c>
      <c r="D12" s="5" t="n">
        <v>1738</v>
      </c>
      <c r="E12" s="5">
        <f>COUNTIF(Review!$K$2:$K$116,$A12)</f>
        <v/>
      </c>
      <c r="F12" s="5">
        <f>COUNTIFS(Review!$K$2:$K$116,$A12,Review!$H$2:$H$116,"same")</f>
        <v/>
      </c>
      <c r="G12" s="5">
        <f>COUNTIFS(Review!$K$2:$K$116,$A12,Review!$H$2:$H$116,"related")</f>
        <v/>
      </c>
      <c r="H12" s="5">
        <f>COUNTIFS(Review!$K$2:$K$116,$A12,Review!$H$2:$H$116,"different")</f>
        <v/>
      </c>
      <c r="I12" s="5">
        <f>COUNTIFS(Review!$K$2:$K$116,$A12,Review!$H$2:$H$116,"unclear")</f>
        <v/>
      </c>
      <c r="J12" s="5">
        <f>F12+G12+H12</f>
        <v/>
      </c>
      <c r="K12" s="8">
        <f>IF(J12=0,"",F12/J12)</f>
        <v/>
      </c>
      <c r="L12" s="8">
        <f>IF(J12=0,"",(F12+G12)/J12)</f>
        <v/>
      </c>
      <c r="M12" s="5">
        <f>IF(J12=0,0,D12)</f>
        <v/>
      </c>
      <c r="N12" s="5">
        <f>IF(J12=0,0,D12*F12/J12)</f>
        <v/>
      </c>
      <c r="O12" s="5">
        <f>IF(J12=0,0,D12*(F12+G12)/J12)</f>
        <v/>
      </c>
    </row>
    <row r="13">
      <c r="A13" s="5" t="inlineStr">
        <is>
          <t>0.50-0.75 noun</t>
        </is>
      </c>
      <c r="B13" s="5" t="n">
        <v>0.5</v>
      </c>
      <c r="C13" s="5" t="inlineStr">
        <is>
          <t>noun</t>
        </is>
      </c>
      <c r="D13" s="5" t="n">
        <v>516</v>
      </c>
      <c r="E13" s="5">
        <f>COUNTIF(Review!$K$2:$K$116,$A13)</f>
        <v/>
      </c>
      <c r="F13" s="5">
        <f>COUNTIFS(Review!$K$2:$K$116,$A13,Review!$H$2:$H$116,"same")</f>
        <v/>
      </c>
      <c r="G13" s="5">
        <f>COUNTIFS(Review!$K$2:$K$116,$A13,Review!$H$2:$H$116,"related")</f>
        <v/>
      </c>
      <c r="H13" s="5">
        <f>COUNTIFS(Review!$K$2:$K$116,$A13,Review!$H$2:$H$116,"different")</f>
        <v/>
      </c>
      <c r="I13" s="5">
        <f>COUNTIFS(Review!$K$2:$K$116,$A13,Review!$H$2:$H$116,"unclear")</f>
        <v/>
      </c>
      <c r="J13" s="5">
        <f>F13+G13+H13</f>
        <v/>
      </c>
      <c r="K13" s="8">
        <f>IF(J13=0,"",F13/J13)</f>
        <v/>
      </c>
      <c r="L13" s="8">
        <f>IF(J13=0,"",(F13+G13)/J13)</f>
        <v/>
      </c>
      <c r="M13" s="5">
        <f>IF(J13=0,0,D13)</f>
        <v/>
      </c>
      <c r="N13" s="5">
        <f>IF(J13=0,0,D13*F13/J13)</f>
        <v/>
      </c>
      <c r="O13" s="5">
        <f>IF(J13=0,0,D13*(F13+G13)/J13)</f>
        <v/>
      </c>
    </row>
    <row r="14">
      <c r="A14" s="5" t="inlineStr">
        <is>
          <t>0.75-1.00 head</t>
        </is>
      </c>
      <c r="B14" s="5" t="n">
        <v>0.75</v>
      </c>
      <c r="C14" s="5" t="inlineStr">
        <is>
          <t>head</t>
        </is>
      </c>
      <c r="D14" s="5" t="n">
        <v>179</v>
      </c>
      <c r="E14" s="5">
        <f>COUNTIF(Review!$K$2:$K$116,$A14)</f>
        <v/>
      </c>
      <c r="F14" s="5">
        <f>COUNTIFS(Review!$K$2:$K$116,$A14,Review!$H$2:$H$116,"same")</f>
        <v/>
      </c>
      <c r="G14" s="5">
        <f>COUNTIFS(Review!$K$2:$K$116,$A14,Review!$H$2:$H$116,"related")</f>
        <v/>
      </c>
      <c r="H14" s="5">
        <f>COUNTIFS(Review!$K$2:$K$116,$A14,Review!$H$2:$H$116,"different")</f>
        <v/>
      </c>
      <c r="I14" s="5">
        <f>COUNTIFS(Review!$K$2:$K$116,$A14,Review!$H$2:$H$116,"unclear")</f>
        <v/>
      </c>
      <c r="J14" s="5">
        <f>F14+G14+H14</f>
        <v/>
      </c>
      <c r="K14" s="8">
        <f>IF(J14=0,"",F14/J14)</f>
        <v/>
      </c>
      <c r="L14" s="8">
        <f>IF(J14=0,"",(F14+G14)/J14)</f>
        <v/>
      </c>
      <c r="M14" s="5">
        <f>IF(J14=0,0,D14)</f>
        <v/>
      </c>
      <c r="N14" s="5">
        <f>IF(J14=0,0,D14*F14/J14)</f>
        <v/>
      </c>
      <c r="O14" s="5">
        <f>IF(J14=0,0,D14*(F14+G14)/J14)</f>
        <v/>
      </c>
    </row>
    <row r="15">
      <c r="A15" s="5" t="inlineStr">
        <is>
          <t>0.75-1.00 eurovoc</t>
        </is>
      </c>
      <c r="B15" s="5" t="n">
        <v>0.75</v>
      </c>
      <c r="C15" s="5" t="inlineStr">
        <is>
          <t>eurovoc</t>
        </is>
      </c>
      <c r="D15" s="5" t="n">
        <v>50</v>
      </c>
      <c r="E15" s="5">
        <f>COUNTIF(Review!$K$2:$K$116,$A15)</f>
        <v/>
      </c>
      <c r="F15" s="5">
        <f>COUNTIFS(Review!$K$2:$K$116,$A15,Review!$H$2:$H$116,"same")</f>
        <v/>
      </c>
      <c r="G15" s="5">
        <f>COUNTIFS(Review!$K$2:$K$116,$A15,Review!$H$2:$H$116,"related")</f>
        <v/>
      </c>
      <c r="H15" s="5">
        <f>COUNTIFS(Review!$K$2:$K$116,$A15,Review!$H$2:$H$116,"different")</f>
        <v/>
      </c>
      <c r="I15" s="5">
        <f>COUNTIFS(Review!$K$2:$K$116,$A15,Review!$H$2:$H$116,"unclear")</f>
        <v/>
      </c>
      <c r="J15" s="5">
        <f>F15+G15+H15</f>
        <v/>
      </c>
      <c r="K15" s="8">
        <f>IF(J15=0,"",F15/J15)</f>
        <v/>
      </c>
      <c r="L15" s="8">
        <f>IF(J15=0,"",(F15+G15)/J15)</f>
        <v/>
      </c>
      <c r="M15" s="5">
        <f>IF(J15=0,0,D15)</f>
        <v/>
      </c>
      <c r="N15" s="5">
        <f>IF(J15=0,0,D15*F15/J15)</f>
        <v/>
      </c>
      <c r="O15" s="5">
        <f>IF(J15=0,0,D15*(F15+G15)/J15)</f>
        <v/>
      </c>
    </row>
    <row r="16">
      <c r="A16" s="5" t="inlineStr">
        <is>
          <t>zero same-group</t>
        </is>
      </c>
      <c r="B16" s="5" t="n"/>
      <c r="C16" s="5" t="inlineStr"/>
      <c r="D16" s="5" t="n">
        <v>5238</v>
      </c>
      <c r="E16" s="5">
        <f>COUNTIF(Review!$K$2:$K$116,$A16)</f>
        <v/>
      </c>
      <c r="F16" s="5">
        <f>COUNTIFS(Review!$K$2:$K$116,$A16,Review!$H$2:$H$116,"same")</f>
        <v/>
      </c>
      <c r="G16" s="5">
        <f>COUNTIFS(Review!$K$2:$K$116,$A16,Review!$H$2:$H$116,"related")</f>
        <v/>
      </c>
      <c r="H16" s="5">
        <f>COUNTIFS(Review!$K$2:$K$116,$A16,Review!$H$2:$H$116,"different")</f>
        <v/>
      </c>
      <c r="I16" s="5">
        <f>COUNTIFS(Review!$K$2:$K$116,$A16,Review!$H$2:$H$116,"unclear")</f>
        <v/>
      </c>
      <c r="J16" s="5">
        <f>F16+G16+H16</f>
        <v/>
      </c>
      <c r="K16" s="8">
        <f>IF(J16=0,"",F16/J16)</f>
        <v/>
      </c>
      <c r="L16" s="8">
        <f>IF(J16=0,"",(F16+G16)/J16)</f>
        <v/>
      </c>
      <c r="M16" s="5">
        <f>IF(J16=0,0,D16)</f>
        <v/>
      </c>
      <c r="N16" s="5">
        <f>IF(J16=0,0,D16*F16/J16)</f>
        <v/>
      </c>
      <c r="O16" s="5">
        <f>IF(J16=0,0,D16*(F16+G16)/J16)</f>
        <v/>
      </c>
    </row>
    <row r="17">
      <c r="A17" s="5" t="n"/>
      <c r="B17" s="5" t="n"/>
      <c r="C17" s="5" t="n"/>
      <c r="D17" s="5" t="n"/>
      <c r="E17" s="5" t="n"/>
      <c r="F17" s="5" t="n"/>
      <c r="G17" s="5" t="n"/>
      <c r="H17" s="5" t="n"/>
      <c r="I17" s="5" t="n"/>
      <c r="J17" s="5" t="n"/>
      <c r="K17" s="5" t="n"/>
      <c r="L17" s="5" t="n"/>
      <c r="M17" s="5" t="n"/>
      <c r="N17" s="5" t="n"/>
      <c r="O17" s="5" t="n"/>
    </row>
    <row r="18">
      <c r="A18" s="9" t="inlineStr">
        <is>
          <t>Estimates (weighted by stratum population)</t>
        </is>
      </c>
      <c r="B18" s="5" t="n"/>
      <c r="C18" s="5" t="n"/>
      <c r="D18" s="5" t="n"/>
      <c r="E18" s="5" t="n"/>
      <c r="F18" s="5" t="n"/>
      <c r="G18" s="5" t="n"/>
      <c r="H18" s="5" t="n"/>
      <c r="I18" s="5" t="n"/>
      <c r="J18" s="5" t="n"/>
      <c r="K18" s="5" t="n"/>
      <c r="L18" s="5" t="n"/>
      <c r="M18" s="5" t="n"/>
      <c r="N18" s="5" t="n"/>
      <c r="O18" s="5" t="n"/>
    </row>
    <row r="19">
      <c r="A19" s="5" t="inlineStr">
        <is>
          <t>Scored pairs at or above threshold</t>
        </is>
      </c>
      <c r="B19" s="5" t="n"/>
      <c r="C19" s="5" t="n"/>
      <c r="D19" s="5">
        <f>SUMIFS($D$6:$D$16,$B$6:$B$16,"&gt;="&amp;$B$3)</f>
        <v/>
      </c>
      <c r="E19" s="5" t="n"/>
      <c r="F19" s="5" t="n"/>
      <c r="G19" s="5" t="n"/>
      <c r="H19" s="5" t="n"/>
      <c r="I19" s="5" t="n"/>
      <c r="J19" s="5" t="n"/>
      <c r="K19" s="5" t="n"/>
      <c r="L19" s="5" t="n"/>
      <c r="M19" s="5" t="n"/>
      <c r="N19" s="5" t="n"/>
      <c r="O19" s="5" t="n"/>
    </row>
    <row r="20">
      <c r="A20" s="5" t="inlineStr">
        <is>
          <t>Precision at or above threshold, strict</t>
        </is>
      </c>
      <c r="B20" s="5" t="n"/>
      <c r="C20" s="5" t="n"/>
      <c r="D20" s="8">
        <f>IFERROR(SUMIFS($N$6:$N$16,$B$6:$B$16,"&gt;="&amp;$B$3)/SUMIFS($M$6:$M$16,$B$6:$B$16,"&gt;="&amp;$B$3),"")</f>
        <v/>
      </c>
      <c r="E20" s="5" t="n"/>
      <c r="F20" s="5" t="n"/>
      <c r="G20" s="5" t="n"/>
      <c r="H20" s="5" t="n"/>
      <c r="I20" s="5" t="n"/>
      <c r="J20" s="5" t="n"/>
      <c r="K20" s="5" t="n"/>
      <c r="L20" s="5" t="n"/>
      <c r="M20" s="5" t="n"/>
      <c r="N20" s="5" t="n"/>
      <c r="O20" s="5" t="n"/>
    </row>
    <row r="21">
      <c r="A21" s="5" t="inlineStr">
        <is>
          <t>Precision at or above threshold, lenient</t>
        </is>
      </c>
      <c r="B21" s="5" t="n"/>
      <c r="C21" s="5" t="n"/>
      <c r="D21" s="8">
        <f>IFERROR(SUMIFS($O$6:$O$16,$B$6:$B$16,"&gt;="&amp;$B$3)/SUMIFS($M$6:$M$16,$B$6:$B$16,"&gt;="&amp;$B$3),"")</f>
        <v/>
      </c>
      <c r="E21" s="5" t="n"/>
      <c r="F21" s="5" t="n"/>
      <c r="G21" s="5" t="n"/>
      <c r="H21" s="5" t="n"/>
      <c r="I21" s="5" t="n"/>
      <c r="J21" s="5" t="n"/>
      <c r="K21" s="5" t="n"/>
      <c r="L21" s="5" t="n"/>
      <c r="M21" s="5" t="n"/>
      <c r="N21" s="5" t="n"/>
      <c r="O21" s="5" t="n"/>
    </row>
    <row r="22">
      <c r="A22" s="5" t="inlineStr">
        <is>
          <t>Lenient precision when 'head' decides (all bands)</t>
        </is>
      </c>
      <c r="B22" s="5" t="n"/>
      <c r="C22" s="5" t="n"/>
      <c r="D22" s="8">
        <f>IFERROR(SUMIFS($O$6:$O$16,$C$6:$C$16,"head")/SUMIFS($M$6:$M$16,$C$6:$C$16,"head"),"")</f>
        <v/>
      </c>
      <c r="E22" s="5" t="n"/>
      <c r="F22" s="5" t="n"/>
      <c r="G22" s="5" t="n"/>
      <c r="H22" s="5" t="n"/>
      <c r="I22" s="5" t="n"/>
      <c r="J22" s="5" t="n"/>
      <c r="K22" s="5" t="n"/>
      <c r="L22" s="5" t="n"/>
      <c r="M22" s="5" t="n"/>
      <c r="N22" s="5" t="n"/>
      <c r="O22" s="5" t="n"/>
    </row>
    <row r="23">
      <c r="A23" s="5" t="inlineStr">
        <is>
          <t>Lenient precision when 'tail' decides (all bands)</t>
        </is>
      </c>
      <c r="B23" s="5" t="n"/>
      <c r="C23" s="5" t="n"/>
      <c r="D23" s="8">
        <f>IFERROR(SUMIFS($O$6:$O$16,$C$6:$C$16,"tail")/SUMIFS($M$6:$M$16,$C$6:$C$16,"tail"),"")</f>
        <v/>
      </c>
      <c r="E23" s="5" t="n"/>
      <c r="F23" s="5" t="n"/>
      <c r="G23" s="5" t="n"/>
      <c r="H23" s="5" t="n"/>
      <c r="I23" s="5" t="n"/>
      <c r="J23" s="5" t="n"/>
      <c r="K23" s="5" t="n"/>
      <c r="L23" s="5" t="n"/>
      <c r="M23" s="5" t="n"/>
      <c r="N23" s="5" t="n"/>
      <c r="O23" s="5" t="n"/>
    </row>
    <row r="24">
      <c r="A24" s="5" t="inlineStr">
        <is>
          <t>Lenient precision when 'eurovoc' decides (all bands)</t>
        </is>
      </c>
      <c r="B24" s="5" t="n"/>
      <c r="C24" s="5" t="n"/>
      <c r="D24" s="8">
        <f>IFERROR(SUMIFS($O$6:$O$16,$C$6:$C$16,"eurovoc")/SUMIFS($M$6:$M$16,$C$6:$C$16,"eurovoc"),"")</f>
        <v/>
      </c>
      <c r="E24" s="5" t="n"/>
      <c r="F24" s="5" t="n"/>
      <c r="G24" s="5" t="n"/>
      <c r="H24" s="5" t="n"/>
      <c r="I24" s="5" t="n"/>
      <c r="J24" s="5" t="n"/>
      <c r="K24" s="5" t="n"/>
      <c r="L24" s="5" t="n"/>
      <c r="M24" s="5" t="n"/>
      <c r="N24" s="5" t="n"/>
      <c r="O24" s="5" t="n"/>
    </row>
    <row r="25">
      <c r="A25" s="5" t="inlineStr">
        <is>
          <t>Lenient precision when 'noun' decides (all bands)</t>
        </is>
      </c>
      <c r="B25" s="5" t="n"/>
      <c r="C25" s="5" t="n"/>
      <c r="D25" s="8">
        <f>IFERROR(SUMIFS($O$6:$O$16,$C$6:$C$16,"noun")/SUMIFS($M$6:$M$16,$C$6:$C$16,"noun"),"")</f>
        <v/>
      </c>
      <c r="E25" s="5" t="n"/>
      <c r="F25" s="5" t="n"/>
      <c r="G25" s="5" t="n"/>
      <c r="H25" s="5" t="n"/>
      <c r="I25" s="5" t="n"/>
      <c r="J25" s="5" t="n"/>
      <c r="K25" s="5" t="n"/>
      <c r="L25" s="5" t="n"/>
      <c r="M25" s="5" t="n"/>
      <c r="N25" s="5" t="n"/>
      <c r="O25" s="5" t="n"/>
    </row>
    <row r="26">
      <c r="A26" s="5" t="inlineStr">
        <is>
          <t>Recall proxy: zero same-group pairs judged same or related</t>
        </is>
      </c>
      <c r="B26" s="5" t="n"/>
      <c r="C26" s="5" t="n"/>
      <c r="D26" s="8">
        <f>IFERROR(INDEX($L$6:$L$16,MATCH("zero same-group",$A$6:$A$16,0)),"")</f>
        <v/>
      </c>
      <c r="E26" s="5" t="n"/>
      <c r="F26" s="5" t="n"/>
      <c r="G26" s="5" t="n"/>
      <c r="H26" s="5" t="n"/>
      <c r="I26" s="5" t="n"/>
      <c r="J26" s="5" t="n"/>
      <c r="K26" s="5" t="n"/>
      <c r="L26" s="5" t="n"/>
      <c r="M26" s="5" t="n"/>
      <c r="N26" s="5" t="n"/>
      <c r="O26" s="5" t="n"/>
    </row>
    <row r="27">
      <c r="A27" s="5" t="inlineStr">
        <is>
          <t>Recall proxy: known pairs scoring at or above threshold</t>
        </is>
      </c>
      <c r="B27" s="5" t="n"/>
      <c r="C27" s="5" t="n"/>
      <c r="D27" s="8">
        <f>IFERROR(COUNTIFS(Review!$K$2:$K$116,"known",Review!$L$2:$L$116,"&gt;="&amp;$B$3)/COUNTIF(Review!$K$2:$K$116,"known"),"")</f>
        <v/>
      </c>
      <c r="E27" s="5" t="n"/>
      <c r="F27" s="5" t="n"/>
      <c r="G27" s="5" t="n"/>
      <c r="H27" s="5" t="n"/>
      <c r="I27" s="5" t="n"/>
      <c r="J27" s="5" t="n"/>
      <c r="K27" s="5" t="n"/>
      <c r="L27" s="5" t="n"/>
      <c r="M27" s="5" t="n"/>
      <c r="N27" s="5" t="n"/>
      <c r="O27" s="5" t="n"/>
    </row>
    <row r="28">
      <c r="A28" s="5" t="n"/>
      <c r="B28" s="5" t="n"/>
      <c r="C28" s="5" t="n"/>
      <c r="D28" s="5" t="n"/>
      <c r="E28" s="5" t="n"/>
      <c r="F28" s="5" t="n"/>
      <c r="G28" s="5" t="n"/>
      <c r="H28" s="5" t="n"/>
      <c r="I28" s="5" t="n"/>
      <c r="J28" s="5" t="n"/>
      <c r="K28" s="5" t="n"/>
      <c r="L28" s="5" t="n"/>
      <c r="M28" s="5" t="n"/>
      <c r="N28" s="5" t="n"/>
      <c r="O28" s="5" t="n"/>
    </row>
    <row r="29">
      <c r="A29" s="9" t="inlineStr">
        <is>
          <t>Relation type by direction flag (counts)</t>
        </is>
      </c>
      <c r="B29" s="5" t="n"/>
      <c r="C29" s="5" t="n"/>
      <c r="D29" s="5" t="n"/>
      <c r="E29" s="5" t="n"/>
      <c r="F29" s="5" t="n"/>
      <c r="G29" s="5" t="n"/>
      <c r="H29" s="5" t="n"/>
      <c r="I29" s="5" t="n"/>
      <c r="J29" s="5" t="n"/>
      <c r="K29" s="5" t="n"/>
      <c r="L29" s="5" t="n"/>
      <c r="M29" s="5" t="n"/>
      <c r="N29" s="5" t="n"/>
      <c r="O29" s="5" t="n"/>
    </row>
    <row r="30">
      <c r="A30" s="5" t="n"/>
      <c r="B30" s="7" t="inlineStr">
        <is>
          <t>duplicate</t>
        </is>
      </c>
      <c r="C30" s="7" t="inlineStr">
        <is>
          <t>contradiction</t>
        </is>
      </c>
      <c r="D30" s="7" t="inlineStr">
        <is>
          <t>lex specialis</t>
        </is>
      </c>
      <c r="E30" s="7" t="inlineStr">
        <is>
          <t>overlap</t>
        </is>
      </c>
      <c r="F30" s="7" t="inlineStr">
        <is>
          <t>none</t>
        </is>
      </c>
      <c r="G30" s="7" t="inlineStr">
        <is>
          <t>unclear</t>
        </is>
      </c>
      <c r="H30" s="5" t="n"/>
      <c r="I30" s="5" t="n"/>
      <c r="J30" s="5" t="n"/>
      <c r="K30" s="5" t="n"/>
      <c r="L30" s="5" t="n"/>
      <c r="M30" s="5" t="n"/>
      <c r="N30" s="5" t="n"/>
      <c r="O30" s="5" t="n"/>
    </row>
    <row r="31">
      <c r="A31" s="5" t="inlineStr">
        <is>
          <t>same</t>
        </is>
      </c>
      <c r="B31" s="5">
        <f>COUNTIFS(Review!$P$2:$P$116,$A31,Review!$I$2:$I$116,"duplicate")</f>
        <v/>
      </c>
      <c r="C31" s="5">
        <f>COUNTIFS(Review!$P$2:$P$116,$A31,Review!$I$2:$I$116,"contradiction")</f>
        <v/>
      </c>
      <c r="D31" s="5">
        <f>COUNTIFS(Review!$P$2:$P$116,$A31,Review!$I$2:$I$116,"lex specialis")</f>
        <v/>
      </c>
      <c r="E31" s="5">
        <f>COUNTIFS(Review!$P$2:$P$116,$A31,Review!$I$2:$I$116,"overlap")</f>
        <v/>
      </c>
      <c r="F31" s="5">
        <f>COUNTIFS(Review!$P$2:$P$116,$A31,Review!$I$2:$I$116,"none")</f>
        <v/>
      </c>
      <c r="G31" s="5">
        <f>COUNTIFS(Review!$P$2:$P$116,$A31,Review!$I$2:$I$116,"unclear")</f>
        <v/>
      </c>
      <c r="H31" s="5" t="n"/>
      <c r="I31" s="5" t="n"/>
      <c r="J31" s="5" t="n"/>
      <c r="K31" s="5" t="n"/>
      <c r="L31" s="5" t="n"/>
      <c r="M31" s="5" t="n"/>
      <c r="N31" s="5" t="n"/>
      <c r="O31" s="5" t="n"/>
    </row>
    <row r="32">
      <c r="A32" s="5" t="inlineStr">
        <is>
          <t>a_narrower</t>
        </is>
      </c>
      <c r="B32" s="5">
        <f>COUNTIFS(Review!$P$2:$P$116,$A32,Review!$I$2:$I$116,"duplicate")</f>
        <v/>
      </c>
      <c r="C32" s="5">
        <f>COUNTIFS(Review!$P$2:$P$116,$A32,Review!$I$2:$I$116,"contradiction")</f>
        <v/>
      </c>
      <c r="D32" s="5">
        <f>COUNTIFS(Review!$P$2:$P$116,$A32,Review!$I$2:$I$116,"lex specialis")</f>
        <v/>
      </c>
      <c r="E32" s="5">
        <f>COUNTIFS(Review!$P$2:$P$116,$A32,Review!$I$2:$I$116,"overlap")</f>
        <v/>
      </c>
      <c r="F32" s="5">
        <f>COUNTIFS(Review!$P$2:$P$116,$A32,Review!$I$2:$I$116,"none")</f>
        <v/>
      </c>
      <c r="G32" s="5">
        <f>COUNTIFS(Review!$P$2:$P$116,$A32,Review!$I$2:$I$116,"unclear")</f>
        <v/>
      </c>
      <c r="H32" s="5" t="n"/>
      <c r="I32" s="5" t="n"/>
      <c r="J32" s="5" t="n"/>
      <c r="K32" s="5" t="n"/>
      <c r="L32" s="5" t="n"/>
      <c r="M32" s="5" t="n"/>
      <c r="N32" s="5" t="n"/>
      <c r="O32" s="5" t="n"/>
    </row>
    <row r="33">
      <c r="A33" s="5" t="inlineStr">
        <is>
          <t>b_narrower</t>
        </is>
      </c>
      <c r="B33" s="5">
        <f>COUNTIFS(Review!$P$2:$P$116,$A33,Review!$I$2:$I$116,"duplicate")</f>
        <v/>
      </c>
      <c r="C33" s="5">
        <f>COUNTIFS(Review!$P$2:$P$116,$A33,Review!$I$2:$I$116,"contradiction")</f>
        <v/>
      </c>
      <c r="D33" s="5">
        <f>COUNTIFS(Review!$P$2:$P$116,$A33,Review!$I$2:$I$116,"lex specialis")</f>
        <v/>
      </c>
      <c r="E33" s="5">
        <f>COUNTIFS(Review!$P$2:$P$116,$A33,Review!$I$2:$I$116,"overlap")</f>
        <v/>
      </c>
      <c r="F33" s="5">
        <f>COUNTIFS(Review!$P$2:$P$116,$A33,Review!$I$2:$I$116,"none")</f>
        <v/>
      </c>
      <c r="G33" s="5">
        <f>COUNTIFS(Review!$P$2:$P$116,$A33,Review!$I$2:$I$116,"unclear")</f>
        <v/>
      </c>
      <c r="H33" s="5" t="n"/>
      <c r="I33" s="5" t="n"/>
      <c r="J33" s="5" t="n"/>
      <c r="K33" s="5" t="n"/>
      <c r="L33" s="5" t="n"/>
      <c r="M33" s="5" t="n"/>
      <c r="N33" s="5" t="n"/>
      <c r="O33" s="5" t="n"/>
    </row>
    <row r="34">
      <c r="A34" s="5" t="inlineStr">
        <is>
          <t>none</t>
        </is>
      </c>
      <c r="B34" s="5">
        <f>COUNTIFS(Review!$P$2:$P$116,$A34,Review!$I$2:$I$116,"duplicate")</f>
        <v/>
      </c>
      <c r="C34" s="5">
        <f>COUNTIFS(Review!$P$2:$P$116,$A34,Review!$I$2:$I$116,"contradiction")</f>
        <v/>
      </c>
      <c r="D34" s="5">
        <f>COUNTIFS(Review!$P$2:$P$116,$A34,Review!$I$2:$I$116,"lex specialis")</f>
        <v/>
      </c>
      <c r="E34" s="5">
        <f>COUNTIFS(Review!$P$2:$P$116,$A34,Review!$I$2:$I$116,"overlap")</f>
        <v/>
      </c>
      <c r="F34" s="5">
        <f>COUNTIFS(Review!$P$2:$P$116,$A34,Review!$I$2:$I$116,"none")</f>
        <v/>
      </c>
      <c r="G34" s="5">
        <f>COUNTIFS(Review!$P$2:$P$116,$A34,Review!$I$2:$I$116,"unclear")</f>
        <v/>
      </c>
      <c r="H34" s="5" t="n"/>
      <c r="I34" s="5" t="n"/>
      <c r="J34" s="5" t="n"/>
      <c r="K34" s="5" t="n"/>
      <c r="L34" s="5" t="n"/>
      <c r="M34" s="5" t="n"/>
      <c r="N34" s="5" t="n"/>
      <c r="O34"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9" t="inlineStr">
        <is>
          <t>How to judge</t>
        </is>
      </c>
    </row>
    <row r="2">
      <c r="A2" s="5" t="inlineStr">
        <is>
          <t>Fill in the yellow cells of the Review sheet, one row per pair. Judge only the objects.</t>
        </is>
      </c>
    </row>
    <row r="3">
      <c r="A3" s="5" t="inlineStr">
        <is>
          <t>Same thing?  same: both norms are about the same thing.</t>
        </is>
      </c>
    </row>
    <row r="4">
      <c r="A4" s="5" t="inlineStr">
        <is>
          <t xml:space="preserve">             related: overlapping, or one is a part, kind or case of the other.</t>
        </is>
      </c>
    </row>
    <row r="5">
      <c r="A5" s="5" t="inlineStr">
        <is>
          <t xml:space="preserve">             different: not about the same thing.  unclear: cannot tell (not counted).</t>
        </is>
      </c>
    </row>
    <row r="6">
      <c r="A6" s="5" t="inlineStr">
        <is>
          <t>Relation type (optional, from the full norms): duplicate, contradiction, lex specialis,</t>
        </is>
      </c>
    </row>
    <row r="7">
      <c r="A7" s="5" t="inlineStr">
        <is>
          <t xml:space="preserve">             overlap (related, but no conflict or repetition), none, unclear.</t>
        </is>
      </c>
    </row>
    <row r="8">
      <c r="A8" s="5" t="inlineStr">
        <is>
          <t>Score, key and stratum are in hidden columns (right of Note): unhide them after judging.</t>
        </is>
      </c>
    </row>
    <row r="9">
      <c r="A9" s="5" t="inlineStr">
        <is>
          <t>Strict precision counts 'same'; lenient counts 'same' or 'related'.</t>
        </is>
      </c>
    </row>
    <row r="10">
      <c r="A10" s="5" t="inlineStr">
        <is>
          <t>With about 10 pairs per stratum each figure is rough (about +/-15 points); the weighted</t>
        </is>
      </c>
    </row>
    <row r="11">
      <c r="A11" s="5" t="inlineStr">
        <is>
          <t>estimates combine strata and are more stable. Sample sizes: Summary, column E.</t>
        </is>
      </c>
    </row>
    <row r="12">
      <c r="A12" s="5" t="inlineStr"/>
    </row>
    <row r="13">
      <c r="A13" s="9" t="inlineStr">
        <is>
          <t>Example (format only; not part of the sample)</t>
        </is>
      </c>
    </row>
    <row r="14">
      <c r="A14" s="5" t="inlineStr">
        <is>
          <t>Object A: de risicobeoordeling | Object B: een beoordeling van de risico's</t>
        </is>
      </c>
    </row>
    <row r="15">
      <c r="A15" s="5" t="inlineStr">
        <is>
          <t>Same thing? same | Relation type: duplicate | Note: same assessment, other wording</t>
        </is>
      </c>
    </row>
    <row r="16">
      <c r="A16" s="5" t="inlineStr"/>
    </row>
    <row r="17">
      <c r="A17" s="5" t="inlineStr">
        <is>
          <t>Settings: per cell 10, zero same-group 15, bands [0.5, 0.75], group parts 2, seed 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2026-10-18T10:43:57Z</dcterms:created>
  <dcterms:modified xmlns:dcterms="http://purl.org/dc/terms/" xmlns:xsi="http://www.w3.org/2001/XMLSchema-instance" xsi:type="dcterms:W3CDTF">2026-10-18T10:43:57Z</dcterms:modified>
</cp:coreProperties>
</file>