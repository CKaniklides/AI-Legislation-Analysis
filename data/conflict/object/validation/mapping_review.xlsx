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8c8c9cd31f35923/0 QIST/Year 2/JIP/AI-Legislation-Analysis/data/conflict/object/validation/"/>
    </mc:Choice>
  </mc:AlternateContent>
  <xr:revisionPtr revIDLastSave="6" documentId="11_AA55464F9F2D8A9566EF519469A4AC3C6F9C760A" xr6:coauthVersionLast="47" xr6:coauthVersionMax="47" xr10:uidLastSave="{FB9F8C35-DF13-4FEE-A435-3816EDF913BF}"/>
  <bookViews>
    <workbookView xWindow="-110" yWindow="-110" windowWidth="19420" windowHeight="11500" activeTab="1" xr2:uid="{00000000-000D-0000-FFFF-FFFF00000000}"/>
  </bookViews>
  <sheets>
    <sheet name="README" sheetId="1" r:id="rId1"/>
    <sheet name="Validate" sheetId="2" r:id="rId2"/>
    <sheet name="Summary" sheetId="3" r:id="rId3"/>
    <sheet name="Norms" sheetId="4" r:id="rId4"/>
  </sheets>
  <definedNames>
    <definedName name="_xlnm._FilterDatabase" localSheetId="3" hidden="1">Norms!$A$1:$I$1411</definedName>
    <definedName name="_xlnm._FilterDatabase" localSheetId="1" hidden="1">Validate!$A$1:$T$130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3" l="1"/>
  <c r="H10" i="3"/>
  <c r="G10" i="3"/>
  <c r="F10" i="3"/>
  <c r="E10" i="3"/>
  <c r="D10" i="3"/>
  <c r="C10" i="3"/>
  <c r="H9" i="3"/>
  <c r="G9" i="3"/>
  <c r="F9" i="3"/>
  <c r="E9" i="3"/>
  <c r="D9" i="3"/>
  <c r="C9" i="3"/>
  <c r="H8" i="3"/>
  <c r="G8" i="3"/>
  <c r="F8" i="3"/>
  <c r="E8" i="3"/>
  <c r="D8" i="3"/>
  <c r="C8" i="3"/>
  <c r="H7" i="3"/>
  <c r="G7" i="3"/>
  <c r="F7" i="3"/>
  <c r="E7" i="3"/>
  <c r="D7" i="3"/>
  <c r="C7" i="3"/>
  <c r="H6" i="3"/>
  <c r="G6" i="3"/>
  <c r="F6" i="3"/>
  <c r="E6" i="3"/>
  <c r="D6" i="3"/>
  <c r="C6" i="3"/>
  <c r="H5" i="3"/>
  <c r="G5" i="3"/>
  <c r="F5" i="3"/>
  <c r="E5" i="3"/>
  <c r="D5" i="3"/>
  <c r="C5" i="3"/>
  <c r="H4" i="3"/>
  <c r="G4" i="3"/>
  <c r="F4" i="3"/>
  <c r="E4" i="3"/>
  <c r="D4" i="3"/>
  <c r="C4" i="3"/>
  <c r="H3" i="3"/>
  <c r="G3" i="3"/>
  <c r="F3" i="3"/>
  <c r="E3" i="3"/>
  <c r="D3" i="3"/>
  <c r="C3" i="3"/>
  <c r="H2" i="3"/>
  <c r="G2" i="3"/>
  <c r="F2" i="3"/>
  <c r="E2" i="3"/>
  <c r="D2" i="3"/>
  <c r="C2" i="3"/>
  <c r="I5" i="3" l="1"/>
  <c r="G11" i="3"/>
  <c r="J5" i="3"/>
  <c r="F11" i="3"/>
  <c r="C11" i="3"/>
  <c r="D11" i="3"/>
  <c r="H11" i="3"/>
  <c r="I7" i="3"/>
  <c r="J7" i="3"/>
  <c r="I2" i="3"/>
  <c r="J2" i="3"/>
  <c r="I10" i="3"/>
  <c r="J10" i="3"/>
  <c r="J9" i="3"/>
  <c r="I9" i="3"/>
  <c r="J8" i="3"/>
  <c r="I8" i="3"/>
  <c r="J6" i="3"/>
  <c r="I6" i="3"/>
  <c r="J4" i="3"/>
  <c r="I4" i="3"/>
  <c r="E11" i="3"/>
  <c r="J3" i="3"/>
  <c r="I3" i="3"/>
  <c r="I11" i="3" l="1"/>
  <c r="J11" i="3"/>
</calcChain>
</file>

<file path=xl/sharedStrings.xml><?xml version="1.0" encoding="utf-8"?>
<sst xmlns="http://schemas.openxmlformats.org/spreadsheetml/2006/main" count="10102" uniqueCount="4153">
  <si>
    <t>in_sample</t>
  </si>
  <si>
    <t>stratum</t>
  </si>
  <si>
    <t>object</t>
  </si>
  <si>
    <t>raw_object</t>
  </si>
  <si>
    <t>norm_type</t>
  </si>
  <si>
    <t>head</t>
  </si>
  <si>
    <t>level</t>
  </si>
  <si>
    <t>matched_label</t>
  </si>
  <si>
    <t>cand_1</t>
  </si>
  <si>
    <t>conf_1</t>
  </si>
  <si>
    <t>pct_1</t>
  </si>
  <si>
    <t>cand_2</t>
  </si>
  <si>
    <t>conf_2</t>
  </si>
  <si>
    <t>cand_3</t>
  </si>
  <si>
    <t>conf_3</t>
  </si>
  <si>
    <t>n_norms</t>
  </si>
  <si>
    <t>example_norm</t>
  </si>
  <si>
    <t>context</t>
  </si>
  <si>
    <t>judgement</t>
  </si>
  <si>
    <t>better_concept</t>
  </si>
  <si>
    <t>notes</t>
  </si>
  <si>
    <t>yes</t>
  </si>
  <si>
    <t>phrase</t>
  </si>
  <si>
    <t>aansprakelijkheid</t>
  </si>
  <si>
    <t>van aansprakelijkheid op grond van lid 2</t>
  </si>
  <si>
    <t>32016R0679:82:3:4</t>
  </si>
  <si>
    <t>Een verwerkingsverantwoordelijke of verwerker wordt van aansprakelijkheid op grond van lid 2 vrijgesteld indien hij bewijst dat hij op geen enkele wijze verantwoordelijk is voor het schadeveroorzakende feit.</t>
  </si>
  <si>
    <t>administratieve boetes</t>
  </si>
  <si>
    <t>boete</t>
  </si>
  <si>
    <t>administratief boete</t>
  </si>
  <si>
    <t>administratieve sanctie</t>
  </si>
  <si>
    <t>32024R1689:57:12:25</t>
  </si>
  <si>
    <t>…en voor hun deelname eerbiedigen en zich te goeder trouw houden aan de richtsnoeren van de nationale bevoegde autoriteit, leggen de autoriteiten geen administratieve boetes op voor de schending van deze verordening. Wanneer andere bevoegde autoriteiten die verantwoordelijk zijn voor ander Unierecht en nationaal recht act…</t>
  </si>
  <si>
    <t>adviezen</t>
  </si>
  <si>
    <t>advies</t>
  </si>
  <si>
    <t>advies (EU)</t>
  </si>
  <si>
    <t>32024R1689:28:5:9</t>
  </si>
  <si>
    <t>Aanmeldende autoriteiten bieden of verrichten geen activiteiten die worden uitgevoerd door conformiteitsbeoordelingsinstanties en verlenen geen adviezen op commerciële of concurrentiële basis.</t>
  </si>
  <si>
    <t>beroepsgeheim</t>
  </si>
  <si>
    <t>aan het beroepsgeheim</t>
  </si>
  <si>
    <t>32024R1689:31:7:6</t>
  </si>
  <si>
    <t>…bezit krijgen vertrouwelijk houden, behalve wanneer de openbaarmaking ervan wettelijk vereist is. Het personeel van aangemelde instanties is gebonden aan het beroepsgeheim ten aanzien van alle informatie waarvan het kennisneemt bij de uitoefening van de taken uit hoofde van deze verordening, behalve ten opzichte van de …</t>
  </si>
  <si>
    <t>beslissingen</t>
  </si>
  <si>
    <t>beslissing</t>
  </si>
  <si>
    <t>32024R1689:14:5:2</t>
  </si>
  <si>
    <t>… als bedoeld in lid 3 van dit artikel zodanig dat zij waarborgen dat daarnaast door de gebruiksverantwoordelijke geen maatregelen worden getroffen of beslissingen worden genomen op basis van de identificatie door het systeem, tenzij deze identificatie door ten minste twee natuurlijke personen met de nodige bekw…</t>
  </si>
  <si>
    <t>bevoegdheden</t>
  </si>
  <si>
    <t>de in artikel 14, lid 4, punten d) en j), van die verordening bedoelde bevoegdheden</t>
  </si>
  <si>
    <t>bevoegdheid</t>
  </si>
  <si>
    <t>politieke bevoegdheid</t>
  </si>
  <si>
    <t>32024R1689:74:5:4</t>
  </si>
  <si>
    <t>… krachtens artikel 14 van Verordening (EU) 2019/1020 kunnen markttoezichtautoriteiten met het oog op de doeltreffende handhaving van deze verordening de in artikel 14, lid 4, punten d) en j), van die verordening bedoelde bevoegdheden naargelang van het geval op afstand uitoefenen.</t>
  </si>
  <si>
    <t>Comité</t>
  </si>
  <si>
    <t>de andere betrokken toezichthoudende autoriteiten, alsmede het Comité</t>
  </si>
  <si>
    <t>comité</t>
  </si>
  <si>
    <t>comité (EU)</t>
  </si>
  <si>
    <t>32016R0679:60:7:13</t>
  </si>
  <si>
    <t>…vast en deelt het mee aan de hoofdvestiging of de enige vestiging van de verwerkingsverantwoordelijke of de verwerker, naargelang het geval, en stelt de andere betrokken toezichthoudende autoriteiten, alsmede het Comité in kennis van het besluit in kwestie, voorzien van een samenvatting van de relevante feiten en gronden. De toezichthoudende autoriteit waarbij de kla…</t>
  </si>
  <si>
    <t>het in artikel 22 van Verordening (EU) nr. 1025/2012 bedoelde comité</t>
  </si>
  <si>
    <t>32024R1689:41:2:1</t>
  </si>
  <si>
    <t>Alvorens een ontwerpuitvoeringshandeling op te stellen, stelt de Commissie het in artikel 22 van Verordening (EU) nr. 1025/2012 bedoelde comité ervan in kennis dat zij van oordeel is dat aan de voorwaarden van lid 1 van dit artikel is voldaan.</t>
  </si>
  <si>
    <t>Europees Parlement</t>
  </si>
  <si>
    <t>de standpunten en bevindingen van de AI-board, het Europees Parlement, de Raad en van andere relevante instanties of bronnen</t>
  </si>
  <si>
    <t>europees</t>
  </si>
  <si>
    <t>europees parlement</t>
  </si>
  <si>
    <t>32024R1689:112:9:17</t>
  </si>
  <si>
    <t>Bij de uitvoering van de in de leden 1 tot en met 7 vermelde evaluaties en toetsingen neemt de Commissie de standpunten en bevindingen van de AI-board, het Europees Parlement, de Raad en van andere relevante instanties of bronnen in aanmerking.</t>
  </si>
  <si>
    <t>informatie</t>
  </si>
  <si>
    <t>ten minste de in lid 6 bepaalde informatie</t>
  </si>
  <si>
    <t>32024R1689:5:4:6</t>
  </si>
  <si>
    <t>…arkttoezichtautoriteit en de nationale gegevensbeschermingsautoriteit in overeenstemming met de in lid 5 bedoelde nationale regels. Die melding bevat ten minste de in lid 6 bepaalde informatie en bevat geen gevoelige operationele gegevens.</t>
  </si>
  <si>
    <t>jaarverslag</t>
  </si>
  <si>
    <t>een jaarverslag</t>
  </si>
  <si>
    <t>verslag over de werkzaamheden</t>
  </si>
  <si>
    <t>32016R0679:71:1:1</t>
  </si>
  <si>
    <t>Het Comité stelt een jaarverslag op over de bescherming van natuurlijke personen met betrekking tot de verwerking in de Unie en, in voorkomend geval, in derde landen en international…</t>
  </si>
  <si>
    <t>stemrecht</t>
  </si>
  <si>
    <t>uitsluitend stemrecht</t>
  </si>
  <si>
    <t>32016R0679:68:6:7</t>
  </si>
  <si>
    <t>In de in artikel 65 bedoelde gevallen heeft de Europese Toezichthouder voor gegevensbescherming uitsluitend stemrecht bij besluiten over op de instellingen, organen en instanties van de Unie toepasselijke beginselen en regels die inhoudelijk met die van de onderhavig…</t>
  </si>
  <si>
    <t>vergoeding</t>
  </si>
  <si>
    <t>een vergoeding</t>
  </si>
  <si>
    <t>32024R1689:69:2:2</t>
  </si>
  <si>
    <t>De lidstaten kan worden voorgeschreven dat zij een vergoeding betalen voor het advies en de ondersteuning van de deskundigen. De structuur en de hoogte van de vergoedingen en de schaal en structuur van de invord…</t>
  </si>
  <si>
    <t>verplichting</t>
  </si>
  <si>
    <t>Deze verplichting</t>
  </si>
  <si>
    <t>contract</t>
  </si>
  <si>
    <t>32024R1689:26:5:10</t>
  </si>
  <si>
    <t>…chtautoriteiten van dat incident. Wanneer de gebruiksverantwoordelijke de aanbieder niet kan bereiken, is artikel 73 mutatis mutandis van toepassing. Deze verplichting geldt niet voor gevoelige operationele gegevens van gebruiksverantwoordelijke van AI-systemen die de hoedanigheid van rechtshandhavingsinstanties heb…</t>
  </si>
  <si>
    <t>verslag</t>
  </si>
  <si>
    <t>32024R1689:56:5:4</t>
  </si>
  <si>
    <t>Het AI-bureau streeft ernaar ervoor te zorgen dat de deelnemers aan de praktijkcodes regelmatig verslag uitbrengen aan het AI-bureau over de uitvoering van de verbintenissen en de genomen maatregelen en de resultaten daarvan, onder meer waar nodig gemet…</t>
  </si>
  <si>
    <t>vertrouwelijke informatie</t>
  </si>
  <si>
    <t>vertrouwelijk informatie</t>
  </si>
  <si>
    <t>vertrouwelijkheid</t>
  </si>
  <si>
    <t>32024R1689:78:5:5</t>
  </si>
  <si>
    <t>De Commissie en de lidstaten kunnen zo nodig en met inachtneming van de relevante bepalingen van internationale overeenkomsten en handelsakkoorden vertrouwelijke informatie uitwisselen met regelgevingsinstanties van derde landen waarmee zij bilaterale of multilaterale vertrouwelijkheidsovereenkomsten hebben gesloten die …</t>
  </si>
  <si>
    <t>voorschriften</t>
  </si>
  <si>
    <t>de voorschriften</t>
  </si>
  <si>
    <t>voorschrift</t>
  </si>
  <si>
    <t>verordening</t>
  </si>
  <si>
    <t>32024R1689:99:1:1</t>
  </si>
  <si>
    <t>Overeenkomstig de voorwaarden van deze verordening stellen de lidstaten de voorschriften vast voor sancties en andere handhavingsmaatregelen, die ook waarschuwingen en niet-monetaire maatregelen kunnen omvatten, die van toepassing zijn op…</t>
  </si>
  <si>
    <t>aan derden toegebrachte schade</t>
  </si>
  <si>
    <t>voor aan derden toegebrachte schade</t>
  </si>
  <si>
    <t>schade</t>
  </si>
  <si>
    <t>32024R1689:57:12:24</t>
  </si>
  <si>
    <t>…e deelnemen aan de AI-testomgeving voor regelgeving blijven aansprakelijk uit hoofde van het toepasselijke Unie- en nationale aansprakelijkheidsrecht voor aan derden toegebrachte schade als gevolg van de experimenten in de testomgeving. Als de potentiële aanbieders echter het specifieke plan alsmede de voorwaarden voor hun deelname e…</t>
  </si>
  <si>
    <t>Administratieve geldboeten</t>
  </si>
  <si>
    <t>geldboet</t>
  </si>
  <si>
    <t>geldboete</t>
  </si>
  <si>
    <t>32016R0679:83:2:2</t>
  </si>
  <si>
    <t>Administratieve geldboeten worden, naargelang de omstandigheden van het concrete geval, opgelegd naast of in plaats van de in artikel 58, lid 2, onder a) tot en met h) en onder…</t>
  </si>
  <si>
    <t>definitief besluit</t>
  </si>
  <si>
    <t>een definitief besluit</t>
  </si>
  <si>
    <t>besluit</t>
  </si>
  <si>
    <t>besluit (EU)</t>
  </si>
  <si>
    <t>32016R0679:65:6:12</t>
  </si>
  <si>
    <t>…val, de toezichthoudende autoriteit waarbij de klacht is ingediend, stelt onverwijld en uiterlijk binnen één maand na de kennisgeving door het Comité een definitief besluit vast op basis van het in lid 1 van dit artikel bedoelde besluit. De leidende toezichthoudende autoriteit of, in voorkomend geval, de toezichthoudende…</t>
  </si>
  <si>
    <t>documenten met betrekking tot die aanwijzingen</t>
  </si>
  <si>
    <t>alle documenten en certificaten met betrekking tot die aanwijzingen</t>
  </si>
  <si>
    <t>document</t>
  </si>
  <si>
    <t>32024R1689:29:4:5</t>
  </si>
  <si>
    <t>Voor aangemelde instanties die uit hoofde van andere harmonisatiewetgeving van de Unie zijn aangewezen, kunnen waar passend alle documenten en certificaten met betrekking tot die aanwijzingen worden gebruikt om hun aanwijzingsprocedure krachtens deze verordening te ondersteunen. Om de voor aangemelde instanties verantwoordelijke autoriteit…</t>
  </si>
  <si>
    <t>door hen verkregen informatie vertrouwelijk wordt behandeld</t>
  </si>
  <si>
    <t>dat de door hen verkregen informatie overeenkomstig artikel 78 vertrouwelijk wordt behandeld</t>
  </si>
  <si>
    <t>32024R1689:28:6:10</t>
  </si>
  <si>
    <t>Aanmeldende autoriteiten waarborgen dat de door hen verkregen informatie overeenkomstig artikel 78 vertrouwelijk wordt behandeld.</t>
  </si>
  <si>
    <t>eigen reglement van orde</t>
  </si>
  <si>
    <t>zijn eigen reglement van orde en zijn eigen werkregelingen</t>
  </si>
  <si>
    <t>reglement</t>
  </si>
  <si>
    <t>32016R0679:72:2:2</t>
  </si>
  <si>
    <t>Het Comité stelt met een tweederdemeerderheid van zijn leden zijn eigen reglement van orde en zijn eigen werkregelingen vast.</t>
  </si>
  <si>
    <t>gemakkelijk te gebruiken informatie met betrekking tot deze verordening</t>
  </si>
  <si>
    <t>32024R1689:62:3:6</t>
  </si>
  <si>
    <t>…ordening vallen, zoals gespecificeerd door de AI-board in zijn verzoek; b) het ontwikkelen en in stand houden van een centraal informatieplatform dat gemakkelijk te gebruiken informatie met betrekking tot deze verordening biedt aan alle operatoren in de hele Unie; c) het organiseren van passende voorlichtingscampagnes om meer bekendheid te geven aan de uit deze verorde…</t>
  </si>
  <si>
    <t>informatie die is</t>
  </si>
  <si>
    <t>de informatie die is vervat in bijlage V</t>
  </si>
  <si>
    <t>32024R1689:47:2:5</t>
  </si>
  <si>
    <t>…vermeld dat het betreffende AI-systeem met een hoog risico aan de in afdeling 2 beschreven voorschriften voldoet. De EU-conformiteitsverklaring bevat de informatie die is vervat in bijlage V en wordt vertaald in een taal die de nationale bevoegde autoriteiten van de lidstaten waarin het AI-systeem met een hoog risico in de handel wordt ge…</t>
  </si>
  <si>
    <t>informatie en documentatie die noodzakelijk is om de overeenstemming van het AI-systeem met een hoog risico met de eisen aan te tonen</t>
  </si>
  <si>
    <t>alle informatie en documentatie die noodzakelijk is om de overeenstemming van het AI-systeem met een hoog risico met de eisen van afdeling 2 aan te tonen</t>
  </si>
  <si>
    <t>32024R1689:21:1:1</t>
  </si>
  <si>
    <t>Op een met redenen omkleed verzoek van een bevoegde autoriteit, verstrekken aanbieders van AI-systemen met een hoog risico die autoriteit alle informatie en documentatie die noodzakelijk is om de overeenstemming van het AI-systeem met een hoog risico met de eisen van afdeling 2 aan te tonen, in een eenvoudig door de instantie te begrijpen en door de betrokken lidstaat gekozen officiële taal van de instellingen van de Unie.</t>
  </si>
  <si>
    <t>korte samenvatting van het in de testomgeving ontwikkelde AI-project en de doelstellingen en verwachte resultaten</t>
  </si>
  <si>
    <t>een korte samenvatting van het in de testomgeving ontwikkelde AI-project en de doelstellingen en verwachte resultaten ervan</t>
  </si>
  <si>
    <t>samenvatting</t>
  </si>
  <si>
    <t>samenvatting van een tekst</t>
  </si>
  <si>
    <t>32024R1689:59:1:12</t>
  </si>
  <si>
    <t>…ten en valideren van het AI-systeem wordt samen met de testresultaten bewaard als onderdeel van de in bijlage IV bedoelde technische documentatie; j) een korte samenvatting van het in de testomgeving ontwikkelde AI-project en de doelstellingen en verwachte resultaten ervan worden op de website van de bevoegde autoriteiten gepubliceerd; deze verplichting heeft geen betrekking op gevoelige operationele gegevens in verband…</t>
  </si>
  <si>
    <t>nodige documentatie</t>
  </si>
  <si>
    <t>alle nodige documentatie</t>
  </si>
  <si>
    <t>documentatie</t>
  </si>
  <si>
    <t>32016R0679:70:1:15</t>
  </si>
  <si>
    <t>…toren in dat derde land, of een internationale organisatie geen passend beschermingsniveau meer garandeert. Daartoe verstrekt de Commissie het Comité alle nodige documentatie, met inbegrip van correspondentie met de overheid van het derde land, ten aanzien van derde land, gebied of nader bepaalde sector of met de internati…</t>
  </si>
  <si>
    <t>relevante informatie</t>
  </si>
  <si>
    <t>alle relevante informatie</t>
  </si>
  <si>
    <t>head, phrase</t>
  </si>
  <si>
    <t>32024R1689:37:2:2</t>
  </si>
  <si>
    <t>De aanmeldende autoriteit verstrekt de Commissie op verzoek alle relevante informatie over de aanmelding of het op peil houden van de bekwaamheid van de betrokken aangemelde instantie.</t>
  </si>
  <si>
    <t>restrictievere wetgeving inzake het gebruik van systemen voor biometrische identificatie op afstand</t>
  </si>
  <si>
    <t>wetgeving</t>
  </si>
  <si>
    <t>32024R1689:5:5:12</t>
  </si>
  <si>
    <t>…ten stellen de Commissie uiterlijk dertig dagen na de vaststelling van die regels in kennis. De lidstaten kunnen in overeenstemming met het Unierecht restrictievere wetgeving inzake het gebruik van systemen voor biometrische identificatie op afstand invoeren.</t>
  </si>
  <si>
    <t>Significante risico’s voor de gezondheid en veiligheid</t>
  </si>
  <si>
    <t>Significante risico’s voor de gezondheid en veiligheid en de grondrechten</t>
  </si>
  <si>
    <t>risico</t>
  </si>
  <si>
    <t>gedekt risico</t>
  </si>
  <si>
    <t>32024R1689:57:11:18</t>
  </si>
  <si>
    <t>…e of corrigerende bevoegdheden van de bevoegde autoriteiten die toezicht houden binnen de testomgevingen onverlet, ook op regionaal of lokaal niveau. Significante risico’s voor de gezondheid en veiligheid en de grondrechten die tijdens het ontwikkelen en testen van dergelijke AI-systemen worden vastgesteld, worden op adequate wijze beperkt. De nationale bevoegde autorite…</t>
  </si>
  <si>
    <t>technische ondersteuning</t>
  </si>
  <si>
    <t>technische ondersteuning, advies en instrumenten</t>
  </si>
  <si>
    <t>ondersteuning</t>
  </si>
  <si>
    <t>economische steun</t>
  </si>
  <si>
    <t>32024R1689:57:1:1</t>
  </si>
  <si>
    <t>…op 2 augustus 2026 operationeel is. Die testomgeving kan ook samen met de bevoegde autoriteiten van andere lidstaten worden opgezet. De Commissie kan technische ondersteuning, advies en instrumenten verstrekken voor de oprichting en werking van AI-testomgevingen voor regelgeving. Aan de verplichting uit hoofde van de eerste alinea kan ook worden …</t>
  </si>
  <si>
    <t>technische oplossingen doeltreffend, interoperabel, robuust en betrouwbaar zijn</t>
  </si>
  <si>
    <t>hun technische oplossingen doeltreffend, interoperabel, robuust en betrouwbaar zijn</t>
  </si>
  <si>
    <t>oplossing</t>
  </si>
  <si>
    <t>fysisch procédé</t>
  </si>
  <si>
    <t>32024R1689:50:2:1</t>
  </si>
  <si>
    <t>…teem worden gemarkeerd in een machineleesbaar formaat en detecteerbaar zijn als kunstmatig gegenereerd of gemanipuleerd. Aanbieders zorgen ervoor dat hun technische oplossingen doeltreffend, interoperabel, robuust en betrouwbaar zijn voor zover dat technisch haalbaar is, rekening houdend met de specifieke kenmerken en beperkingen van de verschillende soorten content, de uitvoering…</t>
  </si>
  <si>
    <t>vertalingen van relevante informatie</t>
  </si>
  <si>
    <t>vertaling</t>
  </si>
  <si>
    <t>32016R0679:64:5:7</t>
  </si>
  <si>
    <t>…een standaardformulier in kennis van alle relevante informatie die het Comité heeft ontvangen. Het secretariaat van het Comité verstrekt indien nodig vertalingen van relevante informatie; en b) de, naargelang het geval, in de leden 1 en 2 bedoelde toezichthoudende autoriteit en de Commissie in kennis van het advies en maakt dat advies…</t>
  </si>
  <si>
    <t>compound</t>
  </si>
  <si>
    <t>begeleiding</t>
  </si>
  <si>
    <t>begeleiding, toezicht en ondersteuning</t>
  </si>
  <si>
    <t>leiding</t>
  </si>
  <si>
    <t>leidingen</t>
  </si>
  <si>
    <t>32024R1689:57:6:8</t>
  </si>
  <si>
    <t>De bevoegde autoriteiten verstrekken in voorkomend geval begeleiding, toezicht en ondersteuning binnen de AI-testomgeving voor regelgeving met als doel om risico’s in kaart te brengen, met name met betrekking tot de grondrechten, gezondheid en v…</t>
  </si>
  <si>
    <t>beweerde inbreuk op deze verordening</t>
  </si>
  <si>
    <t>een beweerde inbreuk op deze verordening</t>
  </si>
  <si>
    <t>inbreuk</t>
  </si>
  <si>
    <t>breuk</t>
  </si>
  <si>
    <t>trauma</t>
  </si>
  <si>
    <t>32016R0679:58:1:3</t>
  </si>
  <si>
    <t>…chten van de overeenkomstig artikel 42, lid 7, afgegeven certificeringen; d) de verwerkingsverantwoordelijke of de verwerker in kennis te stellen van een beweerde inbreuk op deze verordening; e) van de verwerkingsverantwoordelijke en de verwerker toegang te verkrijgen tot alle persoonsgegevens en alle informatie die noodzakelijk is voor d…</t>
  </si>
  <si>
    <t>binnen het toepassingsgebied van hun aanmelding verrichte conformiteitsbeoordelingsactiviteiten en andere activiteiten, waaronder grensoverschrijdende activiteiten en onderaanneming</t>
  </si>
  <si>
    <t>de binnen het toepassingsgebied van hun aanmelding verrichte conformiteitsbeoordelingsactiviteiten en andere activiteiten, waaronder grensoverschrijdende activiteiten en onderaanneming</t>
  </si>
  <si>
    <t>toepassingsgebied</t>
  </si>
  <si>
    <t>gebied</t>
  </si>
  <si>
    <t>32024R1689:45:1:5</t>
  </si>
  <si>
    <t>… de aanmelding; d) verzoeken om informatie over conformiteitsbeoordelingsactiviteiten die zij van markttoezichtautoriteiten ontvangen; e) op verzoek, de binnen het toepassingsgebied van hun aanmelding verrichte conformiteitsbeoordelingsactiviteiten en andere activiteiten, waaronder grensoverschrijdende activiteiten en onderaanneming.</t>
  </si>
  <si>
    <t>eindverslagen</t>
  </si>
  <si>
    <t>de eindverslagen</t>
  </si>
  <si>
    <t>eindverslag</t>
  </si>
  <si>
    <t>32024R1689:57:8:14</t>
  </si>
  <si>
    <t>…ingen van artikel 78 en met instemming van de aanbieder of potentiële aanbieder zijn de Commissie en de AI-board gemachtigd om toegang te krijgen tot de eindverslagen en houden zij er in voorkomend geval rekening mee bij de uitoefening van hun taken uit hoofde van deze verordening. Indien zowel de aanbieder of pote…</t>
  </si>
  <si>
    <t>evaluatieverslag</t>
  </si>
  <si>
    <t>dit evaluatieverslag</t>
  </si>
  <si>
    <t>32024R1689:112:5:10</t>
  </si>
  <si>
    <t>… relevant en noodzakelijk zou zijn om het AI-bureau en zijn handhavingsbevoegdheden op te schalen en zijn middelen uit te breiden. De Commissie dient dit evaluatieverslag in bij het Europees Parlement en bij de raad.</t>
  </si>
  <si>
    <t>eventuele inbreuk op deze verordening</t>
  </si>
  <si>
    <t>een bij haar ingediende klacht of een eventuele inbreuk op deze verordening</t>
  </si>
  <si>
    <t>32016R0679:56:2:2</t>
  </si>
  <si>
    <t>In afwijking van lid 1 is elke toezichthoudende autoriteit competent een bij haar ingediende klacht of een eventuele inbreuk op deze verordening te behandelen indien het onderwerp van die zaak alleen verband houdt met een vestiging in haar lidstaat of alleen voor betrokkenen in haar lidstaat w…</t>
  </si>
  <si>
    <t>inbreuk in verband met persoonsgegevens</t>
  </si>
  <si>
    <t>de inbreuk in verband met persoonsgegevens</t>
  </si>
  <si>
    <t>32016R0679:34:1:1</t>
  </si>
  <si>
    <t>Wanneer de inbreuk in verband met persoonsgegevens waarschijnlijk een hoog risico inhoudt voor de rechten en vrijheden van natuurlijke personen, deelt de verwerkingsverantwoordelijke de betrokkene de …</t>
  </si>
  <si>
    <t>monitoringsverplichting</t>
  </si>
  <si>
    <t>de monitoringsverplichting overeenkomstig de eerste alinea</t>
  </si>
  <si>
    <t>32024R1689:26:5:9</t>
  </si>
  <si>
    <t>…rpen zijn aan eisen met betrekking tot hun interne governance, regelingen of processen uit hoofde van het Unierecht inzake financiële diensten, wordt de monitoringsverplichting overeenkomstig de eerste alinea geacht te zijn vervuld door te voldoen aan de regels inzake interne governance, regelingen of processen en -mechanismen uit hoofde van het desbetreff…</t>
  </si>
  <si>
    <t>of de deelnemers de doelstellingen van de praktijkcodes verwezenlijken en bijdragen aan de correcte toepassing</t>
  </si>
  <si>
    <t>of de deelnemers de doelstellingen van de praktijkcodes verwezenlijken en bijdragen aan de correcte toepassing van deze verordening</t>
  </si>
  <si>
    <t>doelstelling</t>
  </si>
  <si>
    <t>telling</t>
  </si>
  <si>
    <t>32024R1689:56:6:7</t>
  </si>
  <si>
    <t>Het AI-bureau en de AI-board monitoren en evalueren regelmatig of de deelnemers de doelstellingen van de praktijkcodes verwezenlijken en bijdragen aan de correcte toepassing van deze verordening. Het AI-bureau en de AI-board beoordelen of de praktijkcodes betrekking hebben op de verplichtingen van de artikelen 53 en 55, en monitoren en evalue…</t>
  </si>
  <si>
    <t>opstelling van gedragscodes</t>
  </si>
  <si>
    <t>de opstelling van gedragscodes</t>
  </si>
  <si>
    <t>opstelling</t>
  </si>
  <si>
    <t>32016R0679:40:1:1</t>
  </si>
  <si>
    <t>De lidstaten, de toezichthoudende autoriteiten, het Comité en de Commissie bevorderen de opstelling van gedragscodes die, met inachtneming van de specifieke kenmerken van de diverse gegevensverwerkingssectoren en de specifieke behoeften van kleine, middelgrote en mi…</t>
  </si>
  <si>
    <t>opstelling van praktijkcodes</t>
  </si>
  <si>
    <t>de opstelling van praktijkcodes</t>
  </si>
  <si>
    <t>32024R1689:50:7:15</t>
  </si>
  <si>
    <t>Het AI-bureau stimuleert en faciliteert de opstelling van praktijkcodes op het niveau van de Unie om de doeltreffende uitvoering van de verplichtingen met betrekking tot de opsporing en het labelen van kunstmatig gegenere…</t>
  </si>
  <si>
    <t>overeenstemming</t>
  </si>
  <si>
    <t>de overeenstemming</t>
  </si>
  <si>
    <t>stemming</t>
  </si>
  <si>
    <t>32024R1689:16:whole:10</t>
  </si>
  <si>
    <t>…en en verstrekken de uit hoofde van artikel 20 vereiste informatie; k) tonen op een met redenen omkleed verzoek van een nationale bevoegde autoriteit de overeenstemming aan van het AI-systeem met een hoog risico met de eisen van afdeling 2; l) zorgen ervoor dat het AI-systeem met een hoog risico voldoet aan de toegan…</t>
  </si>
  <si>
    <t>registratieverplichting</t>
  </si>
  <si>
    <t>de registratieverplichting van artikel 49, lid 2</t>
  </si>
  <si>
    <t>32024R1689:6:4:4</t>
  </si>
  <si>
    <t>… inhoudt, documenteert zijn beoordeling voordat dat systeem in de handel wordt gebracht of in gebruik wordt gesteld. Die aanbieder is onderworpen aan de registratieverplichting van artikel 49, lid 2. Op verzoek van de nationale bevoegde autoriteiten verstrekt de aanbieder de documentatie van de beoordeling.</t>
  </si>
  <si>
    <t>specifieke toestemming</t>
  </si>
  <si>
    <t>toestemming</t>
  </si>
  <si>
    <t>32016R0679:45:1:2</t>
  </si>
  <si>
    <t>…ctoren in dat derde land, of de internationale organisatie in kwestie een passend beschermingsniveau waarborgt. Voor een dergelijke doorgifte is geen specifieke toestemming nodig.</t>
  </si>
  <si>
    <t>zijn toestemming</t>
  </si>
  <si>
    <t>32016R0679:7:3:2</t>
  </si>
  <si>
    <t>De betrokkene heeft het recht zijn toestemming te allen tijde in te trekken. Het intrekken van de toestemming laat de rechtmatigheid van de verwerking op basis van de toestemming vóór de intrekkin…</t>
  </si>
  <si>
    <t>verwerkingsverantwoordelijke het voornemen heeft de persoonsgegevens door te geven aan een ontvanger in een derde land of aan een internationale organisatie; of er al dan niet een adequaatheidsbesluit van de Commissie bestaat; of, in het geval van de doorgiften, welke de passende of geschikte waarborgen zijn, hoe er een kopie van kan worden verkregen of waar ze kunnen worden geraadpleegd</t>
  </si>
  <si>
    <t>dat de verwerkingsverantwoordelijke het voornemen heeft de persoonsgegevens door te geven aan een ontvanger in een derde land of aan een internationale organisatie; of er al dan niet een adequaatheidsbesluit van de Commissie bestaat; of, in het geval van de in artikel 46, artikel 47 of artikel 49, lid 1, tweede alinea, bedoelde doorgiften, welke de passende of geschikte waarborgen zijn, hoe er een kopie van kan worden verkregen of waar ze kunnen worden geraadpleegd</t>
  </si>
  <si>
    <t>voornemen</t>
  </si>
  <si>
    <t>nemen</t>
  </si>
  <si>
    <t>Namen</t>
  </si>
  <si>
    <t>Neamt</t>
  </si>
  <si>
    <t>32016R0679:14:1:7</t>
  </si>
  <si>
    <t>…ategorieën van persoonsgegevens; e) in voorkomend geval, de ontvangers of categorieën van ontvangers van de persoonsgegevens; f) in voorkomend geval, dat de verwerkingsverantwoordelijke het voornemen heeft de persoonsgegevens door te geven aan een ontvanger in een derde land of aan een internationale organisatie; of er al dan niet een adequaatheidsbesluit van de Commissie bestaat; of, in het geval van de in artikel 46, artikel 47 of artikel 49, lid 1, tweede alinea, bedoelde doorgiften, welke de passende of geschikte waarborgen zijn, hoe er een kopie van kan worden verkregen of waar ze kunnen worden geraadpleegd.</t>
  </si>
  <si>
    <t>voorafgaande toestemming</t>
  </si>
  <si>
    <t>haar voorafgaande toestemming</t>
  </si>
  <si>
    <t>32016R0679:36:5:11</t>
  </si>
  <si>
    <t>…de lid 1 kunnen de verwerkingsverantwoordelijken lidstaatrechtelijk ertoe worden verplicht overleg met de toezichthoudende autoriteit te plegen en om haar voorafgaande toestemming te verzoeken wanneer zij met het oog op de vervulling van een taak van algemeen belang verwerken, onder meer wanneer verwerking verband houdt met soc…</t>
  </si>
  <si>
    <t>embedding p20-47</t>
  </si>
  <si>
    <t>systemen voor het actief beheren en voorkomen van mogelijke belangenconflicten</t>
  </si>
  <si>
    <t>systemen en procedures voor het actief beheren en voorkomen van mogelijke belangenconflicten</t>
  </si>
  <si>
    <t>embedding</t>
  </si>
  <si>
    <t>systeem</t>
  </si>
  <si>
    <t>preventie van gewelddadige conflicten</t>
  </si>
  <si>
    <t>32024R1689:68:4:5</t>
  </si>
  <si>
    <t>…uitoefening van hun taken uit hoofde van lid 3. Elke deskundige stelt een belangenverklaring op, die openbaar wordt gemaakt. Het AI-bureau zorgt voor systemen en procedures voor het actief beheren en voorkomen van mogelijke belangenconflicten.</t>
  </si>
  <si>
    <t>rapportageregeling</t>
  </si>
  <si>
    <t>een andere rapportageregeling</t>
  </si>
  <si>
    <t>concurrentieregeling</t>
  </si>
  <si>
    <t>uitvoerregeling</t>
  </si>
  <si>
    <t>mededingingsregeling</t>
  </si>
  <si>
    <t>32016R0679:75:3:2</t>
  </si>
  <si>
    <t>…hthouder voor gegevensbescherming die betrokken zijn bij de uitvoering van de krachtens deze verordening aan het Comité opgedragen taken vallen onder een andere rapportageregeling dan de personeelsleden die betrokken zijn bij de uitvoering van de aan de Europese Toezichthouder voor gegevensbescherming opgedragen taken.</t>
  </si>
  <si>
    <t>redenen voor haar besluit</t>
  </si>
  <si>
    <t>de redenen voor haar besluit</t>
  </si>
  <si>
    <t>reden</t>
  </si>
  <si>
    <t>oorzaak en gevolg</t>
  </si>
  <si>
    <t>32024R1689:44:3:6</t>
  </si>
  <si>
    <t>…chriften, binnen een door de aangemelde instantie vastgestelde passende termijn adequate corrigerende actie onderneemt. De aangemelde instantie geeft de redenen voor haar besluit op. Er wordt voorzien in een beroepsprocedure tegen besluiten van de aangemelde instanties, ook inzake afgegeven conformiteitscertificaten.</t>
  </si>
  <si>
    <t>daarmee verband houdende veiligheidsmaatregelen</t>
  </si>
  <si>
    <t>Persoonsgegevens betreffende strafrechtelijke veroordelingen en strafbare feiten of daarmee verband houdende veiligheidsmaatregelen</t>
  </si>
  <si>
    <t>verband</t>
  </si>
  <si>
    <t>openbare veiligheid</t>
  </si>
  <si>
    <t>veiligheid van het spoorverkeer</t>
  </si>
  <si>
    <t>veiligheid op het werk</t>
  </si>
  <si>
    <t>32016R0679:10:whole:1</t>
  </si>
  <si>
    <t>Persoonsgegevens betreffende strafrechtelijke veroordelingen en strafbare feiten of daarmee verband houdende veiligheidsmaatregelen mogen op grond van artikel 6, lid 1, alleen worden verwerkt onder toezicht van de overheid of indien de verwerking is toegestaan bij Unierechtelijke …</t>
  </si>
  <si>
    <t>certificeringsmechanismen en -merktekens</t>
  </si>
  <si>
    <t>alle certificeringsmechanismen en gegevensbeschermingszegels en -merktekens</t>
  </si>
  <si>
    <t>certificeringsmechanismen</t>
  </si>
  <si>
    <t>erkenning van certificaten</t>
  </si>
  <si>
    <t>kwaliteitscertifiëring</t>
  </si>
  <si>
    <t>CE-conformiteitsmerk</t>
  </si>
  <si>
    <t>32016R0679:42:8:8</t>
  </si>
  <si>
    <t>Het Comité verzamelt alle certificeringsmechanismen en gegevensbeschermingszegels en -merktekens in een register en maakt deze via de daartoe geëigende kanalen openbaar.</t>
  </si>
  <si>
    <t>procedures</t>
  </si>
  <si>
    <t>een structuur en procedures voor het waarborgen van de onpartijdigheid en voor het bevorderen en toepassen van de onpartijdigheidsbeginselen in hun gehele organisatie, onder het personeel en in de beoordelingsactiviteiten</t>
  </si>
  <si>
    <t>procedure</t>
  </si>
  <si>
    <t>algemene procedure</t>
  </si>
  <si>
    <t>administratieve procedure</t>
  </si>
  <si>
    <t>protocol</t>
  </si>
  <si>
    <t>32024R1689:31:6:3</t>
  </si>
  <si>
    <t>…dat de onafhankelijkheid, objectiviteit en onpartijdigheid van hun activiteiten gewaarborgd zijn. Aangemelde instanties documenteren en implementeren een structuur en procedures voor het waarborgen van de onpartijdigheid en voor het bevorderen en toepassen van de onpartijdigheidsbeginselen in hun gehele organisatie, onder het personeel en in de beoordelingsactiviteiten.</t>
  </si>
  <si>
    <t>geldigheidsduur van een certificaat</t>
  </si>
  <si>
    <t>de geldigheidsduur van een certificaat</t>
  </si>
  <si>
    <t>geldigheidsduur</t>
  </si>
  <si>
    <t>certificaat van echtheid</t>
  </si>
  <si>
    <t>certificaat van aandelen</t>
  </si>
  <si>
    <t>certificaat van oorsprong</t>
  </si>
  <si>
    <t>32024R1689:44:2:3</t>
  </si>
  <si>
    <t>…oor AI-systemen die onder bijlage I vallen, en niet meer dan vier jaar voor AI-systemen die onder bijlage III vallen. Op verzoek van de aanbieder kan de geldigheidsduur van een certificaat op grond van een herbeoordeling volgens de toepasselijke conformiteitsbeoordelingsprocedures worden verlengd met bijkomende perioden, die elk niet me…</t>
  </si>
  <si>
    <t>ontwerpgedragscode, die wijziging of uitbreiding</t>
  </si>
  <si>
    <t>deze ontwerpgedragscode, die wijziging of uitbreiding</t>
  </si>
  <si>
    <t>ontwerpgedragscode</t>
  </si>
  <si>
    <t>Commissie Bevolking en Ontwikkeling</t>
  </si>
  <si>
    <t>Verdrag inzake stabiliteit, coördinatie en bestuur</t>
  </si>
  <si>
    <t>EU-strategie voor groei en werkgelegenheid</t>
  </si>
  <si>
    <t>32016R0679:40:5:10</t>
  </si>
  <si>
    <t>…zichthoudende autoriteit brengt advies uit over de vraag of de ontwerpgedragscode, de wijziging of uitbreiding strookt met deze verordening, en keurt deze ontwerpgedragscode, die wijziging of uitbreiding goed indien zij van oordeel is dat de code voldoende passende waarborgen biedt.</t>
  </si>
  <si>
    <t>standpunten</t>
  </si>
  <si>
    <t>hun standpunten</t>
  </si>
  <si>
    <t>embedding, phrase</t>
  </si>
  <si>
    <t>standpunt</t>
  </si>
  <si>
    <t>profielen</t>
  </si>
  <si>
    <t>gemeenschappelijk standpunt</t>
  </si>
  <si>
    <t>32024R1689:46:5:10</t>
  </si>
  <si>
    <t>…rond acht, treedt de Commissie onverwijld in overleg met de relevante lidstaat. De betrokken operatoren worden geraadpleegd en hebben de mogelijkheid hun standpunten uiteen te zetten. Met het oog daarop besluit de Commissie of de toelating gerechtvaardigd is. De Commissie richt haar besluit aan de betrokken lidsta…</t>
  </si>
  <si>
    <t>lijst van aangemelde instanties</t>
  </si>
  <si>
    <t>de lijst van krachtens deze verordening aangemelde instanties</t>
  </si>
  <si>
    <t>lijst</t>
  </si>
  <si>
    <t>beschikking van de Commissie</t>
  </si>
  <si>
    <t>aanbeveling van de Commissie</t>
  </si>
  <si>
    <t>bevoegde nationale instantie</t>
  </si>
  <si>
    <t>32024R1689:35:2:2</t>
  </si>
  <si>
    <t>De Commissie maakt de lijst van krachtens deze verordening aangemelde instanties openbaar, onder vermelding van hun identificatienummers en de activiteiten waarvoor zij zijn aangemeld. De Commissie zorgt ervoor dat de lijst actuee…</t>
  </si>
  <si>
    <t>Omvattende registers van strafrechtelijke veroordelingen</t>
  </si>
  <si>
    <t>register</t>
  </si>
  <si>
    <t>strafregister</t>
  </si>
  <si>
    <t>voltrekking van de straf</t>
  </si>
  <si>
    <t>32016R0679:10:whole:2</t>
  </si>
  <si>
    <t>…g is toegestaan bij Unierechtelijke of lidstaatrechtelijke bepalingen die passende waarborgen voor de rechten en vrijheden van de betrokkenen bieden. Omvattende registers van strafrechtelijke veroordelingen mogen alleen worden bijgehouden onder toezicht van de overheid.</t>
  </si>
  <si>
    <t>alle certificeringsmechanismen en gegevensbeschermingszegels</t>
  </si>
  <si>
    <t>financieringsmechanisme</t>
  </si>
  <si>
    <t>32016R0679:43:6:9</t>
  </si>
  <si>
    <t>…voudig toegankelijke vorm openbaar gemaakt. De toezichthoudende autoriteiten delen die eisen en criteria ook mee aan het Comité. Het Comité verzamelt alle certificeringsmechanismen en gegevensbeschermingszegels in een register en maakt deze via geëigende kanalen openbaar.</t>
  </si>
  <si>
    <t>van andere relevante instanties of bronnen</t>
  </si>
  <si>
    <t>instantie</t>
  </si>
  <si>
    <t>bron van de hulp</t>
  </si>
  <si>
    <t>in voorkomend geval, van de vertegenwoordiger van de verwerkingsverantwoordelijke</t>
  </si>
  <si>
    <t>de identiteit en de contactgegevens van de verwerkingsverantwoordelijke en, in voorkomend geval, van de vertegenwoordiger van de verwerkingsverantwoordelijke</t>
  </si>
  <si>
    <t>geval</t>
  </si>
  <si>
    <t>Raadgevend Comité van de EER</t>
  </si>
  <si>
    <t>lid van de Rekenkamer EG</t>
  </si>
  <si>
    <t>32016R0679:13:1:2</t>
  </si>
  <si>
    <t>…on worden verzameld, verstrekt de verwerkingsverantwoordelijke de betrokkene bij de verkrijging van de persoonsgegevens al de volgende informatie: a) de identiteit en de contactgegevens van de verwerkingsverantwoordelijke en, in voorkomend geval, van de vertegenwoordiger van de verwerkingsverantwoordelijke; b) in voorkomend geval, de contactgegevens van de functionaris voor gegevensbescherming; c) de verwerkingsdoeleinden waarvoor de persoonsgegevens zi…</t>
  </si>
  <si>
    <t>nationale identificatienummer van algemene aard</t>
  </si>
  <si>
    <t>het nationale identificatienummer of enige andere identificator van algemene aard</t>
  </si>
  <si>
    <t>identificatienummer</t>
  </si>
  <si>
    <t>nationale identiteit</t>
  </si>
  <si>
    <t>32016R0679:87:whole:2</t>
  </si>
  <si>
    <t>…aarden voor de verwerking van een nationaal identificatienummer of enige andere identificator van algemene aard nader vaststellen. In dat geval wordt het nationale identificatienummer of enige andere identificator van algemene aard alleen gebruikt met passende waarborgen voor de rechten en vrijheden van de betrokkene uit hoofde van deze verordening.</t>
  </si>
  <si>
    <t>regels inzake andere sancties</t>
  </si>
  <si>
    <t>de regels inzake andere sancties</t>
  </si>
  <si>
    <t>regel</t>
  </si>
  <si>
    <t>internationale sanctie</t>
  </si>
  <si>
    <t>verkeersregels</t>
  </si>
  <si>
    <t>betere regelgeving</t>
  </si>
  <si>
    <t>32016R0679:84:1:1</t>
  </si>
  <si>
    <t>De lidstaten stellen de regels inzake andere sancties vast die van toepassing zijn op inbreuken op deze verordening, in het bijzonder op inbreuken die niet aan administratieve geldboeten onderworpen zijn…</t>
  </si>
  <si>
    <t>openbaar register van geaccrediteerde organen</t>
  </si>
  <si>
    <t>een openbaar register van geaccrediteerde organen</t>
  </si>
  <si>
    <t>openbaar lichaam</t>
  </si>
  <si>
    <t>bevolkingsregister</t>
  </si>
  <si>
    <t>organen Verenigde Naties</t>
  </si>
  <si>
    <t>32016R0679:70:1:12</t>
  </si>
  <si>
    <t>…40 en 42; o) verrichten van de accreditatie van certificeringsorganen en van de periodieke evaluatie daarvan overeenkomstig artikel 43, en houden van een openbaar register van geaccrediteerde organen conform artikel 43, lid 6, en van de geaccrediteerde verwerkingsverantwoordelijken of verwerkers die in derde landen zijn gevestigd, overeenkomstig a…</t>
  </si>
  <si>
    <t>embedding p47-73</t>
  </si>
  <si>
    <t>klacht</t>
  </si>
  <si>
    <t>een klacht</t>
  </si>
  <si>
    <t>aanklacht</t>
  </si>
  <si>
    <t>administratieve klacht</t>
  </si>
  <si>
    <t>krant</t>
  </si>
  <si>
    <t>32024R1689:89:2:2</t>
  </si>
  <si>
    <t>Aanbieders verder in de AI-waardeketen hebben het recht een klacht in te dienen wegens inbreuk op deze verordening. Klachten moeten terdege worden gemotiveerd en moeten ten minste het volgende vermelden of bevatten: …</t>
  </si>
  <si>
    <t>strafbare feiten</t>
  </si>
  <si>
    <t>feit</t>
  </si>
  <si>
    <t>strafbare nalatigheid</t>
  </si>
  <si>
    <t>strafvordering</t>
  </si>
  <si>
    <t>strafgevangenis</t>
  </si>
  <si>
    <t>schriftelijke bijdragen</t>
  </si>
  <si>
    <t>adviezen, aanbevelingen en schriftelijke bijdragen</t>
  </si>
  <si>
    <t>bijdrage</t>
  </si>
  <si>
    <t>financiële bijdrage</t>
  </si>
  <si>
    <t>schriftelijke vraag</t>
  </si>
  <si>
    <t>fiscale bijdrage</t>
  </si>
  <si>
    <t>32024R1689:67:8:10</t>
  </si>
  <si>
    <t>Het adviesforum kan op verzoek van de AI-board of de Commissie adviezen, aanbevelingen en schriftelijke bijdragen opstellen.</t>
  </si>
  <si>
    <t>van de eindresultaten</t>
  </si>
  <si>
    <t>de opschorting of beëindiging van het testen onder reële omstandigheden en van de eindresultaten</t>
  </si>
  <si>
    <t>eindresultat</t>
  </si>
  <si>
    <t>uitslag van de stemming</t>
  </si>
  <si>
    <t>uitkomst van het onderzoek</t>
  </si>
  <si>
    <t>bedrijfsresultaat</t>
  </si>
  <si>
    <t>32024R1689:60:8:3</t>
  </si>
  <si>
    <t>…otentiële aanbieders stellen de nationale markttoezichtautoriteit in de lidstaat waar er onder reële omstandigheden moet worden getest, in kennis van de opschorting of beëindiging van het testen onder reële omstandigheden en van de eindresultaten.</t>
  </si>
  <si>
    <t>beste praktijken</t>
  </si>
  <si>
    <t>de uitwisseling van kennis en beste praktijken</t>
  </si>
  <si>
    <t>embedding, head</t>
  </si>
  <si>
    <t>praktijk</t>
  </si>
  <si>
    <t>goede regelgevende praktijken</t>
  </si>
  <si>
    <t>politieke praktijk</t>
  </si>
  <si>
    <t>praktijkopleiding</t>
  </si>
  <si>
    <t>32024R1689:38:3:3</t>
  </si>
  <si>
    <t>De Commissie voorziet in de uitwisseling van kennis en beste praktijken tussen aanmeldende autoriteiten.</t>
  </si>
  <si>
    <t>toepassing</t>
  </si>
  <si>
    <t>de toepassing van deze verordening</t>
  </si>
  <si>
    <t>voorwaarde voor toepassing</t>
  </si>
  <si>
    <t>gezamenlijke toepassing</t>
  </si>
  <si>
    <t>verbruik</t>
  </si>
  <si>
    <t>32016R0679:57:1:2</t>
  </si>
  <si>
    <t>…an deze verordening vastgestelde taken, verricht elke toezichthoudende autoriteit op haar grondgebied de volgende taken: a) zij monitort en handhaaft de toepassing van deze verordening; b) zij bevordert bij het brede publiek de bekendheid met en het inzicht in de risico's, regels, waarborgen en rechten in verband met de verwerking. …</t>
  </si>
  <si>
    <t>voorwaarden</t>
  </si>
  <si>
    <t>noodzakelijke en evenredige waarborgen en voorwaarden</t>
  </si>
  <si>
    <t>voorwaarde</t>
  </si>
  <si>
    <t>arbeidsvoorwaarden</t>
  </si>
  <si>
    <t>prijsregels</t>
  </si>
  <si>
    <t>prijsovereenkomst</t>
  </si>
  <si>
    <t>32024R1689:5:2:1</t>
  </si>
  <si>
    <t>… in openbare ruimten met het oog op de rechtshandhaving voor de in lid 1, eerste alinea, punt h), genoemde doelstellingen in overeenstemming zijn met noodzakelijke en evenredige waarborgen en voorwaarden in verband met het gebruik in overeenstemming met het nationale recht dat het gebruik ervan toelaat, en met name ten aanzien van de beperking in de t…</t>
  </si>
  <si>
    <t>certificaten</t>
  </si>
  <si>
    <t>certificat</t>
  </si>
  <si>
    <t>charteren</t>
  </si>
  <si>
    <t>effecten</t>
  </si>
  <si>
    <t>aanmeldende autoriteit</t>
  </si>
  <si>
    <t>een aanmeldende autoriteit</t>
  </si>
  <si>
    <t>autoriteit</t>
  </si>
  <si>
    <t>bevoegde nationale autoriteit</t>
  </si>
  <si>
    <t>aanmelding van kartel</t>
  </si>
  <si>
    <t>verzoek tot toetreding</t>
  </si>
  <si>
    <t>32024R1689:28:1:2</t>
  </si>
  <si>
    <t>Elke lidstaat wijst ten minste één aanmeldende autoriteit aan of richt een aanmeldende autoriteit op die verantwoordelijk is voor het opzetten en uitvoeren van de nodige procedures voor de beoordeling, aanwijzing en aanmelding van conformiteitsbeo…</t>
  </si>
  <si>
    <t>testprocedure</t>
  </si>
  <si>
    <t>de testprocedure</t>
  </si>
  <si>
    <t>test</t>
  </si>
  <si>
    <t>comitéprocedure</t>
  </si>
  <si>
    <t>douaneprocedure</t>
  </si>
  <si>
    <t>32024R1689:77:3:7</t>
  </si>
  <si>
    <t>…arkttoezichtautoriteit indienen om het AI-systeem met een hoog risico met technische middelen te mogen testen. De markttoezichtautoriteit organiseert de testprocedure binnen een redelijke termijn na het verzoek en met nauwe betrokkenheid van de verzoekende overheidsinstantie of het verzoekende overheidsorgaan.</t>
  </si>
  <si>
    <t>eigen werkregelingen</t>
  </si>
  <si>
    <t>werkregeling</t>
  </si>
  <si>
    <t>regeling van de eigendom</t>
  </si>
  <si>
    <t>zelfbeheer van arbeiders</t>
  </si>
  <si>
    <t>eigen middelen</t>
  </si>
  <si>
    <t>Raad</t>
  </si>
  <si>
    <t>raad</t>
  </si>
  <si>
    <t>Raad EG</t>
  </si>
  <si>
    <t>Arad</t>
  </si>
  <si>
    <t>Raadsformatie</t>
  </si>
  <si>
    <t>machtiging</t>
  </si>
  <si>
    <t>de toestemming of machtiging tot toestemming</t>
  </si>
  <si>
    <t>wettiging</t>
  </si>
  <si>
    <t>hereniging</t>
  </si>
  <si>
    <t>mededinging</t>
  </si>
  <si>
    <t>32016R0679:8:1:1</t>
  </si>
  <si>
    <t>…rechtmatig wanneer het kind ten minste 16 jaar is. Wanneer het kind jonger is dan 16 jaar is zulke verwerking slechts rechtmatig indien en voor zover de toestemming of machtiging tot toestemming in dit verband wordt verleend door de persoon die de ouderlijke verantwoordelijkheid voor het kind draagt. De lidstaten kunnen dienaangaande bij wet …</t>
  </si>
  <si>
    <t>verwerker</t>
  </si>
  <si>
    <t>geen andere verwerker</t>
  </si>
  <si>
    <t>werknemer</t>
  </si>
  <si>
    <t>arbeider</t>
  </si>
  <si>
    <t>thuiswerker</t>
  </si>
  <si>
    <t>32016R0679:28:2:2</t>
  </si>
  <si>
    <t>De verwerker neemt geen andere verwerker in dienst zonder voorafgaande specifieke of algemene schriftelijke toestemming van de verwerkingsverantwoordelijke. In het geval van algemene schrift…</t>
  </si>
  <si>
    <t>instrumenten</t>
  </si>
  <si>
    <t>instrument</t>
  </si>
  <si>
    <t>muziekinstrument</t>
  </si>
  <si>
    <t>medisch instrument</t>
  </si>
  <si>
    <t>internationaal instrument</t>
  </si>
  <si>
    <t>relevante omstandigheden ’s</t>
  </si>
  <si>
    <t>op de relevante omstandigheden en risico’s</t>
  </si>
  <si>
    <t>omstandigheid</t>
  </si>
  <si>
    <t>verzachtende omstandigheid</t>
  </si>
  <si>
    <t>sociaal-economische omstandigheden</t>
  </si>
  <si>
    <t>atmosferische omstandigheden</t>
  </si>
  <si>
    <t>32024R1689:15:5:5</t>
  </si>
  <si>
    <t>…van het systeem. De technische oplossingen die gericht zijn op het waarborgen van de cyberbeveiliging van AI-systemen met een hoog risico sluiten aan op de relevante omstandigheden en risico’s. De technische oplossingen voor het aanpakken van AI-specifieke kwetsbaarheden omvatten, waar passend, maatregelen voor het voorkomen, traceren, reag…</t>
  </si>
  <si>
    <t>maatregelen</t>
  </si>
  <si>
    <t>maatregel</t>
  </si>
  <si>
    <t>bestuursmaatregel</t>
  </si>
  <si>
    <t>gezondheidsregels</t>
  </si>
  <si>
    <t>32024R1689:4:whole:1</t>
  </si>
  <si>
    <t>Aanbieders en gebruiksverantwoordelijken van AI-systemen nemen maatregelen om, zoveel als mogelijk, te zorgen voor een toereikend niveau van AI-geletterdheid bij hun personeel en andere personen die namens hen AI-systemen ex…</t>
  </si>
  <si>
    <t>embedding p73-100</t>
  </si>
  <si>
    <t>besluiten</t>
  </si>
  <si>
    <t>zijn besluiten</t>
  </si>
  <si>
    <t>besluitvorming</t>
  </si>
  <si>
    <t>32024R1689:100:4:5</t>
  </si>
  <si>
    <t>…j een procedure voert, in de gelegenheid om te worden gehoord over de mogelijke inbreuk. De Europese Toezichthouder voor gegevens-bescherming baseert zijn besluiten uitsluitend op elementen en omstandigheden waarover de betrokken partijen opmerkingen hebben kunnen maken. Eventuele indieners van klachten worden na…</t>
  </si>
  <si>
    <t>persoonsgegevens</t>
  </si>
  <si>
    <t>de persoonsgegevens</t>
  </si>
  <si>
    <t>persoonsgegeven</t>
  </si>
  <si>
    <t>gegevensbescherming</t>
  </si>
  <si>
    <t>persoonlijke gegevens</t>
  </si>
  <si>
    <t>recht op privacy</t>
  </si>
  <si>
    <t>32024R1689:50:3:5</t>
  </si>
  <si>
    <t>…of een systeem voor biometrische categorisering informeren de daaraan blootgestelde natuurlijke personen over de werking van het systeem en verwerken de persoonsgegevens in overeenstemming met Verordening (EU) 2016/679, Verordening (EU) 2018/1725 en Richtlijn (EU) 2016/680, indien van toepassing. Deze verplichting is …</t>
  </si>
  <si>
    <t>verzoek om informatie</t>
  </si>
  <si>
    <t>een verzoek om informatie</t>
  </si>
  <si>
    <t>verzoek</t>
  </si>
  <si>
    <t>oproepen van gegevens</t>
  </si>
  <si>
    <t>verzoek om advies</t>
  </si>
  <si>
    <t>verzoek om steun</t>
  </si>
  <si>
    <t>32024R1689:91:3:3</t>
  </si>
  <si>
    <t>Op een terdege gemotiveerd verzoek van het wetenschappelijk panel kan de Commissie een verzoek om informatie tot een aanbieder van een AI-model voor algemene doeleinden richten, indien de toegang tot informatie noodzakelijk en evenredig is voor de uitvoering…</t>
  </si>
  <si>
    <t>naam</t>
  </si>
  <si>
    <t>zijn naam of merk</t>
  </si>
  <si>
    <t>moeder</t>
  </si>
  <si>
    <t>handelsnaam</t>
  </si>
  <si>
    <t>32024R1689:25:1:2</t>
  </si>
  <si>
    <t>…n aanbieder van een AI-systeem met een hoog risico en is hij onderworpen aan de verplichtingen van de aanbieder uit hoofde van artikel 16: a) hij zet zijn naam of merk op een AI-systeem met een hoog risico dat reeds in de handel is gebracht of in gebruik is gesteld, onverminderd contractuele regelingen waarin wordt …</t>
  </si>
  <si>
    <t>taken van de nationale bevoegde autoriteiten</t>
  </si>
  <si>
    <t>de rollen en taken van de nationale bevoegde autoriteiten overeenkomstig dit hoofdstuk</t>
  </si>
  <si>
    <t>taak</t>
  </si>
  <si>
    <t>nationale bevoegde autoriteit</t>
  </si>
  <si>
    <t>bevoegdheid van de lidstaten</t>
  </si>
  <si>
    <t>nationale wetgeving</t>
  </si>
  <si>
    <t>32024R1689:57:3:7</t>
  </si>
  <si>
    <t>…houder voor gegevensbescherming kan ook een AI-testomgeving voor regelgeving opzetten voor de instellingen, organen en instanties van de Unie, en kan de rollen en taken van de nationale bevoegde autoriteiten overeenkomstig dit hoofdstuk uitoefenen.</t>
  </si>
  <si>
    <t>voorzitter en de Commissie</t>
  </si>
  <si>
    <t>de communicatie tussen de leden van het Comité, zijn voorzitter en de Commissie</t>
  </si>
  <si>
    <t>voorzitter</t>
  </si>
  <si>
    <t>voorzitter van de Commissie</t>
  </si>
  <si>
    <t>afvaardiging van de Commissie</t>
  </si>
  <si>
    <t>voorstel van de Commissie</t>
  </si>
  <si>
    <t>32016R0679:75:6:5</t>
  </si>
  <si>
    <t>Het secretariaat is met name belast met: a) de dagelijkse werking van het Comité; b) de communicatie tussen de leden van het Comité, zijn voorzitter en de Commissie; c) de communicatie met andere instellingen en het brede publiek; d) het gebruik van elektronische middelen voor interne en externe communicatie; e) …</t>
  </si>
  <si>
    <t>procedures voor internationale samenwerking</t>
  </si>
  <si>
    <t>internationale samenwerking</t>
  </si>
  <si>
    <t>internationale procedure</t>
  </si>
  <si>
    <t>samenwerkingsprocedure</t>
  </si>
  <si>
    <t>32016R0679:50:whole:2</t>
  </si>
  <si>
    <t>Ten aanzien van derde landen en internationale organisaties nemen de Commissie en de toezichthoudende autoriteiten de nodige maatregelen om: a) procedures voor internationale samenwerking te ontwikkelen, zodat de effectieve handhaving van de wetgeving inzake de bescherming van persoonsgegevens wordt vergemakkelijkt; b) internationale w…</t>
  </si>
  <si>
    <t>deel van de schadevergoeding</t>
  </si>
  <si>
    <t>het deel van de schadevergoeding</t>
  </si>
  <si>
    <t>deel</t>
  </si>
  <si>
    <t>schadevergoeding</t>
  </si>
  <si>
    <t>vergoeding van slachtoffers</t>
  </si>
  <si>
    <t>vordering tot schadevergoeding</t>
  </si>
  <si>
    <t>32016R0679:82:5:6</t>
  </si>
  <si>
    <t>…goed, kan deze verwerkingsverantwoordelijke of verwerker op andere verwerkingsverantwoordelijken of verwerkers die bij de verwerking waren betrokken, het deel van de schadevergoeding verhalen dat overeenkomt met hun deel van de aansprakelijkheid voor de schade, overeenkomstig de in lid 2 gestelde voorwaarden.</t>
  </si>
  <si>
    <t>toezichthoudende autoriteiten</t>
  </si>
  <si>
    <t>andere betrokken toezichthoudende autoriteiten</t>
  </si>
  <si>
    <t>toezichthoudende bevoegdheid</t>
  </si>
  <si>
    <t>administratief toezicht</t>
  </si>
  <si>
    <t>toezicht op financiële instellingen</t>
  </si>
  <si>
    <t>32016R0679:60:2:3</t>
  </si>
  <si>
    <t>De leidende toezichthoudende autoriteit kan te allen tijde andere betrokken toezichthoudende autoriteiten verzoeken wederzijdse bijstand overeenkomstig artikel 61 te verlenen, en kan gezamenlijke werkzaamheden ondernemen overeenkomstig artikel 62, in het …</t>
  </si>
  <si>
    <t>bijstand</t>
  </si>
  <si>
    <t>de nodige informatie, capaciteiten, technische toegang en andere bijstand</t>
  </si>
  <si>
    <t>financiële bijstand</t>
  </si>
  <si>
    <t>sociale bijstand</t>
  </si>
  <si>
    <t>rechtsbijstand</t>
  </si>
  <si>
    <t>32024R1689:25:4:12</t>
  </si>
  <si>
    <t>…essen voor AI-systemen levert die worden gebruikt of geïntegreerd in een AI-systeem met een hoog risico, preciseren in een schriftelijke overeenkomst de nodige informatie, capaciteiten, technische toegang en andere bijstand, op basis van de algemeen erkende stand van de techniek, om de aanbieder van het AI-systeem met een hoog risico in staat te stellen volledig te voldo…</t>
  </si>
  <si>
    <t>beoordeling</t>
  </si>
  <si>
    <t>zijn beoordeling</t>
  </si>
  <si>
    <t>projectbeoordeling</t>
  </si>
  <si>
    <t>beoordelingsbevoegdheid</t>
  </si>
  <si>
    <t>beroepsbeoordeling</t>
  </si>
  <si>
    <t>32024R1689:6:4:3</t>
  </si>
  <si>
    <t>Een aanbieder die van mening is dat een in bijlage III bedoeld AI-systeem geen hoog risico inhoudt, documenteert zijn beoordeling voordat dat systeem in de handel wordt gebracht of in gebruik wordt gesteld. Die aanbieder is onderworpen aan de registratieverplichting van artikel …</t>
  </si>
  <si>
    <t>aanpassing</t>
  </si>
  <si>
    <t>de evaluatie en aanpassing van de praktijkcodes</t>
  </si>
  <si>
    <t>aanpassing van gebouw</t>
  </si>
  <si>
    <t>sociale aanpassing</t>
  </si>
  <si>
    <t>structurele aanpassing</t>
  </si>
  <si>
    <t>32024R1689:56:8:17</t>
  </si>
  <si>
    <t>Het AI-bureau stimuleert en faciliteert in voorkomend geval ook de evaluatie en aanpassing van de praktijkcodes, met name wanneer er nieuwe normen worden ingesteld. Het AI-bureau helpt bij de beoordeling van de beschikbare normen.</t>
  </si>
  <si>
    <t>bepalingen</t>
  </si>
  <si>
    <t>Alle bepalingen van dit hoofdstuk</t>
  </si>
  <si>
    <t>wettelijke bepaling</t>
  </si>
  <si>
    <t>uitzonderingsbepaling</t>
  </si>
  <si>
    <t>contractbepaling</t>
  </si>
  <si>
    <t>32016R0679:44:whole:2</t>
  </si>
  <si>
    <t>…iften van persoonsgegevens vanuit het derde land of een internationale organisatie aan een ander derde land of een andere internationale organisatie. Alle bepalingen van dit hoofdstuk worden toegepast opdat het door deze verordening voor natuurlijke personen gewaarborgde beschermingsniveau niet wordt ondermijnd.</t>
  </si>
  <si>
    <t>Commissie</t>
  </si>
  <si>
    <t>de Commissie</t>
  </si>
  <si>
    <t>commissie</t>
  </si>
  <si>
    <t>Commissie Statistiek</t>
  </si>
  <si>
    <t>conferentie</t>
  </si>
  <si>
    <t>comitologie</t>
  </si>
  <si>
    <t>32024R1689:5:5:11</t>
  </si>
  <si>
    <t>…als bedoeld in punt h), iii), daarvan de bevoegde autoriteiten deze systemen mogen gebruiken met het oog op de rechtshandhaving. De lidstaten stellen de Commissie uiterlijk dertig dagen na de vaststelling van die regels in kennis. De lidstaten kunnen in overeenstemming met het Unierecht restrictievere wetgeving…</t>
  </si>
  <si>
    <t>toezicht</t>
  </si>
  <si>
    <t>markttoezicht</t>
  </si>
  <si>
    <t>overheidstoezicht</t>
  </si>
  <si>
    <t>Raad van toezicht</t>
  </si>
  <si>
    <t>bij haar ingediende klacht</t>
  </si>
  <si>
    <t>klacht aan de Commissie</t>
  </si>
  <si>
    <t>klacht inzake communautaire geschillen</t>
  </si>
  <si>
    <t>oproep tot het indienen van voorstellen</t>
  </si>
  <si>
    <t>gemeenschappelijke beginselen</t>
  </si>
  <si>
    <t>beginsel</t>
  </si>
  <si>
    <t>gemeenschappelijke strategie</t>
  </si>
  <si>
    <t>gemeenschappelijke onderneming</t>
  </si>
  <si>
    <t>32024R1689:58:1:2</t>
  </si>
  <si>
    <t>…ng, de ontwikkeling, de uitvoering en de werking van AI-testomgevingen voor regelgeving en voor het toezicht erop. De uitvoeringshandelingen bevatten gemeenschappelijke beginselen met betrekking tot de volgende punten: a) toelatings- en selectiecriteria voor deelname aan de AI-testomgeving voor regelgeving; b) procedures voor d…</t>
  </si>
  <si>
    <t>unmapped</t>
  </si>
  <si>
    <t>accreditatie van een orgaan voor het toezicht op gedragscodes</t>
  </si>
  <si>
    <t>de accreditatie van een orgaan voor het toezicht op gedragscodes op grond van artikel 41 en van een certificeringsorgaan op grond van artikel 43</t>
  </si>
  <si>
    <t>accreditatie</t>
  </si>
  <si>
    <t>32016R0679:57:1:27</t>
  </si>
  <si>
    <t>… toetsing van de overeenkomstig artikel 42, lid 7, afgegeven certificeringen; p) zij zorgt voor het opstellen en het bekendmaken van de criteria voor de accreditatie van een orgaan voor het toezicht op gedragscodes op grond van artikel 41 en van een certificeringsorgaan op grond van artikel 43; q) zij zorgt voor de accreditatie van een orgaan voor het toezicht op gedragscodes op grond van artikel 41 en van een certificeringsorgaan op grond …</t>
  </si>
  <si>
    <t>belangen van kmo’s, met inbegrip van start-ups</t>
  </si>
  <si>
    <t>de belangen van kmo’s, met inbegrip van start-ups, en hun economische levensvatbaarheid</t>
  </si>
  <si>
    <t>belang</t>
  </si>
  <si>
    <t>32024R1689:99:1:4</t>
  </si>
  <si>
    <t>…sie op grond van artikel 96 heeft uitgevaardigd. De sancties moeten doeltreffend, evenredig en afschrikkend zijn. Hierbij wordt rekening gehouden met de belangen van kmo’s, met inbegrip van start-ups, en hun economische levensvatbaarheid.</t>
  </si>
  <si>
    <t>bevindingen van de AI-board</t>
  </si>
  <si>
    <t>bevinding</t>
  </si>
  <si>
    <t>bewijsstukken waaruit de bekwaamheid van de conformiteitsbeoordelingsinstantie blijkt, evenals de regeling die waarborgt dat de instantie regelmatig wordt gecontroleerd en zal blijven voldoen aan de eisen</t>
  </si>
  <si>
    <t>de bewijsstukken waaruit de bekwaamheid van de conformiteitsbeoordelingsinstantie blijkt, evenals de regeling die waarborgt dat de instantie regelmatig wordt gecontroleerd en zal blijven voldoen aan de eisen van artikel 31</t>
  </si>
  <si>
    <t>unknown</t>
  </si>
  <si>
    <t>bewijsstukk</t>
  </si>
  <si>
    <t>32024R1689:30:3:3</t>
  </si>
  <si>
    <t>…gebaseerd is op een accreditatiecertificaat als bedoeld in artikel 29, lid 2, verschaft de aanmeldende autoriteit de Commissie en de andere lidstaten de bewijsstukken waaruit de bekwaamheid van de conformiteitsbeoordelingsinstantie blijkt, evenals de regeling die waarborgt dat de instantie regelmatig wordt gecontroleerd en zal blijven voldoen aan de eisen van artikel 31.</t>
  </si>
  <si>
    <t>contractuele eisen</t>
  </si>
  <si>
    <t>de contractuele eisen</t>
  </si>
  <si>
    <t>eis</t>
  </si>
  <si>
    <t>32024R1689:25:4:14</t>
  </si>
  <si>
    <t>…t of geïntegreerd in AI-systemen met een hoog risico. Bij de ontwikkeling van die vrijwillige modelvoorwaarden moet het AI-bureau rekening houden met de contractuele eisen die kunnen gelden in specifieke sectoren of businesscases. De vrijwillige modelvoorwaarden worden gepubliceerd en kosteloos beschikbaar gesteld in ee…</t>
  </si>
  <si>
    <t>criteria</t>
  </si>
  <si>
    <t>de volgende criteria</t>
  </si>
  <si>
    <t>embedding, phrase, unknown</t>
  </si>
  <si>
    <t>criterium</t>
  </si>
  <si>
    <t>32024R1689:7:2:2</t>
  </si>
  <si>
    <t>Bij de beoordeling van de voorwaarde van lid 1, punt b), houdt de Commissie rekening met de volgende criteria: a) het beoogde doel van het AI-systeem; b) de mate waarin een AI-systeem is gebruikt of waarschijnlijk zal worden gebruikt; c) de aard van en de hoe…</t>
  </si>
  <si>
    <t>er vertrouwen is in hun uitvoering en de resultaten van de conformiteitsbeoordelingsactiviteiten die de aangemelde instanties verrichten</t>
  </si>
  <si>
    <t>dat er vertrouwen is in hun uitvoering en de resultaten van de conformiteitsbeoordelingsactiviteiten die de aangemelde instanties verrichten</t>
  </si>
  <si>
    <t>vertrouwen</t>
  </si>
  <si>
    <t>32024R1689:31:3:2</t>
  </si>
  <si>
    <t>…organisatiestructuur, de toewijzing van verantwoordelijkheden, de rapportagelijnen en het functioneren van aangemelde instanties moeten ervoor zorgen dat er vertrouwen is in hun uitvoering en de resultaten van de conformiteitsbeoordelingsactiviteiten die de aangemelde instanties verrichten.</t>
  </si>
  <si>
    <t>identificator</t>
  </si>
  <si>
    <t>of de vereiste CE-markering is aangebracht, of het systeem vergezeld gaat van de EU-conformiteitsverklaring en gebruiksinstructies en of de aanbieder en importeur van dat systeem, naargelang het geval, hun respectievelijke verplichtingen als vastgelegd hebben nageleefd</t>
  </si>
  <si>
    <t>of daarop de vereiste CE-markering is aangebracht, of het systeem vergezeld gaat van de in artikel 47 bedoelde EU-conformiteitsverklaring en gebruiksinstructies en of de aanbieder en importeur van dat systeem, naargelang het geval, hun respectievelijke verplichtingen als vastgelegd in artikel 16, punten b) en c), en artikel 23, lid 3, hebben nageleefd</t>
  </si>
  <si>
    <t>cemarkering</t>
  </si>
  <si>
    <t>32024R1689:24:1:1</t>
  </si>
  <si>
    <t>Voordat zij een AI-systeem met een hoog risico op de markt aanbieden, controleren distributeurs of daarop de vereiste CE-markering is aangebracht, of het systeem vergezeld gaat van de in artikel 47 bedoelde EU-conformiteitsverklaring en gebruiksinstructies en of de aanbieder en importeur van dat systeem, naargelang het geval, hun respectievelijke verplichtingen als vastgelegd in artikel 16, punten b) en c), en artikel 23, lid 3, hebben nageleefd.</t>
  </si>
  <si>
    <t>outputs</t>
  </si>
  <si>
    <t>alle resultaten en outputs van dat gebruik</t>
  </si>
  <si>
    <t>32024R1689:46:2:4</t>
  </si>
  <si>
    <t>…de in lid 1 bedoelde toelating wordt geweigerd, wordt het gebruik van het AI-systeem met een hoog risico met onmiddellijke ingang stopgezet en worden alle resultaten en outputs van dat gebruik onmiddellijk verwijderd.</t>
  </si>
  <si>
    <t>respectieve verantwoordelijkheden van de verwerkingsverantwoordelijke, bij de verwerking betrokken gezamenlijke verwerkingsverantwoordelijken en verwerkers, in het bijzonder voor verwerking binnen een concern</t>
  </si>
  <si>
    <t>de respectieve verantwoordelijkheden van de verwerkingsverantwoordelijke, bij de verwerking betrokken gezamenlijke verwerkingsverantwoordelijken en verwerkers, in het bijzonder voor verwerking binnen een concern</t>
  </si>
  <si>
    <t>verantwoordelijkheid</t>
  </si>
  <si>
    <t>32016R0679:36:3:3</t>
  </si>
  <si>
    <t>…rkingsverantwoordelijke de toezichthoudende autoriteit uit hoofde van lid 1 raadpleegt, verstrekt hij haar informatie over: a) indien van toepassing, de respectieve verantwoordelijkheden van de verwerkingsverantwoordelijke, bij de verwerking betrokken gezamenlijke verwerkingsverantwoordelijken en verwerkers, in het bijzonder voor verwerking binnen een concern; b) de doeleinden en de middelen van de voorgenomen verwerking; c) de maatregelen en waarborgen die worden geboden ter bescherming van de rechten en …</t>
  </si>
  <si>
    <t>resultaten van de evaluatie en van de maatregelen die zij de operator heeft opgelegd</t>
  </si>
  <si>
    <t>de resultaten van de evaluatie en van de maatregelen die zij de operator heeft opgelegd</t>
  </si>
  <si>
    <t>resultaat</t>
  </si>
  <si>
    <t>32024R1689:79:3:1</t>
  </si>
  <si>
    <t>…miteit niet beperkt blijft tot haar nationale grondgebied, brengt zij de Commissie en de andere lidstaten zonder onnodige vertraging op de hoogte van de resultaten van de evaluatie en van de maatregelen die zij de operator heeft opgelegd.</t>
  </si>
  <si>
    <t>taken</t>
  </si>
  <si>
    <t>al hun taken uit hoofde van deze verordening</t>
  </si>
  <si>
    <t>compound, unknown</t>
  </si>
  <si>
    <t>32024R1689:31:10:11</t>
  </si>
  <si>
    <t>Aangemelde instanties zijn in staat al hun taken uit hoofde van deze verordening te verrichten met de grootste mate van beroepsintegriteit en met de vereiste bekwaamheid op het specifieke gebied, ongeacht of deze taken door de aan…</t>
  </si>
  <si>
    <t>uitwisseling van kennis en documentatie over de wetgeving en de praktijk op het gebied van gegevensbescherming met voor gegevensbescherming bevoegde toezichthoudende autoriteiten van de hele wereld</t>
  </si>
  <si>
    <t>de uitwisseling van kennis en documentatie over de wetgeving en de praktijk op het gebied van gegevensbescherming met voor gegevensbescherming bevoegde toezichthoudende autoriteiten van de hele wereld</t>
  </si>
  <si>
    <t>uitwisseling</t>
  </si>
  <si>
    <t>32016R0679:70:1:21</t>
  </si>
  <si>
    <t>…hthoudende autoriteiten, en waar passend, met de toezichthoudende autoriteiten van derde landen of met internationale organisaties; w) bevorderen van de uitwisseling van kennis en documentatie over de wetgeving en de praktijk op het gebied van gegevensbescherming met voor gegevensbescherming bevoegde toezichthoudende autoriteiten van de hele wereld; x) uitbrengen van adviezen over op Unieniveau opgestelde gedragscodes overeenkomstig artikel 40, lid 9; en y) houden van een openbaar elektronisch r…</t>
  </si>
  <si>
    <t>vastgelegde eisen</t>
  </si>
  <si>
    <t>de naleving van andere in deze verordening vastgelegde eisen of verplichtingen</t>
  </si>
  <si>
    <t>32024R1689:63:2:1</t>
  </si>
  <si>
    <t>Lid 1 van dit artikel wordt niet zodanig geïnterpreteerd dat die operatoren worden vrijgesteld van de naleving van andere in deze verordening vastgelegde eisen of verplichtingen, met inbegrip van die welke zijn vastgelegd in de artikelen 9, 10, 11, 12, 13, 14, 15, 72 en 73.</t>
  </si>
  <si>
    <t>Verwerking van persoonsgegevens waaruit ras of etnische afkomst, politieke opvattingen, religieuze of levensbeschouwelijke overtuigingen, of het lidmaatschap van een vakbond blijkenmet betrekking tot iemands seksueel gedrag of seksuele gerichtheid</t>
  </si>
  <si>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</si>
  <si>
    <t>verwerking</t>
  </si>
  <si>
    <t>32016R0679:9:1:1</t>
  </si>
  <si>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 zijn verboden.</t>
  </si>
  <si>
    <t>volledige en gedetailleerde beschrijving van het proces, testen van het AI-systeem</t>
  </si>
  <si>
    <t>een volledige en gedetailleerde beschrijving van het proces en de onderbouwing van het trainen, testen en valideren van het AI-systeem</t>
  </si>
  <si>
    <t>beschrijving</t>
  </si>
  <si>
    <t>32024R1689:59:1:11</t>
  </si>
  <si>
    <t>…estomgeving worden bijgehouden voor de duur van de deelname aan de testomgeving, tenzij anders is bepaald in het Unierecht of het nationale recht; i) een volledige en gedetailleerde beschrijving van het proces en de onderbouwing van het trainen, testen en valideren van het AI-systeem wordt samen met de testresultaten bewaard als onderdeel van de in bijlage IV bedoelde technische documentatie; j) een korte samenvatting van het in d…</t>
  </si>
  <si>
    <t>no unit: no_object</t>
  </si>
  <si>
    <t>no_object</t>
  </si>
  <si>
    <t>32024R1689:31:12:15</t>
  </si>
  <si>
    <t>Aangemelde instanties nemen deel aan coördinatieactiviteiten als bedoeld in artikel 38. Zij nemen ook rechtstreeks deel aan of worden vertegenwoordigd in Europese normalisatie-instellingen of zorgen ervoor op de hoogte te zijn van actuele relevante normen.</t>
  </si>
  <si>
    <t>32024R1689:53:3:10</t>
  </si>
  <si>
    <t>Aanbieders van AI-modellen voor algemene doeleinden werken zo nodig samen met de Commissie en de nationale bevoegde autoriteiten bij de uitoefening van hun bevoegdheden uit hoofde van deze verordening.</t>
  </si>
  <si>
    <t>32024R1689:57:1:3</t>
  </si>
  <si>
    <t>De lidstaten zorgen ervoor dat hun bevoegde autoriteiten ten minste één AI-testomgeving voor regelgeving op nationaal niveau opzetten, die uiterlijk op 2 augustus 2026 operationeel is. Die testomgeving kan ook samen met de bevoegde autoriteiten van andere lidstaten worden opgezet. De Commissie kan t…</t>
  </si>
  <si>
    <t>32024R1689:97:3:4</t>
  </si>
  <si>
    <t>Het Europees Parlement of de Raad kan de in artikel 6, leden 6 en 7, artikel 7, leden 1 en 3, artikel 11, lid 3, artikel 43, leden 5 en 6, artikel 47, lid 5, artikel 51, lid 3, artikel 52, lid 4, en artikel 53, leden 5 en 6, bedoelde bevoegdheidsdelegatie te allen tijde intrekken. Het besluit tot in…</t>
  </si>
  <si>
    <t>32016R0679:71:1:2</t>
  </si>
  <si>
    <t>Het Comité stelt een jaarverslag op over de bescherming van natuurlijke personen met betrekking tot de verwerking in de Unie en, in voorkomend geval, in derde landen en internationale organisaties. Het verslag wordt openbaar gemaakt en toegezonden aan het Europees Parlement, de Raad en de Commissie.</t>
  </si>
  <si>
    <t>no unit: unknown</t>
  </si>
  <si>
    <t>daarvan</t>
  </si>
  <si>
    <t>32024R1689:97:5:7</t>
  </si>
  <si>
    <t>Zodra de Commissie een gedelegeerde handeling heeft vastgesteld, doet zij daarvan gelijktijdig kennisgeving aan het Europees Parlement en de Raad.</t>
  </si>
  <si>
    <t>deze</t>
  </si>
  <si>
    <t>32016R0679:29:whole:1</t>
  </si>
  <si>
    <t>…erker en eenieder die onder het gezag van de verwerkingsverantwoordelijke of van de verwerker handelt en toegang heeft tot persoonsgegevens, verwerkt deze uitsluitend in opdracht van de verwerkingsverantwoordelijke, tenzij hij Unierechtelijk of lidstaatrechtelijk tot de verwerking gehouden is.</t>
  </si>
  <si>
    <t>het volgende</t>
  </si>
  <si>
    <t>32024R1689:89:2:3</t>
  </si>
  <si>
    <t>…rdeketen hebben het recht een klacht in te dienen wegens inbreuk op deze verordening. Klachten moeten terdege worden gemotiveerd en moeten ten minste het volgende vermelden of bevatten: a) het contactpunt van de aanbieder van het betrokken AI-model voor algemene doeleinden; b) een beschrijving van de relevante …</t>
  </si>
  <si>
    <t>hiervan</t>
  </si>
  <si>
    <t>32024R1689:36:5:15</t>
  </si>
  <si>
    <t>…tantie wordt geschorst, beperkt of geheel of gedeeltelijk wordt ingetrokken, stelt die aangemelde instantie de betrokken aanbieders binnen tien dagen hiervan in kennis.</t>
  </si>
  <si>
    <t>Hij</t>
  </si>
  <si>
    <t>32016R0679:38:3:6</t>
  </si>
  <si>
    <t>… en de verwerker zorgen ervoor dat de functionaris voor gegevensbescherming geen instructies ontvangt met betrekking tot de uitvoering van die taken. Hij wordt door de verwerkingsverantwoordelijke of de verwerker niet ontslagen of gestraft voor de uitvoering van zijn taken. De functionaris voor gegeven…</t>
  </si>
  <si>
    <t>Validation of the object → EuroVoc mapping (Step 7)</t>
  </si>
  <si>
    <t>What to do</t>
  </si>
  <si>
    <t>1. Go to the Validate sheet. Rows with in_sample = yes (green) come first: judge those.</t>
  </si>
  <si>
    <t>2. Fill in the yellow columns only: judgement (drop-down), better_concept (optional), notes.</t>
  </si>
  <si>
    <t>3. Judge candidate 1 mainly; use candidates 2-3 to decide 'partial'.</t>
  </si>
  <si>
    <t>4. The Summary sheet updates automatically as you fill in judgements.</t>
  </si>
  <si>
    <t>Judgement codes</t>
  </si>
  <si>
    <t>correct  – candidate 1 is the right concept, or an acceptable close one.</t>
  </si>
  <si>
    <t>partial  – candidate 1 is in the right area but too broad/narrow, or a lower candidate is right.</t>
  </si>
  <si>
    <t>wrong    – no candidate fits the object.</t>
  </si>
  <si>
    <t>unclear  – the object itself cannot be judged (placeholder, fragment, unresolved reference).</t>
  </si>
  <si>
    <t>For unmapped objects: 'correct' = rightly left unmapped; 'wrong' = a EuroVoc concept clearly exists.</t>
  </si>
  <si>
    <t>Columns</t>
  </si>
  <si>
    <t>stratum     – cascade level; embedding matches are split into three percentile bands.</t>
  </si>
  <si>
    <t>object      – the text that was mapped (a cleaned unit from Step 6).</t>
  </si>
  <si>
    <t>raw_object  – the original object it came from, if different (judge the unit in that light).</t>
  </si>
  <si>
    <t>norm_type   – Step 6 type of the norms that contain this text (unchanged, cleaned, split, …).</t>
  </si>
  <si>
    <t>no unit: …  – strata of norms that kept no unit; object shows the raw object (empty for no_object).</t>
  </si>
  <si>
    <t xml:space="preserve">              Judge: correct = rightly no unit; wrong = a real object was lost.</t>
  </si>
  <si>
    <t>level       – phrase / head / compound / embedding, or empty if unmapped.</t>
  </si>
  <si>
    <t>cand_n, conf_n – candidate concept label and its confidence.</t>
  </si>
  <si>
    <t>pct_1       – percentile of candidate 1 in the Step 4 top-1 distribution (embedding only).</t>
  </si>
  <si>
    <t>n_norms     – how many norms share this object; context shows text around it in an example norm.</t>
  </si>
  <si>
    <t>Example of a filled-in row (not part of the data)</t>
  </si>
  <si>
    <t>partial</t>
  </si>
  <si>
    <t>melding</t>
  </si>
  <si>
    <t>concept right but generic; the object refers to lid 6</t>
  </si>
  <si>
    <t>objects</t>
  </si>
  <si>
    <t>in sample</t>
  </si>
  <si>
    <t>judged</t>
  </si>
  <si>
    <t>correct</t>
  </si>
  <si>
    <t>wrong</t>
  </si>
  <si>
    <t>unclear</t>
  </si>
  <si>
    <t>precision (strict)</t>
  </si>
  <si>
    <t>precision (lenient)</t>
  </si>
  <si>
    <t>total</t>
  </si>
  <si>
    <t>Precision excludes 'unclear'. Strict = correct only; lenient = correct + partial.</t>
  </si>
  <si>
    <t>For 'unmapped', precision means: share of objects rightly left unmapped. For 'no unit' strata: share of norms that rightly have no unit.</t>
  </si>
  <si>
    <t>Embedding bands split the range above the fallback percentile (20) into three equal parts.</t>
  </si>
  <si>
    <t>'objects' is the full count per stratum; Validate holds only the sample.</t>
  </si>
  <si>
    <t>With 17 judged per stratum, precision per stratum is a rough indication (about ±24 points at worst, 95%); the total is much tighter.</t>
  </si>
  <si>
    <t>norms</t>
  </si>
  <si>
    <t>rows in sample</t>
  </si>
  <si>
    <t>norm_id</t>
  </si>
  <si>
    <t>units</t>
  </si>
  <si>
    <t>32024R1689:4:whole:2</t>
  </si>
  <si>
    <t>hun technische kennis, ervaring, onderwijs en opleiding en de context waarin de AI-systemen zullen worden gebruikt, evenals met de personen of groepen personen ten aanzien van wie de AI-systemen zullen worden gebruikt</t>
  </si>
  <si>
    <t>technische kennis, ervaring, onderwijs en opleiding en de context waarin de AI-systemen zullen worden gebruikt, evenals met de personen of groepen personen ten aanzien van wie de AI-systemen zullen worden gebruikt</t>
  </si>
  <si>
    <t>noodzakelijke en evenredige waarborgen | voorwaarden</t>
  </si>
  <si>
    <t>vooruitbetaling</t>
  </si>
  <si>
    <t>32024R1689:5:2:2</t>
  </si>
  <si>
    <t>Het gebruik van systemen voor biometrische identificatie op afstand in real time in openbare ruimten met het oog op de rechtshandhaving</t>
  </si>
  <si>
    <t>systemen voor biometrische identificatie op afstand in real time in openbare ruimten met het oog op de rechtshandhaving</t>
  </si>
  <si>
    <t>32024R1689:5:2:3</t>
  </si>
  <si>
    <t>32024R1689:5:2:4</t>
  </si>
  <si>
    <t>met het gebruik van dergelijke systemen</t>
  </si>
  <si>
    <t>systemen</t>
  </si>
  <si>
    <t>styreen</t>
  </si>
  <si>
    <t>systeemexpert</t>
  </si>
  <si>
    <t>32024R1689:5:2:5</t>
  </si>
  <si>
    <t>Het gebruik van het systeem voor biometrische identificatie op afstand in real time in openbare ruimten</t>
  </si>
  <si>
    <t>systeem voor biometrische identificatie op afstand in real time in openbare ruimten</t>
  </si>
  <si>
    <t>32024R1689:5:4:7</t>
  </si>
  <si>
    <t>gevoelige operationele gegevens</t>
  </si>
  <si>
    <t>transactionele gegevens</t>
  </si>
  <si>
    <t>gevoelig gebied</t>
  </si>
  <si>
    <t>machineleesbare gegevens</t>
  </si>
  <si>
    <t>32024R1689:5:4:8</t>
  </si>
  <si>
    <t>elk gebruik van een systeem voor biometrische identificatie op afstand in real time in openbare ruimten met het oog op de rechtshandhaving</t>
  </si>
  <si>
    <t>systeem voor biometrische identificatie op afstand in real time in openbare ruimten met het oog op de rechtshandhaving</t>
  </si>
  <si>
    <t>32024R1689:5:5:9</t>
  </si>
  <si>
    <t>om te voorzien in de mogelijkheid om volledig of gedeeltelijk toestemming te verlenen voor het gebruik van systemen voor biometrische identificatie op afstand in real time in openbare ruimten met het oog op de rechtshandhaving</t>
  </si>
  <si>
    <t>mogelijkheid om volledig of gedeeltelijk toestemming te verlenen voor het gebruik van systemen voor biometrische identificatie op afstand in real time in openbare ruimten met het oog op de rechtshandhaving</t>
  </si>
  <si>
    <t>32024R1689:5:5:10</t>
  </si>
  <si>
    <t>de noodzakelijke gedetailleerde regels</t>
  </si>
  <si>
    <t>noodzakelijke gedetailleerde regels</t>
  </si>
  <si>
    <t>verkeersvoorschriften</t>
  </si>
  <si>
    <t>32024R1689:5:5:13</t>
  </si>
  <si>
    <t>voor welke doelstellingen van lid 1, eerste alinea, punt h), en voor welke strafbare feiten als bedoeld in punt h), iii), daarvan de bevoegde autoriteiten deze systemen mogen gebruiken met het oog op de rechtshandhaving</t>
  </si>
  <si>
    <t>welke doelstellingen en voor welke strafbare feiten de bevoegde autoriteiten deze systemen mogen gebruiken met het oog op de rechtshandhaving</t>
  </si>
  <si>
    <t>32024R1689:5:6:14</t>
  </si>
  <si>
    <t>een sjabloon</t>
  </si>
  <si>
    <t>sjabloon</t>
  </si>
  <si>
    <t>sojaboon</t>
  </si>
  <si>
    <t>32024R1689:5:6:15</t>
  </si>
  <si>
    <t>jaarverslagen</t>
  </si>
  <si>
    <t>32024R1689:5:7:16</t>
  </si>
  <si>
    <t>32024R1689:5:7:17</t>
  </si>
  <si>
    <t>32024R1689:6:1:1</t>
  </si>
  <si>
    <t>een AI-systeem als AI-systeem met een hoog risico</t>
  </si>
  <si>
    <t>AI-systeem als AI-systeem met een hoog risico</t>
  </si>
  <si>
    <t>32024R1689:6:4:2</t>
  </si>
  <si>
    <t>de documentatie van de beoordeling</t>
  </si>
  <si>
    <t>documentatie van de beoordeling</t>
  </si>
  <si>
    <t>32024R1689:6:5:5</t>
  </si>
  <si>
    <t>richtsnoeren</t>
  </si>
  <si>
    <t>snoeien</t>
  </si>
  <si>
    <t>32024R1689:6:6:6</t>
  </si>
  <si>
    <t>gedelegeerde handelingen</t>
  </si>
  <si>
    <t>gedelegeerde verordening</t>
  </si>
  <si>
    <t>gedelegeerde wetgeving</t>
  </si>
  <si>
    <t>gedelegeerd besluit</t>
  </si>
  <si>
    <t>32024R1689:6:7:7</t>
  </si>
  <si>
    <t>32024R1689:7:1:1</t>
  </si>
  <si>
    <t>32024R1689:7:3:3</t>
  </si>
  <si>
    <t>32024R1689:8:1:1</t>
  </si>
  <si>
    <t>de eisen van deze afdeling</t>
  </si>
  <si>
    <t>eisen</t>
  </si>
  <si>
    <t>ei</t>
  </si>
  <si>
    <t>32024R1689:8:1:2</t>
  </si>
  <si>
    <t>het in artikel 9 bedoelde systeem voor risicobeheer</t>
  </si>
  <si>
    <t>systeem voor risicobeheer</t>
  </si>
  <si>
    <t>risicobeheer</t>
  </si>
  <si>
    <t>wetenschappelijk risicobeheer</t>
  </si>
  <si>
    <t>bedrijfsbeheerssysteem</t>
  </si>
  <si>
    <t>32024R1689:8:2:3</t>
  </si>
  <si>
    <t>dat hun product volledig voldoet aan alle toepasselijke vereisten uit hoofde van de toepasselijke harmonisatiewetgeving van de Unie</t>
  </si>
  <si>
    <t>product volledig voldoet aan alle toepasselijke vereisten uit hoofde van de toepasselijke harmonisatiewetgeving van de Unie</t>
  </si>
  <si>
    <t>32024R1689:8:2:4</t>
  </si>
  <si>
    <t>de nodige test- en rapportageprocessen en door hen verstrekte informatie en documentatie over hun product</t>
  </si>
  <si>
    <t>nodige test- en rapportageprocessen en door hen verstrekte informatie en documentatie over hun product</t>
  </si>
  <si>
    <t>informatie en documentatie</t>
  </si>
  <si>
    <t>Registratie en beoordeling van en autorisatie en beperkingen ten aanzien van chemische stoffen</t>
  </si>
  <si>
    <t>onderzoek en ontwikkeling</t>
  </si>
  <si>
    <t>32024R1689:9:1:1</t>
  </si>
  <si>
    <t>een systeem voor risicobeheer</t>
  </si>
  <si>
    <t>32024R1689:9:1:2</t>
  </si>
  <si>
    <t>32024R1689:9:1:3</t>
  </si>
  <si>
    <t>32024R1689:9:1:4</t>
  </si>
  <si>
    <t>32024R1689:9:4:5</t>
  </si>
  <si>
    <t>de effecten en mogelijke wisselwerking die voortvloeien uit de gecombineerde toepassing van de in deze afdeling uiteengezette eisen</t>
  </si>
  <si>
    <t>effecten en mogelijke wisselwerking die voortvloeien uit de gecombineerde toepassing van de uiteengezette eisen</t>
  </si>
  <si>
    <t>32024R1689:9:5:6</t>
  </si>
  <si>
    <t>zodanig dat het desbetreffende restrisico in verband met elk gevaar en het totale restrisico van de AI-systemen met een hoog risico aanvaardbaar wordt geacht</t>
  </si>
  <si>
    <t>restrisico in verband met elk gevaar en het totale restrisico van de AI-systemen met een hoog risico aanvaardbaar wordt geacht</t>
  </si>
  <si>
    <t>32024R1689:9:5:7</t>
  </si>
  <si>
    <t>32024R1689:9:5:8</t>
  </si>
  <si>
    <t>van op grond van lid 2 vastgestelde en geëvalueerde risico’s</t>
  </si>
  <si>
    <t>vastgestelde en geëvalueerde risico’s</t>
  </si>
  <si>
    <t>32024R1689:9:5:9</t>
  </si>
  <si>
    <t>adequate maatregelen voor beperking en controle</t>
  </si>
  <si>
    <t>maatregelen ter beperking van buitenlandse investeringen</t>
  </si>
  <si>
    <t>maatregelen tegen sociale uitsluiting</t>
  </si>
  <si>
    <t>afschaffing van beperkingen</t>
  </si>
  <si>
    <t>32024R1689:9:5:10</t>
  </si>
  <si>
    <t>van op grond van artikel 13 vereiste informatie en waar passend opleiding</t>
  </si>
  <si>
    <t>vereiste informatie | waar passend opleiding</t>
  </si>
  <si>
    <t>opleiding</t>
  </si>
  <si>
    <t>32024R1689:9:5:11</t>
  </si>
  <si>
    <t>aan de te verwachten technische kennis, ervaring, scholing en opleiding van de gebruiksverantwoordelijke en de vermoedelijke context waarin het systeem dient te worden gebruikt</t>
  </si>
  <si>
    <t>technische kennis, ervaring, scholing en opleiding van de gebruiksverantwoordelijke en de vermoedelijke context waarin het systeem dient te worden gebruikt</t>
  </si>
  <si>
    <t>32024R1689:9:6:12</t>
  </si>
  <si>
    <t>AI-systemen met een hoog risico</t>
  </si>
  <si>
    <t>Europees Comité voor systeemrisico's</t>
  </si>
  <si>
    <t>32024R1689:9:6:13</t>
  </si>
  <si>
    <t>32024R1689:9:7:14</t>
  </si>
  <si>
    <t>De testprocedures</t>
  </si>
  <si>
    <t>testprocedures</t>
  </si>
  <si>
    <t>32024R1689:9:8:15</t>
  </si>
  <si>
    <t>Het testen van AI-systemen met een hoog risico</t>
  </si>
  <si>
    <t>32024R1689:9:8:16</t>
  </si>
  <si>
    <t>32024R1689:9:9:17</t>
  </si>
  <si>
    <t>met de vraag of het beoogde doel van het AI-systeem met een hoog risico waarschijnlijk negatieve gevolgen zal hebben voor personen jonger dan 18 jaar en, in voorkomend geval, voor andere kwetsbare groepen</t>
  </si>
  <si>
    <t>vraag of het beoogde doel van het AI-systeem met een hoog risico waarschijnlijk negatieve gevolgen zal hebben voor personen jonger dan 18 jaar en, in voorkomend geval, voor andere kwetsbare groepen</t>
  </si>
  <si>
    <t>vraag en aanbod</t>
  </si>
  <si>
    <t>32024R1689:10:1:1</t>
  </si>
  <si>
    <t>AI-systemen met een hoog risico die technieken gebruiken die het trainen van AI-modellen met data omvatten</t>
  </si>
  <si>
    <t>32024R1689:10:3:2</t>
  </si>
  <si>
    <t>de passende statistische kenmerken</t>
  </si>
  <si>
    <t>passende statistische kenmerken</t>
  </si>
  <si>
    <t>demografische statistiek</t>
  </si>
  <si>
    <t>statistisch overzicht</t>
  </si>
  <si>
    <t>statistische nomenclatuur</t>
  </si>
  <si>
    <t>32024R1689:10:3:3</t>
  </si>
  <si>
    <t>relevant, voldoende representatief, en zoveel mogelijk foutenvrij en volledig</t>
  </si>
  <si>
    <t>32024R1689:10:3:4</t>
  </si>
  <si>
    <t>32024R1689:10:4:5</t>
  </si>
  <si>
    <t>de eigenschappen of elementen die specifiek zijn voor een bepaalde geografische, contextuele, functionele of gedragsomgeving waarin het AI-systeem met een hoog risico moet worden gebruikt</t>
  </si>
  <si>
    <t>eigenschappen of elementen die specifiek zijn voor een bepaalde geografische, contextuele, functionele of gedragsomgeving waarin het AI-systeem met een hoog risico moet worden gebruikt</t>
  </si>
  <si>
    <t>32024R1689:10:5:6</t>
  </si>
  <si>
    <t>uitzonderlijk bijzondere categorieën persoonsgegevens</t>
  </si>
  <si>
    <t>bijzondere trekkingsrechten</t>
  </si>
  <si>
    <t>32024R1689:10:5:7</t>
  </si>
  <si>
    <t>aan technische beperkingen voor het hergebruik van persoonsgegevens, en geavanceerde beveiligings- en privacybeschermingsmaatregelen, waaronder pseudonimisering</t>
  </si>
  <si>
    <t>technische beperkingen voor het hergebruik van persoonsgegevens, en geavanceerde beveiligings- en privacybeschermingsmaatregelen, waaronder pseudonimisering</t>
  </si>
  <si>
    <t>32024R1689:10:5:8</t>
  </si>
  <si>
    <t>aan maatregelen om ervoor te zorgen dat de verwerkte persoonsgegevens worden beveiligd, beschermd met passende waarborgen, waaronder strikte controles en documentatie van de toegang ertoe, om misbruik te voorkomen en ervoor te zorgen dat alleen personen die gemachtigd zijn toegang tot die persoonsgegevens hebben met passende vertrouwelijkheidsverplichtingen</t>
  </si>
  <si>
    <t>maatregelen om ervoor te zorgen dat de verwerkte persoonsgegevens worden beveiligd, beschermd met passende waarborgen, waaronder strikte controles en documentatie van de toegang, om misbruik te voorkomen en ervoor te zorgen dat alleen personen die gemachtigd zijn toegang tot die persoonsgegevens hebben met passende vertrouwelijkheidsverplichtingen</t>
  </si>
  <si>
    <t>32024R1689:10:5:9</t>
  </si>
  <si>
    <t>32024R1689:10:5:10</t>
  </si>
  <si>
    <t>de redenen waarom de verwerking van bijzondere categorieën persoonsgegevens strikt noodzakelijk was om vertekeningen op te sporen en waarom die doelstelling niet kon worden bereikt door de verwerking van andere data</t>
  </si>
  <si>
    <t>redenen waarom de verwerking van bijzondere categorieën persoonsgegevens strikt noodzakelijk was om vertekeningen op te sporen en waarom die doelstelling niet kon worden bereikt door de verwerking van andere data</t>
  </si>
  <si>
    <t>32024R1689:10:5:11</t>
  </si>
  <si>
    <t>alle volgende voorwaarden</t>
  </si>
  <si>
    <t>32024R1689:10:5:12</t>
  </si>
  <si>
    <t>de opsporing en correctie van vooringenomenheid</t>
  </si>
  <si>
    <t>opsporing van vooringenomenheid | correctie</t>
  </si>
  <si>
    <t>misbruik van voorkennis</t>
  </si>
  <si>
    <t>opsporingsvergunning</t>
  </si>
  <si>
    <t>voorkoming van verontreiniging</t>
  </si>
  <si>
    <t>32024R1689:10:5:13</t>
  </si>
  <si>
    <t>32024R1689:11:1:1</t>
  </si>
  <si>
    <t>de elementen van de in bijlage IV gespecificeerde technische documentatie</t>
  </si>
  <si>
    <t>elementen van de gespecificeerde technische documentatie</t>
  </si>
  <si>
    <t>technische documentatie</t>
  </si>
  <si>
    <t>technische specificatie</t>
  </si>
  <si>
    <t>technische voorschriften</t>
  </si>
  <si>
    <t>32024R1689:11:1:2</t>
  </si>
  <si>
    <t>een vereenvoudigd formulier voor technische documentatie</t>
  </si>
  <si>
    <t>vereenvoudigd formulier voor technische documentatie</t>
  </si>
  <si>
    <t>formulier</t>
  </si>
  <si>
    <t>32024R1689:11:1:3</t>
  </si>
  <si>
    <t>het in dit lid bedoelde formulier</t>
  </si>
  <si>
    <t>32024R1689:11:1:4</t>
  </si>
  <si>
    <t>het formulier</t>
  </si>
  <si>
    <t>32024R1689:11:1:5</t>
  </si>
  <si>
    <t>De technische documentatie van een AI-systeem met een hoog risico</t>
  </si>
  <si>
    <t>technische documentatie van een AI-systeem met een hoog risico</t>
  </si>
  <si>
    <t>32024R1689:11:1:6</t>
  </si>
  <si>
    <t>De technische documentatie</t>
  </si>
  <si>
    <t>32024R1689:11:1:7</t>
  </si>
  <si>
    <t>32024R1689:11:1:8</t>
  </si>
  <si>
    <t>dat het AI-systeem met een hoog risico in overeenstemming is met de eisen van deze afdeling</t>
  </si>
  <si>
    <t>AI-systeem met een hoog risico in overeenstemming is met de eisen</t>
  </si>
  <si>
    <t>32024R1689:11:1:9</t>
  </si>
  <si>
    <t>over de noodzakelijke, op heldere en begrijpelijke wijze gestelde informatie</t>
  </si>
  <si>
    <t>noodzakelijke, op heldere en begrijpelijke wijze gestelde informatie</t>
  </si>
  <si>
    <t>32024R1689:11:1:10</t>
  </si>
  <si>
    <t>ten minste de in bijlage IV uiteengezette elementen</t>
  </si>
  <si>
    <t>uiteengezette elementen</t>
  </si>
  <si>
    <t>samengesteld materiaal</t>
  </si>
  <si>
    <t>32024R1689:11:2:11</t>
  </si>
  <si>
    <t>een enkel technisch document</t>
  </si>
  <si>
    <t>enkel technisch document</t>
  </si>
  <si>
    <t>32024R1689:11:3:12</t>
  </si>
  <si>
    <t>32024R1689:12:2:1</t>
  </si>
  <si>
    <t>gebeurtenissen te registreren</t>
  </si>
  <si>
    <t>registratie van documenten</t>
  </si>
  <si>
    <t>registratie van een voertuig</t>
  </si>
  <si>
    <t>bevolkingsregistratie</t>
  </si>
  <si>
    <t>32024R1689:12:3:2</t>
  </si>
  <si>
    <t>de loggingcapaciteiten</t>
  </si>
  <si>
    <t>loggingcapaciteiten</t>
  </si>
  <si>
    <t>opslagcapaciteit</t>
  </si>
  <si>
    <t>productiecapaciteit</t>
  </si>
  <si>
    <t>32024R1689:13:2:1</t>
  </si>
  <si>
    <t>gebruiksinstructies</t>
  </si>
  <si>
    <t>gebruiksaanwijzing</t>
  </si>
  <si>
    <t>hulp aan de gebruiker</t>
  </si>
  <si>
    <t>gebruiken en tradities</t>
  </si>
  <si>
    <t>32024R1689:14:5:1</t>
  </si>
  <si>
    <t>32024R1689:14:5:3</t>
  </si>
  <si>
    <t>Het vereiste van een afzonderlijke verificatie door ten minste twee natuurlijke personen</t>
  </si>
  <si>
    <t>vereiste van een afzonderlijke verificatie door ten minste twee natuurlijke personen</t>
  </si>
  <si>
    <t>32024R1689:15:1:1</t>
  </si>
  <si>
    <t>32024R1689:15:2:2</t>
  </si>
  <si>
    <t>de ontwikkeling van benchmarks en meetmethoden</t>
  </si>
  <si>
    <t>ontwikkeling van benchmarks en meetmethoden</t>
  </si>
  <si>
    <t>benchmarking</t>
  </si>
  <si>
    <t>32024R1689:15:3:3</t>
  </si>
  <si>
    <t>De niveaus van nauwkeurigheid en de relevante maatstaven voor de nauwkeurigheid van AI-systemen met een hoog risico</t>
  </si>
  <si>
    <t>niveaus van nauwkeurigheid en de relevante maatstaven voor de nauwkeurigheid van AI-systemen met een hoog risico</t>
  </si>
  <si>
    <t>32024R1689:15:5:4</t>
  </si>
  <si>
    <t>pogingen van ongeautoriseerde derden om het gebruik, de outputs of de prestaties ervan te wijzigen door gebruik te maken van de kwetsbaarheden van het systeem</t>
  </si>
  <si>
    <t>pogingen van ongeautoriseerde derden om het gebruik, de outputs of de prestaties te wijzigen door gebruik te maken van de kwetsbaarheden van het systeem</t>
  </si>
  <si>
    <t>relevante omstandigheden ’s | risico</t>
  </si>
  <si>
    <t>32024R1689:15:5:6</t>
  </si>
  <si>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</si>
  <si>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</si>
  <si>
    <t>32024R1689:16:whole:1</t>
  </si>
  <si>
    <t>hun naam, geregistreerde handelsnaam of geregistreerd merk</t>
  </si>
  <si>
    <t>naam, geregistreerde handelsnaam of geregistreerd merk</t>
  </si>
  <si>
    <t>Wetboek van Koophandel</t>
  </si>
  <si>
    <t>handelsvergunning</t>
  </si>
  <si>
    <t>32024R1689:16:whole:2</t>
  </si>
  <si>
    <t>een systeem voor kwaliteitsbeheer</t>
  </si>
  <si>
    <t>systeem voor kwaliteitsbeheer</t>
  </si>
  <si>
    <t>kwaliteitscontrole</t>
  </si>
  <si>
    <t>kwaliteitsbeheersing van industrieproducten</t>
  </si>
  <si>
    <t>32024R1689:16:whole:3</t>
  </si>
  <si>
    <t>de in artikel 18 bedoelde documentatie</t>
  </si>
  <si>
    <t>32024R1689:16:whole:4</t>
  </si>
  <si>
    <t>de in artikel 19 bedoelde logs</t>
  </si>
  <si>
    <t>logs</t>
  </si>
  <si>
    <t>logboek</t>
  </si>
  <si>
    <t>32024R1689:16:whole:5</t>
  </si>
  <si>
    <t>een EU-conformiteitsverklaring</t>
  </si>
  <si>
    <t>EU-conformiteitsverklaring</t>
  </si>
  <si>
    <t>Europese convergentie</t>
  </si>
  <si>
    <t>EU-wetgevingsprocedure</t>
  </si>
  <si>
    <t>adequaatheidsbesluit (EU)</t>
  </si>
  <si>
    <t>32024R1689:16:whole:6</t>
  </si>
  <si>
    <t>de CE-markering</t>
  </si>
  <si>
    <t>CE-markering</t>
  </si>
  <si>
    <t>32024R1689:16:whole:7</t>
  </si>
  <si>
    <t>de registratieverplichtingen als bedoeld in artikel 49, lid 1</t>
  </si>
  <si>
    <t>registratieverplichtingen</t>
  </si>
  <si>
    <t>32024R1689:16:whole:8</t>
  </si>
  <si>
    <t>de noodzakelijke corrigerende maatregelen</t>
  </si>
  <si>
    <t>noodzakelijke corrigerende maatregelen</t>
  </si>
  <si>
    <t>32024R1689:16:whole:9</t>
  </si>
  <si>
    <t>de uit hoofde van artikel 20 vereiste informatie</t>
  </si>
  <si>
    <t>vereiste informatie</t>
  </si>
  <si>
    <t>32024R1689:16:whole:11</t>
  </si>
  <si>
    <t>hun AI-systemen met een hoog risico</t>
  </si>
  <si>
    <t>32024R1689:16:whole:12</t>
  </si>
  <si>
    <t>het AI-systeem met een hoog risico</t>
  </si>
  <si>
    <t>AI-systeem met een hoog risico</t>
  </si>
  <si>
    <t>32024R1689:17:1:1</t>
  </si>
  <si>
    <t>in een systeem voor kwaliteitsbeheer</t>
  </si>
  <si>
    <t>32024R1689:17:1:2</t>
  </si>
  <si>
    <t>32024R1689:17:1:3</t>
  </si>
  <si>
    <t>ten minste de volgende aspecten</t>
  </si>
  <si>
    <t>aspecten</t>
  </si>
  <si>
    <t>juridische aspecten</t>
  </si>
  <si>
    <t>32024R1689:17:2:4</t>
  </si>
  <si>
    <t>aan de striktheid en het beschermingsniveau</t>
  </si>
  <si>
    <t>striktheid | beschermingsniveau</t>
  </si>
  <si>
    <t>beschermingsmiddel</t>
  </si>
  <si>
    <t>tarifaire bescherming</t>
  </si>
  <si>
    <t>opleidingsniveau</t>
  </si>
  <si>
    <t>32024R1689:17:3:5</t>
  </si>
  <si>
    <t>de in lid 1 genoemde aspecten</t>
  </si>
  <si>
    <t>32024R1689:17:4:6</t>
  </si>
  <si>
    <t>de regels inzake interne governance, regelingen of processen uit hoofde van het desbetreffende Unierecht inzake financiële diensten</t>
  </si>
  <si>
    <t>regels inzake interne governance, regelingen of processen uit hoofde van het desbetreffende Unierecht inzake financiële diensten</t>
  </si>
  <si>
    <t>financiële wetgeving</t>
  </si>
  <si>
    <t>financiële diensten</t>
  </si>
  <si>
    <t>32024R1689:17:4:7</t>
  </si>
  <si>
    <t>de verplichting een systeem voor kwaliteitsbeheer in te voeren</t>
  </si>
  <si>
    <t>verplichting een systeem voor kwaliteitsbeheer in te voeren</t>
  </si>
  <si>
    <t>32024R1689:18:1:1</t>
  </si>
  <si>
    <t>de volgende elementen</t>
  </si>
  <si>
    <t>elementen</t>
  </si>
  <si>
    <t>chemisch element</t>
  </si>
  <si>
    <t>elektron</t>
  </si>
  <si>
    <t>stoffen</t>
  </si>
  <si>
    <t>32024R1689:18:2:2</t>
  </si>
  <si>
    <t>de voorwaarden</t>
  </si>
  <si>
    <t>32024R1689:18:3:3</t>
  </si>
  <si>
    <t>de technische documentatie</t>
  </si>
  <si>
    <t>32024R1689:19:1:1</t>
  </si>
  <si>
    <t>de in artikel 12, lid 1, bedoelde logs</t>
  </si>
  <si>
    <t>32024R1689:19:1:2</t>
  </si>
  <si>
    <t>32024R1689:19:2:3</t>
  </si>
  <si>
    <t>de automatisch door hun AI-systemen met een hoog risico gegenereerde logs</t>
  </si>
  <si>
    <t>automatisch door hun AI-systemen met een hoog risico gegenereerde logs</t>
  </si>
  <si>
    <t>32024R1689:20:1:1</t>
  </si>
  <si>
    <t>de nodige corrigerende maatregelen</t>
  </si>
  <si>
    <t>nodige corrigerende maatregelen</t>
  </si>
  <si>
    <t>Commissie Verdovende Middelen</t>
  </si>
  <si>
    <t>beleid inzake klimaatverandering</t>
  </si>
  <si>
    <t>32024R1689:20:1:2</t>
  </si>
  <si>
    <t>32024R1689:21:2:2</t>
  </si>
  <si>
    <t>toegang tot de in artikel 12, lid 1, bedoelde logs die automatisch zijn gegenereerd door hun AI-systeem met een hoog risico</t>
  </si>
  <si>
    <t>toegang tot de logs die automatisch zijn gegenereerd door hun AI-systeem met een hoog risico</t>
  </si>
  <si>
    <t>32024R1689:21:3:3</t>
  </si>
  <si>
    <t>32024R1689:22:1:1</t>
  </si>
  <si>
    <t>een gemachtigde</t>
  </si>
  <si>
    <t>gemachtigde</t>
  </si>
  <si>
    <t>beschuldigde</t>
  </si>
  <si>
    <t>hertachtige</t>
  </si>
  <si>
    <t>bejaarde</t>
  </si>
  <si>
    <t>32024R1689:22:2:2</t>
  </si>
  <si>
    <t>zijn gemachtigde</t>
  </si>
  <si>
    <t>32024R1689:22:4:3</t>
  </si>
  <si>
    <t>het mandaat</t>
  </si>
  <si>
    <t>mandaat</t>
  </si>
  <si>
    <t>32024R1689:22:4:4</t>
  </si>
  <si>
    <t>32024R1689:23:2:1</t>
  </si>
  <si>
    <t>het systeem</t>
  </si>
  <si>
    <t>computersysteem</t>
  </si>
  <si>
    <t>schoolsysteem</t>
  </si>
  <si>
    <t>sociaal systeem</t>
  </si>
  <si>
    <t>32024R1689:23:2:2</t>
  </si>
  <si>
    <t>32024R1689:23:3:3</t>
  </si>
  <si>
    <t>hun naam, geregistreerde handelsnaam of geregistreerd merk en hun contactadres</t>
  </si>
  <si>
    <t>naam, geregistreerde handelsnaam of geregistreerd merk | contactadres</t>
  </si>
  <si>
    <t>internetadres</t>
  </si>
  <si>
    <t>32024R1689:23:4:4</t>
  </si>
  <si>
    <t>32024R1689:23:5:5</t>
  </si>
  <si>
    <t>een kopie van het door de aangemelde instantie afgegeven certificaat</t>
  </si>
  <si>
    <t>kopie van het door de aangemelde instantie afgegeven certificaat</t>
  </si>
  <si>
    <t>32024R1689:23:7:6</t>
  </si>
  <si>
    <t>32024R1689:24:2:2</t>
  </si>
  <si>
    <t>32024R1689:24:2:3</t>
  </si>
  <si>
    <t>32024R1689:24:3:4</t>
  </si>
  <si>
    <t>32024R1689:24:4:5</t>
  </si>
  <si>
    <t>de aanbieder of importeur van het systeem en de autoriteiten die bevoegd zijn voor het betreffende AI-systeem met een hoog risico</t>
  </si>
  <si>
    <t>aanbieder of importeur van het systeem en de autoriteiten die bevoegd zijn voor het betreffende AI-systeem met een hoog risico</t>
  </si>
  <si>
    <t>provider</t>
  </si>
  <si>
    <t>32024R1689:24:4:6</t>
  </si>
  <si>
    <t>de non-conformiteit en de eventueel getroffen corrigerende maatregelen</t>
  </si>
  <si>
    <t>non-conformiteit | eventueel getroffen corrigerende maatregelen</t>
  </si>
  <si>
    <t>niet-gebondenheid</t>
  </si>
  <si>
    <t>non-proliferatie van bewapening</t>
  </si>
  <si>
    <t>beginsel van non-refoulement</t>
  </si>
  <si>
    <t>32024R1689:24:4:7</t>
  </si>
  <si>
    <t>32024R1689:24:4:8</t>
  </si>
  <si>
    <t>dat systeem</t>
  </si>
  <si>
    <t>32024R1689:24:4:9</t>
  </si>
  <si>
    <t>32024R1689:24:4:10</t>
  </si>
  <si>
    <t>dergelijke corrigerende maatregelen</t>
  </si>
  <si>
    <t>corrigerende maatregelen</t>
  </si>
  <si>
    <t>verbetering van de regelgeving</t>
  </si>
  <si>
    <t>32024R1689:24:5:11</t>
  </si>
  <si>
    <t>alle informatie en documentatie met betrekking tot de op grond van de leden 1 tot en met 4 door hen genomen maatregelen</t>
  </si>
  <si>
    <t>informatie en documentatie met betrekking tot de door hen genomen maatregelen</t>
  </si>
  <si>
    <t>32024R1689:24:6:12</t>
  </si>
  <si>
    <t>32024R1689:25:1:1</t>
  </si>
  <si>
    <t>als een aanbieder van een AI-systeem met een hoog risico</t>
  </si>
  <si>
    <t>aanbieder van een AI-systeem met een hoog risico</t>
  </si>
  <si>
    <t>naam | merk</t>
  </si>
  <si>
    <t>merk</t>
  </si>
  <si>
    <t>32024R1689:25:1:3</t>
  </si>
  <si>
    <t>een substantiële wijziging</t>
  </si>
  <si>
    <t>substantiële wijziging</t>
  </si>
  <si>
    <t>kabinetswijziging</t>
  </si>
  <si>
    <t>sociale verandering</t>
  </si>
  <si>
    <t>32024R1689:25:1:4</t>
  </si>
  <si>
    <t>het beoogde doel van een AI-systeem, met inbegrip van een AI-systeem voor algemene doeleinden</t>
  </si>
  <si>
    <t>beoogde doel van een AI-systeem, met inbegrip van een AI-systeem voor algemene doeleinden</t>
  </si>
  <si>
    <t>32024R1689:25:1:5</t>
  </si>
  <si>
    <t>aan de verplichtingen van de aanbieder uit hoofde van artikel 16</t>
  </si>
  <si>
    <t>verplichtingen van de aanbieder</t>
  </si>
  <si>
    <t>32024R1689:25:2:6</t>
  </si>
  <si>
    <t>aanbieder van dat specifieke AI-systeem</t>
  </si>
  <si>
    <t>32024R1689:25:2:7</t>
  </si>
  <si>
    <t>32024R1689:25:2:8</t>
  </si>
  <si>
    <t>de nodige informatie</t>
  </si>
  <si>
    <t>nodige informatie</t>
  </si>
  <si>
    <t>32024R1689:25:2:9</t>
  </si>
  <si>
    <t>de redelijkerwijs verwachte technische toegang en andere bijstand</t>
  </si>
  <si>
    <t>redelijkerwijs verwachte technische toegang en andere bijstand</t>
  </si>
  <si>
    <t>technische bijstand</t>
  </si>
  <si>
    <t>recht van toegang</t>
  </si>
  <si>
    <t>technologische vooruitzichten</t>
  </si>
  <si>
    <t>32024R1689:25:2:10</t>
  </si>
  <si>
    <t>32024R1689:25:3:11</t>
  </si>
  <si>
    <t>aan de verplichtingen krachtens artikel 16</t>
  </si>
  <si>
    <t>verplichtingen</t>
  </si>
  <si>
    <t>nodige informatie | capaciteiten | technische toegang | bijstand</t>
  </si>
  <si>
    <t>32024R1689:25:4:13</t>
  </si>
  <si>
    <t>vrijwillige modelvoorwaarden</t>
  </si>
  <si>
    <t>vrijwaringsmaatregel</t>
  </si>
  <si>
    <t>vrijwillig werk</t>
  </si>
  <si>
    <t>vrijwillige legerdienst</t>
  </si>
  <si>
    <t>32024R1689:25:4:15</t>
  </si>
  <si>
    <t>Dit lid</t>
  </si>
  <si>
    <t>32024R1689:25:4:16</t>
  </si>
  <si>
    <t>32024R1689:26:1:1</t>
  </si>
  <si>
    <t>passende technische en organisatorische maatregelen</t>
  </si>
  <si>
    <t>aanpassing aan technische vooruitgang</t>
  </si>
  <si>
    <t>aangepaste technologie</t>
  </si>
  <si>
    <t>32024R1689:26:2:2</t>
  </si>
  <si>
    <t>het menselijk toezicht</t>
  </si>
  <si>
    <t>menselijk toezicht</t>
  </si>
  <si>
    <t>toezicht op het milieu</t>
  </si>
  <si>
    <t>toezicht op de onderneming</t>
  </si>
  <si>
    <t>32024R1689:26:4:3</t>
  </si>
  <si>
    <t>32024R1689:26:5:4</t>
  </si>
  <si>
    <t>32024R1689:26:5:5</t>
  </si>
  <si>
    <t>het gebruik van dat systeem</t>
  </si>
  <si>
    <t>32024R1689:26:5:6</t>
  </si>
  <si>
    <t>de werking van het AI-systeem met een hoog risico</t>
  </si>
  <si>
    <t>werking van het AI-systeem met een hoog risico</t>
  </si>
  <si>
    <t>32024R1689:26:5:7</t>
  </si>
  <si>
    <t>van dat incident</t>
  </si>
  <si>
    <t>incident</t>
  </si>
  <si>
    <t>IT-incident</t>
  </si>
  <si>
    <t>32024R1689:26:5:8</t>
  </si>
  <si>
    <t>32024R1689:26:6:11</t>
  </si>
  <si>
    <t>de logs die automatisch worden gegenereerd door dat AI-systeem met een hoog risico</t>
  </si>
  <si>
    <t>logs die automatisch worden gegenereerd door dat AI-systeem met een hoog risico</t>
  </si>
  <si>
    <t>32024R1689:26:6:12</t>
  </si>
  <si>
    <t>de logs</t>
  </si>
  <si>
    <t>32024R1689:26:7:13</t>
  </si>
  <si>
    <t>32024R1689:26:7:14</t>
  </si>
  <si>
    <t>Deze informatie</t>
  </si>
  <si>
    <t>32024R1689:26:8:15</t>
  </si>
  <si>
    <t>32024R1689:26:8:16</t>
  </si>
  <si>
    <t>de in artikel 49 bedoelde registratieverplichtingen</t>
  </si>
  <si>
    <t>32024R1689:26:8:17</t>
  </si>
  <si>
    <t>32024R1689:26:9:18</t>
  </si>
  <si>
    <t>de informatie die op grond van artikel 13 van deze verordening wordt verstrekt</t>
  </si>
  <si>
    <t>informatie die wordt verstrekt</t>
  </si>
  <si>
    <t>32024R1689:26:11:19</t>
  </si>
  <si>
    <t>de natuurlijke personen</t>
  </si>
  <si>
    <t>natuurlijke personen</t>
  </si>
  <si>
    <t>natuurlijke persoon</t>
  </si>
  <si>
    <t>32024R1689:26:11:20</t>
  </si>
  <si>
    <t>artikel 13 van Richtlijn (EU) 2016/680</t>
  </si>
  <si>
    <t>32024R1689:26:12:21</t>
  </si>
  <si>
    <t>32024R1689:27:2:1</t>
  </si>
  <si>
    <t>dat een van de in lid 1 vermelde elementen is gewijzigd of niet langer actueel is</t>
  </si>
  <si>
    <t>van de elementen is gewijzigd of niet langer actueel is</t>
  </si>
  <si>
    <t>32024R1689:27:2:2</t>
  </si>
  <si>
    <t>van eerder uitgevoerde effectbeoordelingen op het gebied van de grondrechten of bestaande effectbeoordelingen die door de aanbieder zijn uitgevoerd</t>
  </si>
  <si>
    <t>eerder uitgevoerde effectbeoordelingen op het gebied van de grondrechten of bestaande effectbeoordelingen die door de aanbieder zijn uitgevoerd</t>
  </si>
  <si>
    <t>32024R1689:27:2:3</t>
  </si>
  <si>
    <t>de nodige maatregelen</t>
  </si>
  <si>
    <t>nodige maatregelen</t>
  </si>
  <si>
    <t>behoefte aan kapitaal</t>
  </si>
  <si>
    <t>voedselbehoefte</t>
  </si>
  <si>
    <t>32024R1689:27:2:4</t>
  </si>
  <si>
    <t>op het eerste gebruik van een AI-systeem met een hoog risico</t>
  </si>
  <si>
    <t>32024R1689:27:3:5</t>
  </si>
  <si>
    <t>de markttoezichtautoriteit</t>
  </si>
  <si>
    <t>markttoezichtautoriteit</t>
  </si>
  <si>
    <t>32024R1689:27:3:6</t>
  </si>
  <si>
    <t>het in lid 5 van dit artikel bedoelde ingevulde sjabloon</t>
  </si>
  <si>
    <t>ingevulde sjabloon</t>
  </si>
  <si>
    <t>32024R1689:27:3:7</t>
  </si>
  <si>
    <t>de verplichting tot kennisgeving</t>
  </si>
  <si>
    <t>verplichting tot kennisgeving</t>
  </si>
  <si>
    <t>32024R1689:27:5:8</t>
  </si>
  <si>
    <t>een sjabloon voor een vragenlijst</t>
  </si>
  <si>
    <t>sjabloon voor een vragenlijst</t>
  </si>
  <si>
    <t>32024R1689:28:1:1</t>
  </si>
  <si>
    <t>ten minste één aanmeldende autoriteit</t>
  </si>
  <si>
    <t>één aanmeldende autoriteit</t>
  </si>
  <si>
    <t>toegewezen eenheid</t>
  </si>
  <si>
    <t>32024R1689:28:1:3</t>
  </si>
  <si>
    <t>voor het opzetten en uitvoeren van de nodige procedures voor de beoordeling, aanwijzing en aanmelding van conformiteitsbeoordelingsinstanties en voor het toezicht erop</t>
  </si>
  <si>
    <t>opzetten en uitvoeren van de nodige procedures voor de beoordeling, aanwijzing en aanmelding van conformiteitsbeoordelingsinstanties en voor het toezicht</t>
  </si>
  <si>
    <t>32024R1689:28:1:4</t>
  </si>
  <si>
    <t>32024R1689:28:2:5</t>
  </si>
  <si>
    <t>de beoordeling en het toezicht als bedoeld in lid 1 overeenkomstig Verordening (EG) nr. 765/2008 te laten uitvoeren door een nationale accreditatie-instantie in de zin van die verordening</t>
  </si>
  <si>
    <t>beoordeling en het toezicht te laten uitvoeren door een nationale accreditatie-instantie</t>
  </si>
  <si>
    <t>nationale bevoegde instantie</t>
  </si>
  <si>
    <t>32024R1689:28:4:6</t>
  </si>
  <si>
    <t>32024R1689:28:5:7</t>
  </si>
  <si>
    <t>activiteiten</t>
  </si>
  <si>
    <t>overzicht van activiteiten</t>
  </si>
  <si>
    <t>verplaatsing van activiteiten</t>
  </si>
  <si>
    <t>communautaire activiteit</t>
  </si>
  <si>
    <t>32024R1689:28:5:8</t>
  </si>
  <si>
    <t>32024R1689:28:7:11</t>
  </si>
  <si>
    <t>een toereikend aantal bekwame personeelsleden</t>
  </si>
  <si>
    <t>toereikend aantal bekwame personeelsleden</t>
  </si>
  <si>
    <t>personeelsafgevaardigde</t>
  </si>
  <si>
    <t>aanpasbaarheid van het personeel</t>
  </si>
  <si>
    <t>verplegend personeel</t>
  </si>
  <si>
    <t>32024R1689:28:7:12</t>
  </si>
  <si>
    <t>de nodige deskundigheid</t>
  </si>
  <si>
    <t>nodige deskundigheid</t>
  </si>
  <si>
    <t>digitale kennis</t>
  </si>
  <si>
    <t>32024R1689:29:1:1</t>
  </si>
  <si>
    <t>een verzoek om aanmelding</t>
  </si>
  <si>
    <t>verzoek om aanmelding</t>
  </si>
  <si>
    <t>32024R1689:29:2:2</t>
  </si>
  <si>
    <t>een 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 van artikel 31</t>
  </si>
  <si>
    <t>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t>
  </si>
  <si>
    <t>32024R1689:29:2:3</t>
  </si>
  <si>
    <t>32024R1689:29:4:4</t>
  </si>
  <si>
    <t>de in de leden 2 en 3 bij dit artikel bedoelde documentatie</t>
  </si>
  <si>
    <t>documenten met betrekking tot die aanwijzingen | certificaten</t>
  </si>
  <si>
    <t>32024R1689:30:1:1</t>
  </si>
  <si>
    <t>conformiteitsbeoordelingsinstanties</t>
  </si>
  <si>
    <t>conformiteitscontrole</t>
  </si>
  <si>
    <t>conformiteitscertificaat</t>
  </si>
  <si>
    <t>32024R1689:30:2:2</t>
  </si>
  <si>
    <t>elke in lid 1 bedoeld conformiteitsbeoordelingsinstantie</t>
  </si>
  <si>
    <t>bedoeld conformiteitsbeoordelingsinstantie</t>
  </si>
  <si>
    <t>32024R1689:30:4:4</t>
  </si>
  <si>
    <t>de activiteiten van een aangemelde instantie</t>
  </si>
  <si>
    <t>activiteiten van een aangemelde instantie</t>
  </si>
  <si>
    <t>werking van de instelling</t>
  </si>
  <si>
    <t>32024R1689:30:5:5</t>
  </si>
  <si>
    <t>32024R1689:30:5:6</t>
  </si>
  <si>
    <t>32024R1689:30:5:7</t>
  </si>
  <si>
    <t>De Commissie</t>
  </si>
  <si>
    <t>32024R1689:31:2:1</t>
  </si>
  <si>
    <t>de eisen inzake organisatie, kwaliteitsbeheer, personeel en processen die nodig zijn voor het vervullen van hun taken, alsook aan de passende cyberbeveiligingseisen</t>
  </si>
  <si>
    <t>eisen inzake organisatie, kwaliteitsbeheer, personeel en processen die nodig zijn voor het vervullen van hun taken, alsook aan de passende cyberbeveiligingseisen</t>
  </si>
  <si>
    <t>structuur voor het waarborgen van de onpartijdigheid en voor het bevorderen en toepassen van de onpartijdigheidsbeginselen in hun gehele organisatie, onder het personeel | procedures | in de beoordelingsactiviteiten</t>
  </si>
  <si>
    <t>beoordeling van het personeel</t>
  </si>
  <si>
    <t>32024R1689:31:6:4</t>
  </si>
  <si>
    <t>32024R1689:31:6:5</t>
  </si>
  <si>
    <t>32024R1689:31:7:7</t>
  </si>
  <si>
    <t>over gedocumenteerde procedures</t>
  </si>
  <si>
    <t>gedocumenteerde procedures</t>
  </si>
  <si>
    <t>vereenvoudigde procedure</t>
  </si>
  <si>
    <t>wetgevende procedure</t>
  </si>
  <si>
    <t>32024R1689:31:7:8</t>
  </si>
  <si>
    <t>de informatie die zij tijdens conformiteitsbeoordelingsactiviteiten in hun bezit krijgen</t>
  </si>
  <si>
    <t>informatie die zij tijdens conformiteitsbeoordelingsactiviteiten in hun bezit krijgen</t>
  </si>
  <si>
    <t>32024R1689:31:8:9</t>
  </si>
  <si>
    <t>de nodige procedures</t>
  </si>
  <si>
    <t>nodige procedures</t>
  </si>
  <si>
    <t>32024R1689:31:9:10</t>
  </si>
  <si>
    <t>een passende aansprakelijkheidsverzekering</t>
  </si>
  <si>
    <t>passende aansprakelijkheidsverzekering</t>
  </si>
  <si>
    <t>verzekering</t>
  </si>
  <si>
    <t>32024R1689:31:11:12</t>
  </si>
  <si>
    <t>over voldoende interne deskundigheid</t>
  </si>
  <si>
    <t>voldoende interne deskundigheid</t>
  </si>
  <si>
    <t>regelmatige toetsing van de kennis</t>
  </si>
  <si>
    <t>industriële opleiding</t>
  </si>
  <si>
    <t>gebrek aan regionaal evenwicht</t>
  </si>
  <si>
    <t>32024R1689:31:11:13</t>
  </si>
  <si>
    <t>over voldoende administratief, technisch, juridisch en wetenschappelijk personeel</t>
  </si>
  <si>
    <t>voldoende administratief, technisch, juridisch en wetenschappelijk personeel</t>
  </si>
  <si>
    <t>personeel</t>
  </si>
  <si>
    <t>32024R1689:31:12:14</t>
  </si>
  <si>
    <t>32024R1689:31:12:16</t>
  </si>
  <si>
    <t>op de hoogte te zijn van actuele relevante normen</t>
  </si>
  <si>
    <t>hoogte te zijn van actuele relevante normen</t>
  </si>
  <si>
    <t>harmonisatie van de normen</t>
  </si>
  <si>
    <t>32024R1689:33:1:1</t>
  </si>
  <si>
    <t>32024R1689:33:1:2</t>
  </si>
  <si>
    <t>de aanmeldende autoriteit</t>
  </si>
  <si>
    <t>32024R1689:33:2:3</t>
  </si>
  <si>
    <t>de volledige verantwoordelijkheid</t>
  </si>
  <si>
    <t>volledige verantwoordelijkheid</t>
  </si>
  <si>
    <t>verantwoordelijkheid van het bestuur</t>
  </si>
  <si>
    <t>openbare verantwoordelijkheid</t>
  </si>
  <si>
    <t>uitgebreide producentenverantwoordelijkheid</t>
  </si>
  <si>
    <t>32024R1689:33:3:4</t>
  </si>
  <si>
    <t>Activiteiten</t>
  </si>
  <si>
    <t>vrijwilligerswerk</t>
  </si>
  <si>
    <t>EU-activiteit</t>
  </si>
  <si>
    <t>32024R1689:33:3:5</t>
  </si>
  <si>
    <t>een lijst van hun dochterondernemingen</t>
  </si>
  <si>
    <t>lijst van hun dochterondernemingen</t>
  </si>
  <si>
    <t>dochteronderneming</t>
  </si>
  <si>
    <t>gemeenschappelijke dochteronderneming</t>
  </si>
  <si>
    <t>familiebedrijf</t>
  </si>
  <si>
    <t>32024R1689:34:1:1</t>
  </si>
  <si>
    <t>de conformiteit van AI-systemen met een hoog risico</t>
  </si>
  <si>
    <t>conformiteit van AI-systemen met een hoog risico</t>
  </si>
  <si>
    <t>32024R1689:34:2:2</t>
  </si>
  <si>
    <t>onnodige lasten</t>
  </si>
  <si>
    <t>ongeoorloofde reclame</t>
  </si>
  <si>
    <t>niet-terugbetaalbare hulp</t>
  </si>
  <si>
    <t>onbetaalde arbeid</t>
  </si>
  <si>
    <t>32024R1689:34:2:3</t>
  </si>
  <si>
    <t>de striktheid en het beschermingsniveau die nodig zijn</t>
  </si>
  <si>
    <t>striktheid en het beschermingsniveau die nodig zijn</t>
  </si>
  <si>
    <t>beveiliging en bewaking</t>
  </si>
  <si>
    <t>ruimte van vrijheid, veiligheid en rechtvaardigheid</t>
  </si>
  <si>
    <t>32024R1689:34:2:4</t>
  </si>
  <si>
    <t>32024R1689:34:3:5</t>
  </si>
  <si>
    <t>alle relevante documentatie, waaronder de documentatie van de aanbieder</t>
  </si>
  <si>
    <t>relevante documentatie, waaronder de documentatie van de aanbieder</t>
  </si>
  <si>
    <t>32024R1689:34:3:6</t>
  </si>
  <si>
    <t>die</t>
  </si>
  <si>
    <t>32024R1689:35:1:1</t>
  </si>
  <si>
    <t>één enkel identificatienummer</t>
  </si>
  <si>
    <t>identiteitsbewijs</t>
  </si>
  <si>
    <t>enkel administratief document</t>
  </si>
  <si>
    <t>32024R1689:35:2:3</t>
  </si>
  <si>
    <t>de lijst actueel blijft</t>
  </si>
  <si>
    <t>lijst actueel blijft</t>
  </si>
  <si>
    <t>32024R1689:36:1:1</t>
  </si>
  <si>
    <t>alle relevante wijzigingen in de aanmelding van een aangemelde instantie</t>
  </si>
  <si>
    <t>relevante wijzigingen in de aanmelding van een aangemelde instantie</t>
  </si>
  <si>
    <t>wijziging van een overeenkomst</t>
  </si>
  <si>
    <t>32024R1689:36:3:2</t>
  </si>
  <si>
    <t>de aanwijzing</t>
  </si>
  <si>
    <t>aanwijzing</t>
  </si>
  <si>
    <t>aanwerving</t>
  </si>
  <si>
    <t>uitwijzing</t>
  </si>
  <si>
    <t>aanbeveling</t>
  </si>
  <si>
    <t>32024R1689:36:3:3</t>
  </si>
  <si>
    <t>32024R1689:36:3:4</t>
  </si>
  <si>
    <t>32024R1689:36:3:5</t>
  </si>
  <si>
    <t>een volledige beoordeling van de betrokken AI-systemen met een hoog risico</t>
  </si>
  <si>
    <t>volledige beoordeling van de betrokken AI-systemen met een hoog risico</t>
  </si>
  <si>
    <t>32024R1689:36:3:6</t>
  </si>
  <si>
    <t>nieuwe certificaten</t>
  </si>
  <si>
    <t>nieuwe technologie</t>
  </si>
  <si>
    <t>nieuw materiaal</t>
  </si>
  <si>
    <t>32024R1689:36:3:7</t>
  </si>
  <si>
    <t>haar conformiteitsbeoordelingsactiviteiten</t>
  </si>
  <si>
    <t>conformiteitsbeoordelingsactiviteiten</t>
  </si>
  <si>
    <t>32024R1689:36:4:8</t>
  </si>
  <si>
    <t>de kwestie</t>
  </si>
  <si>
    <t>kwestie</t>
  </si>
  <si>
    <t>vraag</t>
  </si>
  <si>
    <t>kwestie-Kaliningrad</t>
  </si>
  <si>
    <t>32024R1689:36:4:9</t>
  </si>
  <si>
    <t>haar de mogelijkheid haar standpunten kenbaar te maken</t>
  </si>
  <si>
    <t>mogelijkheid haar standpunten kenbaar te maken</t>
  </si>
  <si>
    <t>openbaarheid van de debatten</t>
  </si>
  <si>
    <t>weigering aan te bieden</t>
  </si>
  <si>
    <t>32024R1689:36:4:10</t>
  </si>
  <si>
    <t>32024R1689:36:4:11</t>
  </si>
  <si>
    <t>32024R1689:36:4:12</t>
  </si>
  <si>
    <t>32024R1689:36:4:13</t>
  </si>
  <si>
    <t>de betrokken aangemelde instantie</t>
  </si>
  <si>
    <t>aangemelde instantie</t>
  </si>
  <si>
    <t>aangevulde realiteit</t>
  </si>
  <si>
    <t>32024R1689:36:4:14</t>
  </si>
  <si>
    <t>32024R1689:36:6:16</t>
  </si>
  <si>
    <t>de nodige stappen</t>
  </si>
  <si>
    <t>nodige stappen</t>
  </si>
  <si>
    <t>32024R1689:36:6:17</t>
  </si>
  <si>
    <t>de dossiers van de betrokken aangemelde instantie</t>
  </si>
  <si>
    <t>dossiers van de betrokken aangemelde instantie</t>
  </si>
  <si>
    <t>tot de EU toetredende landen</t>
  </si>
  <si>
    <t>Justitie en Binnenlandse Zaken</t>
  </si>
  <si>
    <t>32024R1689:36:6:18</t>
  </si>
  <si>
    <t>32024R1689:36:7:19</t>
  </si>
  <si>
    <t>het gevolg voor de door de aangemelde instantie afgegeven certificaten</t>
  </si>
  <si>
    <t>gevolg voor de door de aangemelde instantie afgegeven certificaten</t>
  </si>
  <si>
    <t>gevolg van de toetreding</t>
  </si>
  <si>
    <t>32024R1689:36:7:20</t>
  </si>
  <si>
    <t>een verslag over haar bevindingen</t>
  </si>
  <si>
    <t>verslag over haar bevindingen</t>
  </si>
  <si>
    <t>32024R1689:36:7:21</t>
  </si>
  <si>
    <t>dat de aangemelde instantie binnen een redelijke, door de autoriteit bepaalde termijn, onterecht afgegeven certificaten schorst of intrekt</t>
  </si>
  <si>
    <t>aangemelde instantie binnen een redelijke, door de autoriteit bepaalde termijn, onterecht afgegeven certificaten schorst of intrekt</t>
  </si>
  <si>
    <t>32024R1689:36:7:22</t>
  </si>
  <si>
    <t>onterecht afgegeven certificaten</t>
  </si>
  <si>
    <t>illegale uitvoer van afvalstoffen</t>
  </si>
  <si>
    <t>onwettige afstamming</t>
  </si>
  <si>
    <t>uitvoercertificaat</t>
  </si>
  <si>
    <t>32024R1689:36:7:23</t>
  </si>
  <si>
    <t>32024R1689:36:7:24</t>
  </si>
  <si>
    <t>de Commissie en de lidstaten</t>
  </si>
  <si>
    <t>Commissie | lidstaten</t>
  </si>
  <si>
    <t>lidstaat</t>
  </si>
  <si>
    <t>32024R1689:36:7:25</t>
  </si>
  <si>
    <t>alle relevante informatie over de certificaten waarvan zij de schorsing of intrekking heeft gelast</t>
  </si>
  <si>
    <t>relevante informatie over de certificaten waarvan zij de schorsing of intrekking heeft gelast</t>
  </si>
  <si>
    <t>32024R1689:36:7:26</t>
  </si>
  <si>
    <t>de gepaste maatregelen die nodig zijn om een mogelijk risico voor de gezondheid, veiligheid of grondrechten af te wenden</t>
  </si>
  <si>
    <t>gepaste maatregelen die nodig zijn om een mogelijk risico voor de gezondheid, veiligheid of grondrechten af te wenden</t>
  </si>
  <si>
    <t>32024R1689:36:8:27</t>
  </si>
  <si>
    <t>dat er met betrekking tot de certificaten waarop de schorsing of beperking van toepassing is, geen risico’s voor de gezondheid, veiligheid of grondrechten bestaan</t>
  </si>
  <si>
    <t>er met betrekking tot de certificaten waarop de schorsing of beperking van toepassing is, geen risico’s voor de gezondheid, veiligheid of grondrechten bestaan</t>
  </si>
  <si>
    <t>32024R1689:36:8:28</t>
  </si>
  <si>
    <t>in een termijn voor maatregelen om de schorsing of beperking te ondervangen</t>
  </si>
  <si>
    <t>termijn voor maatregelen om de schorsing of beperking te ondervangen</t>
  </si>
  <si>
    <t>termijn voor toepassing van de wet</t>
  </si>
  <si>
    <t>termijn voor omzetting</t>
  </si>
  <si>
    <t>32024R1689:36:8:29</t>
  </si>
  <si>
    <t>dat er geen certificaten in verband met de schorsing zullen worden afgegeven, gewijzigd, of opnieuw afgegeven gedurende de schorsing of beperking</t>
  </si>
  <si>
    <t>er geen certificaten in verband met de schorsing zullen worden afgegeven, gewijzigd, of opnieuw afgegeven gedurende de schorsing of beperking</t>
  </si>
  <si>
    <t>32024R1689:36:8:30</t>
  </si>
  <si>
    <t>of de aangemelde instantie het vermogen heeft om de bestaande, voor de periode van schorsing of beperking afgegeven certificaten te blijven monitoren en daarvoor verantwoordelijk te blijven</t>
  </si>
  <si>
    <t>of de aangemelde instantie het vermogen heeft om de bestaande, voor de periode van schorsing of beperking afgegeven certificaten te blijven monitoren en verantwoordelijk te blijven</t>
  </si>
  <si>
    <t>32024R1689:36:8:31</t>
  </si>
  <si>
    <t>dat in plaats van de aangemelde instantie een andere gekwalificeerde aangemelde instantie tijdelijk de certificaten tijdens de periode van schorsing of beperking zal monitoren en er de verantwoordelijkheid voor zal dragen</t>
  </si>
  <si>
    <t>in plaats van de aangemelde instantie een andere gekwalificeerde aangemelde instantie tijdelijk de certificaten tijdens de periode van schorsing of beperking zal monitoren en er de verantwoordelijkheid voor zal dragen</t>
  </si>
  <si>
    <t>32024R1689:36:8:32</t>
  </si>
  <si>
    <t>de certificaten</t>
  </si>
  <si>
    <t>32024R1689:37:1:1</t>
  </si>
  <si>
    <t>alle gevallen</t>
  </si>
  <si>
    <t>gevallen</t>
  </si>
  <si>
    <t>32024R1689:37:3:3</t>
  </si>
  <si>
    <t>alle gevoelige informatie die zij in de loop van haar onderzoeken op grond van dit artikel ontvangt</t>
  </si>
  <si>
    <t>gevoelige informatie die zij in de loop van haar onderzoeken ontvangt</t>
  </si>
  <si>
    <t>32024R1689:37:4:4</t>
  </si>
  <si>
    <t>32024R1689:37:4:5</t>
  </si>
  <si>
    <t>de nodige corrigerende maatregelen te nemen</t>
  </si>
  <si>
    <t>nodige corrigerende maatregelen te nemen</t>
  </si>
  <si>
    <t>32024R1689:37:4:6</t>
  </si>
  <si>
    <t>32024R1689:37:4:7</t>
  </si>
  <si>
    <t>de aanmelding</t>
  </si>
  <si>
    <t>aanmelding</t>
  </si>
  <si>
    <t>inschrijving</t>
  </si>
  <si>
    <t>32024R1689:37:4:8</t>
  </si>
  <si>
    <t>32024R1689:37:4:9</t>
  </si>
  <si>
    <t>32024R1689:37:4:10</t>
  </si>
  <si>
    <t>32024R1689:37:4:11</t>
  </si>
  <si>
    <t>32024R1689:38:1:1</t>
  </si>
  <si>
    <t>het instellen en naar behoren uitvoeren van passende coördinatie en samenwerking</t>
  </si>
  <si>
    <t>instellen en naar behoren uitvoeren van passende coördinatie en samenwerking</t>
  </si>
  <si>
    <t>Programma voor gezonde en resultaatgerichte regelgeving</t>
  </si>
  <si>
    <t>coördinatie van financieringen</t>
  </si>
  <si>
    <t>32024R1689:38:2:2</t>
  </si>
  <si>
    <t>de door haar aangemelde instanties rechtstreeks of via aangestelde vertegenwoordigers aan de werkzaamheden van een in lid 1 vermelde groep deelnemen</t>
  </si>
  <si>
    <t>door haar aangemelde instanties rechtstreeks of via aangestelde vertegenwoordigers aan de werkzaamheden van een groep deelnemen</t>
  </si>
  <si>
    <t>uitwisseling van kennis | beste praktijken</t>
  </si>
  <si>
    <t>uitwisseling van informatie</t>
  </si>
  <si>
    <t>uitwisseling van publikaties</t>
  </si>
  <si>
    <t>kennisoverdracht</t>
  </si>
  <si>
    <t>32024R1689:39:whole:1</t>
  </si>
  <si>
    <t>32024R1689:41:4:2</t>
  </si>
  <si>
    <t>de geharmoniseerde norm</t>
  </si>
  <si>
    <t>geharmoniseerde norm</t>
  </si>
  <si>
    <t>norm</t>
  </si>
  <si>
    <t>32024R1689:41:4:3</t>
  </si>
  <si>
    <t>de in lid 1 bedoelde uitvoeringshandelingen of delen daarvan die dezelfde in afdeling 2 van dit hoofdstuk vermelde eisen of, in voorkomend geval, dezelfde verplichtingen van hoofdstuk V, afdelingen 2 en 3, dekken</t>
  </si>
  <si>
    <t>uitvoeringshandelingen of delen die dezelfde vermelde eisen of, in voorkomend geval, dezelfde verplichtingen dekken</t>
  </si>
  <si>
    <t>32024R1689:41:5:4</t>
  </si>
  <si>
    <t>dat zij technische oplossingen hebben gekozen die voldoen aan de in afdeling 2 van dit hoofdstuk beschreven voorschriften of, in voorkomend geval, aan de verplichtingen van hoofdstuk V, afdelingen 2 en 3</t>
  </si>
  <si>
    <t>zij technische oplossingen hebben gekozen die voldoen aan de voorschriften of, in voorkomend geval, aan de verplichtingen</t>
  </si>
  <si>
    <t>32024R1689:41:6:5</t>
  </si>
  <si>
    <t>de uitvoeringshandeling tot vaststelling van de betrokken gemeenschappelijke specificatie</t>
  </si>
  <si>
    <t>uitvoeringshandeling tot vaststelling van de betrokken gemeenschappelijke specificatie</t>
  </si>
  <si>
    <t>gezamenlijke uitvoering</t>
  </si>
  <si>
    <t>32024R1689:41:6:6</t>
  </si>
  <si>
    <t>een gemeenschappelijke specificatie</t>
  </si>
  <si>
    <t>gemeenschappelijke specificatie</t>
  </si>
  <si>
    <t>32024R1689:41:6:7</t>
  </si>
  <si>
    <t>die informatie</t>
  </si>
  <si>
    <t>32024R1689:43:2:1</t>
  </si>
  <si>
    <t>de in bijlage VI bedoelde conformiteitsbeoordelingsprocedure op basis van interne controle</t>
  </si>
  <si>
    <t>conformiteitsbeoordelingsprocedure op basis van interne controle</t>
  </si>
  <si>
    <t>32024R1689:43:2:2</t>
  </si>
  <si>
    <t>32024R1689:43:3:3</t>
  </si>
  <si>
    <t>de conformiteit van de AI-systemen met een hoog risico met de in afdeling 2 beschreven voorschriften</t>
  </si>
  <si>
    <t>conformiteit van de AI-systemen met een hoog risico met de voorschriften</t>
  </si>
  <si>
    <t>32024R1689:43:3:4</t>
  </si>
  <si>
    <t>de relevante conformiteitsbeoordelingsprocedure</t>
  </si>
  <si>
    <t>relevante conformiteitsbeoordelingsprocedure</t>
  </si>
  <si>
    <t>raadplegingsprocedure</t>
  </si>
  <si>
    <t>32024R1689:43:3:5</t>
  </si>
  <si>
    <t>van die mogelijkheid</t>
  </si>
  <si>
    <t>mogelijkheid</t>
  </si>
  <si>
    <t>aanbod</t>
  </si>
  <si>
    <t>bestemming</t>
  </si>
  <si>
    <t>32024R1689:43:4:6</t>
  </si>
  <si>
    <t>een nieuwe conformiteitsbeoordelingsprocedure</t>
  </si>
  <si>
    <t>nieuwe conformiteitsbeoordelingsprocedure</t>
  </si>
  <si>
    <t>32024R1689:43:4:7</t>
  </si>
  <si>
    <t>32024R1689:43:5:8</t>
  </si>
  <si>
    <t>32024R1689:43:6:9</t>
  </si>
  <si>
    <t>zulke gedelegeerde handelingen</t>
  </si>
  <si>
    <t>32024R1689:43:6:10</t>
  </si>
  <si>
    <t>32024R1689:44:1:1</t>
  </si>
  <si>
    <t>32024R1689:44:2:2</t>
  </si>
  <si>
    <t>Certificaten</t>
  </si>
  <si>
    <t>32024R1689:44:2:4</t>
  </si>
  <si>
    <t>Aanvullingen op een certificaat</t>
  </si>
  <si>
    <t>aanvullende prestatie</t>
  </si>
  <si>
    <t>aanvullende voeding</t>
  </si>
  <si>
    <t>toevoeging van alcohol</t>
  </si>
  <si>
    <t>32024R1689:44:3:5</t>
  </si>
  <si>
    <t>het afgegeven certificaat</t>
  </si>
  <si>
    <t>32024R1689:44:3:7</t>
  </si>
  <si>
    <t>beperkingen</t>
  </si>
  <si>
    <t>beperking van de invoer</t>
  </si>
  <si>
    <t>beperking van de uitvoer</t>
  </si>
  <si>
    <t>32024R1689:44:3:8</t>
  </si>
  <si>
    <t>een beroepsprocedure</t>
  </si>
  <si>
    <t>beroepsprocedure</t>
  </si>
  <si>
    <t>beroepsprocedure (EU)</t>
  </si>
  <si>
    <t>32024R1689:45:1:1</t>
  </si>
  <si>
    <t>beoordelingscertificaten van technische documentatie van de Unie, aanvullingen op die certificaten en goedkeuringen voor systemen voor kwaliteitsbeheer afgegeven overeenkomstig de eisen van bijlage VII</t>
  </si>
  <si>
    <t>beoordelingscertificaten van technische documentatie van de Unie, aanvullingen op die certificaten en goedkeuringen voor systemen voor kwaliteitsbeheer afgegeven overeenkomstig de eisen</t>
  </si>
  <si>
    <t>32024R1689:45:1:2</t>
  </si>
  <si>
    <t>weigering, beperking, schorsing of intrekking van een beoordelingscertificaat technische documentatie van de Unie of een goedkeuring voor systemen voor kwaliteitsbeheer afgegeven overeenkomstig de eisen van bijlage VII</t>
  </si>
  <si>
    <t>weigering, beperking, schorsing of intrekking van een beoordelingscertificaat technische documentatie van de Unie of een goedkeuring voor systemen voor kwaliteitsbeheer afgegeven overeenkomstig de eisen</t>
  </si>
  <si>
    <t>32024R1689:45:1:3</t>
  </si>
  <si>
    <t>omstandigheden die van invloed zijn op het toepassingsgebied van of de voorwaarden voor de aanmelding</t>
  </si>
  <si>
    <t>32024R1689:45:1:4</t>
  </si>
  <si>
    <t>verzoeken om informatie over conformiteitsbeoordelingsactiviteiten die zij van markttoezichtautoriteiten ontvangen</t>
  </si>
  <si>
    <t>32024R1689:45:1:6</t>
  </si>
  <si>
    <t>32024R1689:45:2:7</t>
  </si>
  <si>
    <t>door haar geweigerde, opgeschorte of ingetrokken goedkeuringen voor kwaliteitsbeheersystemen</t>
  </si>
  <si>
    <t>32024R1689:45:2:8</t>
  </si>
  <si>
    <t>de door haar verleende goedkeuringen voor systemen voor kwaliteitsbeheer</t>
  </si>
  <si>
    <t>door haar verleende goedkeuringen voor systemen voor kwaliteitsbeheer</t>
  </si>
  <si>
    <t>32024R1689:45:2:9</t>
  </si>
  <si>
    <t>beoordelingscertificaten van technische documentatie van de Unie of aanvullingen daarop die zij heeft geweigerd, ingetrokken, opgeschort of anderszins beperkt</t>
  </si>
  <si>
    <t>beoordelingscertificaten van technische documentatie van de Unie of aanvullingen die zij heeft geweigerd, ingetrokken, opgeschort of anderszins beperkt</t>
  </si>
  <si>
    <t>32024R1689:45:2:10</t>
  </si>
  <si>
    <t>de certificaten en/of aanvullingen daarop die zij heeft uitgegeven</t>
  </si>
  <si>
    <t>certificaten of aanvullingen die zij heeft uitgegeven</t>
  </si>
  <si>
    <t>32024R1689:45:3:11</t>
  </si>
  <si>
    <t>relevante informatie over negatieve conformiteitsbeoordelingsresultaten</t>
  </si>
  <si>
    <t>32024R1689:45:3:12</t>
  </si>
  <si>
    <t>positieve conformiteitsbeoordelingsresultaten</t>
  </si>
  <si>
    <t>positieve arbeidsbeleving</t>
  </si>
  <si>
    <t>32024R1689:45:4:13</t>
  </si>
  <si>
    <t>32024R1689:46:2:1</t>
  </si>
  <si>
    <t>een specifiek AI-systeem met een hoog risico</t>
  </si>
  <si>
    <t>specifiek AI-systeem met een hoog risico</t>
  </si>
  <si>
    <t>32024R1689:46:2:2</t>
  </si>
  <si>
    <t>die toelating</t>
  </si>
  <si>
    <t>toelating</t>
  </si>
  <si>
    <t>botteling</t>
  </si>
  <si>
    <t>topontmoeting</t>
  </si>
  <si>
    <t>EG-toetreding</t>
  </si>
  <si>
    <t>32024R1689:46:2:3</t>
  </si>
  <si>
    <t>het gebruik van het AI-systeem met een hoog risico</t>
  </si>
  <si>
    <t>resultaten van dat gebruik | outputs</t>
  </si>
  <si>
    <t>gebruik van de hulp</t>
  </si>
  <si>
    <t>32024R1689:46:3:5</t>
  </si>
  <si>
    <t>De in lid 1 bedoelde toelating</t>
  </si>
  <si>
    <t>32024R1689:46:3:6</t>
  </si>
  <si>
    <t>de Commissie en de andere lidstaten</t>
  </si>
  <si>
    <t>32024R1689:46:3:7</t>
  </si>
  <si>
    <t>32024R1689:46:4:8</t>
  </si>
  <si>
    <t>32024R1689:46:5:9</t>
  </si>
  <si>
    <t>of de toelating gerechtvaardigd is</t>
  </si>
  <si>
    <t>toelating van vreemdelingen</t>
  </si>
  <si>
    <t>toelating tot het examen</t>
  </si>
  <si>
    <t>toelating op voet van gelijkheid</t>
  </si>
  <si>
    <t>32024R1689:46:5:11</t>
  </si>
  <si>
    <t>haar besluit</t>
  </si>
  <si>
    <t>32024R1689:46:5:12</t>
  </si>
  <si>
    <t>32024R1689:46:5:13</t>
  </si>
  <si>
    <t>32024R1689:46:6:14</t>
  </si>
  <si>
    <t>32024R1689:47:1:1</t>
  </si>
  <si>
    <t>een schriftelijke machineleesbare, fysieke of elektronisch ondertekende EU-conformiteitsverklaring</t>
  </si>
  <si>
    <t>schriftelijke machineleesbare, fysieke of elektronisch ondertekende EU-conformiteitsverklaring</t>
  </si>
  <si>
    <t>elektronische handtekening</t>
  </si>
  <si>
    <t>32024R1689:47:1:2</t>
  </si>
  <si>
    <t>deze verklaring</t>
  </si>
  <si>
    <t>verklaring</t>
  </si>
  <si>
    <t>uitklaring</t>
  </si>
  <si>
    <t>officiële verklaring</t>
  </si>
  <si>
    <t>uitspraak</t>
  </si>
  <si>
    <t>32024R1689:47:1:3</t>
  </si>
  <si>
    <t>een kopie van de EU-conformiteitsverklaring</t>
  </si>
  <si>
    <t>kopie van de EU-conformiteitsverklaring</t>
  </si>
  <si>
    <t>uitwerking van EU-wetgeving</t>
  </si>
  <si>
    <t>aanbeveling van de Europese Centrale Bank</t>
  </si>
  <si>
    <t>toegang tot EU-informatie</t>
  </si>
  <si>
    <t>32024R1689:47:1:4</t>
  </si>
  <si>
    <t>voor welk AI-systeem met een hoog risico ze is opgesteld</t>
  </si>
  <si>
    <t>welk AI-systeem met een hoog risico ze is opgesteld</t>
  </si>
  <si>
    <t>32024R1689:47:2:6</t>
  </si>
  <si>
    <t>dat het betreffende AI-systeem met een hoog risico aan de in afdeling 2 beschreven voorschriften voldoet</t>
  </si>
  <si>
    <t>AI-systeem met een hoog risico aan de voorschriften voldoet</t>
  </si>
  <si>
    <t>32024R1689:47:2:7</t>
  </si>
  <si>
    <t>32024R1689:47:3:8</t>
  </si>
  <si>
    <t>één EU-conformiteitsverklaring</t>
  </si>
  <si>
    <t>beperkende maatregel van de EU</t>
  </si>
  <si>
    <t>publicatie van de Europese Unie</t>
  </si>
  <si>
    <t>32024R1689:47:3:9</t>
  </si>
  <si>
    <t>alle informatie die vereist is voor de identificatie van de harmonisatiewetgeving van de Unie waarop de verklaring betrekking heeft</t>
  </si>
  <si>
    <t>informatie die vereist is voor de identificatie van de harmonisatiewetgeving van de Unie waarop de verklaring betrekking heeft</t>
  </si>
  <si>
    <t>32024R1689:47:4:10</t>
  </si>
  <si>
    <t>de verantwoordelijkheid</t>
  </si>
  <si>
    <t>politieke verantwoordelijkheid</t>
  </si>
  <si>
    <t>32024R1689:47:4:11</t>
  </si>
  <si>
    <t>de EU-conformiteitsverklaring</t>
  </si>
  <si>
    <t>32024R1689:47:5:12</t>
  </si>
  <si>
    <t>32024R1689:48:2:1</t>
  </si>
  <si>
    <t>alleen een digitale CE-markering</t>
  </si>
  <si>
    <t>digitale CE-markering</t>
  </si>
  <si>
    <t>digitale geletterdheid</t>
  </si>
  <si>
    <t>digitale handtekening</t>
  </si>
  <si>
    <t>32024R1689:48:3:2</t>
  </si>
  <si>
    <t>De CE-markering</t>
  </si>
  <si>
    <t>32024R1689:48:3:3</t>
  </si>
  <si>
    <t>de markering</t>
  </si>
  <si>
    <t>markering</t>
  </si>
  <si>
    <t>legering</t>
  </si>
  <si>
    <t>32024R1689:48:5:4</t>
  </si>
  <si>
    <t>dat de AI-systemen met een hoog risico tevens aan de voorschriften van die andere wetgeving voldoen</t>
  </si>
  <si>
    <t>AI-systemen met een hoog risico tevens aan de voorschriften van die andere wetgeving voldoen</t>
  </si>
  <si>
    <t>32024R1689:49:1:1</t>
  </si>
  <si>
    <t>zichzelf en zijn systeem</t>
  </si>
  <si>
    <t>verrekenings- en vereveningssysteem</t>
  </si>
  <si>
    <t>plannings- en begrotings systeem</t>
  </si>
  <si>
    <t>autonoom invoerstelsel</t>
  </si>
  <si>
    <t>32024R1689:49:2:2</t>
  </si>
  <si>
    <t>zichzelf en dat systeem</t>
  </si>
  <si>
    <t>ontwerp en model</t>
  </si>
  <si>
    <t>32024R1689:49:3:3</t>
  </si>
  <si>
    <t>zichzelf</t>
  </si>
  <si>
    <t>32024R1689:49:3:4</t>
  </si>
  <si>
    <t>32024R1689:49:3:5</t>
  </si>
  <si>
    <t>het gebruik ervan</t>
  </si>
  <si>
    <t>gebruik</t>
  </si>
  <si>
    <t>gebruik van het water</t>
  </si>
  <si>
    <t>32024R1689:49:4:6</t>
  </si>
  <si>
    <t>de in de leden 1, 2 en 3 van dit artikel bedoelde registratie</t>
  </si>
  <si>
    <t>registratie</t>
  </si>
  <si>
    <t>registratierecht</t>
  </si>
  <si>
    <t>32024R1689:49:4:7</t>
  </si>
  <si>
    <t>32024R1689:49:4:8</t>
  </si>
  <si>
    <t>de respectieve in de eerste alinea van dit lid vermelde beperkt toegankelijke gedeelten van de EU-databank</t>
  </si>
  <si>
    <t>respectieve vermelde beperkt toegankelijke gedeelten van de EU-databank</t>
  </si>
  <si>
    <t>32024R1689:49:5:9</t>
  </si>
  <si>
    <t>AI-systemen met een hoog risico als bedoeld in punt 2 van bijlage III</t>
  </si>
  <si>
    <t>32024R1689:50:2:2</t>
  </si>
  <si>
    <t>de outputs van het AI-systeem worden gemarkeerd in een machineleesbaar formaat en detecteerbaar zijn als kunstmatig gegenereerd of gemanipuleerd</t>
  </si>
  <si>
    <t>outputs van het AI-systeem worden gemarkeerd in een machineleesbaar formaat en detecteerbaar zijn als kunstmatig gegenereerd of gemanipuleerd</t>
  </si>
  <si>
    <t>32024R1689:50:2:3</t>
  </si>
  <si>
    <t>32024R1689:50:3:4</t>
  </si>
  <si>
    <t>de daaraan blootgestelde natuurlijke personen</t>
  </si>
  <si>
    <t>daaraan blootgestelde natuurlijke personen</t>
  </si>
  <si>
    <t>belasting van natuurlijke personen</t>
  </si>
  <si>
    <t>met uitsterving bedreigde soort</t>
  </si>
  <si>
    <t>32024R1689:50:3:6</t>
  </si>
  <si>
    <t>32024R1689:50:4:7</t>
  </si>
  <si>
    <t>dat de content kunstmatig is gegenereerd of gemanipuleerd</t>
  </si>
  <si>
    <t>content kunstmatig is gegenereerd of gemanipuleerd</t>
  </si>
  <si>
    <t>32024R1689:50:4:8</t>
  </si>
  <si>
    <t>deze verplichting</t>
  </si>
  <si>
    <t>32024R1689:50:4:9</t>
  </si>
  <si>
    <t>de transparantieverplichtingen van dit lid</t>
  </si>
  <si>
    <t>transparantieverplichtingen</t>
  </si>
  <si>
    <t>32024R1689:50:4:10</t>
  </si>
  <si>
    <t>dat de tekst kunstmatig is gegenereerd of bewerkt</t>
  </si>
  <si>
    <t>tekst kunstmatig is gegenereerd of bewerkt</t>
  </si>
  <si>
    <t>32024R1689:50:5:11</t>
  </si>
  <si>
    <t>De in de leden 1 tot en met 4 bedoelde informatie</t>
  </si>
  <si>
    <t>32024R1689:50:5:12</t>
  </si>
  <si>
    <t>aan de toepasselijke toegankelijkheidseisen</t>
  </si>
  <si>
    <t>toepasselijke toegankelijkheidseisen</t>
  </si>
  <si>
    <t>toegankelijkheid</t>
  </si>
  <si>
    <t>rechtstreekse toepasselijkheid</t>
  </si>
  <si>
    <t>32024R1689:50:7:13</t>
  </si>
  <si>
    <t>uitvoeringshandelingen</t>
  </si>
  <si>
    <t>uitvoeringsverordening</t>
  </si>
  <si>
    <t>uitvoeringsbesluit</t>
  </si>
  <si>
    <t>uitvoering van de begroting</t>
  </si>
  <si>
    <t>32024R1689:50:7:14</t>
  </si>
  <si>
    <t>een uitvoeringshandeling</t>
  </si>
  <si>
    <t>uitvoeringshandeling</t>
  </si>
  <si>
    <t>toetredingsonderhandeling</t>
  </si>
  <si>
    <t>32024R1689:51:3:1</t>
  </si>
  <si>
    <t>32024R1689:52:1:1</t>
  </si>
  <si>
    <t>32024R1689:52:1:2</t>
  </si>
  <si>
    <t>dit model</t>
  </si>
  <si>
    <t>model</t>
  </si>
  <si>
    <t>machine</t>
  </si>
  <si>
    <t>industriemodel</t>
  </si>
  <si>
    <t>32024R1689:52:1:3</t>
  </si>
  <si>
    <t>de informatie die nodig is om aan te tonen dat aan de desbetreffende eis is voldaan</t>
  </si>
  <si>
    <t>informatie die nodig is om aan te tonen dat aan de desbetreffende eis is voldaan</t>
  </si>
  <si>
    <t>32024R1689:52:2:4</t>
  </si>
  <si>
    <t>voldoende onderbouwde argumenten</t>
  </si>
  <si>
    <t>met redenen omkleed advies</t>
  </si>
  <si>
    <t>32024R1689:52:3:5</t>
  </si>
  <si>
    <t>deze argumenten</t>
  </si>
  <si>
    <t>argumenten</t>
  </si>
  <si>
    <t>besprekingen</t>
  </si>
  <si>
    <t>32024R1689:52:4:6</t>
  </si>
  <si>
    <t>een AI-model voor algemene doeleinden</t>
  </si>
  <si>
    <t>AI-model voor algemene doeleinden</t>
  </si>
  <si>
    <t>32024R1689:52:4:7</t>
  </si>
  <si>
    <t>32024R1689:52:6:8</t>
  </si>
  <si>
    <t>een lijst met AI-modellen voor algemene doeleinden met een systeemrisico wordt gepubliceerd</t>
  </si>
  <si>
    <t>lijst met AI-modellen voor algemene doeleinden met een systeemrisico wordt gepubliceerd</t>
  </si>
  <si>
    <t>32024R1689:52:6:9</t>
  </si>
  <si>
    <t>die lijst</t>
  </si>
  <si>
    <t>prijslijst</t>
  </si>
  <si>
    <t>stemming op lijsten</t>
  </si>
  <si>
    <t>kiezerslijst</t>
  </si>
  <si>
    <t>32024R1689:53:1:1</t>
  </si>
  <si>
    <t>de technische documentatie van het model</t>
  </si>
  <si>
    <t>technische documentatie van het model</t>
  </si>
  <si>
    <t>32024R1689:53:1:2</t>
  </si>
  <si>
    <t>32024R1689:53:1:3</t>
  </si>
  <si>
    <t>informatie | documentatie</t>
  </si>
  <si>
    <t>32024R1689:53:1:4</t>
  </si>
  <si>
    <t>een voldoende gedetailleerde samenvatting</t>
  </si>
  <si>
    <t>voldoende gedetailleerde samenvatting</t>
  </si>
  <si>
    <t>32024R1689:53:1:5</t>
  </si>
  <si>
    <t>de in bijlage XII uiteengezette elementen</t>
  </si>
  <si>
    <t>32024R1689:53:1:6</t>
  </si>
  <si>
    <t>beleid</t>
  </si>
  <si>
    <t>beleidsvorming</t>
  </si>
  <si>
    <t>beleidsanalyse</t>
  </si>
  <si>
    <t>overheidsbeleid</t>
  </si>
  <si>
    <t>32024R1689:53:1:7</t>
  </si>
  <si>
    <t>32024R1689:53:2:8</t>
  </si>
  <si>
    <t>De in lid 1, punten a) en b) genoemde verplichtingen</t>
  </si>
  <si>
    <t>32024R1689:53:2:9</t>
  </si>
  <si>
    <t>op AI-modellen voor algemene doeleinden met systeemrisico's</t>
  </si>
  <si>
    <t>AI-modellen voor algemene doeleinden met systeemrisico's</t>
  </si>
  <si>
    <t>32024R1689:53:5:11</t>
  </si>
  <si>
    <t>32024R1689:53:6:12</t>
  </si>
  <si>
    <t>32024R1689:53:7:13</t>
  </si>
  <si>
    <t>Informatie of documentatie</t>
  </si>
  <si>
    <t>Informatie | documentatie</t>
  </si>
  <si>
    <t>32024R1689:54:1:1</t>
  </si>
  <si>
    <t>32024R1689:54:2:2</t>
  </si>
  <si>
    <t>32024R1689:54:5:3</t>
  </si>
  <si>
    <t>het AI-bureau</t>
  </si>
  <si>
    <t>AI-bureau</t>
  </si>
  <si>
    <t>informatiebureau</t>
  </si>
  <si>
    <t>Publicatiebureau</t>
  </si>
  <si>
    <t>Internationaal Arbeidsbureau</t>
  </si>
  <si>
    <t>32024R1689:54:5:4</t>
  </si>
  <si>
    <t>de redenen daarvoor</t>
  </si>
  <si>
    <t>redenen</t>
  </si>
  <si>
    <t>linnen</t>
  </si>
  <si>
    <t>wortelen</t>
  </si>
  <si>
    <t>denatureren</t>
  </si>
  <si>
    <t>32024R1689:54:5:5</t>
  </si>
  <si>
    <t>32024R1689:54:6:6</t>
  </si>
  <si>
    <t>De in dit artikel genoemde verplichting</t>
  </si>
  <si>
    <t>32024R1689:55:2:1</t>
  </si>
  <si>
    <t>zich</t>
  </si>
  <si>
    <t>32024R1689:55:2:2</t>
  </si>
  <si>
    <t>een vermoeden van overeenstemming</t>
  </si>
  <si>
    <t>vermoeden van overeenstemming</t>
  </si>
  <si>
    <t>gebrek aan overeenstemming</t>
  </si>
  <si>
    <t>vermoeden van onschuld</t>
  </si>
  <si>
    <t>overeenstemmingsprocedure</t>
  </si>
  <si>
    <t>32024R1689:55:2:3</t>
  </si>
  <si>
    <t>alternatieve passende wijzen van naleving</t>
  </si>
  <si>
    <t>alternatieve geschillenbeslechting</t>
  </si>
  <si>
    <t>32024R1689:55:2:4</t>
  </si>
  <si>
    <t>32024R1689:55:3:5</t>
  </si>
  <si>
    <t>32024R1689:56:1:1</t>
  </si>
  <si>
    <t>32024R1689:56:3:2</t>
  </si>
  <si>
    <t>alle aanbieders van AI-modellen voor algemene doeleinden en relevante nationale bevoegde autoriteiten</t>
  </si>
  <si>
    <t>aanbieders van AI-modellen voor algemene doeleinden en relevante nationale bevoegde autoriteiten</t>
  </si>
  <si>
    <t>32024R1689:56:3:3</t>
  </si>
  <si>
    <t>het proces</t>
  </si>
  <si>
    <t>proces</t>
  </si>
  <si>
    <t>proceskosten</t>
  </si>
  <si>
    <t>procestermijn</t>
  </si>
  <si>
    <t>procescontrole</t>
  </si>
  <si>
    <t>32024R1689:56:5:5</t>
  </si>
  <si>
    <t>de verschillen in omvang en capaciteit tussen de verschillende deelnemers</t>
  </si>
  <si>
    <t>verschillen in omvang en capaciteit tussen de verschillende deelnemers</t>
  </si>
  <si>
    <t>32024R1689:56:5:6</t>
  </si>
  <si>
    <t>32024R1689:56:6:8</t>
  </si>
  <si>
    <t>of de praktijkcodes betrekking hebben op de verplichtingen van de artikelen 53 en 55</t>
  </si>
  <si>
    <t>of de praktijkcodes betrekking hebben op de verplichtingen</t>
  </si>
  <si>
    <t>32024R1689:56:6:9</t>
  </si>
  <si>
    <t>of de doelstellingen daarvan worden verwezenlijkt</t>
  </si>
  <si>
    <t>of de doelstellingen worden verwezenlijkt</t>
  </si>
  <si>
    <t>32024R1689:56:6:10</t>
  </si>
  <si>
    <t>hun beoordeling of de praktijkcodes toereikend zijn</t>
  </si>
  <si>
    <t>beoordeling of de praktijkcodes toereikend zijn</t>
  </si>
  <si>
    <t>32024R1689:56:6:11</t>
  </si>
  <si>
    <t>een praktijkcode</t>
  </si>
  <si>
    <t>praktijkcode</t>
  </si>
  <si>
    <t>gedragscode</t>
  </si>
  <si>
    <t>communicatie in de praktijk</t>
  </si>
  <si>
    <t>32024R1689:56:6:12</t>
  </si>
  <si>
    <t>32024R1689:56:6:13</t>
  </si>
  <si>
    <t>32024R1689:56:7:14</t>
  </si>
  <si>
    <t>alle aanbieders van AI-modellen voor algemene doeleinden</t>
  </si>
  <si>
    <t>aanbieders van AI-modellen voor algemene doeleinden</t>
  </si>
  <si>
    <t>32024R1689:56:7:15</t>
  </si>
  <si>
    <t>32024R1689:56:7:16</t>
  </si>
  <si>
    <t>de verplichtingen van artikel 53</t>
  </si>
  <si>
    <t>evaluatie van de praktijkcodes | aanpassing</t>
  </si>
  <si>
    <t>evaluatiemethode</t>
  </si>
  <si>
    <t>32024R1689:56:8:18</t>
  </si>
  <si>
    <t>32024R1689:56:8:19</t>
  </si>
  <si>
    <t>bij de beoordeling van de beschikbare normen</t>
  </si>
  <si>
    <t>beoordeling van de beschikbare normen</t>
  </si>
  <si>
    <t>evaluatie van de hulpbronnen</t>
  </si>
  <si>
    <t>32024R1689:56:9:20</t>
  </si>
  <si>
    <t>32024R1689:56:9:21</t>
  </si>
  <si>
    <t>gemeenschappelijke regels</t>
  </si>
  <si>
    <t>gemeenschappelijk tariefbeleid</t>
  </si>
  <si>
    <t>gemeenschappelijk prijsbeleid</t>
  </si>
  <si>
    <t>32024R1689:56:9:22</t>
  </si>
  <si>
    <t>technische ondersteuning | advies | instrumenten</t>
  </si>
  <si>
    <t>32024R1689:57:1:2</t>
  </si>
  <si>
    <t>hun bevoegde autoriteiten ten minste één AI-testomgeving voor regelgeving op nationaal niveau opzetten</t>
  </si>
  <si>
    <t>bevoegde autoriteiten ten minste één AI-testomgeving voor regelgeving op nationaal niveau opzetten</t>
  </si>
  <si>
    <t>32024R1689:57:1:4</t>
  </si>
  <si>
    <t>de verplichting uit hoofde van de eerste alinea</t>
  </si>
  <si>
    <t>32024R1689:57:2:5</t>
  </si>
  <si>
    <t>aanvullende AI-testomgevingen voor regelgeving</t>
  </si>
  <si>
    <t>32024R1689:57:3:6</t>
  </si>
  <si>
    <t>een AI-testomgeving voor regelgeving</t>
  </si>
  <si>
    <t>AI-testomgeving voor regelgeving</t>
  </si>
  <si>
    <t>rollen | taken van de nationale bevoegde autoriteiten</t>
  </si>
  <si>
    <t>grondbewerking</t>
  </si>
  <si>
    <t>begeleiding | toezicht | ondersteuning</t>
  </si>
  <si>
    <t>32024R1689:57:7:9</t>
  </si>
  <si>
    <t>een schriftelijk bewijs van de met succes in de testomgeving uitgevoerde activiteiten</t>
  </si>
  <si>
    <t>schriftelijk bewijs van de met succes in de testomgeving uitgevoerde activiteiten</t>
  </si>
  <si>
    <t>bewijs</t>
  </si>
  <si>
    <t>32024R1689:57:7:10</t>
  </si>
  <si>
    <t>de eindverslagen en de schriftelijke bewijzen die door de nationale bevoegde autoriteit worden verstrekt</t>
  </si>
  <si>
    <t>eindverslagen en de schriftelijke bewijzen die door de nationale bevoegde autoriteit worden verstrekt</t>
  </si>
  <si>
    <t>32024R1689:57:7:11</t>
  </si>
  <si>
    <t>aanbieders en potentiële aanbieders die deelnemen aan de AI-testomgeving voor regelgeving</t>
  </si>
  <si>
    <t>32024R1689:57:7:12</t>
  </si>
  <si>
    <t>een eindverslag waarin de in de testomgeving uitgevoerde activiteiten en de daarmee verband houdende resultaten en leerresultaten worden beschreven</t>
  </si>
  <si>
    <t>eindverslag waarin de in de testomgeving uitgevoerde activiteiten en de daarmee verband houdende resultaten en leerresultaten worden beschreven</t>
  </si>
  <si>
    <t>32024R1689:57:7:13</t>
  </si>
  <si>
    <t>dergelijke documentatie</t>
  </si>
  <si>
    <t>32024R1689:57:8:15</t>
  </si>
  <si>
    <t>32024R1689:57:8:16</t>
  </si>
  <si>
    <t>32024R1689:57:10:17</t>
  </si>
  <si>
    <t>Significante risico’s voor de gezondheid en veiligheid | grondrechten</t>
  </si>
  <si>
    <t>grondrechten</t>
  </si>
  <si>
    <t>grondeigendom</t>
  </si>
  <si>
    <t>32024R1689:57:11:19</t>
  </si>
  <si>
    <t>het testproces of de deelname aan de testomgeving</t>
  </si>
  <si>
    <t>testproces | deelname aan de testomgeving</t>
  </si>
  <si>
    <t>deelname aan de Gemeenschap</t>
  </si>
  <si>
    <t>deelneming aan de verkiezing</t>
  </si>
  <si>
    <t>32024R1689:57:11:20</t>
  </si>
  <si>
    <t>hun toezichtsbevoegdheden</t>
  </si>
  <si>
    <t>toezichtsbevoegdheden</t>
  </si>
  <si>
    <t>begrotingsbevoegdheid</t>
  </si>
  <si>
    <t>32024R1689:57:11:21</t>
  </si>
  <si>
    <t>hun discretionaire bevoegdheden</t>
  </si>
  <si>
    <t>discretionaire bevoegdheden</t>
  </si>
  <si>
    <t>32024R1689:57:11:22</t>
  </si>
  <si>
    <t>32024R1689:57:11:23</t>
  </si>
  <si>
    <t>de toezichthoudende of corrigerende bevoegdheden van de bevoegde autoriteiten die toezicht houden binnen de testomgevingen</t>
  </si>
  <si>
    <t>toezichthoudende of corrigerende bevoegdheden van de bevoegde autoriteiten die toezicht houden binnen de testomgevingen</t>
  </si>
  <si>
    <t>32024R1689:57:12:26</t>
  </si>
  <si>
    <t>administratieve geldboetes</t>
  </si>
  <si>
    <t>administratieve boete</t>
  </si>
  <si>
    <t>administratieve kosten</t>
  </si>
  <si>
    <t>32024R1689:57:14:27</t>
  </si>
  <si>
    <t>hun activiteiten</t>
  </si>
  <si>
    <t>32024R1689:57:14:28</t>
  </si>
  <si>
    <t>32024R1689:57:16:29</t>
  </si>
  <si>
    <t>32024R1689:57:16:30</t>
  </si>
  <si>
    <t>een afsluitend verslag</t>
  </si>
  <si>
    <t>afsluitend verslag</t>
  </si>
  <si>
    <t>32024R1689:57:16:31</t>
  </si>
  <si>
    <t>die jaarverslagen of de samenvattingen daarvan</t>
  </si>
  <si>
    <t>jaarverslagen | samenvattingen</t>
  </si>
  <si>
    <t>32024R1689:57:16:32</t>
  </si>
  <si>
    <t>de jaarverslagen</t>
  </si>
  <si>
    <t>32024R1689:58:1:1</t>
  </si>
  <si>
    <t>32024R1689:58:1:3</t>
  </si>
  <si>
    <t>32024R1689:58:3:4</t>
  </si>
  <si>
    <t>diensten die aan het inzetten voorafgaan, zoals begeleiding bij de uitvoering van deze verordening, op andere diensten die waarde toevoegen, zoals hulp bij normalisatiedocumenten en certificering, test- en experimenteervoorzieningen, Europese digitale-innovatiehubs en kenniscentra</t>
  </si>
  <si>
    <t>diensten die aan het inzetten voorafgaan, zoals begeleiding bij de uitvoering op andere diensten die waarde toevoegen, zoals hulp bij normalisatiedocumenten en certificering, test- en experimenteervoorzieningen, Europese digitale-innovatiehubs en kenniscentra</t>
  </si>
  <si>
    <t>diensten</t>
  </si>
  <si>
    <t>32024R1689:58:4:5</t>
  </si>
  <si>
    <t>de voorwaarden voor die tests</t>
  </si>
  <si>
    <t>voorwaarden voor die tests</t>
  </si>
  <si>
    <t>toelatingsvoorwaarde voor examen</t>
  </si>
  <si>
    <t>voorwaarde van hulpverlening</t>
  </si>
  <si>
    <t>32024R1689:58:4:6</t>
  </si>
  <si>
    <t>32024R1689:59:1:1</t>
  </si>
  <si>
    <t>rechtmatig voor andere doeleinden verzamelde persoonsgegevens</t>
  </si>
  <si>
    <t>32024R1689:59:1:2</t>
  </si>
  <si>
    <t>AI-systemen</t>
  </si>
  <si>
    <t>computersystemen</t>
  </si>
  <si>
    <t>RFID-systemen</t>
  </si>
  <si>
    <t>32024R1689:59:1:3</t>
  </si>
  <si>
    <t>de verwerkte data</t>
  </si>
  <si>
    <t>verwerkte data</t>
  </si>
  <si>
    <t>invoer van gegevens</t>
  </si>
  <si>
    <t>opslag van gegevens</t>
  </si>
  <si>
    <t>gegevensverwerking</t>
  </si>
  <si>
    <t>32024R1689:59:1:4</t>
  </si>
  <si>
    <t>doeltreffende monitoringmechanismen</t>
  </si>
  <si>
    <t>doeltreffend rechtsmiddel</t>
  </si>
  <si>
    <t>doelmatigheidscontrole</t>
  </si>
  <si>
    <t>monitoringverslag</t>
  </si>
  <si>
    <t>32024R1689:59:1:5</t>
  </si>
  <si>
    <t>in een functioneel gescheiden, geïsoleerde en beschermde omgeving voor dataverwerking</t>
  </si>
  <si>
    <t>functioneel gescheiden, geïsoleerde en beschermde omgeving voor dataverwerking</t>
  </si>
  <si>
    <t>beschermde arbeidsplaats</t>
  </si>
  <si>
    <t>32024R1689:59:1:6</t>
  </si>
  <si>
    <t>de oorspronkelijk verzamelde gegevens</t>
  </si>
  <si>
    <t>oorspronkelijk verzamelde gegevens</t>
  </si>
  <si>
    <t>verzameling van gegevens</t>
  </si>
  <si>
    <t>verzamelen van gegevens</t>
  </si>
  <si>
    <t>32024R1689:59:1:7</t>
  </si>
  <si>
    <t>persoonsgegevens die in de testomgeving worden aangemaakt</t>
  </si>
  <si>
    <t>32024R1689:59:1:8</t>
  </si>
  <si>
    <t>tot maatregelen of besluiten</t>
  </si>
  <si>
    <t>maatregelen of besluiten</t>
  </si>
  <si>
    <t>32024R1689:59:1:9</t>
  </si>
  <si>
    <t>in het kader van de testomgeving verwerkte persoonsgegevens</t>
  </si>
  <si>
    <t>kader van de testomgeving verwerkte persoonsgegevens</t>
  </si>
  <si>
    <t>32024R1689:59:1:10</t>
  </si>
  <si>
    <t>de logbestanden van de verwerking van persoonsgegevens in het kader van de testomgeving</t>
  </si>
  <si>
    <t>logbestanden van de verwerking van persoonsgegevens in het kader van de testomgeving</t>
  </si>
  <si>
    <t>volledige en gedetailleerde beschrijving van het proces, testen van het AI-systeem | onderbouwing van het trainen | valideren</t>
  </si>
  <si>
    <t>kalibreren</t>
  </si>
  <si>
    <t>onderontwikkeling</t>
  </si>
  <si>
    <t>32024R1689:59:2:13</t>
  </si>
  <si>
    <t>de verwerking van persoonsgegevens in AI-testomgevingen voor regelgeving</t>
  </si>
  <si>
    <t>verwerking van persoonsgegevens in AI-testomgevingen voor regelgeving</t>
  </si>
  <si>
    <t>32024R1689:59:2:14</t>
  </si>
  <si>
    <t>32024R1689:60:2:1</t>
  </si>
  <si>
    <t>tests</t>
  </si>
  <si>
    <t>proef</t>
  </si>
  <si>
    <t>32024R1689:60:4:2</t>
  </si>
  <si>
    <t>opschorting van het testen onder reële omstandigheden | beëindiging | van de eindresultaten</t>
  </si>
  <si>
    <t>bedrijfsbeëindiging</t>
  </si>
  <si>
    <t>32024R1689:60:9:4</t>
  </si>
  <si>
    <t>32024R1689:61:1:1</t>
  </si>
  <si>
    <t>vrijwillig gegeven geïnformeerde toestemming</t>
  </si>
  <si>
    <t>32024R1689:61:2:2</t>
  </si>
  <si>
    <t>De geïnformeerde toestemming</t>
  </si>
  <si>
    <t>geïnformeerde toestemming</t>
  </si>
  <si>
    <t>32024R1689:61:2:3</t>
  </si>
  <si>
    <t>32024R1689:61:2:4</t>
  </si>
  <si>
    <t>een kopie</t>
  </si>
  <si>
    <t>kopie</t>
  </si>
  <si>
    <t>fotokopie</t>
  </si>
  <si>
    <t>microkopie</t>
  </si>
  <si>
    <t>koe</t>
  </si>
  <si>
    <t>32024R1689:62:2:1</t>
  </si>
  <si>
    <t>De specifieke belangen en behoeften van aanbieders die kmo’s zijn, met inbegrip van start-ups</t>
  </si>
  <si>
    <t>specifieke belangen en behoeften van aanbieders die kmo’s zijn, met inbegrip van start-ups</t>
  </si>
  <si>
    <t>32024R1689:62:2:2</t>
  </si>
  <si>
    <t>die vergoedingen</t>
  </si>
  <si>
    <t>vergoedingen</t>
  </si>
  <si>
    <t>vergoedingen en onkosten</t>
  </si>
  <si>
    <t>vergoeding naar prestatie</t>
  </si>
  <si>
    <t>32024R1689:62:3:3</t>
  </si>
  <si>
    <t>de volgende acties</t>
  </si>
  <si>
    <t>acties</t>
  </si>
  <si>
    <t>actieprogramma</t>
  </si>
  <si>
    <t>humanitaire actie</t>
  </si>
  <si>
    <t>representatieve actie</t>
  </si>
  <si>
    <t>32024R1689:62:3:4</t>
  </si>
  <si>
    <t>gestandaardiseerde sjablonen</t>
  </si>
  <si>
    <t>32024R1689:62:3:5</t>
  </si>
  <si>
    <t>een centraal informatieplatform</t>
  </si>
  <si>
    <t>centraal informatieplatform</t>
  </si>
  <si>
    <t>gecentraliseerde informatie</t>
  </si>
  <si>
    <t>centrale gegevensbank</t>
  </si>
  <si>
    <t>centrale overheid</t>
  </si>
  <si>
    <t>32024R1689:62:3:7</t>
  </si>
  <si>
    <t>passende voorlichtingscampagnes</t>
  </si>
  <si>
    <t>bewustmaking van de burgers</t>
  </si>
  <si>
    <t>32024R1689:62:3:8</t>
  </si>
  <si>
    <t>de convergentie van beste praktijken</t>
  </si>
  <si>
    <t>convergentie van beste praktijken</t>
  </si>
  <si>
    <t>convergentie van economische prestaties</t>
  </si>
  <si>
    <t>vastgelegde eisen | verplichtingen</t>
  </si>
  <si>
    <t>32024R1689:64:1:1</t>
  </si>
  <si>
    <t>deskundigheid en capaciteiten</t>
  </si>
  <si>
    <t>deskundigheid | capaciteiten</t>
  </si>
  <si>
    <t>capaciteitsopbouw</t>
  </si>
  <si>
    <t>vervoerscapaciteit</t>
  </si>
  <si>
    <t>32024R1689:64:2:2</t>
  </si>
  <si>
    <t>de aan het AI-bureau toevertrouwde taken</t>
  </si>
  <si>
    <t>aan het AI-bureau toevertrouwde taken</t>
  </si>
  <si>
    <t>32024R1689:65:3:1</t>
  </si>
  <si>
    <t>Elke vertegenwoordiger</t>
  </si>
  <si>
    <t>vertegenwoordiger</t>
  </si>
  <si>
    <t>handelsvertegenwoordiger</t>
  </si>
  <si>
    <t>32024R1689:65:5:2</t>
  </si>
  <si>
    <t>het reglement van orde van de AI-board</t>
  </si>
  <si>
    <t>reglement van orde van de AI-board</t>
  </si>
  <si>
    <t>32024R1689:65:5:3</t>
  </si>
  <si>
    <t>32024R1689:65:6:4</t>
  </si>
  <si>
    <t>twee permanente subgroepen</t>
  </si>
  <si>
    <t>Comité van permanente vertegenwoordigers</t>
  </si>
  <si>
    <t>permanente vorming</t>
  </si>
  <si>
    <t>permanente commissie</t>
  </si>
  <si>
    <t>32024R1689:65:6:5</t>
  </si>
  <si>
    <t>als de administratieve-samenwerkingsgroep (ADCO) voor deze verordening in de zin van artikel 30 van Verordening (EU) 2019/1020</t>
  </si>
  <si>
    <t>administratieve-samenwerkingsgroep (ADCO) voor deze verordening</t>
  </si>
  <si>
    <t>uitvoeringsverordening van de Raad</t>
  </si>
  <si>
    <t>gedelegeerde verordening van de Commissie</t>
  </si>
  <si>
    <t>functiegroep AD</t>
  </si>
  <si>
    <t>32024R1689:65:6:6</t>
  </si>
  <si>
    <t>andere permanente of tijdelijke subgroepen</t>
  </si>
  <si>
    <t>permanente of tijdelijke subgroepen</t>
  </si>
  <si>
    <t>tijdelijk personeel</t>
  </si>
  <si>
    <t>32024R1689:65:6:7</t>
  </si>
  <si>
    <t>32024R1689:65:8:8</t>
  </si>
  <si>
    <t>de vergaderingen</t>
  </si>
  <si>
    <t>vergaderingen</t>
  </si>
  <si>
    <t>recht van vergadering</t>
  </si>
  <si>
    <t>parlementaire vergadering</t>
  </si>
  <si>
    <t>verslag van de vergadering</t>
  </si>
  <si>
    <t>32024R1689:65:8:9</t>
  </si>
  <si>
    <t>het secretariaat van de AI-board</t>
  </si>
  <si>
    <t>secretariaat van de AI-board</t>
  </si>
  <si>
    <t>secretariaat van de instelling</t>
  </si>
  <si>
    <t>secretariaat van de VN</t>
  </si>
  <si>
    <t>secretariaatspersoneel</t>
  </si>
  <si>
    <t>32024R1689:65:8:10</t>
  </si>
  <si>
    <t>de agenda</t>
  </si>
  <si>
    <t>agenda</t>
  </si>
  <si>
    <t>32024R1689:67:3:1</t>
  </si>
  <si>
    <t>de leden van het adviesforum</t>
  </si>
  <si>
    <t>leden van het adviesforum</t>
  </si>
  <si>
    <t>advies van de Raad</t>
  </si>
  <si>
    <t>advies van de Commissie</t>
  </si>
  <si>
    <t>32024R1689:67:4:2</t>
  </si>
  <si>
    <t>twee jaar</t>
  </si>
  <si>
    <t>Europees jaar</t>
  </si>
  <si>
    <t>ouderdom</t>
  </si>
  <si>
    <t>Stuurgroep II</t>
  </si>
  <si>
    <t>32024R1689:67:4:3</t>
  </si>
  <si>
    <t>32024R1689:67:6:4</t>
  </si>
  <si>
    <t>zijn reglement</t>
  </si>
  <si>
    <t>32024R1689:67:6:5</t>
  </si>
  <si>
    <t>32024R1689:67:6:6</t>
  </si>
  <si>
    <t>twee covoorzitters</t>
  </si>
  <si>
    <t>32024R1689:67:6:7</t>
  </si>
  <si>
    <t>32024R1689:67:7:8</t>
  </si>
  <si>
    <t>een vergadering</t>
  </si>
  <si>
    <t>vergadering</t>
  </si>
  <si>
    <t>parlementsvergadering</t>
  </si>
  <si>
    <t>32024R1689:67:7:9</t>
  </si>
  <si>
    <t>deskundigen en andere belanghebbenden</t>
  </si>
  <si>
    <t>adviezen | aanbevelingen | schriftelijke bijdragen</t>
  </si>
  <si>
    <t>32024R1689:67:9:11</t>
  </si>
  <si>
    <t>32024R1689:67:10:12</t>
  </si>
  <si>
    <t>een jaarverslag over zijn activiteiten</t>
  </si>
  <si>
    <t>jaarverslag over zijn activiteiten</t>
  </si>
  <si>
    <t>32024R1689:67:10:13</t>
  </si>
  <si>
    <t>Dat verslag</t>
  </si>
  <si>
    <t>32024R1689:68:4:1</t>
  </si>
  <si>
    <t>hun taken</t>
  </si>
  <si>
    <t>32024R1689:68:4:2</t>
  </si>
  <si>
    <t>de vertrouwelijkheid van de informatie en gegevens die zij bij de uitvoering van hun taken en activiteiten verkrijgen</t>
  </si>
  <si>
    <t>vertrouwelijkheid van de informatie en gegevens die zij bij de uitvoering van hun taken en activiteiten verkrijgen</t>
  </si>
  <si>
    <t>32024R1689:68:4:3</t>
  </si>
  <si>
    <t>instructies</t>
  </si>
  <si>
    <t>32024R1689:68:4:4</t>
  </si>
  <si>
    <t>een belangenverklaring</t>
  </si>
  <si>
    <t>belangenverklaring</t>
  </si>
  <si>
    <t>belangengroep</t>
  </si>
  <si>
    <t>verklaring van communautair belang</t>
  </si>
  <si>
    <t>getuigenverklaring</t>
  </si>
  <si>
    <t>systemen voor het actief beheren en voorkomen van mogelijke belangenconflicten | procedures</t>
  </si>
  <si>
    <t>32024R1689:69:1:1</t>
  </si>
  <si>
    <t>op deskundigen van het wetenschappelijk panel</t>
  </si>
  <si>
    <t>deskundigen van het wetenschappelijk panel</t>
  </si>
  <si>
    <t>deskundigengroep van de Commissie</t>
  </si>
  <si>
    <t>wetenschappelijke expertise</t>
  </si>
  <si>
    <t>wetenschappelijk personeel</t>
  </si>
  <si>
    <t>32024R1689:69:2:3</t>
  </si>
  <si>
    <t>De structuur en de hoogte van de vergoedingen en de schaal en structuur van de invorderbare kosten</t>
  </si>
  <si>
    <t>structuur | hoogte van de vergoedingen en de schaal en structuur van de invorderbare kosten</t>
  </si>
  <si>
    <t>structuurbeleid</t>
  </si>
  <si>
    <t>institutionele structuur</t>
  </si>
  <si>
    <t>structuur van de onderneming</t>
  </si>
  <si>
    <t>32024R1689:69:3:4</t>
  </si>
  <si>
    <t>de tijdige toegang van de lidstaten tot de deskundigen</t>
  </si>
  <si>
    <t>tijdige toegang staten tot de deskundigen</t>
  </si>
  <si>
    <t>werkbezoek van deskundigen</t>
  </si>
  <si>
    <t>toegang tot de rechter</t>
  </si>
  <si>
    <t>toegang tot de informatie</t>
  </si>
  <si>
    <t>32024R1689:69:3:5</t>
  </si>
  <si>
    <t>de combinatie van ondersteunende activiteiten door Europese ondersteunende structuren voor AI-testen op grond van artikel 84 en deskundigen uit hoofde van dit artikel uitvoeren</t>
  </si>
  <si>
    <t>combinatie van ondersteunende activiteiten door Europese ondersteunende structuren voor AI-testen en deskundigen uitvoeren</t>
  </si>
  <si>
    <t>Europese samenwerking op het gebied van wetenschappelijk en technisch onderzoek</t>
  </si>
  <si>
    <t>EU-agentschappen en gedecentraliseerde organen</t>
  </si>
  <si>
    <t>32024R1689:70:2:1</t>
  </si>
  <si>
    <t>32024R1689:70:2:2</t>
  </si>
  <si>
    <t>32024R1689:70:2:3</t>
  </si>
  <si>
    <t>een markttoezichtautoriteit</t>
  </si>
  <si>
    <t>32024R1689:70:2:4</t>
  </si>
  <si>
    <t>32024R1689:70:2:5</t>
  </si>
  <si>
    <t>een lijst van de centrale contactpunten</t>
  </si>
  <si>
    <t>lijst van de centrale contactpunten</t>
  </si>
  <si>
    <t>32024R1689:70:3:6</t>
  </si>
  <si>
    <t>hun nationale bevoegde autoriteiten over voldoende technische, financiële en personele middelen en over passende infrastructuur beschikken</t>
  </si>
  <si>
    <t>nationale bevoegde autoriteiten over voldoende technische, financiële en personele middelen en over passende infrastructuur beschikken</t>
  </si>
  <si>
    <t>institutionele bevoegdheid</t>
  </si>
  <si>
    <t>32024R1689:70:3:7</t>
  </si>
  <si>
    <t>voldoende permanent beschikbaar personeel</t>
  </si>
  <si>
    <t>32024R1689:70:3:8</t>
  </si>
  <si>
    <t>de in dit lid bedoelde benodigde competenties en middelen</t>
  </si>
  <si>
    <t>benodigde competenties | middelen</t>
  </si>
  <si>
    <t>materiaal</t>
  </si>
  <si>
    <t>voedingsmiddel</t>
  </si>
  <si>
    <t>32024R1689:70:5:9</t>
  </si>
  <si>
    <t>de in artikel 78 vastgelegde vertrouwelijkheidsverplichtingen</t>
  </si>
  <si>
    <t>vastgelegde vertrouwelijkheidsverplichtingen</t>
  </si>
  <si>
    <t>32024R1689:70:6:10</t>
  </si>
  <si>
    <t>32024R1689:70:6:11</t>
  </si>
  <si>
    <t>32024R1689:70:7:12</t>
  </si>
  <si>
    <t>de uitwisseling van ervaringen</t>
  </si>
  <si>
    <t>uitwisseling van ervaringen</t>
  </si>
  <si>
    <t>uitwisseling van jongeren</t>
  </si>
  <si>
    <t>32024R1689:70:8:13</t>
  </si>
  <si>
    <t>begeleiding bij en advies over de uitvoering van deze verordening</t>
  </si>
  <si>
    <t>begeleiding | advies over de uitvoering</t>
  </si>
  <si>
    <t>32024R1689:70:8:14</t>
  </si>
  <si>
    <t>32024R1689:70:9:15</t>
  </si>
  <si>
    <t>32024R1689:71:1:1</t>
  </si>
  <si>
    <t>de deskundigen ter zake</t>
  </si>
  <si>
    <t>deskundigen ter zake</t>
  </si>
  <si>
    <t>deskundigengroep (EU)</t>
  </si>
  <si>
    <t>deskundig onderzoek</t>
  </si>
  <si>
    <t>ontologieën</t>
  </si>
  <si>
    <t>32024R1689:71:1:2</t>
  </si>
  <si>
    <t>de AI-board</t>
  </si>
  <si>
    <t>AI-board</t>
  </si>
  <si>
    <t>AI</t>
  </si>
  <si>
    <t>32024R1689:71:1:3</t>
  </si>
  <si>
    <t>het opzetten en onderhouden van een EU-databank met de in de leden 2 en 3 van dit artikel bedoelde informatie betreffende in artikel 6, lid 2, bedoelde AI-systemen met een hoog risico die overeenkomstig de artikelen 49 en 60 zijn geregistreerd en AI-systemen die niet als AI-systemen met een hoog risico worden beschouwd op grond van artikel 6, lid 3, en die zijn geregistreerd overeenkomstig artikel 6, lid 4 en artikel 49</t>
  </si>
  <si>
    <t>opzetten en onderhouden van een EU-databank met de informatie betreffende bedoelde AI-systemen met een hoog risico die zijn geregistreerd en AI-systemen die niet als AI-systemen met een hoog risico worden beschouwd en die zijn geregistreerd</t>
  </si>
  <si>
    <t>gegevensbank</t>
  </si>
  <si>
    <t>32024R1689:71:2:4</t>
  </si>
  <si>
    <t>De in afdelingen A en B van bijlage VIII vermelde gegevens</t>
  </si>
  <si>
    <t>gegevens</t>
  </si>
  <si>
    <t>medische gegevens</t>
  </si>
  <si>
    <t>32024R1689:71:3:5</t>
  </si>
  <si>
    <t>De in afdeling C van bijlage VIII vermelde gegevens</t>
  </si>
  <si>
    <t>32024R1689:71:6:6</t>
  </si>
  <si>
    <t>adequate technische en administratieve ondersteuning</t>
  </si>
  <si>
    <t>32024R1689:71:6:7</t>
  </si>
  <si>
    <t>32024R1689:71:6:8</t>
  </si>
  <si>
    <t>de verantwoordelijke voor de verwerking</t>
  </si>
  <si>
    <t>verantwoordelijke voor de verwerking</t>
  </si>
  <si>
    <t>informatieverwerking</t>
  </si>
  <si>
    <t>verwerking van voedingsmiddelen</t>
  </si>
  <si>
    <t>32024R1689:72:1:1</t>
  </si>
  <si>
    <t>een systeem voor monitoring na het in de handel brengen</t>
  </si>
  <si>
    <t>systeem voor monitoring na het in de handel brengen</t>
  </si>
  <si>
    <t>32024R1689:72:3:2</t>
  </si>
  <si>
    <t>van de in bijlage IV bedoelde technische documentatie</t>
  </si>
  <si>
    <t>32024R1689:72:3:3</t>
  </si>
  <si>
    <t>32024R1689:72:3:4</t>
  </si>
  <si>
    <t>een plan voor monitoring na het in de handel brengen</t>
  </si>
  <si>
    <t>plan voor monitoring na het in de handel brengen</t>
  </si>
  <si>
    <t>voorbereiding op het in de handel brengen</t>
  </si>
  <si>
    <t>32024R1689:72:3:5</t>
  </si>
  <si>
    <t>De uitvoeringshandeling</t>
  </si>
  <si>
    <t>32024R1689:72:4:6</t>
  </si>
  <si>
    <t>de noodzakelijke in de leden 1, 2 en 3 beschreven elementen</t>
  </si>
  <si>
    <t>noodzakelijke beschreven elementen</t>
  </si>
  <si>
    <t>32024R1689:73:1:1</t>
  </si>
  <si>
    <t>ernstige incidenten</t>
  </si>
  <si>
    <t>ernstige acute ondervoeding</t>
  </si>
  <si>
    <t>grootschalige projecten</t>
  </si>
  <si>
    <t>32024R1689:73:2:2</t>
  </si>
  <si>
    <t>De in lid 1 bedoelde melding</t>
  </si>
  <si>
    <t>manifest</t>
  </si>
  <si>
    <t>32024R1689:73:2:3</t>
  </si>
  <si>
    <t>32024R1689:73:5:4</t>
  </si>
  <si>
    <t>een eerste, onvolledige, melding</t>
  </si>
  <si>
    <t>eerste, onvolledige, melding</t>
  </si>
  <si>
    <t>Gerecht van eerste aanleg</t>
  </si>
  <si>
    <t>eerste betrekking</t>
  </si>
  <si>
    <t>beroep tot nietigverklaring (EU)</t>
  </si>
  <si>
    <t>32024R1689:73:7:5</t>
  </si>
  <si>
    <t>de in artikel 77, lid 1, bedoelde nationale overheidsinstanties of -organen</t>
  </si>
  <si>
    <t>nationale overheidsinstanties of -organen</t>
  </si>
  <si>
    <t>nationale regering</t>
  </si>
  <si>
    <t>32024R1689:73:7:6</t>
  </si>
  <si>
    <t>specifieke richtsnoeren</t>
  </si>
  <si>
    <t>32024R1689:73:7:7</t>
  </si>
  <si>
    <t>Die richtsnoeren</t>
  </si>
  <si>
    <t>32024R1689:73:7:8</t>
  </si>
  <si>
    <t>32024R1689:73:8:9</t>
  </si>
  <si>
    <t>passende maatregelen</t>
  </si>
  <si>
    <t>alomvattende aanpak</t>
  </si>
  <si>
    <t>toebereid gerecht</t>
  </si>
  <si>
    <t>32024R1689:73:8:10</t>
  </si>
  <si>
    <t>de kennisgevingsprocedures</t>
  </si>
  <si>
    <t>kennisgevingsprocedures</t>
  </si>
  <si>
    <t>goedkeuringsprocedure</t>
  </si>
  <si>
    <t>32024R1689:73:9:11</t>
  </si>
  <si>
    <t>de melding van ernstige incidenten</t>
  </si>
  <si>
    <t>melding van ernstige incidenten</t>
  </si>
  <si>
    <t>beheer van noodsituaties</t>
  </si>
  <si>
    <t>32024R1689:73:11:12</t>
  </si>
  <si>
    <t>32024R1689:73:11:13</t>
  </si>
  <si>
    <t>het incident</t>
  </si>
  <si>
    <t>32024R1689:73:11:14</t>
  </si>
  <si>
    <t>elk ernstig incident</t>
  </si>
  <si>
    <t>ernstig incident</t>
  </si>
  <si>
    <t>ongeval thuis</t>
  </si>
  <si>
    <t>32024R1689:74:3:1</t>
  </si>
  <si>
    <t>een andere relevante autoriteit</t>
  </si>
  <si>
    <t>relevante autoriteit</t>
  </si>
  <si>
    <t>Hoge Autoriteit</t>
  </si>
  <si>
    <t>32024R1689:74:4:2</t>
  </si>
  <si>
    <t>De in de artikelen 79 tot en met 83 van deze verordening bedoelde procedures</t>
  </si>
  <si>
    <t>32024R1689:74:4:3</t>
  </si>
  <si>
    <t>de betrokken sectorale procedures</t>
  </si>
  <si>
    <t>sectorale procedures</t>
  </si>
  <si>
    <t>32024R1689:74:6:5</t>
  </si>
  <si>
    <t>32024R1689:74:7:6</t>
  </si>
  <si>
    <t>32024R1689:74:7:7</t>
  </si>
  <si>
    <t>alle informatie</t>
  </si>
  <si>
    <t>32024R1689:74:10:8</t>
  </si>
  <si>
    <t>de coördinatie</t>
  </si>
  <si>
    <t>coördinatie</t>
  </si>
  <si>
    <t>coöperatie</t>
  </si>
  <si>
    <t>opencoördinatiemethode</t>
  </si>
  <si>
    <t>32024R1689:74:11:9</t>
  </si>
  <si>
    <t>gezamenlijke activiteiten, waaronder gezamenlijke onderzoeken</t>
  </si>
  <si>
    <t>gemeenschappelijk onderzoekprogramma</t>
  </si>
  <si>
    <t>wetenschappelijk onderzoek</t>
  </si>
  <si>
    <t>32024R1689:74:11:10</t>
  </si>
  <si>
    <t>coördinerende ondersteuning van gezamenlijke onderzoeken</t>
  </si>
  <si>
    <t>32024R1689:74:12:11</t>
  </si>
  <si>
    <t>volledige toegang tot de documentatie en tot de datasets voor het trainen, valideren en testen die worden gebruikt voor de ontwikkeling van AI-systemen met een hoog risico</t>
  </si>
  <si>
    <t>32024R1689:74:13:12</t>
  </si>
  <si>
    <t>toegang tot de broncode van het AI-systeem met een hoog risico</t>
  </si>
  <si>
    <t>32024R1689:74:14:13</t>
  </si>
  <si>
    <t>32024R1689:75:3:1</t>
  </si>
  <si>
    <t>een met redenen omkleed verzoek</t>
  </si>
  <si>
    <t>met redenen omkleed verzoek</t>
  </si>
  <si>
    <t>met redenen omkleed advies van het EP</t>
  </si>
  <si>
    <t>32024R1689:75:3:2</t>
  </si>
  <si>
    <t>de toegang tot die informatie</t>
  </si>
  <si>
    <t>toegang tot die informatie</t>
  </si>
  <si>
    <t>toegang tot voedsel</t>
  </si>
  <si>
    <t>32024R1689:75:3:3</t>
  </si>
  <si>
    <t>alle informatie die het relevant acht om vast te stellen of een AI-systeem met een hoog risico non-conform is</t>
  </si>
  <si>
    <t>informatie die het relevant acht om vast te stellen of een AI-systeem met een hoog risico non-conform is</t>
  </si>
  <si>
    <t>32024R1689:75:3:4</t>
  </si>
  <si>
    <t>dat de door hen verkregen informatie overeenkomstig artikel 78 van deze verordening vertrouwelijk wordt behandeld</t>
  </si>
  <si>
    <t>32024R1689:75:3:5</t>
  </si>
  <si>
    <t>De procedure van hoofdstuk VI van Verordening (EU) 2019/1020</t>
  </si>
  <si>
    <t>32024R1689:76:2:1</t>
  </si>
  <si>
    <t>of artikel 60 wordt nageleefd</t>
  </si>
  <si>
    <t>32024R1689:76:2:2</t>
  </si>
  <si>
    <t>dat de aanbieder of potentiële aanbieder in afwijking van de voorwaarden van artikel 60, lid 4, punten f) en g), onder reële omstandigheden test</t>
  </si>
  <si>
    <t>aanbieder of potentiële aanbieder in afwijking van de voorwaarden onder reële omstandigheden test</t>
  </si>
  <si>
    <t>32024R1689:76:3:3</t>
  </si>
  <si>
    <t>een van de volgende besluiten</t>
  </si>
  <si>
    <t>van de volgende besluiten</t>
  </si>
  <si>
    <t>32024R1689:76:3:4</t>
  </si>
  <si>
    <t>de tests onder reële omstandigheden</t>
  </si>
  <si>
    <t>tests onder reële omstandigheden</t>
  </si>
  <si>
    <t>32024R1689:76:3:5</t>
  </si>
  <si>
    <t>32024R1689:76:3:6</t>
  </si>
  <si>
    <t>dat zij een aspect van de test onder reële omstandigheden wijzigen</t>
  </si>
  <si>
    <t>zij een aspect van de test onder reële omstandigheden wijzigen</t>
  </si>
  <si>
    <t>32024R1689:76:4:7</t>
  </si>
  <si>
    <t>wat de redenen daarvoor zijn en onder welke voorwaarden de aanbieder of potentiële aanbieder het besluit of het bezwaar kan aanvechten</t>
  </si>
  <si>
    <t>wat de redenen zijn en onder welke voorwaarden de aanbieder of potentiële aanbieder het besluit of het bezwaar kan aanvechten</t>
  </si>
  <si>
    <t>32024R1689:76:5:8</t>
  </si>
  <si>
    <t>32024R1689:77:1:1</t>
  </si>
  <si>
    <t>krachtens deze verordening opgestelde of bijgehouden documentatie</t>
  </si>
  <si>
    <t>verordening (EU)</t>
  </si>
  <si>
    <t>32024R1689:77:1:2</t>
  </si>
  <si>
    <t>32024R1689:77:2:3</t>
  </si>
  <si>
    <t>de in lid 1 bedoelde overheidsinstanties of -organen</t>
  </si>
  <si>
    <t>overheidsinstanties of -organen</t>
  </si>
  <si>
    <t>overheid</t>
  </si>
  <si>
    <t>publieke instantie</t>
  </si>
  <si>
    <t>32024R1689:77:2:4</t>
  </si>
  <si>
    <t>de lijst</t>
  </si>
  <si>
    <t>32024R1689:77:2:5</t>
  </si>
  <si>
    <t>32024R1689:77:2:6</t>
  </si>
  <si>
    <t>32024R1689:77:3:8</t>
  </si>
  <si>
    <t>32024R1689:77:3:9</t>
  </si>
  <si>
    <t>32024R1689:77:4:10</t>
  </si>
  <si>
    <t>Informatie of documentatie die op grond van dit artikel door de in lid 1 van dit artikel bedoelde overheidsinstanties of -organen wordt verkregen</t>
  </si>
  <si>
    <t>Informatie of documentatie die overheidsinstanties of -organen wordt verkregen</t>
  </si>
  <si>
    <t>32024R1689:78:1:1</t>
  </si>
  <si>
    <t>de vertrouwelijke aard van informatie en gegevens die zij hebben verkregen tijdens het uitvoeren van hun taken en activiteiten</t>
  </si>
  <si>
    <t>vertrouwelijke aard van informatie en gegevens die zij hebben verkregen tijdens het uitvoeren van hun taken en activiteiten</t>
  </si>
  <si>
    <t>gegevensintegriteit</t>
  </si>
  <si>
    <t>32024R1689:78:2:2</t>
  </si>
  <si>
    <t>32024R1689:78:2:3</t>
  </si>
  <si>
    <t>adequate en doeltreffende cyberbeveiligingsmaatregelen</t>
  </si>
  <si>
    <t>weerbaarheid op het gebied van cyberbeveiliging</t>
  </si>
  <si>
    <t>netwerk- en internetbeveiliging</t>
  </si>
  <si>
    <t>32024R1689:78:2:4</t>
  </si>
  <si>
    <t>de verzamelde gegevens</t>
  </si>
  <si>
    <t>verzamelde gegevens</t>
  </si>
  <si>
    <t>32024R1689:79:4:2</t>
  </si>
  <si>
    <t>alle betrokken AI-systemen</t>
  </si>
  <si>
    <t>32024R1689:79:5:3</t>
  </si>
  <si>
    <t>alle passende voorlopige maatregelen</t>
  </si>
  <si>
    <t>passende voorlopige maatregelen</t>
  </si>
  <si>
    <t>voorlopige begroting</t>
  </si>
  <si>
    <t>voorlopige hechtenis</t>
  </si>
  <si>
    <t>voorlopige toepassing van EG-akkoord</t>
  </si>
  <si>
    <t>32024R1689:79:5:4</t>
  </si>
  <si>
    <t>32024R1689:79:7:5</t>
  </si>
  <si>
    <t>32024R1689:79:7:6</t>
  </si>
  <si>
    <t>aanvullende informatie over de non-conformiteit van het AI-systeem waarover zij beschikken</t>
  </si>
  <si>
    <t>32024R1689:79:7:7</t>
  </si>
  <si>
    <t>hun bezwaren</t>
  </si>
  <si>
    <t>bezwaren</t>
  </si>
  <si>
    <t>bewaring</t>
  </si>
  <si>
    <t>gezworene</t>
  </si>
  <si>
    <t>ijzerwaren</t>
  </si>
  <si>
    <t>32024R1689:79:9:8</t>
  </si>
  <si>
    <t>de passende beperkende maatregelen</t>
  </si>
  <si>
    <t>passende beperkende maatregelen</t>
  </si>
  <si>
    <t>beperkte verspreiding</t>
  </si>
  <si>
    <t>32024R1689:80:1:1</t>
  </si>
  <si>
    <t>het betrokken AI-systeem</t>
  </si>
  <si>
    <t>AI-systeem</t>
  </si>
  <si>
    <t>VN-systeem</t>
  </si>
  <si>
    <t>TARGET-systeem</t>
  </si>
  <si>
    <t>32024R1689:80:2:2</t>
  </si>
  <si>
    <t>alle nodige maatregelen</t>
  </si>
  <si>
    <t>32024R1689:80:2:3</t>
  </si>
  <si>
    <t>passende corrigerende maatregelen</t>
  </si>
  <si>
    <t>32024R1689:80:3:4</t>
  </si>
  <si>
    <t>de resultaten van de toetsing en van de maatregelen die zij de aanbieder heeft opgelegd</t>
  </si>
  <si>
    <t>resultaten van de toetsing en van de maatregelen die zij de aanbieder heeft opgelegd</t>
  </si>
  <si>
    <t>32024R1689:80:5:5</t>
  </si>
  <si>
    <t>alle betrokken AI-systemen die zij op de Uniemarkt hebben aangeboden</t>
  </si>
  <si>
    <t>AI-systemen die zij op de Uniemarkt hebben aangeboden</t>
  </si>
  <si>
    <t>32024R1689:80:6:6</t>
  </si>
  <si>
    <t>adequate corrigerende maatregelen</t>
  </si>
  <si>
    <t>32024R1689:80:7:7</t>
  </si>
  <si>
    <t>geldboeten</t>
  </si>
  <si>
    <t>32024R1689:80:8:8</t>
  </si>
  <si>
    <t>passende controles</t>
  </si>
  <si>
    <t>beheerscontrole</t>
  </si>
  <si>
    <t>statistische controle</t>
  </si>
  <si>
    <t>32024R1689:81:1:1</t>
  </si>
  <si>
    <t>de nationale maatregel</t>
  </si>
  <si>
    <t>nationale maatregel</t>
  </si>
  <si>
    <t>nationale uitvoeringsmaatregel</t>
  </si>
  <si>
    <t>nationale norm</t>
  </si>
  <si>
    <t>32024R1689:81:1:2</t>
  </si>
  <si>
    <t>32024R1689:81:1:3</t>
  </si>
  <si>
    <t>of de nationale maatregel gerechtvaardigd is</t>
  </si>
  <si>
    <t>nationaal recht</t>
  </si>
  <si>
    <t>nationaal recht-internationaal recht</t>
  </si>
  <si>
    <t>32024R1689:81:1:4</t>
  </si>
  <si>
    <t>32024R1689:81:1:5</t>
  </si>
  <si>
    <t>alle andere markttoezichtautoriteiten</t>
  </si>
  <si>
    <t>markttoezichtautoriteiten</t>
  </si>
  <si>
    <t>32024R1689:81:2:6</t>
  </si>
  <si>
    <t>passende beperkende maatregelen ten aanzien van het betrokken AI-systeem</t>
  </si>
  <si>
    <t>32024R1689:81:2:7</t>
  </si>
  <si>
    <t>de maatregel</t>
  </si>
  <si>
    <t>disciplinaire maatregel</t>
  </si>
  <si>
    <t>maatschap</t>
  </si>
  <si>
    <t>32024R1689:81:2:8</t>
  </si>
  <si>
    <t>32024R1689:81:3:9</t>
  </si>
  <si>
    <t>de procedure van artikel 11 van Verordening (EU) nr. 1025/2012</t>
  </si>
  <si>
    <t>32024R1689:82:1:1</t>
  </si>
  <si>
    <t>alle passende maatregelen</t>
  </si>
  <si>
    <t>32024R1689:82:2:2</t>
  </si>
  <si>
    <t>32024R1689:82:4:3</t>
  </si>
  <si>
    <t>of de maatregel gerechtvaardigd is</t>
  </si>
  <si>
    <t>rechtvaardigheid en verzoening</t>
  </si>
  <si>
    <t>aanbeveling van de Raad</t>
  </si>
  <si>
    <t>32024R1689:82:4:4</t>
  </si>
  <si>
    <t>de genomen nationale maatregelen</t>
  </si>
  <si>
    <t>genomen nationale maatregelen</t>
  </si>
  <si>
    <t>nationale voorschriften</t>
  </si>
  <si>
    <t>32024R1689:82:4:5</t>
  </si>
  <si>
    <t>32024R1689:82:4:6</t>
  </si>
  <si>
    <t>andere passende maatregelen</t>
  </si>
  <si>
    <t>32024R1689:82:5:7</t>
  </si>
  <si>
    <t>32024R1689:82:5:8</t>
  </si>
  <si>
    <t>de andere lidstaten</t>
  </si>
  <si>
    <t>lidstaten</t>
  </si>
  <si>
    <t>32024R1689:83:1:1</t>
  </si>
  <si>
    <t>deze non-conformiteit</t>
  </si>
  <si>
    <t>non-conformiteit</t>
  </si>
  <si>
    <t>32024R1689:83:1:2</t>
  </si>
  <si>
    <t>een van de onderstaande feiten</t>
  </si>
  <si>
    <t>van de onderstaande feiten</t>
  </si>
  <si>
    <t>opkomende technologieën</t>
  </si>
  <si>
    <t>onderdaan van de Europese Unie</t>
  </si>
  <si>
    <t>32024R1689:84:1:1</t>
  </si>
  <si>
    <t>een of meer ondersteunende AI-teststructuren van de Unie</t>
  </si>
  <si>
    <t>of meer ondersteunende AI-teststructuren van de Unie</t>
  </si>
  <si>
    <t>32024R1689:84:2:2</t>
  </si>
  <si>
    <t>onafhankelijk technisch of wetenschappelijk advies</t>
  </si>
  <si>
    <t>32024R1689:85:whole:1</t>
  </si>
  <si>
    <t>dergelijke klachten</t>
  </si>
  <si>
    <t>klachten</t>
  </si>
  <si>
    <t>ziekte</t>
  </si>
  <si>
    <t>32024R1689:85:whole:2</t>
  </si>
  <si>
    <t>zij</t>
  </si>
  <si>
    <t>32024R1689:85:whole:3</t>
  </si>
  <si>
    <t>32024R1689:86:1:1</t>
  </si>
  <si>
    <t>duidelijke, inhoudelijke uitleg</t>
  </si>
  <si>
    <t>32024R1689:86:2:2</t>
  </si>
  <si>
    <t>Lid 1</t>
  </si>
  <si>
    <t>32024R1689:88:1:1</t>
  </si>
  <si>
    <t>exclusieve bevoegdheden voor toezicht op en handhaving van hoofdstuk V</t>
  </si>
  <si>
    <t>exclusieve bevoegdheden voor toezicht op en handhaving</t>
  </si>
  <si>
    <t>32024R1689:88:1:2</t>
  </si>
  <si>
    <t>het AI-bureau met de uitvoering van deze taken</t>
  </si>
  <si>
    <t>AI-bureau met de uitvoering van deze taken</t>
  </si>
  <si>
    <t>uitvoeringsbesluit van de Commissie</t>
  </si>
  <si>
    <t>Bureau voor toenadering tussen ondernemingen</t>
  </si>
  <si>
    <t>32024R1689:88:2:3</t>
  </si>
  <si>
    <t>32024R1689:89:1:1</t>
  </si>
  <si>
    <t>32024R1689:89:2:4</t>
  </si>
  <si>
    <t>32024R1689:90:1:1</t>
  </si>
  <si>
    <t>een gekwalificeerde waarschuwing</t>
  </si>
  <si>
    <t>gekwalificeerde waarschuwing</t>
  </si>
  <si>
    <t>gekwalificeerde meerderheid</t>
  </si>
  <si>
    <t>verouderde kwalificatie</t>
  </si>
  <si>
    <t>nota van toelichting</t>
  </si>
  <si>
    <t>32024R1689:90:2:2</t>
  </si>
  <si>
    <t>de in deze afdeling vastgelegde bevoegdheden</t>
  </si>
  <si>
    <t>vastgelegde bevoegdheden</t>
  </si>
  <si>
    <t>32024R1689:90:2:3</t>
  </si>
  <si>
    <t>32024R1689:90:3:4</t>
  </si>
  <si>
    <t>32024R1689:90:3:5</t>
  </si>
  <si>
    <t>32024R1689:91:1:1</t>
  </si>
  <si>
    <t>de door de aanbieder overeenkomstig de artikelen 53 en 55 opgestelde documentatie of eventuele aanvullende informatie</t>
  </si>
  <si>
    <t>door de aanbieder opgestelde documentatie of eventuele aanvullende informatie</t>
  </si>
  <si>
    <t>32024R1689:91:2:2</t>
  </si>
  <si>
    <t>een gestructureerde dialoog</t>
  </si>
  <si>
    <t>gestructureerde dialoog</t>
  </si>
  <si>
    <t>sociale dialoog</t>
  </si>
  <si>
    <t>interreligieuze dialoog</t>
  </si>
  <si>
    <t>trans-Atlantische dialoog</t>
  </si>
  <si>
    <t>32024R1689:91:5:4</t>
  </si>
  <si>
    <t>de gevraagde informatie</t>
  </si>
  <si>
    <t>gevraagde informatie</t>
  </si>
  <si>
    <t>32024R1689:91:5:5</t>
  </si>
  <si>
    <t>De informatie</t>
  </si>
  <si>
    <t>32024R1689:91:5:6</t>
  </si>
  <si>
    <t>32024R1689:92:1:1</t>
  </si>
  <si>
    <t>evaluaties van het betrokken AI-model voor algemene doeleinden</t>
  </si>
  <si>
    <t>32024R1689:92:2:2</t>
  </si>
  <si>
    <t>onafhankelijke deskundigen</t>
  </si>
  <si>
    <t>32024R1689:92:2:3</t>
  </si>
  <si>
    <t>aan de criteria van artikel 68, lid 2</t>
  </si>
  <si>
    <t>32024R1689:92:3:4</t>
  </si>
  <si>
    <t>toegang tot het betrokken AI-model voor algemene doeleinden</t>
  </si>
  <si>
    <t>toegang tot het arbeidsproces</t>
  </si>
  <si>
    <t>32024R1689:92:4:5</t>
  </si>
  <si>
    <t>de rechtsgrondslag en het doel en de redenen van het verzoek, de termijn waarbinnen de toegang moet worden verleend, en de in artikel 101 bepaalde geldboeten voor het niet bieden van toegang</t>
  </si>
  <si>
    <t>rechtsgrondslag en het doel en de redenen van het verzoek, de termijn waarbinnen de toegang moet worden verleend, en de geldboeten voor het niet bieden van toegang</t>
  </si>
  <si>
    <t>32024R1689:92:5:6</t>
  </si>
  <si>
    <t>32024R1689:92:5:7</t>
  </si>
  <si>
    <t>de gevraagde toegang</t>
  </si>
  <si>
    <t>gevraagde toegang</t>
  </si>
  <si>
    <t>toetredingsaanvraag</t>
  </si>
  <si>
    <t>32024R1689:92:6:8</t>
  </si>
  <si>
    <t>32024R1689:92:6:9</t>
  </si>
  <si>
    <t>Die uitvoeringshandelingen</t>
  </si>
  <si>
    <t>32024R1689:92:7:10</t>
  </si>
  <si>
    <t>32024R1689:93:1:1</t>
  </si>
  <si>
    <t>32024R1689:93:1:2</t>
  </si>
  <si>
    <t>risicobeperkende maatregelen</t>
  </si>
  <si>
    <t>risicodragende belegging</t>
  </si>
  <si>
    <t>32024R1689:93:1:3</t>
  </si>
  <si>
    <t>het op de markt aanbieden van het model</t>
  </si>
  <si>
    <t>op de markt aanbieden van het model</t>
  </si>
  <si>
    <t>markt</t>
  </si>
  <si>
    <t>32024R1689:93:1:4</t>
  </si>
  <si>
    <t>het model</t>
  </si>
  <si>
    <t>32024R1689:93:1:5</t>
  </si>
  <si>
    <t>32024R1689:93:1:6</t>
  </si>
  <si>
    <t>32024R1689:93:2:7</t>
  </si>
  <si>
    <t>32024R1689:93:3:8</t>
  </si>
  <si>
    <t>die toezeggingen</t>
  </si>
  <si>
    <t>toezeggingen</t>
  </si>
  <si>
    <t>32024R1689:93:3:9</t>
  </si>
  <si>
    <t>dat er geen verdere gronden voor actie zijn</t>
  </si>
  <si>
    <t>er geen verdere gronden voor actie zijn</t>
  </si>
  <si>
    <t>32024R1689:95:3:1</t>
  </si>
  <si>
    <t>Gedragscodes</t>
  </si>
  <si>
    <t>32024R1689:95:3:2</t>
  </si>
  <si>
    <t>op een of meer AI-systemen</t>
  </si>
  <si>
    <t>of meer AI-systemen</t>
  </si>
  <si>
    <t>aanvullend werk</t>
  </si>
  <si>
    <t>32024R1689:95:4:3</t>
  </si>
  <si>
    <t>de specifieke belangen en behoeften van kmo’s, waaronder start-ups</t>
  </si>
  <si>
    <t>specifieke belangen en behoeften van kmo’s, waaronder start-ups</t>
  </si>
  <si>
    <t>32024R1689:96:1:1</t>
  </si>
  <si>
    <t>32024R1689:96:1:2</t>
  </si>
  <si>
    <t>bijzondere aandacht</t>
  </si>
  <si>
    <t>bijzondere commissie</t>
  </si>
  <si>
    <t>speciale prijs</t>
  </si>
  <si>
    <t>instelling met bijzonder statuut</t>
  </si>
  <si>
    <t>32024R1689:96:1:3</t>
  </si>
  <si>
    <t>de algemeen erkende stand van de techniek op het gebied van AI en met de relevante in de artikelen 40 en 41 bedoelde geharmoniseerde normen en gemeenschappelijke specificaties, dan wel met de krachtens de harmonisatiewetgeving van de Unie vastgestelde geharmoniseerde normen of technische specificaties</t>
  </si>
  <si>
    <t>algemeen erkende stand van de techniek op het gebied van AI en met de relevante bedoelde geharmoniseerde normen en gemeenschappelijke specificaties, dan wel met de krachtens de harmonisatiewetgeving van de Unie vastgestelde geharmoniseerde normen of technische specificaties</t>
  </si>
  <si>
    <t>32024R1689:96:2:4</t>
  </si>
  <si>
    <t>eerder vastgestelde richtsnoeren</t>
  </si>
  <si>
    <t>32024R1689:97:1:1</t>
  </si>
  <si>
    <t>De bevoegdheid om gedelegeerde handelingen vast te stellen</t>
  </si>
  <si>
    <t>bevoegdheid om gedelegeerde handelingen vast te stellen</t>
  </si>
  <si>
    <t>32024R1689:97:3:2</t>
  </si>
  <si>
    <t>de in artikel 6, leden 6 en 7, artikel 7, leden 1 en 3, artikel 11, lid 3, artikel 43, leden 5 en 6, artikel 47, lid 5, artikel 51, lid 3, artikel 52, lid 4, en artikel 53, leden 5 en 6, bedoelde bevoegdheidsdelegatie</t>
  </si>
  <si>
    <t>bedoelde bevoegdheidsdelegatie</t>
  </si>
  <si>
    <t>delegatie van bevoegdheid</t>
  </si>
  <si>
    <t>verordenende bevoegdheid</t>
  </si>
  <si>
    <t>32024R1689:97:3:3</t>
  </si>
  <si>
    <t>de delegatie van de in dat besluit genoemde bevoegdheid</t>
  </si>
  <si>
    <t>delegatie van de in dat besluit genoemde bevoegdheid</t>
  </si>
  <si>
    <t>gedelegeerd besluit van de Commissie</t>
  </si>
  <si>
    <t>delegatie van de Commissie</t>
  </si>
  <si>
    <t>32024R1689:97:3:5</t>
  </si>
  <si>
    <t>de geldigheid van de reeds van kracht zijnde gedelegeerde handelingen</t>
  </si>
  <si>
    <t>geldigheid van de reeds van kracht zijnde gedelegeerde handelingen</t>
  </si>
  <si>
    <t>geldigheid van de wet</t>
  </si>
  <si>
    <t>32024R1689:97:4:6</t>
  </si>
  <si>
    <t>de door elke lidstaat aangewezen deskundigen</t>
  </si>
  <si>
    <t>door elke lidstaat aangewezen deskundigen</t>
  </si>
  <si>
    <t>32024R1689:99:1:2</t>
  </si>
  <si>
    <t>32024R1689:99:1:3</t>
  </si>
  <si>
    <t>belangen van kmo’s, met inbegrip van start-ups | economische levensvatbaarheid</t>
  </si>
  <si>
    <t>economische stabiliteit</t>
  </si>
  <si>
    <t>economische toestand</t>
  </si>
  <si>
    <t>economische activiteit</t>
  </si>
  <si>
    <t>32024R1689:99:2:5</t>
  </si>
  <si>
    <t>de in lid 1 bedoelde voorschriften voor sancties en andere handhavingsmaatregelen</t>
  </si>
  <si>
    <t>voorschriften voor sancties en andere handhavingsmaatregelen</t>
  </si>
  <si>
    <t>32024R1689:99:2:6</t>
  </si>
  <si>
    <t>alle latere wijzigingen daarvan</t>
  </si>
  <si>
    <t>latere wijzigingen</t>
  </si>
  <si>
    <t>32024R1689:99:3:7</t>
  </si>
  <si>
    <t>administratieve geldboeten</t>
  </si>
  <si>
    <t>32024R1689:99:4:8</t>
  </si>
  <si>
    <t>32024R1689:99:5:9</t>
  </si>
  <si>
    <t>32024R1689:99:6:10</t>
  </si>
  <si>
    <t>elke in dit artikel bedoelde boete</t>
  </si>
  <si>
    <t>boetvaardige</t>
  </si>
  <si>
    <t>32024R1689:99:7:11</t>
  </si>
  <si>
    <t>alle relevante omstandigheden van de specifieke situatie</t>
  </si>
  <si>
    <t>relevante omstandigheden van de specifieke situatie</t>
  </si>
  <si>
    <t>32024R1689:99:7:12</t>
  </si>
  <si>
    <t>32024R1689:99:8:13</t>
  </si>
  <si>
    <t>regels</t>
  </si>
  <si>
    <t>32024R1689:100:1:1</t>
  </si>
  <si>
    <t>32024R1689:100:2:2</t>
  </si>
  <si>
    <t>32024R1689:100:3:3</t>
  </si>
  <si>
    <t>32024R1689:100:4:4</t>
  </si>
  <si>
    <t>de instelling, het orgaan of de instantie van de Unie ten aanzien waarvan hij een procedure voert</t>
  </si>
  <si>
    <t>instelling, het orgaan of de instantie van de Unie ten aanzien waarvan hij een procedure voert</t>
  </si>
  <si>
    <t>32024R1689:100:4:6</t>
  </si>
  <si>
    <t>32024R1689:100:5:7</t>
  </si>
  <si>
    <t>het dossier</t>
  </si>
  <si>
    <t>dossier</t>
  </si>
  <si>
    <t>medisch dossier</t>
  </si>
  <si>
    <t>32024R1689:100:5:8</t>
  </si>
  <si>
    <t>Het recht van verdediging van de partijen</t>
  </si>
  <si>
    <t>recht van verdediging van de partijen</t>
  </si>
  <si>
    <t>juridische wetenschap</t>
  </si>
  <si>
    <t>32024R1689:100:7:9</t>
  </si>
  <si>
    <t>de administratieve geldboeten</t>
  </si>
  <si>
    <t>32024R1689:100:7:10</t>
  </si>
  <si>
    <t>alle geschil- of gerechtelijke procedures</t>
  </si>
  <si>
    <t>geschil- of gerechtelijke procedures</t>
  </si>
  <si>
    <t>strafrechtelijke procedure</t>
  </si>
  <si>
    <t>scheidsrechterlijke procedure</t>
  </si>
  <si>
    <t>judiciële rechtspraak</t>
  </si>
  <si>
    <t>32024R1689:101:1:1</t>
  </si>
  <si>
    <t>32024R1689:101:1:2</t>
  </si>
  <si>
    <t>verbintenissen</t>
  </si>
  <si>
    <t>verbintenisrecht</t>
  </si>
  <si>
    <t>besnijdenis</t>
  </si>
  <si>
    <t>32024R1689:101:1:3</t>
  </si>
  <si>
    <t>32024R1689:101:2:4</t>
  </si>
  <si>
    <t>haar voorlopige bevindingen</t>
  </si>
  <si>
    <t>voorlopige bevindingen</t>
  </si>
  <si>
    <t>32024R1689:101:2:5</t>
  </si>
  <si>
    <t>hem</t>
  </si>
  <si>
    <t>32024R1689:101:3:6</t>
  </si>
  <si>
    <t>doeltreffend, evenredig en afschrikkend</t>
  </si>
  <si>
    <t>32024R1689:101:4:7</t>
  </si>
  <si>
    <t>Informatie over geldboeten die uit hoofde van dit artikel zijn opgelegd</t>
  </si>
  <si>
    <t>Informatie over geldboeten die zijn opgelegd</t>
  </si>
  <si>
    <t>32024R1689:101:5:8</t>
  </si>
  <si>
    <t>de opgelegde geldboete</t>
  </si>
  <si>
    <t>opgelegde geldboete</t>
  </si>
  <si>
    <t>geldboete van de EU</t>
  </si>
  <si>
    <t>bewarend beslag</t>
  </si>
  <si>
    <t>32024R1689:101:5:9</t>
  </si>
  <si>
    <t>32024R1689:101:5:10</t>
  </si>
  <si>
    <t>32024R1689:111:2:1</t>
  </si>
  <si>
    <t>32024R1689:111:3:2</t>
  </si>
  <si>
    <t>32024R1689:112:1:1</t>
  </si>
  <si>
    <t>of de lijst van bijlage III en de lijst van de verboden AI-praktijken in artikel 5 moeten worden gewijzigd</t>
  </si>
  <si>
    <t>of de lijst en de lijst van de verboden AI-praktijken moeten worden gewijzigd</t>
  </si>
  <si>
    <t>32024R1689:112:1:2</t>
  </si>
  <si>
    <t>de bevindingen van die beoordeling</t>
  </si>
  <si>
    <t>bevindingen van die beoordeling</t>
  </si>
  <si>
    <t>uitspraak van het Hof</t>
  </si>
  <si>
    <t>32024R1689:112:2:3</t>
  </si>
  <si>
    <t>een evaluatie</t>
  </si>
  <si>
    <t>evaluatie</t>
  </si>
  <si>
    <t>32024R1689:112:2:4</t>
  </si>
  <si>
    <t>32024R1689:112:3:5</t>
  </si>
  <si>
    <t>een verslag</t>
  </si>
  <si>
    <t>32024R1689:112:3:6</t>
  </si>
  <si>
    <t>een beoordeling van de structuur van de handhaving en de eventuele noodzaak van een Agentschap van de Unie om vastgestelde tekortkomingen op te lossen</t>
  </si>
  <si>
    <t>beoordeling van de structuur van de handhaving en de eventuele noodzaak van een Agentschap van de Unie om vastgestelde tekortkomingen op te lossen</t>
  </si>
  <si>
    <t>32024R1689:112:3:7</t>
  </si>
  <si>
    <t>een voorstel tot wijziging van deze verordening</t>
  </si>
  <si>
    <t>voorstel tot wijziging</t>
  </si>
  <si>
    <t>voorstel (EU)</t>
  </si>
  <si>
    <t>32024R1689:112:3:8</t>
  </si>
  <si>
    <t>32024R1689:112:5:9</t>
  </si>
  <si>
    <t>de werking van het AI-bureau, de vraag of het Bureau voldoende bevoegdheden heeft gekregen om zijn taken uit te voeren en of het voor de correcte uitvoering en handhaving van deze verordening relevant en noodzakelijk zou zijn om het AI-bureau en zijn handhavingsbevoegdheden op te schalen en zijn middelen uit te breiden</t>
  </si>
  <si>
    <t>werking van het AI-bureau, de vraag of het Bureau voldoende bevoegdheden heeft gekregen om zijn taken uit te voeren en of het voor de correcte uitvoering en handhaving relevant en noodzakelijk zou zijn om het AI-bureau en zijn handhavingsbevoegdheden op te schalen en zijn middelen uit te breiden</t>
  </si>
  <si>
    <t>32024R1689:112:6:11</t>
  </si>
  <si>
    <t>32024R1689:112:6:12</t>
  </si>
  <si>
    <t>of verdere al dan niet bindende maatregelen of acties nodig zijn</t>
  </si>
  <si>
    <t>32024R1689:112:6:13</t>
  </si>
  <si>
    <t>Dit verslag</t>
  </si>
  <si>
    <t>32024R1689:112:6:14</t>
  </si>
  <si>
    <t>32024R1689:112:7:15</t>
  </si>
  <si>
    <t>de impact en de doeltreffendheid van vrijwillige gedragscodes</t>
  </si>
  <si>
    <t>impact en de doeltreffendheid van vrijwillige gedragscodes</t>
  </si>
  <si>
    <t>32024R1689:112:8:16</t>
  </si>
  <si>
    <t>standpunten | bevindingen van de AI-board | Europees Parlement | Raad | van andere relevante instanties of bronnen</t>
  </si>
  <si>
    <t>32024R1689:112:10:18</t>
  </si>
  <si>
    <t>passende voorstellen</t>
  </si>
  <si>
    <t>32024R1689:112:11:19</t>
  </si>
  <si>
    <t>een objectieve en participatieve methodologie</t>
  </si>
  <si>
    <t>objectieve en participatieve methodologie</t>
  </si>
  <si>
    <t>onderzoeksmethode</t>
  </si>
  <si>
    <t>32024R1689:112:12:20</t>
  </si>
  <si>
    <t>de regelgevingsspecificaties van elke sector, met de bestaande mechanismen voor governance, conformiteitsbeoordeling en handhaving en met de autoriteiten die daarin zijn vastgesteld</t>
  </si>
  <si>
    <t>regelgevingsspecificaties van elke sector, met de bestaande mechanismen voor governance, conformiteitsbeoordeling en handhaving en met de autoriteiten die zijn vastgesteld</t>
  </si>
  <si>
    <t>32024R1689:112:13:21</t>
  </si>
  <si>
    <t>een beoordeling</t>
  </si>
  <si>
    <t>32024R1689:112:13:22</t>
  </si>
  <si>
    <t>32024R1689:112:13:23</t>
  </si>
  <si>
    <t>dit verslag</t>
  </si>
  <si>
    <t>32016R0679:5:2:1</t>
  </si>
  <si>
    <t>verantwoordelijk voor de naleving van lid 1</t>
  </si>
  <si>
    <t>verantwoordelijk voor de naleving</t>
  </si>
  <si>
    <t>nalevingsgerichte controle</t>
  </si>
  <si>
    <t>nalatenschap</t>
  </si>
  <si>
    <t>nalevingsachterstand</t>
  </si>
  <si>
    <t>32016R0679:5:2:2</t>
  </si>
  <si>
    <t>32016R0679:6:3:1</t>
  </si>
  <si>
    <t>De rechtsgrond voor de in lid 1, punten c) en e), bedoelde verwerking</t>
  </si>
  <si>
    <t>rechtsgrond voor de verwerking</t>
  </si>
  <si>
    <t>recht op verplaatsing</t>
  </si>
  <si>
    <t>32016R0679:6:3:2</t>
  </si>
  <si>
    <t>Het doel van de verwerking</t>
  </si>
  <si>
    <t>doel van de verwerking</t>
  </si>
  <si>
    <t>32016R0679:6:3:3</t>
  </si>
  <si>
    <t>aan een doelstelling van algemeen belang</t>
  </si>
  <si>
    <t>doelstelling van algemeen belang</t>
  </si>
  <si>
    <t>32016R0679:6:3:4</t>
  </si>
  <si>
    <t>evenredig</t>
  </si>
  <si>
    <t>evenredige vertegenwoordiging</t>
  </si>
  <si>
    <t>32016R0679:6:3:5</t>
  </si>
  <si>
    <t>specifieke bepalingen</t>
  </si>
  <si>
    <t>bijzondere wetgevingsprocedure</t>
  </si>
  <si>
    <t>32016R0679:6:4:6</t>
  </si>
  <si>
    <t>32016R0679:7:1:1</t>
  </si>
  <si>
    <t>dat de betrokkene toestemming heeft gegeven voor de verwerking van zijn persoonsgegevens</t>
  </si>
  <si>
    <t>betrokkene toestemming heeft gegeven voor de verwerking van zijn persoonsgegevens</t>
  </si>
  <si>
    <t>32016R0679:7:3:3</t>
  </si>
  <si>
    <t>hij</t>
  </si>
  <si>
    <t>32016R0679:7:3:4</t>
  </si>
  <si>
    <t>even eenvoudig</t>
  </si>
  <si>
    <t>toestemming tot toestemming | machtiging</t>
  </si>
  <si>
    <t>32016R0679:8:1:2</t>
  </si>
  <si>
    <t>in een lagere leeftijd</t>
  </si>
  <si>
    <t>lagere leeftijd</t>
  </si>
  <si>
    <t>minimumleeftijd</t>
  </si>
  <si>
    <t>leeftijdsklasse</t>
  </si>
  <si>
    <t>32016R0679:8:1:3</t>
  </si>
  <si>
    <t>ten minste 16 jaar</t>
  </si>
  <si>
    <t>16 jaar</t>
  </si>
  <si>
    <t>minderjarige</t>
  </si>
  <si>
    <t>32016R0679:8:2:4</t>
  </si>
  <si>
    <t>redelijke inspanningen</t>
  </si>
  <si>
    <t>Verwerking van persoonsgegevens waaruit ras of etnische afkomst, politieke opvattingen, religieuze of levensbeschouwelijke overtuigingen, of het lidmaatschap van een vakbond blijkenmet betrekking tot iemands seksueel gedrag of seksuele gerichtheid | verwerking van genetische gegevens, biometrische gegevens met het oog op de unieke identificatie van een persoon | gegevens over gezondheid, of gegevens</t>
  </si>
  <si>
    <t>gezondheid</t>
  </si>
  <si>
    <t>32016R0679:9:2:2</t>
  </si>
  <si>
    <t>32016R0679:9:3:3</t>
  </si>
  <si>
    <t>De in lid 1 bedoelde persoonsgegevens</t>
  </si>
  <si>
    <t>32016R0679:9:4:4</t>
  </si>
  <si>
    <t>bijkomende voorwaarden, waaronder beperkingen</t>
  </si>
  <si>
    <t>overeenkomst inzake beperking</t>
  </si>
  <si>
    <t>gebied met specifieke beperkingen</t>
  </si>
  <si>
    <t>Persoonsgegevens betreffende strafrechtelijke veroordelingen | strafbare feiten | daarmee verband houdende veiligheidsmaatregelen</t>
  </si>
  <si>
    <t>strafsanctie</t>
  </si>
  <si>
    <t>32016R0679:11:1:1</t>
  </si>
  <si>
    <t>aanvullende gegevens ter identificatie van de betrokkene bij te houden, te verkrijgen of te verwerken</t>
  </si>
  <si>
    <t>32016R0679:11:2:2</t>
  </si>
  <si>
    <t>de betrokkene</t>
  </si>
  <si>
    <t>betrokkene</t>
  </si>
  <si>
    <t>betrokkenheid van burgers</t>
  </si>
  <si>
    <t>politieke betrokkenheid</t>
  </si>
  <si>
    <t>participatie</t>
  </si>
  <si>
    <t>32016R0679:11:2:3</t>
  </si>
  <si>
    <t>32016R0679:12:2:1</t>
  </si>
  <si>
    <t>gevolg te geven aan het verzoek van de betrokkene om diens rechten uit hoofde van de artikelen 15 tot en met 22 uit te oefenen</t>
  </si>
  <si>
    <t>gevolg te geven aan het verzoek van de betrokkene om diens rechten uit te oefenen</t>
  </si>
  <si>
    <t>beschikking van de Raad</t>
  </si>
  <si>
    <t>32016R0679:12:2:2</t>
  </si>
  <si>
    <t>de uitoefening van de rechten van de betrokkene uit hoofde van de artikelen 15 tot en met 22</t>
  </si>
  <si>
    <t>uitoefening van de rechten van de betrokkene</t>
  </si>
  <si>
    <t>rechten van het individu</t>
  </si>
  <si>
    <t>rechten van de verdachte</t>
  </si>
  <si>
    <t>aantasting van de rechten van de mens</t>
  </si>
  <si>
    <t>32016R0679:12:3:3</t>
  </si>
  <si>
    <t>informatie over het gevolg dat aan het verzoek is gegeven</t>
  </si>
  <si>
    <t>32016R0679:12:3:4</t>
  </si>
  <si>
    <t>32016R0679:12:3:5</t>
  </si>
  <si>
    <t>de informatie</t>
  </si>
  <si>
    <t>32016R0679:12:3:6</t>
  </si>
  <si>
    <t>die termijn</t>
  </si>
  <si>
    <t>termijn</t>
  </si>
  <si>
    <t>termijncontract</t>
  </si>
  <si>
    <t>termijndeposito</t>
  </si>
  <si>
    <t>32016R0679:12:4:7</t>
  </si>
  <si>
    <t>waarom het verzoek zonder gevolg is gebleven</t>
  </si>
  <si>
    <t>32016R0679:12:4:8</t>
  </si>
  <si>
    <t>de mogelijkheid om klacht in te dienen bij een toezichthoudende autoriteit en beroep bij de rechter in te stellen</t>
  </si>
  <si>
    <t>mogelijkheid om klacht in te dienen bij een toezichthoudende autoriteit en beroep bij de rechter in te stellen</t>
  </si>
  <si>
    <t>beroep bij het Hof van justitie</t>
  </si>
  <si>
    <t>32016R0679:12:5:9</t>
  </si>
  <si>
    <t>een redelijke vergoeding</t>
  </si>
  <si>
    <t>redelijke vergoeding</t>
  </si>
  <si>
    <t>32016R0679:12:5:10</t>
  </si>
  <si>
    <t>gevolg te geven aan het verzoek</t>
  </si>
  <si>
    <t>verzoek om financiële steun</t>
  </si>
  <si>
    <t>32016R0679:12:5:11</t>
  </si>
  <si>
    <t>de kennelijk ongegronde of buitensporige aard van het verzoek</t>
  </si>
  <si>
    <t>kennelijk ongegronde of buitensporige aard van het verzoek</t>
  </si>
  <si>
    <t>beroep tot nietigverklaring</t>
  </si>
  <si>
    <t>buitengewone rechtspraak</t>
  </si>
  <si>
    <t>beroep wegens nalatigheid</t>
  </si>
  <si>
    <t>32016R0679:12:5:12</t>
  </si>
  <si>
    <t>Het verstrekken van de in de artikelen 13 en 14 bedoelde informatie, en het verstrekken van de communicatie en het treffen van de maatregelen bedoeld in de artikelen 15 tot en met 22 en artikel 34</t>
  </si>
  <si>
    <t>informatie, en het verstrekken van de communicatie en het treffen van de maatregelen</t>
  </si>
  <si>
    <t>32016R0679:12:6:13</t>
  </si>
  <si>
    <t>aanvullende informatie</t>
  </si>
  <si>
    <t>32016R0679:12:7:14</t>
  </si>
  <si>
    <t>machineleesbaar</t>
  </si>
  <si>
    <t>machinetaal</t>
  </si>
  <si>
    <t>machineontwerp</t>
  </si>
  <si>
    <t>32016R0679:12:7:15</t>
  </si>
  <si>
    <t>De krachtens de artikelen 13 en 14 aan betrokkenen te verstrekken informatie</t>
  </si>
  <si>
    <t>aan betrokkenen te verstrekken informatie</t>
  </si>
  <si>
    <t>32016R0679:12:8:16</t>
  </si>
  <si>
    <t>32016R0679:13:1:1</t>
  </si>
  <si>
    <t>de volgende informatie</t>
  </si>
  <si>
    <t>identiteit | contactgegevens van de verwerkingsverantwoordelijke | in voorkomend geval, van de vertegenwoordiger van de verwerkingsverantwoordelijke</t>
  </si>
  <si>
    <t>persoonlijke identiteit</t>
  </si>
  <si>
    <t>culturele identiteit</t>
  </si>
  <si>
    <t>32016R0679:13:1:3</t>
  </si>
  <si>
    <t>de contactgegevens van de functionaris voor gegevensbescherming</t>
  </si>
  <si>
    <t>contactgegevens van de functionaris voor gegevensbescherming</t>
  </si>
  <si>
    <t>Europese Toezichthouder voor gegevensbescherming</t>
  </si>
  <si>
    <t>32016R0679:13:1:4</t>
  </si>
  <si>
    <t>de verwerkingsdoeleinden waarvoor de persoonsgegevens zijn bestemd, alsook de rechtsgrond voor de verwerking</t>
  </si>
  <si>
    <t>verwerkingsdoeleinden waarvoor de persoonsgegevens zijn bestemd, alsook de rechtsgrond voor de verwerking</t>
  </si>
  <si>
    <t>32016R0679:13:1:5</t>
  </si>
  <si>
    <t>de gerechtvaardigde belangen van de verwerkingsverantwoordelijke of van een derde</t>
  </si>
  <si>
    <t>gerechtvaardigde belangen van de verwerkingsverantwoordelijke of van een derde</t>
  </si>
  <si>
    <t>recht op een doeltreffende voorziening in rechte</t>
  </si>
  <si>
    <t>32016R0679:13:1:6</t>
  </si>
  <si>
    <t>de ontvangers of categorieën van ontvangers van de persoonsgegevens</t>
  </si>
  <si>
    <t>ontvangers | categorieën van ontvangers van de persoonsgegevens</t>
  </si>
  <si>
    <t>ontvanger</t>
  </si>
  <si>
    <t>ontvanger van hulp</t>
  </si>
  <si>
    <t>32016R0679:13:1:7</t>
  </si>
  <si>
    <t>dat de verwerkingsverantwoordelijke het voornemen heeft de persoonsgegevens door te geven aan een derde land of een internationale organisatie; of er al dan niet een adequaatheidsbesluit van de Commissie bestaat; of, in het geval van in artikel 46, artikel 47 of artikel 49, lid 1, tweede alinea, bedoelde doorgiften, welke de passende of geschikte waarborgen zijn, hoe er een kopie van kan worden verkregen of waar ze kunnen worden geraadpleegd</t>
  </si>
  <si>
    <t>verwerkingsverantwoordelijke het voornemen heeft de persoonsgegevens door te geven aan een derde land of een internationale organisatie; of er al dan niet een adequaatheidsbesluit van de Commissie bestaat; of, in het geval van of artikel 49, lid 1, tweede alinea, bedoelde doorgiften, welke de passende of geschikte waarborgen zijn, hoe er een kopie van kan worden verkregen of waar ze kunnen worden geraadpleegd</t>
  </si>
  <si>
    <t>32016R0679:13:3:8</t>
  </si>
  <si>
    <t>informatie over dat andere doel en alle relevante verdere informatie als bedoeld in lid 2</t>
  </si>
  <si>
    <t>informatie over dat andere doel en alle relevante verdere informatie</t>
  </si>
  <si>
    <t>32016R0679:13:4:9</t>
  </si>
  <si>
    <t>De leden 1, 2 en 3</t>
  </si>
  <si>
    <t>32016R0679:14:1:1</t>
  </si>
  <si>
    <t>32016R0679:14:1:2</t>
  </si>
  <si>
    <t>32016R0679:14:1:3</t>
  </si>
  <si>
    <t>32016R0679:14:1:4</t>
  </si>
  <si>
    <t>de verwerkingsdoeleinden waarvoor de persoonsgegevens zijn bestemd, en de rechtsgrond voor de verwerking</t>
  </si>
  <si>
    <t>verwerkingsdoeleinden waarvoor de persoonsgegevens zijn bestemd, en de rechtsgrond voor de verwerking</t>
  </si>
  <si>
    <t>32016R0679:14:1:5</t>
  </si>
  <si>
    <t>de betrokken categorieën van persoonsgegevens</t>
  </si>
  <si>
    <t>categorieën van persoonsgegevens</t>
  </si>
  <si>
    <t>32016R0679:14:1:6</t>
  </si>
  <si>
    <t>32016R0679:14:2:8</t>
  </si>
  <si>
    <t>32016R0679:14:3:9</t>
  </si>
  <si>
    <t>de in de leden 1 en 2 bedoelde informatie</t>
  </si>
  <si>
    <t>32016R0679:14:4:10</t>
  </si>
  <si>
    <t>32016R0679:14:5:11</t>
  </si>
  <si>
    <t>32016R0679:14:5:12</t>
  </si>
  <si>
    <t>het verstrekken van die informatie</t>
  </si>
  <si>
    <t>32016R0679:14:5:13</t>
  </si>
  <si>
    <t>32016R0679:14:5:14</t>
  </si>
  <si>
    <t>het verkrijgen of verstrekken van de gegevens</t>
  </si>
  <si>
    <t>verkrijgen of verstrekken van de gegevens</t>
  </si>
  <si>
    <t>doorgeven van informatie</t>
  </si>
  <si>
    <t>32016R0679:14:5:15</t>
  </si>
  <si>
    <t>32016R0679:15:1:1</t>
  </si>
  <si>
    <t>uitsluitsel</t>
  </si>
  <si>
    <t>uitsluiting</t>
  </si>
  <si>
    <t>opsluiting</t>
  </si>
  <si>
    <t>32016R0679:15:1:2</t>
  </si>
  <si>
    <t>die persoonsgegevens en van de volgende informatie</t>
  </si>
  <si>
    <t>persoonsgegevens | van de volgende informatie</t>
  </si>
  <si>
    <t>32016R0679:15:2:3</t>
  </si>
  <si>
    <t>de passende waarborgen</t>
  </si>
  <si>
    <t>passende waarborgen</t>
  </si>
  <si>
    <t>32016R0679:15:3:4</t>
  </si>
  <si>
    <t>een kopie van de persoonsgegevens die worden verwerkt</t>
  </si>
  <si>
    <t>kopie van de persoonsgegevens die worden verwerkt</t>
  </si>
  <si>
    <t>32016R0679:15:3:5</t>
  </si>
  <si>
    <t>32016R0679:15:3:6</t>
  </si>
  <si>
    <t>32016R0679:16:whole:1</t>
  </si>
  <si>
    <t>rectificatie van hem betreffende onjuiste persoonsgegevens</t>
  </si>
  <si>
    <t>richtlijn inzake het hergebruik van overheidsinformatie.</t>
  </si>
  <si>
    <t>32016R0679:16:whole:2</t>
  </si>
  <si>
    <t>vervollediging van onvolledige persoonsgegevens</t>
  </si>
  <si>
    <t>diefstal van identiteit</t>
  </si>
  <si>
    <t>misbruik van bevoegdheid</t>
  </si>
  <si>
    <t>onbegeleide minderjarige</t>
  </si>
  <si>
    <t>32016R0679:16:whole:3</t>
  </si>
  <si>
    <t>een aanvullende verklaring</t>
  </si>
  <si>
    <t>aanvullende verklaring</t>
  </si>
  <si>
    <t>aanvullende uitkering</t>
  </si>
  <si>
    <t>aanvullende begroting</t>
  </si>
  <si>
    <t>32016R0679:17:1:1</t>
  </si>
  <si>
    <t>wissing van hem betreffende persoonsgegevens</t>
  </si>
  <si>
    <t>32016R0679:17:1:2</t>
  </si>
  <si>
    <t>32016R0679:17:3:3</t>
  </si>
  <si>
    <t>De leden 1 en 2</t>
  </si>
  <si>
    <t>32016R0679:18:1:1</t>
  </si>
  <si>
    <t>de beperking van de verwerking</t>
  </si>
  <si>
    <t>beperking van de verwerking</t>
  </si>
  <si>
    <t>beperking van commercialisering</t>
  </si>
  <si>
    <t>32016R0679:18:2:2</t>
  </si>
  <si>
    <t>32016R0679:18:3:3</t>
  </si>
  <si>
    <t>Een betrokkene die overeenkomstig lid 1 een beperking van de verwerking heeft verkregen</t>
  </si>
  <si>
    <t>betrokkene die een beperking van de verwerking heeft verkregen</t>
  </si>
  <si>
    <t>beperking op het auteursrecht</t>
  </si>
  <si>
    <t>32016R0679:19:whole:1</t>
  </si>
  <si>
    <t>iedere ontvanger aan wie persoonsgegevens zijn verstrekt</t>
  </si>
  <si>
    <t>32016R0679:19:whole:2</t>
  </si>
  <si>
    <t>informatie over deze ontvangers</t>
  </si>
  <si>
    <t>32016R0679:20:1:1</t>
  </si>
  <si>
    <t>de hem betreffende persoonsgegevens, die hij aan een verwerkingsverantwoordelijke heeft verstrekt</t>
  </si>
  <si>
    <t>hem betreffende persoonsgegevens, die hij aan een verwerkingsverantwoordelijke heeft verstrekt</t>
  </si>
  <si>
    <t>32016R0679:20:1:2</t>
  </si>
  <si>
    <t>die gegevens</t>
  </si>
  <si>
    <t>32016R0679:20:1:3</t>
  </si>
  <si>
    <t>32016R0679:20:2:4</t>
  </si>
  <si>
    <t>32016R0679:20:3:5</t>
  </si>
  <si>
    <t>dat recht</t>
  </si>
  <si>
    <t>recht</t>
  </si>
  <si>
    <t>32016R0679:21:1:1</t>
  </si>
  <si>
    <t>de verwerking van hem betreffende persoonsgegevens</t>
  </si>
  <si>
    <t>verwerking van hem betreffende persoonsgegevens</t>
  </si>
  <si>
    <t>32016R0679:21:1:2</t>
  </si>
  <si>
    <t>de verwerking van de persoonsgegevens</t>
  </si>
  <si>
    <t>verwerking van de persoonsgegevens</t>
  </si>
  <si>
    <t>32016R0679:21:2:3</t>
  </si>
  <si>
    <t>de verwerking van hem betreffende persoonsgegevens voor dergelijke marketing, met inbegrip van profilering die betrekking heeft op direct marketing</t>
  </si>
  <si>
    <t>verwerking van hem betreffende persoonsgegevens voor dergelijke marketing, met inbegrip van profilering die betrekking heeft op direct marketing</t>
  </si>
  <si>
    <t>32016R0679:21:3:4</t>
  </si>
  <si>
    <t>32016R0679:21:5:5</t>
  </si>
  <si>
    <t>zijn recht van bezwaar</t>
  </si>
  <si>
    <t>recht van bezwaar</t>
  </si>
  <si>
    <t>32016R0679:21:6:6</t>
  </si>
  <si>
    <t>32016R0679:22:1:1</t>
  </si>
  <si>
    <t>een uitsluitend op geautomatiseerde verwerking, waaronder profilering, gebaseerd besluit</t>
  </si>
  <si>
    <t>op geautomatiseerde verwerking, waaronder profilering, gebaseerd besluit</t>
  </si>
  <si>
    <t>32016R0679:22:4:2</t>
  </si>
  <si>
    <t>De in lid 2 bedoelde besluiten</t>
  </si>
  <si>
    <t>32016R0679:23:1:1</t>
  </si>
  <si>
    <t>De reikwijdte van de verplichtingen en rechten als bedoeld in de artikelen 12 tot en met 22 en artikel 34, alsmede in artikel 5</t>
  </si>
  <si>
    <t>reikwijdte van de verplichtingen en rechten</t>
  </si>
  <si>
    <t>32016R0679:23:2:2</t>
  </si>
  <si>
    <t>32016R0679:24:1:1</t>
  </si>
  <si>
    <t>32016R0679:24:1:2</t>
  </si>
  <si>
    <t>dat de verwerking in overeenstemming met deze verordening wordt uitgevoerd</t>
  </si>
  <si>
    <t>verwerking in overeenstemming met deze verordening wordt uitgevoerd</t>
  </si>
  <si>
    <t>32016R0679:24:1:3</t>
  </si>
  <si>
    <t>Die maatregelen</t>
  </si>
  <si>
    <t>32016R0679:24:1:4</t>
  </si>
  <si>
    <t>32016R0679:24:2:5</t>
  </si>
  <si>
    <t>een passend gegevensbeschermingsbeleid</t>
  </si>
  <si>
    <t>32016R0679:25:1:1</t>
  </si>
  <si>
    <t>32016R0679:25:2:2</t>
  </si>
  <si>
    <t>32016R0679:25:2:3</t>
  </si>
  <si>
    <t>32016R0679:25:2:4</t>
  </si>
  <si>
    <t>32016R0679:25:2:5</t>
  </si>
  <si>
    <t>32016R0679:25:2:6</t>
  </si>
  <si>
    <t>32016R0679:26:2:1</t>
  </si>
  <si>
    <t>welke rol de gezamenlijke verwerkingsverantwoordelijken respectievelijk vervullen, en wat hun respectieve verhouding met de betrokkenen is</t>
  </si>
  <si>
    <t>32016R0679:26:2:2</t>
  </si>
  <si>
    <t>aan de betrokkene</t>
  </si>
  <si>
    <t>32016R0679:26:3:3</t>
  </si>
  <si>
    <t>zijn rechten uit hoofde van deze verordening</t>
  </si>
  <si>
    <t>rechten</t>
  </si>
  <si>
    <t>32016R0679:27:1:1</t>
  </si>
  <si>
    <t>een vertegenwoordiger</t>
  </si>
  <si>
    <t>32016R0679:27:2:2</t>
  </si>
  <si>
    <t>De verplichting vervat in lid 1 van dit artikel</t>
  </si>
  <si>
    <t>32016R0679:27:3:3</t>
  </si>
  <si>
    <t>32016R0679:27:4:4</t>
  </si>
  <si>
    <t>de vertegenwoordiger</t>
  </si>
  <si>
    <t>32016R0679:28:1:1</t>
  </si>
  <si>
    <t>verwerkers</t>
  </si>
  <si>
    <t>verbruiker</t>
  </si>
  <si>
    <t>mijnwerker</t>
  </si>
  <si>
    <t>32016R0679:28:2:3</t>
  </si>
  <si>
    <t>de verwerkingsverantwoordelijke</t>
  </si>
  <si>
    <t>verwerkingsverantwoordelijke</t>
  </si>
  <si>
    <t>verwerkingsindustrie</t>
  </si>
  <si>
    <t>uitvoerende bevoegdheid</t>
  </si>
  <si>
    <t>32016R0679:28:2:4</t>
  </si>
  <si>
    <t>de mogelijkheid</t>
  </si>
  <si>
    <t>32016R0679:28:4:5</t>
  </si>
  <si>
    <t>voor het nakomen van de verplichtingen van die andere verwerker</t>
  </si>
  <si>
    <t>verplichtingen van die andere verwerker</t>
  </si>
  <si>
    <t>32016R0679:28:4:6</t>
  </si>
  <si>
    <t>dezelfde verplichtingen inzake gegevensbescherming</t>
  </si>
  <si>
    <t>32016R0679:28:4:7</t>
  </si>
  <si>
    <t>afdoende garanties met betrekking tot het toepassen van passende technische en organisatorische maatregelen</t>
  </si>
  <si>
    <t>garantie</t>
  </si>
  <si>
    <t>32016R0679:28:6:8</t>
  </si>
  <si>
    <t>op de in de leden 7 en 8 van dit artikel bedoelde standaardcontractbepalingen</t>
  </si>
  <si>
    <t>standaardcontractbepalingen</t>
  </si>
  <si>
    <t>standaardopbrengst</t>
  </si>
  <si>
    <t>ondertekening van een contract</t>
  </si>
  <si>
    <t>32016R0679:28:7:9</t>
  </si>
  <si>
    <t>32016R0679:28:8:10</t>
  </si>
  <si>
    <t>32016R0679:28:9:11</t>
  </si>
  <si>
    <t>De in de leden 3 en 4 bedoelde overeenkomst of andere rechtshandeling</t>
  </si>
  <si>
    <t>overeenkomst | rechtshandeling</t>
  </si>
  <si>
    <t>overeenkomst (EU)</t>
  </si>
  <si>
    <t>rechtshandeling van de EU</t>
  </si>
  <si>
    <t>mishandeling</t>
  </si>
  <si>
    <t>32016R0679:30:1:1</t>
  </si>
  <si>
    <t>een register van de verwerkingsactiviteiten die onder hun verantwoordelijkheid plaatsvinden</t>
  </si>
  <si>
    <t>register van de verwerkingsactiviteiten die onder hun verantwoordelijkheid plaatsvinden</t>
  </si>
  <si>
    <t>32016R0679:30:1:2</t>
  </si>
  <si>
    <t>alle volgende gegevens</t>
  </si>
  <si>
    <t>32016R0679:30:2:3</t>
  </si>
  <si>
    <t>een register van alle categorieën van verwerkingsactiviteiten die zij ten behoeve van een verwerkingsverantwoordelijke hebben verricht</t>
  </si>
  <si>
    <t>register van alle categorieën van verwerkingsactiviteiten die zij ten behoeve van een verwerkingsverantwoordelijke hebben verricht</t>
  </si>
  <si>
    <t>32016R0679:30:2:4</t>
  </si>
  <si>
    <t>de volgende gegevens</t>
  </si>
  <si>
    <t>32016R0679:30:3:5</t>
  </si>
  <si>
    <t>Het in de leden 1 en 2 bedoelde register</t>
  </si>
  <si>
    <t>reserve</t>
  </si>
  <si>
    <t>zaakregister</t>
  </si>
  <si>
    <t>protest</t>
  </si>
  <si>
    <t>32016R0679:30:4:6</t>
  </si>
  <si>
    <t>het register</t>
  </si>
  <si>
    <t>32016R0679:30:5:7</t>
  </si>
  <si>
    <t>De in de leden 1 en 2 bedoelde verplichtingen</t>
  </si>
  <si>
    <t>32016R0679:31:whole:1</t>
  </si>
  <si>
    <t>32016R0679:32:1:1</t>
  </si>
  <si>
    <t>32016R0679:32:4:2</t>
  </si>
  <si>
    <t>32016R0679:32:4:3</t>
  </si>
  <si>
    <t>32016R0679:33:1:1</t>
  </si>
  <si>
    <t>32016R0679:33:1:2</t>
  </si>
  <si>
    <t>32016R0679:33:2:3</t>
  </si>
  <si>
    <t>32016R0679:33:4:4</t>
  </si>
  <si>
    <t>32016R0679:33:5:5</t>
  </si>
  <si>
    <t>alle inbreuken in verband met persoonsgegevens, met inbegrip van de feiten omtrent de inbreuk in verband met persoonsgegevens, de gevolgen daarvan en de genomen corrigerende maatregelen</t>
  </si>
  <si>
    <t>inbreuken in verband met persoonsgegevens, met inbegrip van de feiten omtrent de inbreuk in verband met persoonsgegevens, de gevolgen en de genomen corrigerende maatregelen</t>
  </si>
  <si>
    <t>inbreuk op de informatiebeveiliging</t>
  </si>
  <si>
    <t>32016R0679:33:5:6</t>
  </si>
  <si>
    <t>de toezichthoudende autoriteit</t>
  </si>
  <si>
    <t>toezichthoudende autoriteit</t>
  </si>
  <si>
    <t>32016R0679:34:2:2</t>
  </si>
  <si>
    <t>een omschrijving, in duidelijke en eenvoudige taal, van de aard van de inbreuk in verband met persoonsgegevens en ten minste de in artikel 33, lid 3, onder b), c) en d), bedoelde gegevens en maatregelen</t>
  </si>
  <si>
    <t>omschrijving, in duidelijke en eenvoudige taal, van de aard van de inbreuk in verband met persoonsgegevens en ten minste de gegevens en maatregelen</t>
  </si>
  <si>
    <t>32016R0679:34:4:3</t>
  </si>
  <si>
    <t>32016R0679:34:4:4</t>
  </si>
  <si>
    <t>dat aan een van de in lid 3 bedoelde voorwaarden is voldaan</t>
  </si>
  <si>
    <t>aan een van de voorwaarden is voldaan</t>
  </si>
  <si>
    <t>32016R0679:35:1:1</t>
  </si>
  <si>
    <t>32016R0679:35:2:2</t>
  </si>
  <si>
    <t>diens advies</t>
  </si>
  <si>
    <t>32016R0679:35:4:3</t>
  </si>
  <si>
    <t>een lijst</t>
  </si>
  <si>
    <t>32016R0679:35:4:4</t>
  </si>
  <si>
    <t>32016R0679:35:4:5</t>
  </si>
  <si>
    <t>die lijsten</t>
  </si>
  <si>
    <t>lijsten</t>
  </si>
  <si>
    <t>32016R0679:35:5:6</t>
  </si>
  <si>
    <t>32016R0679:35:5:7</t>
  </si>
  <si>
    <t>32016R0679:35:5:8</t>
  </si>
  <si>
    <t>deze lijst</t>
  </si>
  <si>
    <t>32016R0679:35:6:9</t>
  </si>
  <si>
    <t>het in artikel 63 bedoelde coherentiemechanisme</t>
  </si>
  <si>
    <t>coherentiemechanisme</t>
  </si>
  <si>
    <t>conditionaliteitsmechanisme</t>
  </si>
  <si>
    <t>prijsmechanisme</t>
  </si>
  <si>
    <t>32016R0679:35:7:10</t>
  </si>
  <si>
    <t>ten minste</t>
  </si>
  <si>
    <t>32016R0679:35:7:11</t>
  </si>
  <si>
    <t>een systematische beschrijving van de beoogde verwerkingen en de verwerkingsdoeleinden, waaronder, in voorkomend geval, de gerechtvaardigde belangen die door de verwerkingsverantwoordelijke worden behartigd</t>
  </si>
  <si>
    <t>systematische beschrijving van de beoogde verwerkingen en de verwerkingsdoeleinden, waaronder, in voorkomend geval, de gerechtvaardigde belangen die door de verwerkingsverantwoordelijke worden behartigd</t>
  </si>
  <si>
    <t>32016R0679:35:7:12</t>
  </si>
  <si>
    <t>een beoordeling van de noodzaak en de evenredigheid van de verwerkingen met betrekking tot de doeleinden</t>
  </si>
  <si>
    <t>beoordeling van de noodzaak | evenredigheid van de verwerkingen met betrekking tot de doeleinden</t>
  </si>
  <si>
    <t>risicobeoordeling</t>
  </si>
  <si>
    <t>evaluatie van de steun</t>
  </si>
  <si>
    <t>32016R0679:35:7:13</t>
  </si>
  <si>
    <t>een beoordeling van de in lid 1 bedoelde risico's voor de rechten en vrijheden van betrokkenen</t>
  </si>
  <si>
    <t>beoordeling van de risico's voor de rechten en vrijheden van betrokkenen</t>
  </si>
  <si>
    <t>bescherming van de rechten van de mens</t>
  </si>
  <si>
    <t>bescherming van vrijheden</t>
  </si>
  <si>
    <t>32016R0679:35:7:14</t>
  </si>
  <si>
    <t>de 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</si>
  <si>
    <t>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</si>
  <si>
    <t>32016R0679:35:8:15</t>
  </si>
  <si>
    <t>de naleving van de in artikel 40 bedoelde goedgekeurde gedragscodes</t>
  </si>
  <si>
    <t>goedgekeurde gedragscodes</t>
  </si>
  <si>
    <t>gedragspsychologie</t>
  </si>
  <si>
    <t>sociaal gedrag</t>
  </si>
  <si>
    <t>32016R0679:35:9:16</t>
  </si>
  <si>
    <t>32016R0679:35:10:17</t>
  </si>
  <si>
    <t>de leden 1 tot en met 7</t>
  </si>
  <si>
    <t>32016R0679:35:11:18</t>
  </si>
  <si>
    <t>een toetsing</t>
  </si>
  <si>
    <t>toetsing</t>
  </si>
  <si>
    <t>proefneming</t>
  </si>
  <si>
    <t>toelatingsexamen</t>
  </si>
  <si>
    <t>rechterlijke toetsing</t>
  </si>
  <si>
    <t>32016R0679:36:1:1</t>
  </si>
  <si>
    <t>32016R0679:36:3:2</t>
  </si>
  <si>
    <t>32016R0679:36:3:4</t>
  </si>
  <si>
    <t>de doeleinden en de middelen van de voorgenomen verwerking</t>
  </si>
  <si>
    <t>doeleinden | middelen van de voorgenomen verwerking</t>
  </si>
  <si>
    <t>toewijzing van middelen</t>
  </si>
  <si>
    <t>dolfijn</t>
  </si>
  <si>
    <t>32016R0679:36:3:5</t>
  </si>
  <si>
    <t>de maatregelen en waarborgen die worden geboden ter bescherming van de rechten en vrijheden van betrokkenen uit hoofde van deze verordening</t>
  </si>
  <si>
    <t>maatregelen en waarborgen die worden geboden ter bescherming van de rechten en vrijheden van betrokkenen</t>
  </si>
  <si>
    <t>Verdrag tot bescherming van de rechten van de mens en de fundamentele vrijheden</t>
  </si>
  <si>
    <t>32016R0679:36:3:6</t>
  </si>
  <si>
    <t>32016R0679:36:3:7</t>
  </si>
  <si>
    <t>de gegevensbeschermingseffectbeoordeling waarin bij artikel 35 is voorzien</t>
  </si>
  <si>
    <t>gegevensbeschermingseffectbeoordeling waarin is voorzien</t>
  </si>
  <si>
    <t>32016R0679:36:3:8</t>
  </si>
  <si>
    <t>alle andere informatie waar de toezichthoudende autoriteit om verzoekt</t>
  </si>
  <si>
    <t>informatie waar de toezichthoudende autoriteit om verzoekt</t>
  </si>
  <si>
    <t>32016R0679:36:4:9</t>
  </si>
  <si>
    <t>32016R0679:36:5:10</t>
  </si>
  <si>
    <t>overleg</t>
  </si>
  <si>
    <t>overlegprocedure</t>
  </si>
  <si>
    <t>overlegdemocratie</t>
  </si>
  <si>
    <t>sociaal overleg</t>
  </si>
  <si>
    <t>32016R0679:37:1:1</t>
  </si>
  <si>
    <t>een functionaris voor gegevensbescherming</t>
  </si>
  <si>
    <t>functionaris voor gegevensbescherming</t>
  </si>
  <si>
    <t>bescherming van informanten</t>
  </si>
  <si>
    <t>32016R0679:37:2:2</t>
  </si>
  <si>
    <t>één functionaris voor gegevensbescherming</t>
  </si>
  <si>
    <t>32016R0679:37:3:3</t>
  </si>
  <si>
    <t>32016R0679:37:4:4</t>
  </si>
  <si>
    <t>32016R0679:37:4:5</t>
  </si>
  <si>
    <t>32016R0679:37:4:6</t>
  </si>
  <si>
    <t>32016R0679:37:5:7</t>
  </si>
  <si>
    <t>De functionaris voor gegevensbescherming</t>
  </si>
  <si>
    <t>32016R0679:37:6:8</t>
  </si>
  <si>
    <t>een personeelslid van de verwerkingsverantwoordelijke of de verwerker</t>
  </si>
  <si>
    <t>personeelslid van de verwerkingsverantwoordelijke | verwerker</t>
  </si>
  <si>
    <t>personeelslid (EU)</t>
  </si>
  <si>
    <t>32016R0679:37:6:9</t>
  </si>
  <si>
    <t>de taken op grond van een dienstverleningsovereenkomst</t>
  </si>
  <si>
    <t>taken op grond van een dienstverleningsovereenkomst</t>
  </si>
  <si>
    <t>dienstverleningscontract</t>
  </si>
  <si>
    <t>concessieovereenkomsten voor dienstverlening</t>
  </si>
  <si>
    <t>overeenkomst tussen ondernemingen</t>
  </si>
  <si>
    <t>32016R0679:37:7:10</t>
  </si>
  <si>
    <t>32016R0679:37:7:11</t>
  </si>
  <si>
    <t>32016R0679:38:1:1</t>
  </si>
  <si>
    <t>dat de functionaris voor gegevensbescherming naar behoren en tijdig wordt betrokken bij alle aangelegenheden die verband houden met de bescherming van persoonsgegevens</t>
  </si>
  <si>
    <t>functionaris voor gegevensbescherming naar behoren en tijdig wordt betrokken bij alle aangelegenheden die verband houden met de bescherming van persoonsgegevens</t>
  </si>
  <si>
    <t>32016R0679:38:2:2</t>
  </si>
  <si>
    <t>de functionaris voor gegevensbescherming</t>
  </si>
  <si>
    <t>32016R0679:38:2:3</t>
  </si>
  <si>
    <t>toegang</t>
  </si>
  <si>
    <t>toegang tot de eigendom</t>
  </si>
  <si>
    <t>32016R0679:38:2:4</t>
  </si>
  <si>
    <t>de benodigde middelen</t>
  </si>
  <si>
    <t>benodigde middelen</t>
  </si>
  <si>
    <t>aanvullende middelen</t>
  </si>
  <si>
    <t>32016R0679:38:3:5</t>
  </si>
  <si>
    <t>32016R0679:38:3:7</t>
  </si>
  <si>
    <t>32016R0679:38:4:8</t>
  </si>
  <si>
    <t>32016R0679:38:5:9</t>
  </si>
  <si>
    <t>32016R0679:38:6:10</t>
  </si>
  <si>
    <t>andere taken en plichten</t>
  </si>
  <si>
    <t>taken | plichten</t>
  </si>
  <si>
    <t>aak</t>
  </si>
  <si>
    <t>32016R0679:38:6:11</t>
  </si>
  <si>
    <t>deze taken of plichten niet tot een belangenconflict leiden</t>
  </si>
  <si>
    <t>taken of plichten niet tot een belangenconflict leiden</t>
  </si>
  <si>
    <t>32016R0679:39:1:1</t>
  </si>
  <si>
    <t>32016R0679:39:1:2</t>
  </si>
  <si>
    <t>ten minste de volgende taken</t>
  </si>
  <si>
    <t>32016R0679:39:1:3</t>
  </si>
  <si>
    <t>de uitvoering daarvan</t>
  </si>
  <si>
    <t>uitvoering</t>
  </si>
  <si>
    <t>32016R0679:39:1:4</t>
  </si>
  <si>
    <t>als contactpunt</t>
  </si>
  <si>
    <t>contactpunt</t>
  </si>
  <si>
    <t>verkooppunt</t>
  </si>
  <si>
    <t>32016R0679:39:1:5</t>
  </si>
  <si>
    <t>naleving van deze verordening, van andere 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</si>
  <si>
    <t>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</si>
  <si>
    <t>32016R0679:39:1:6</t>
  </si>
  <si>
    <t>32016R0679:39:1:7</t>
  </si>
  <si>
    <t>32016R0679:39:1:8</t>
  </si>
  <si>
    <t>de verwerkingsverantwoordelijke of de verwerker en de werknemers die verwerken</t>
  </si>
  <si>
    <t>verwerkingsverantwoordelijke of de verwerker en de werknemers die verwerken</t>
  </si>
  <si>
    <t>ter beschikking gestelde werknemer</t>
  </si>
  <si>
    <t>varend en vliegend personeel</t>
  </si>
  <si>
    <t>32016R0679:39:2:9</t>
  </si>
  <si>
    <t>het aan verwerkingen verbonden risico</t>
  </si>
  <si>
    <t>aan verwerkingen verbonden risico</t>
  </si>
  <si>
    <t>32016R0679:40:2:2</t>
  </si>
  <si>
    <t>gedragscodes</t>
  </si>
  <si>
    <t>gedrag</t>
  </si>
  <si>
    <t>32016R0679:40:2:3</t>
  </si>
  <si>
    <t>die codes</t>
  </si>
  <si>
    <t>codes</t>
  </si>
  <si>
    <t>codeur</t>
  </si>
  <si>
    <t>32016R0679:40:2:4</t>
  </si>
  <si>
    <t>32016R0679:40:3:5</t>
  </si>
  <si>
    <t>bij overeenkomstig lid 5 van dit artikel goedgekeurde gedragscodes die overeenkomstig lid 9 van dit artikel algemeen geldig zijn verklaard</t>
  </si>
  <si>
    <t>goedgekeurde gedragscodes die algemeen geldig zijn verklaard</t>
  </si>
  <si>
    <t>32016R0679:40:3:6</t>
  </si>
  <si>
    <t>bindende en afdwingbare toezeggingen</t>
  </si>
  <si>
    <t>actief en ondersteund wonen</t>
  </si>
  <si>
    <t>32016R0679:40:4:7</t>
  </si>
  <si>
    <t>mechanismen</t>
  </si>
  <si>
    <t>32016R0679:40:5:8</t>
  </si>
  <si>
    <t>de ontwerpgedragscode, de wijziging of uitbreiding</t>
  </si>
  <si>
    <t>ontwerpgedragscode, de wijziging of uitbreiding</t>
  </si>
  <si>
    <t>wijzigingsvoorstel</t>
  </si>
  <si>
    <t>ontwerp</t>
  </si>
  <si>
    <t>32016R0679:40:5:9</t>
  </si>
  <si>
    <t>32016R0679:40:6:11</t>
  </si>
  <si>
    <t>de gedragscode</t>
  </si>
  <si>
    <t>32016R0679:40:6:12</t>
  </si>
  <si>
    <t>32016R0679:40:7:13</t>
  </si>
  <si>
    <t>32016R0679:40:7:14</t>
  </si>
  <si>
    <t>32016R0679:40:8:15</t>
  </si>
  <si>
    <t>zijn advies</t>
  </si>
  <si>
    <t>32016R0679:40:10:16</t>
  </si>
  <si>
    <t>passende bekendheid</t>
  </si>
  <si>
    <t>eervolle onderscheiding</t>
  </si>
  <si>
    <t>benoemingsbevoegdheid</t>
  </si>
  <si>
    <t>verkiesbaarheid</t>
  </si>
  <si>
    <t>32016R0679:40:11:17</t>
  </si>
  <si>
    <t>alle goedgekeurde gedragscodes, wijzigingen en uitbreidingen</t>
  </si>
  <si>
    <t>goedgekeurde gedragscodes | wijzigingen | uitbreidingen</t>
  </si>
  <si>
    <t>vernieuwing</t>
  </si>
  <si>
    <t>uitbreidingskaart</t>
  </si>
  <si>
    <t>32016R0679:40:11:18</t>
  </si>
  <si>
    <t>32016R0679:41:1:1</t>
  </si>
  <si>
    <t>het op grond van artikel 40 uitgevoerde toezicht op de naleving van een gedragscode</t>
  </si>
  <si>
    <t>uitgevoerde toezicht op de naleving van een gedragscode</t>
  </si>
  <si>
    <t>32016R0679:41:2:2</t>
  </si>
  <si>
    <t>32016R0679:41:2:3</t>
  </si>
  <si>
    <t>zijn onafhankelijkheid en deskundigheid met betrekking tot het onderwerp van de gedragscode</t>
  </si>
  <si>
    <t>onafhankelijkheid met betrekking tot het onderwerp van de gedragscode | deskundigheid</t>
  </si>
  <si>
    <t>beroepsonkundigheid</t>
  </si>
  <si>
    <t>spreekvaardigheid</t>
  </si>
  <si>
    <t>32016R0679:41:2:4</t>
  </si>
  <si>
    <t>32016R0679:41:2:5</t>
  </si>
  <si>
    <t>of de betrokken verwerkingsverantwoordelijken en verwerkers in aanmerking komen om de gedragscode toe te passen</t>
  </si>
  <si>
    <t>32016R0679:41:2:6</t>
  </si>
  <si>
    <t>op de naleving van de bepalingen van de gedragscode door deze laatsten</t>
  </si>
  <si>
    <t>bepalingen van de gedragscode door deze laatsten</t>
  </si>
  <si>
    <t>32016R0679:41:2:7</t>
  </si>
  <si>
    <t>de werking van de gedragscode</t>
  </si>
  <si>
    <t>werking van de gedragscode</t>
  </si>
  <si>
    <t>32016R0679:41:2:8</t>
  </si>
  <si>
    <t>procedures en structuren</t>
  </si>
  <si>
    <t>procedures | structuren</t>
  </si>
  <si>
    <t>32016R0679:41:2:9</t>
  </si>
  <si>
    <t>32016R0679:41:2:10</t>
  </si>
  <si>
    <t>die procedures en structuren</t>
  </si>
  <si>
    <t>32016R0679:41:2:11</t>
  </si>
  <si>
    <t>dat zijn taken en bevoegdheden niet tot een belangenconflict leiden</t>
  </si>
  <si>
    <t>taken en bevoegdheden niet tot een belangenconflict leiden</t>
  </si>
  <si>
    <t>evenwicht tussen de bevoegdheden</t>
  </si>
  <si>
    <t>32016R0679:41:3:12</t>
  </si>
  <si>
    <t>de ontwerpcriteria voor accreditatie van een in lid 1 van dit artikel bedoeld orgaan</t>
  </si>
  <si>
    <t>ontwerpcriteria voor accreditatie van een bedoeld orgaan</t>
  </si>
  <si>
    <t>32016R0679:41:4:13</t>
  </si>
  <si>
    <t>32016R0679:41:4:14</t>
  </si>
  <si>
    <t>32016R0679:41:5:15</t>
  </si>
  <si>
    <t>de accreditatie</t>
  </si>
  <si>
    <t>accreditering</t>
  </si>
  <si>
    <t>acculturatie</t>
  </si>
  <si>
    <t>kwaliteitscertificatie</t>
  </si>
  <si>
    <t>32016R0679:42:1:1</t>
  </si>
  <si>
    <t>de invoering van certificeringsmechanismen voor gegevensbescherming en gegevensbeschermingszegels en -merktekens</t>
  </si>
  <si>
    <t>certificeringsmechanismen voor gegevensbescherming en gegevensbeschermingszegels en -merktekens</t>
  </si>
  <si>
    <t>32016R0679:42:1:2</t>
  </si>
  <si>
    <t>de specifieke behoeften van kleine, middelgrote en micro-ondernemingen</t>
  </si>
  <si>
    <t>specifieke behoeften van kleine, middelgrote en micro-ondernemingen</t>
  </si>
  <si>
    <t>kleine en middelgrote industriële ondernemingen</t>
  </si>
  <si>
    <t>kleine en middelgrote onderneming</t>
  </si>
  <si>
    <t>Uitvoerend Agentschap voor kleine en middelgrote ondernemingen</t>
  </si>
  <si>
    <t>32016R0679:42:6:3</t>
  </si>
  <si>
    <t>de voor de uitvoering van de certificeringsprocedure noodzakelijke informatie</t>
  </si>
  <si>
    <t>voor de uitvoering van de certificeringsprocedure noodzakelijke informatie</t>
  </si>
  <si>
    <t>32016R0679:42:6:4</t>
  </si>
  <si>
    <t>32016R0679:42:7:5</t>
  </si>
  <si>
    <t>Het certificaat</t>
  </si>
  <si>
    <t>certificaat</t>
  </si>
  <si>
    <t>kwaliteitscertificaat</t>
  </si>
  <si>
    <t>citaat</t>
  </si>
  <si>
    <t>32016R0679:42:7:6</t>
  </si>
  <si>
    <t>32016R0679:42:7:7</t>
  </si>
  <si>
    <t>het certificaat</t>
  </si>
  <si>
    <t>certificeringsmechanismen en -merktekens | gegevensbeschermingszegels</t>
  </si>
  <si>
    <t>officieel stempel</t>
  </si>
  <si>
    <t>32016R0679:42:8:9</t>
  </si>
  <si>
    <t>32016R0679:43:1:1</t>
  </si>
  <si>
    <t>tot afgifte en verlenging van het certificaat</t>
  </si>
  <si>
    <t>afgifte van het certificaat | verlenging</t>
  </si>
  <si>
    <t>verzuring</t>
  </si>
  <si>
    <t>verwonding</t>
  </si>
  <si>
    <t>32016R0679:43:1:2</t>
  </si>
  <si>
    <t>die certificeringsorganen worden geaccrediteerd door één van de volgende instanties</t>
  </si>
  <si>
    <t>certificeringsorganen worden geaccrediteerd door één van de volgende instanties</t>
  </si>
  <si>
    <t>32016R0679:43:4:3</t>
  </si>
  <si>
    <t>de juiste beoordeling</t>
  </si>
  <si>
    <t>juiste beoordeling</t>
  </si>
  <si>
    <t>rechtvaardige transitie</t>
  </si>
  <si>
    <t>32016R0679:43:4:4</t>
  </si>
  <si>
    <t>32016R0679:43:4:5</t>
  </si>
  <si>
    <t>32016R0679:43:5:6</t>
  </si>
  <si>
    <t>de redenen voor het afgeven of het intrekken van het aangevraagde certificaat</t>
  </si>
  <si>
    <t>redenen voor het afgeven of het intrekken van het aangevraagde certificaat</t>
  </si>
  <si>
    <t>32016R0679:43:6:7</t>
  </si>
  <si>
    <t>De in lid 3 van dit artikel bedoelde voorschriften en de in artikel 42, lid 5, bedoelde criteria</t>
  </si>
  <si>
    <t>voorschriften | criteria</t>
  </si>
  <si>
    <t>32016R0679:43:6:8</t>
  </si>
  <si>
    <t>die eisen en criteria</t>
  </si>
  <si>
    <t>eisen | criteria</t>
  </si>
  <si>
    <t>certificeringsmechanismen | gegevensbeschermingszegels</t>
  </si>
  <si>
    <t>32016R0679:43:6:10</t>
  </si>
  <si>
    <t>32016R0679:43:7:11</t>
  </si>
  <si>
    <t>de overeenkomstig lid 1 van dit artikel aan een certificeringsorgaan afgegeven accreditatie</t>
  </si>
  <si>
    <t>aan een certificeringsorgaan afgegeven accreditatie</t>
  </si>
  <si>
    <t>32016R0679:43:8:12</t>
  </si>
  <si>
    <t>32016R0679:43:9:13</t>
  </si>
  <si>
    <t>32016R0679:43:9:14</t>
  </si>
  <si>
    <t>32016R0679:44:whole:1</t>
  </si>
  <si>
    <t>Persoonsgegevens</t>
  </si>
  <si>
    <t>publieke gegevens</t>
  </si>
  <si>
    <t>32016R0679:45:1:1</t>
  </si>
  <si>
    <t>Een doorgifte van persoonsgegevens aan een derde land of een internationale organisatie</t>
  </si>
  <si>
    <t>doorgifte van persoonsgegevens aan een derde land of een internationale organisatie</t>
  </si>
  <si>
    <t>32016R0679:45:4:3</t>
  </si>
  <si>
    <t>op ontwikkelingen in derde landen en internationale organisaties</t>
  </si>
  <si>
    <t>ontwikkelingen landen en internationale organisaties</t>
  </si>
  <si>
    <t>internationale organisatie</t>
  </si>
  <si>
    <t>uitbreiding van een internationale organisatie</t>
  </si>
  <si>
    <t>32016R0679:45:5:4</t>
  </si>
  <si>
    <t>32016R0679:45:5:5</t>
  </si>
  <si>
    <t>het in lid 3 van dit artikel bedoelde besluit</t>
  </si>
  <si>
    <t>32016R0679:45:5:6</t>
  </si>
  <si>
    <t>32016R0679:45:6:7</t>
  </si>
  <si>
    <t>32016R0679:46:1:1</t>
  </si>
  <si>
    <t>een doorgifte van persoonsgegevens</t>
  </si>
  <si>
    <t>doorgifte van persoonsgegevens</t>
  </si>
  <si>
    <t>32016R0679:46:2:2</t>
  </si>
  <si>
    <t>De in lid 1 bedoelde passende waarborgen</t>
  </si>
  <si>
    <t>32016R0679:46:3:3</t>
  </si>
  <si>
    <t>de in lid 1 bedoelde passende waarborgen</t>
  </si>
  <si>
    <t>32016R0679:46:3:4</t>
  </si>
  <si>
    <t>32016R0679:46:4:5</t>
  </si>
  <si>
    <t>32016R0679:46:5:6</t>
  </si>
  <si>
    <t>32016R0679:46:5:7</t>
  </si>
  <si>
    <t>32016R0679:47:1:1</t>
  </si>
  <si>
    <t>bindende bedrijfsvoorschriften</t>
  </si>
  <si>
    <t>32016R0679:47:2:2</t>
  </si>
  <si>
    <t>minstens de volgende elementen</t>
  </si>
  <si>
    <t>32016R0679:47:3:3</t>
  </si>
  <si>
    <t>het model en de procedures voor de uitwisseling van informatie over bindende bedrijfsvoorschriften in de zin van dit artikel</t>
  </si>
  <si>
    <t>model | procedures voor de uitwisseling van informatie over bindende bedrijfsvoorschriften</t>
  </si>
  <si>
    <t>32016R0679:47:3:4</t>
  </si>
  <si>
    <t>Deze uitvoeringshandelingen</t>
  </si>
  <si>
    <t>32016R0679:48:whole:1</t>
  </si>
  <si>
    <t>Elke rechterlijke uitspraak en elk besluit van een administratieve autoriteit van een derde land op grond waarvan een verwerkingsverantwoordelijke of een verwerker persoonsgegevens moet doorgeven of verstrekken</t>
  </si>
  <si>
    <t>rechterlijke uitspraak en elk besluit van een administratieve autoriteit van een derde land op grond waarvan een verwerkingsverantwoordelijke of een verwerker persoonsgegevens moet doorgeven of verstrekken</t>
  </si>
  <si>
    <t>taalwetenschap</t>
  </si>
  <si>
    <t>32016R0679:49:1:1</t>
  </si>
  <si>
    <t>32016R0679:49:1:2</t>
  </si>
  <si>
    <t>32016R0679:49:1:3</t>
  </si>
  <si>
    <t>een doorgifte of een reeks van doorgiften van persoonsgegevens</t>
  </si>
  <si>
    <t>doorgifte of een reeks van doorgiften van persoonsgegevens</t>
  </si>
  <si>
    <t>32016R0679:49:2:4</t>
  </si>
  <si>
    <t>alle persoonsgegevens of volledige categorieën van persoonsgegevens die in het register zijn opgeslagen</t>
  </si>
  <si>
    <t>persoonsgegevens of volledige categorieën van persoonsgegevens die in het register zijn opgeslagen</t>
  </si>
  <si>
    <t>32016R0679:49:2:5</t>
  </si>
  <si>
    <t>32016R0679:49:3:6</t>
  </si>
  <si>
    <t>Lid 1, eerste alinea, onder a), b) en c) en tweede alinea</t>
  </si>
  <si>
    <t>32016R0679:49:5:7</t>
  </si>
  <si>
    <t>grenzen</t>
  </si>
  <si>
    <t>grens</t>
  </si>
  <si>
    <t>32016R0679:49:5:8</t>
  </si>
  <si>
    <t>32016R0679:49:6:9</t>
  </si>
  <si>
    <t>de beoordeling en de in lid 1, tweede alinea, van dit artikel bedoelde passende waarborgen</t>
  </si>
  <si>
    <t>beoordeling | passende waarborgen</t>
  </si>
  <si>
    <t>32016R0679:50:whole:1</t>
  </si>
  <si>
    <t>32016R0679:50:whole:3</t>
  </si>
  <si>
    <t>internationale wederzijdse bijstand</t>
  </si>
  <si>
    <t>wederzijdse bijstand</t>
  </si>
  <si>
    <t>internationale hulp</t>
  </si>
  <si>
    <t>Raad voor wederzijdse economische bijstand</t>
  </si>
  <si>
    <t>32016R0679:50:whole:4</t>
  </si>
  <si>
    <t>belanghebbenden</t>
  </si>
  <si>
    <t>belangenconflict</t>
  </si>
  <si>
    <t>algemeen belang</t>
  </si>
  <si>
    <t>32016R0679:50:whole:5</t>
  </si>
  <si>
    <t>de internationale samenwerking bij de handhaving van de wetgeving inzake de bescherming van persoonsgegevens</t>
  </si>
  <si>
    <t>internationale samenwerking bij de handhaving van de wetgeving inzake de bescherming van persoonsgegevens</t>
  </si>
  <si>
    <t>internationaal privaatrecht</t>
  </si>
  <si>
    <t>32016R0679:50:whole:6</t>
  </si>
  <si>
    <t>de uitwisseling en het documenteren van wetgeving en praktijken inzake de bescherming van persoonsgegevens</t>
  </si>
  <si>
    <t>uitwisseling en het documenteren van wetgeving en praktijken inzake de bescherming van persoonsgegevens</t>
  </si>
  <si>
    <t>32016R0679:51:1:1</t>
  </si>
  <si>
    <t>dat één of meer onafhankelijke overheidsinstanties verantwoordelijk zijn voor het toezicht op de toepassing van deze verordening</t>
  </si>
  <si>
    <t>één of meer onafhankelijke overheidsinstanties verantwoordelijk zijn voor het toezicht op de toepassing</t>
  </si>
  <si>
    <t>32016R0679:51:2:2</t>
  </si>
  <si>
    <t>de consequente toepassing van deze verordening in de hele Unie</t>
  </si>
  <si>
    <t>consequente toepassing in de hele Unie</t>
  </si>
  <si>
    <t>toetreding tot de Europese Unie</t>
  </si>
  <si>
    <t>betrekking van de Europese Unie</t>
  </si>
  <si>
    <t>32016R0679:51:2:3</t>
  </si>
  <si>
    <t>32016R0679:51:3:4</t>
  </si>
  <si>
    <t>32016R0679:51:3:5</t>
  </si>
  <si>
    <t>de procedure</t>
  </si>
  <si>
    <t>32016R0679:51:4:6</t>
  </si>
  <si>
    <t>de wettelijke bepalingen die hij overeenkomstig dit hoofdstuk vaststelt</t>
  </si>
  <si>
    <t>wettelijke bepalingen die hij vaststelt</t>
  </si>
  <si>
    <t>32016R0679:51:4:7</t>
  </si>
  <si>
    <t>32016R0679:52:1:1</t>
  </si>
  <si>
    <t>32016R0679:52:2:2</t>
  </si>
  <si>
    <t>32016R0679:52:2:3</t>
  </si>
  <si>
    <t>vrij van al dan niet rechtstreekse externe invloed</t>
  </si>
  <si>
    <t>rechtstreekse werking</t>
  </si>
  <si>
    <t>32016R0679:52:3:4</t>
  </si>
  <si>
    <t>handelingen</t>
  </si>
  <si>
    <t>vondeling</t>
  </si>
  <si>
    <t>32016R0679:52:3:5</t>
  </si>
  <si>
    <t>al dan niet bezoldigde beroepswerkzaamheden</t>
  </si>
  <si>
    <t>bezoldigde beroepswerkzaamheden</t>
  </si>
  <si>
    <t>beroepsloopbaan</t>
  </si>
  <si>
    <t>beroepsverbod</t>
  </si>
  <si>
    <t>beroepskwalificatie</t>
  </si>
  <si>
    <t>32016R0679:52:4:6</t>
  </si>
  <si>
    <t>dat elke 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</si>
  <si>
    <t>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</si>
  <si>
    <t>32016R0679:52:5:7</t>
  </si>
  <si>
    <t>eigen en zelfgekozen personeelsleden</t>
  </si>
  <si>
    <t>afstemming van werk en privé</t>
  </si>
  <si>
    <t>32016R0679:52:6:8</t>
  </si>
  <si>
    <t>dat op elke toezichthoudende autoriteit financieel toezicht wordt uitgeoefend zonder dat daarbij de onafhankelijkheid van de toezichthoudende autoriteit in het gedrang komt</t>
  </si>
  <si>
    <t>op elke toezichthoudende autoriteit financieel toezicht wordt uitgeoefend zonder dat daarbij de onafhankelijkheid van de toezichthoudende autoriteit in het gedrang komt</t>
  </si>
  <si>
    <t>financieel toezicht</t>
  </si>
  <si>
    <t>32016R0679:52:6:9</t>
  </si>
  <si>
    <t>dat het een afzonderlijke, publieke jaarbegroting heeft</t>
  </si>
  <si>
    <t>afzonderlijke, publieke jaarbegroting heeft</t>
  </si>
  <si>
    <t>begroting</t>
  </si>
  <si>
    <t>32016R0679:53:1:1</t>
  </si>
  <si>
    <t>32016R0679:53:1:2</t>
  </si>
  <si>
    <t>32016R0679:53:2:3</t>
  </si>
  <si>
    <t>de nodige kwalificaties, ervaring en vaardigheden</t>
  </si>
  <si>
    <t>nodige kwalificaties | ervaring | vaardigheden</t>
  </si>
  <si>
    <t>vereiste kwalificaties</t>
  </si>
  <si>
    <t>ontwikkeling van vaardigheden</t>
  </si>
  <si>
    <t>beroepservaring</t>
  </si>
  <si>
    <t>32016R0679:53:3:4</t>
  </si>
  <si>
    <t>De taken van een lid</t>
  </si>
  <si>
    <t>taken van een lid</t>
  </si>
  <si>
    <t>mandaat van de leden</t>
  </si>
  <si>
    <t>lid van een jury</t>
  </si>
  <si>
    <t>lid van de Raad van toezicht</t>
  </si>
  <si>
    <t>32016R0679:53:4:5</t>
  </si>
  <si>
    <t>32016R0679:54:1:1</t>
  </si>
  <si>
    <t>al het volgende</t>
  </si>
  <si>
    <t>32016R0679:54:1:2</t>
  </si>
  <si>
    <t>de oprichting van elke toezichthoudende autoriteit</t>
  </si>
  <si>
    <t>oprichting van elke toezichthoudende autoriteit</t>
  </si>
  <si>
    <t>Toezichthoudende Autoriteit van de EVA</t>
  </si>
  <si>
    <t>32016R0679:54:1:3</t>
  </si>
  <si>
    <t>de vereiste kwalificaties en voorwaarden om als lid te worden benoemd voor elke toezichthoudende autoriteit</t>
  </si>
  <si>
    <t>vereiste kwalificaties en voorwaarden om als lid te worden benoemd voor elke toezichthoudende autoriteit</t>
  </si>
  <si>
    <t>32016R0679:54:1:4</t>
  </si>
  <si>
    <t>de regels en procedures voor de benoeming van het lid of de leden van elke toezichthoudende autoriteit</t>
  </si>
  <si>
    <t>regels voor de benoeming of de leden van elke toezichthoudende autoriteit | procedures</t>
  </si>
  <si>
    <t>32016R0679:54:1:5</t>
  </si>
  <si>
    <t>de ambtstermijn van het lid of de leden van elke toezichthoudende autoriteit</t>
  </si>
  <si>
    <t>ambtstermijn | leden van elke toezichthoudende autoriteit</t>
  </si>
  <si>
    <t>einde van de ambtstermijn</t>
  </si>
  <si>
    <t>ambtenaar</t>
  </si>
  <si>
    <t>32016R0679:54:1:6</t>
  </si>
  <si>
    <t>of het lid of de leden van elke toezichthoudende autoriteit opnieuw kan of kunnen worden benoemd en zo ja, hoe vaak</t>
  </si>
  <si>
    <t>32016R0679:54:1:7</t>
  </si>
  <si>
    <t>de voorwaarden in verband met de plichten van het lid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</si>
  <si>
    <t>voorwaarden in verband met de plichten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</si>
  <si>
    <t>32016R0679:54:2:8</t>
  </si>
  <si>
    <t>het beroepsgeheim</t>
  </si>
  <si>
    <t>32016R0679:55:1:1</t>
  </si>
  <si>
    <t>de taken</t>
  </si>
  <si>
    <t>32016R0679:55:1:2</t>
  </si>
  <si>
    <t>de bevoegdheden</t>
  </si>
  <si>
    <t>32016R0679:55:2:3</t>
  </si>
  <si>
    <t>32016R0679:55:2:4</t>
  </si>
  <si>
    <t>artikel 56</t>
  </si>
  <si>
    <t>32016R0679:55:3:5</t>
  </si>
  <si>
    <t>verwerkingen door gerechten bij de uitoefening van hun rechterlijke taken</t>
  </si>
  <si>
    <t>Gerecht (EU)</t>
  </si>
  <si>
    <t>32016R0679:56:1:1</t>
  </si>
  <si>
    <t>bij haar ingediende klacht | eventuele inbreuk op deze verordening</t>
  </si>
  <si>
    <t>32016R0679:56:3:3</t>
  </si>
  <si>
    <t>of zij de zaak al dan niet zal behandelen</t>
  </si>
  <si>
    <t>32016R0679:56:3:4</t>
  </si>
  <si>
    <t>de leidende toezichthoudende autoriteit</t>
  </si>
  <si>
    <t>leidende toezichthoudende autoriteit</t>
  </si>
  <si>
    <t>32016R0679:56:5:5</t>
  </si>
  <si>
    <t>32016R0679:56:6:6</t>
  </si>
  <si>
    <t>de enige gesprekspartner</t>
  </si>
  <si>
    <t>gesprekspartner</t>
  </si>
  <si>
    <t>gesprekstarief</t>
  </si>
  <si>
    <t>communicatie</t>
  </si>
  <si>
    <t>communicatiemiddel</t>
  </si>
  <si>
    <t>32016R0679:57:1:1</t>
  </si>
  <si>
    <t>de volgende taken</t>
  </si>
  <si>
    <t>32016R0679:57:1:3</t>
  </si>
  <si>
    <t>de bekendheid met en het inzicht in de risico's, regels, waarborgen en rechten in verband met de verwerking</t>
  </si>
  <si>
    <t>bekendheid | inzicht in de risico's, regels, waarborgen en rechten in verband met de verwerking</t>
  </si>
  <si>
    <t>bekendmaking</t>
  </si>
  <si>
    <t>persoonlijkheid</t>
  </si>
  <si>
    <t>publiciteit</t>
  </si>
  <si>
    <t>32016R0679:57:1:4</t>
  </si>
  <si>
    <t>Bijzondere aandacht</t>
  </si>
  <si>
    <t>volledige betrekking</t>
  </si>
  <si>
    <t>32016R0679:57:1:5</t>
  </si>
  <si>
    <t>32016R0679:57:1:6</t>
  </si>
  <si>
    <t>de verwerkingsverantwoordelijken en de verwerkers</t>
  </si>
  <si>
    <t>verwerkingsverantwoordelijken en de verwerkers</t>
  </si>
  <si>
    <t>rekening en verantwoording</t>
  </si>
  <si>
    <t>32016R0679:57:1:7</t>
  </si>
  <si>
    <t>32016R0679:57:1:8</t>
  </si>
  <si>
    <t>32016R0679:57:1:9</t>
  </si>
  <si>
    <t>32016R0679:57:1:10</t>
  </si>
  <si>
    <t>de inhoud van de klacht</t>
  </si>
  <si>
    <t>inhoud van de klacht</t>
  </si>
  <si>
    <t>32016R0679:57:1:11</t>
  </si>
  <si>
    <t>de klager</t>
  </si>
  <si>
    <t>klager</t>
  </si>
  <si>
    <t>32016R0679:57:1:12</t>
  </si>
  <si>
    <t>32016R0679:57:1:13</t>
  </si>
  <si>
    <t>32016R0679:57:1:14</t>
  </si>
  <si>
    <t>onderzoeken</t>
  </si>
  <si>
    <t>onderzoeker</t>
  </si>
  <si>
    <t>32016R0679:57:1:15</t>
  </si>
  <si>
    <t>de relevante ontwikkelingen</t>
  </si>
  <si>
    <t>relevante ontwikkelingen</t>
  </si>
  <si>
    <t>technische vooruitgang</t>
  </si>
  <si>
    <t>opkomende groeimarkten</t>
  </si>
  <si>
    <t>32016R0679:57:1:16</t>
  </si>
  <si>
    <t>de in artikel 28, lid 8, en artikel 46, lid 2, onder d), bedoelde standaardcontractbepalingen</t>
  </si>
  <si>
    <t>32016R0679:57:1:17</t>
  </si>
  <si>
    <t>32016R0679:57:1:18</t>
  </si>
  <si>
    <t>32016R0679:57:1:19</t>
  </si>
  <si>
    <t>32016R0679:57:1:20</t>
  </si>
  <si>
    <t>de opstelling van gedragscodes uit hoofde van artikel 40, lid 1</t>
  </si>
  <si>
    <t>32016R0679:57:1:21</t>
  </si>
  <si>
    <t>32016R0679:57:1:22</t>
  </si>
  <si>
    <t>32016R0679:57:1:23</t>
  </si>
  <si>
    <t>de invoering van certificeringsmechanismen voor gegevensbescherming en van gegevensbeschermingszegels en -merktekens overeenkomstig artikel 42, lid 1</t>
  </si>
  <si>
    <t>certificeringsmechanismen voor gegevensbescherming en van gegevensbeschermingszegels en -merktekens</t>
  </si>
  <si>
    <t>32016R0679:57:1:24</t>
  </si>
  <si>
    <t>de criteria voor certificering uit hoofde van artikel 42, lid 5</t>
  </si>
  <si>
    <t>criteria voor certificering</t>
  </si>
  <si>
    <t>biologische certificering</t>
  </si>
  <si>
    <t>32016R0679:57:1:25</t>
  </si>
  <si>
    <t>een periodieke toetsing van de overeenkomstig artikel 42, lid 7, afgegeven certificeringen</t>
  </si>
  <si>
    <t>periodieke toetsing van de afgegeven certificeringen</t>
  </si>
  <si>
    <t>32016R0679:57:1:26</t>
  </si>
  <si>
    <t>het opstellen en het bekendmaken van de criteria voor de accreditatie van een orgaan voor het toezicht op gedragscodes op grond van artikel 41 en van een certificeringsorgaan op grond van artikel 43</t>
  </si>
  <si>
    <t>opstellen en het bekendmaken van de criteria voor de accreditatie van een orgaan voor het toezicht op gedragscodes en van een certificeringsorgaan</t>
  </si>
  <si>
    <t>accreditatie van een orgaan voor het toezicht op gedragscodes | van een certificeringsorgaan</t>
  </si>
  <si>
    <t>32016R0679:57:1:28</t>
  </si>
  <si>
    <t>32016R0679:57:1:29</t>
  </si>
  <si>
    <t>32016R0679:57:1:30</t>
  </si>
  <si>
    <t>een bijdrage</t>
  </si>
  <si>
    <t>sociale bijdrage</t>
  </si>
  <si>
    <t>32016R0679:57:1:31</t>
  </si>
  <si>
    <t>32016R0679:57:1:32</t>
  </si>
  <si>
    <t>alle andere taken die verband houden met de bescherming van persoonsgegevens</t>
  </si>
  <si>
    <t>taken die verband houden met de bescherming van persoonsgegevens</t>
  </si>
  <si>
    <t>32016R0679:57:3:33</t>
  </si>
  <si>
    <t>haar taken</t>
  </si>
  <si>
    <t>32016R0679:57:4:34</t>
  </si>
  <si>
    <t>32016R0679:57:4:35</t>
  </si>
  <si>
    <t>aan het verzoek</t>
  </si>
  <si>
    <t>verzoekschrift</t>
  </si>
  <si>
    <t>32016R0679:57:4:36</t>
  </si>
  <si>
    <t>32016R0679:58:1:1</t>
  </si>
  <si>
    <t>alle volgende onderzoeksbevoegdheden</t>
  </si>
  <si>
    <t>onderzoeksbevoegdheden</t>
  </si>
  <si>
    <t>rechtsbevoegdheid</t>
  </si>
  <si>
    <t>jurisdictiebevoegdheid</t>
  </si>
  <si>
    <t>32016R0679:58:1:2</t>
  </si>
  <si>
    <t>alle voor de uitvoering van haar taken vereiste informatie</t>
  </si>
  <si>
    <t>voor de uitvoering van haar taken vereiste informatie</t>
  </si>
  <si>
    <t>32016R0679:58:1:4</t>
  </si>
  <si>
    <t>alle persoonsgegevens en alle informatie die noodzakelijk is voor de uitvoering van haar taken</t>
  </si>
  <si>
    <t>persoonsgegevens en alle informatie die noodzakelijk is voor de uitvoering van haar taken</t>
  </si>
  <si>
    <t>32016R0679:58:1:5</t>
  </si>
  <si>
    <t>alle bedrijfsruimten van de verwerkingsverantwoordelijke en de verwerker</t>
  </si>
  <si>
    <t>bedrijfsruimten van de verwerkingsverantwoordelijke | verwerker</t>
  </si>
  <si>
    <t>32016R0679:58:1:6</t>
  </si>
  <si>
    <t>32016R0679:58:1:7</t>
  </si>
  <si>
    <t>32016R0679:58:2:8</t>
  </si>
  <si>
    <t>alle volgende bevoegdheden tot het nemen van corrigerende maatregelen</t>
  </si>
  <si>
    <t>bevoegdheden tot het nemen van corrigerende maatregelen</t>
  </si>
  <si>
    <t>32016R0679:58:2:9</t>
  </si>
  <si>
    <t>de verwerkingsverantwoordelijke of de verwerker</t>
  </si>
  <si>
    <t>verwerkingsverantwoordelijke of de verwerker</t>
  </si>
  <si>
    <t>32016R0679:58:2:10</t>
  </si>
  <si>
    <t>32016R0679:58:2:11</t>
  </si>
  <si>
    <t>32016R0679:58:2:12</t>
  </si>
  <si>
    <t>32016R0679:58:2:13</t>
  </si>
  <si>
    <t>een tijdelijke of definitieve verwerkingsbeperking, waaronder een verwerkingsverbod</t>
  </si>
  <si>
    <t>tijdelijke of definitieve verwerkingsbeperking, waaronder een verwerkingsverbod</t>
  </si>
  <si>
    <t>tijdelijke uitvoer</t>
  </si>
  <si>
    <t>32016R0679:58:2:14</t>
  </si>
  <si>
    <t>het rectificeren of wissen van persoonsgegevens of het beperken van verwerking uit hoofde van de artikelen 16, 17 en 18</t>
  </si>
  <si>
    <t>rectificeren of wissen van persoonsgegevens of het beperken van verwerking</t>
  </si>
  <si>
    <t>recht op hergebruik van informatie</t>
  </si>
  <si>
    <t>32016R0679:58:2:15</t>
  </si>
  <si>
    <t>een certificering</t>
  </si>
  <si>
    <t>certificering</t>
  </si>
  <si>
    <t>32016R0679:58:2:16</t>
  </si>
  <si>
    <t>een administratieve geldboete</t>
  </si>
  <si>
    <t>administratieve geldboete</t>
  </si>
  <si>
    <t>32016R0679:58:2:17</t>
  </si>
  <si>
    <t>de opschorting van gegevensstromen</t>
  </si>
  <si>
    <t>opschorting van gegevensstromen</t>
  </si>
  <si>
    <t>opschorting van de hulp</t>
  </si>
  <si>
    <t>opsporing van hulpbronnen</t>
  </si>
  <si>
    <t>opschorting van de straf</t>
  </si>
  <si>
    <t>32016R0679:58:2:18</t>
  </si>
  <si>
    <t>het certificeringsorgaan</t>
  </si>
  <si>
    <t>certificeringsorgaan</t>
  </si>
  <si>
    <t>controleorgaan</t>
  </si>
  <si>
    <t>32016R0679:58:3:19</t>
  </si>
  <si>
    <t>alle autorisatie- en adviesbevoegdheden</t>
  </si>
  <si>
    <t>autorisatie- en adviesbevoegdheden</t>
  </si>
  <si>
    <t>beslissingsbevoegdheid</t>
  </si>
  <si>
    <t>32016R0679:58:3:20</t>
  </si>
  <si>
    <t>32016R0679:58:3:21</t>
  </si>
  <si>
    <t>32016R0679:58:3:22</t>
  </si>
  <si>
    <t>certificeringsorganen</t>
  </si>
  <si>
    <t>32016R0679:58:3:23</t>
  </si>
  <si>
    <t>certificeringen</t>
  </si>
  <si>
    <t>32016R0679:58:3:24</t>
  </si>
  <si>
    <t>certificeringscriteria</t>
  </si>
  <si>
    <t>toetredingscriteria</t>
  </si>
  <si>
    <t>kwaliteitscriterium</t>
  </si>
  <si>
    <t>32016R0679:58:3:25</t>
  </si>
  <si>
    <t>de in artikel 28, lid 8, en artikel 46, lid 2, punt d), bedoelde standaardbepalingen inzake gegevensbescherming</t>
  </si>
  <si>
    <t>standaardbepalingen inzake gegevensbescherming</t>
  </si>
  <si>
    <t>rechtsregels voor informatie</t>
  </si>
  <si>
    <t>informatiebeveiliging</t>
  </si>
  <si>
    <t>32016R0679:58:3:26</t>
  </si>
  <si>
    <t>32016R0679:58:3:27</t>
  </si>
  <si>
    <t>goedkeuring</t>
  </si>
  <si>
    <t>goedkeuring van de wet</t>
  </si>
  <si>
    <t>goedkeuring van de begroting</t>
  </si>
  <si>
    <t>32016R0679:58:3:28</t>
  </si>
  <si>
    <t>32016R0679:58:3:29</t>
  </si>
  <si>
    <t>de ontwerpgedragscodes</t>
  </si>
  <si>
    <t>ontwerpgedragscodes</t>
  </si>
  <si>
    <t>ontwerp-begroting</t>
  </si>
  <si>
    <t>32016R0679:58:6:30</t>
  </si>
  <si>
    <t>dat zijn toezichthoudende autoriteit, naast de in lid 1, 2 en 3 bedoelde bevoegdheden bijkomende bevoegdheden heeft</t>
  </si>
  <si>
    <t>toezichthoudende autoriteit, naast de bevoegdheden bijkomende bevoegdheden heeft</t>
  </si>
  <si>
    <t>administratieve bevoegdheid</t>
  </si>
  <si>
    <t>32016R0679:59:whole:1</t>
  </si>
  <si>
    <t>een verslag over haar activiteiten</t>
  </si>
  <si>
    <t>verslag over haar activiteiten</t>
  </si>
  <si>
    <t>32016R0679:59:whole:2</t>
  </si>
  <si>
    <t>Die verslagen</t>
  </si>
  <si>
    <t>verslagen</t>
  </si>
  <si>
    <t>32016R0679:59:whole:3</t>
  </si>
  <si>
    <t>Zij</t>
  </si>
  <si>
    <t>32016R0679:60:1:1</t>
  </si>
  <si>
    <t>32016R0679:60:1:2</t>
  </si>
  <si>
    <t>32016R0679:60:2:4</t>
  </si>
  <si>
    <t>gezamenlijke werkzaamheden</t>
  </si>
  <si>
    <t>gezamenlijke ontwikkeling</t>
  </si>
  <si>
    <t>gebied van gezamenlijke actie</t>
  </si>
  <si>
    <t>32016R0679:60:3:5</t>
  </si>
  <si>
    <t>alle relevante informatie over de aangelegenheid</t>
  </si>
  <si>
    <t>relevante informatie over de aangelegenheid</t>
  </si>
  <si>
    <t>32016R0679:60:3:6</t>
  </si>
  <si>
    <t>een ontwerpbesluit</t>
  </si>
  <si>
    <t>ontwerpbesluit</t>
  </si>
  <si>
    <t>32016R0679:60:3:7</t>
  </si>
  <si>
    <t>32016R0679:60:4:8</t>
  </si>
  <si>
    <t>de aangelegenheid</t>
  </si>
  <si>
    <t>aangelegenheid</t>
  </si>
  <si>
    <t>ontvankelijkheid</t>
  </si>
  <si>
    <t>32016R0679:60:5:9</t>
  </si>
  <si>
    <t>een herzien ontwerpbesluit</t>
  </si>
  <si>
    <t>herzien ontwerpbesluit</t>
  </si>
  <si>
    <t>kaderbesluit</t>
  </si>
  <si>
    <t>32016R0679:60:5:10</t>
  </si>
  <si>
    <t>32016R0679:60:7:11</t>
  </si>
  <si>
    <t>het besluit</t>
  </si>
  <si>
    <t>32016R0679:60:7:12</t>
  </si>
  <si>
    <t>het</t>
  </si>
  <si>
    <t>toezichthoudende autoriteiten | Comité</t>
  </si>
  <si>
    <t>32016R0679:60:7:14</t>
  </si>
  <si>
    <t>32016R0679:60:8:15</t>
  </si>
  <si>
    <t>32016R0679:60:8:16</t>
  </si>
  <si>
    <t>32016R0679:60:8:17</t>
  </si>
  <si>
    <t>32016R0679:60:9:18</t>
  </si>
  <si>
    <t>32016R0679:60:9:19</t>
  </si>
  <si>
    <t>32016R0679:60:9:20</t>
  </si>
  <si>
    <t>32016R0679:60:9:21</t>
  </si>
  <si>
    <t>32016R0679:60:9:22</t>
  </si>
  <si>
    <t>32016R0679:60:10:23</t>
  </si>
  <si>
    <t>32016R0679:60:10:24</t>
  </si>
  <si>
    <t>32016R0679:60:10:25</t>
  </si>
  <si>
    <t>de door hem met het oog op de naleving van het besluit getroffen maatregelen</t>
  </si>
  <si>
    <t>door hem met het oog op de naleving van het besluit getroffen maatregelen</t>
  </si>
  <si>
    <t>uitvoeringsbesluit van de Raad</t>
  </si>
  <si>
    <t>32016R0679:60:10:26</t>
  </si>
  <si>
    <t>32016R0679:60:11:27</t>
  </si>
  <si>
    <t>het met reden dringend noodzakelijk</t>
  </si>
  <si>
    <t>met reden dringend noodzakelijk</t>
  </si>
  <si>
    <t>32016R0679:60:12:28</t>
  </si>
  <si>
    <t>de krachtens dit artikel vereiste informatie</t>
  </si>
  <si>
    <t>32016R0679:61:1:1</t>
  </si>
  <si>
    <t>relevante informatie en wederzijdse bijstand</t>
  </si>
  <si>
    <t>relevante informatie | wederzijdse bijstand</t>
  </si>
  <si>
    <t>32016R0679:61:1:2</t>
  </si>
  <si>
    <t>32016R0679:61:2:3</t>
  </si>
  <si>
    <t>32016R0679:61:2:4</t>
  </si>
  <si>
    <t>32016R0679:61:3:5</t>
  </si>
  <si>
    <t>alle nodige informatie</t>
  </si>
  <si>
    <t>32016R0679:61:3:6</t>
  </si>
  <si>
    <t>De uitgewisselde informatie</t>
  </si>
  <si>
    <t>uitgewisselde informatie</t>
  </si>
  <si>
    <t>32016R0679:61:4:7</t>
  </si>
  <si>
    <t>dit verzoek</t>
  </si>
  <si>
    <t>32016R0679:61:5:8</t>
  </si>
  <si>
    <t>de verzoekende toezichthoudende autoriteit</t>
  </si>
  <si>
    <t>verzoekende toezichthoudende autoriteit</t>
  </si>
  <si>
    <t>32016R0679:61:5:9</t>
  </si>
  <si>
    <t>32016R0679:61:6:10</t>
  </si>
  <si>
    <t>de door andere toezichthoudende autoriteiten gevraagde informatie</t>
  </si>
  <si>
    <t>door andere toezichthoudende autoriteiten gevraagde informatie</t>
  </si>
  <si>
    <t>raadpleging van informatie</t>
  </si>
  <si>
    <t>32016R0679:61:7:11</t>
  </si>
  <si>
    <t>32016R0679:61:7:12</t>
  </si>
  <si>
    <t>kosteloos</t>
  </si>
  <si>
    <t>kosteloos onderwijs</t>
  </si>
  <si>
    <t>werkloze</t>
  </si>
  <si>
    <t>staatloze</t>
  </si>
  <si>
    <t>32016R0679:61:8:13</t>
  </si>
  <si>
    <t>een voorlopige maatregel</t>
  </si>
  <si>
    <t>voorlopige maatregel</t>
  </si>
  <si>
    <t>32016R0679:62:2:1</t>
  </si>
  <si>
    <t>de toezichthoudende autoriteit van elk van die lidstaten om deelname aan de gezamenlijke werkzaamheden in kwestie</t>
  </si>
  <si>
    <t>toezichthoudende autoriteit van elk staten om deelname aan de gezamenlijke werkzaamheden in kwestie</t>
  </si>
  <si>
    <t>32016R0679:62:2:2</t>
  </si>
  <si>
    <t>het verzoek van een toezichthoudende autoriteit om te mogen deelnemen</t>
  </si>
  <si>
    <t>verzoek van een toezichthoudende autoriteit om te mogen deelnemen</t>
  </si>
  <si>
    <t>32016R0679:62:2:3</t>
  </si>
  <si>
    <t>32016R0679:62:3:4</t>
  </si>
  <si>
    <t>32016R0679:62:3:5</t>
  </si>
  <si>
    <t>32016R0679:62:3:6</t>
  </si>
  <si>
    <t>het recht van de lidstaat van de ontvangende toezichthoudende autoriteit</t>
  </si>
  <si>
    <t>recht staat van de ontvangende toezichthoudende autoriteit</t>
  </si>
  <si>
    <t>32016R0679:62:3:7</t>
  </si>
  <si>
    <t>de leden of de personeelsleden van de ondersteunende toezichthoudende autoriteit</t>
  </si>
  <si>
    <t>personeelsleden van de ondersteunende toezichthoudende autoriteit</t>
  </si>
  <si>
    <t>leidinggevend administratief personeel</t>
  </si>
  <si>
    <t>leidinggevend personeel</t>
  </si>
  <si>
    <t>32016R0679:62:4:8</t>
  </si>
  <si>
    <t>de verantwoordelijkheid voor hun activiteiten, met inbegrip van de aansprakelijkheid voor alle door die personeelsleden bij de uitvoering van hun werkzaamheden veroorzaakte schade</t>
  </si>
  <si>
    <t>verantwoordelijkheid voor hun activiteiten, met inbegrip van de aansprakelijkheid voor alle door die personeelsleden bij de uitvoering van hun werkzaamheden veroorzaakte schade</t>
  </si>
  <si>
    <t>aansprakelijkheid voor milieuschade</t>
  </si>
  <si>
    <t>32016R0679:62:5:9</t>
  </si>
  <si>
    <t>deze schade</t>
  </si>
  <si>
    <t>32016R0679:62:5:10</t>
  </si>
  <si>
    <t>het volledige bedrag</t>
  </si>
  <si>
    <t>volledige bedrag</t>
  </si>
  <si>
    <t>volledige tewerkstelling</t>
  </si>
  <si>
    <t>algemene begroting</t>
  </si>
  <si>
    <t>32016R0679:62:6:11</t>
  </si>
  <si>
    <t>het bedrag van de in lid 4 bedoelde schade</t>
  </si>
  <si>
    <t>bedrag van de schade</t>
  </si>
  <si>
    <t>schadeverzekering</t>
  </si>
  <si>
    <t>kosten van gezondheidsschade</t>
  </si>
  <si>
    <t>32016R0679:62:7:12</t>
  </si>
  <si>
    <t>32016R0679:63:whole:1</t>
  </si>
  <si>
    <t>32016R0679:64:2:1</t>
  </si>
  <si>
    <t>dat aangelegenheden van algemene strekking of met rechtsgevolgen in meer dan één lidstaat worden onderzocht door het Comité</t>
  </si>
  <si>
    <t>aangelegenheden van algemene strekking of met rechtsgevolgen in meer dan één lidstaat worden onderzocht door het Comité</t>
  </si>
  <si>
    <t>32016R0679:64:3:2</t>
  </si>
  <si>
    <t>Dat advies</t>
  </si>
  <si>
    <t>32016R0679:64:3:3</t>
  </si>
  <si>
    <t>een advies</t>
  </si>
  <si>
    <t>32016R0679:64:3:4</t>
  </si>
  <si>
    <t>Die termijn</t>
  </si>
  <si>
    <t>32016R0679:64:3:5</t>
  </si>
  <si>
    <t>32016R0679:64:4:6</t>
  </si>
  <si>
    <t>32016R0679:64:5:8</t>
  </si>
  <si>
    <t>dat advies</t>
  </si>
  <si>
    <t>32016R0679:64:5:9</t>
  </si>
  <si>
    <t>de leden van het Comité en de Commissie</t>
  </si>
  <si>
    <t>leden van het Comité en de Commissie</t>
  </si>
  <si>
    <t>Lid van de Europese Commissie</t>
  </si>
  <si>
    <t>32016R0679:64:5:10</t>
  </si>
  <si>
    <t>de, naargelang het geval, in de leden 1 en 2 bedoelde toezichthoudende autoriteit en de Commissie</t>
  </si>
  <si>
    <t>de, naargelang het geval bedoelde toezichthoudende autoriteit en de Commissie</t>
  </si>
  <si>
    <t>32016R0679:64:6:11</t>
  </si>
  <si>
    <t>haar in lid 1 bedoelde ontwerpbesluit</t>
  </si>
  <si>
    <t>32016R0679:64:7:12</t>
  </si>
  <si>
    <t>of zij haar ontwerpbesluit zal handhaven dan wel wijzigen alsmede, in voorkomend geval het gewijzigde ontwerpbesluit</t>
  </si>
  <si>
    <t>32016R0679:64:7:13</t>
  </si>
  <si>
    <t>het advies van het Comité</t>
  </si>
  <si>
    <t>advies van het Comité</t>
  </si>
  <si>
    <t>32016R0679:64:8:14</t>
  </si>
  <si>
    <t>haar voornemen het advies van het Comité geheel of gedeeltelijk niet op te volgen</t>
  </si>
  <si>
    <t>voornemen het advies van het Comité geheel of gedeeltelijk niet op te volgen</t>
  </si>
  <si>
    <t>32016R0679:65:2:1</t>
  </si>
  <si>
    <t>Het in lid 1 bedoelde besluit</t>
  </si>
  <si>
    <t>32016R0679:65:2:2</t>
  </si>
  <si>
    <t>Deze termijn</t>
  </si>
  <si>
    <t>32016R0679:65:2:3</t>
  </si>
  <si>
    <t>32016R0679:65:2:4</t>
  </si>
  <si>
    <t>32016R0679:65:2:5</t>
  </si>
  <si>
    <t>32016R0679:65:3:6</t>
  </si>
  <si>
    <t>zijn besluit</t>
  </si>
  <si>
    <t>32016R0679:65:3:7</t>
  </si>
  <si>
    <t>32016R0679:65:4:8</t>
  </si>
  <si>
    <t>32016R0679:65:5:9</t>
  </si>
  <si>
    <t>het in lid 1 bedoelde besluit</t>
  </si>
  <si>
    <t>32016R0679:65:5:10</t>
  </si>
  <si>
    <t>32016R0679:65:5:11</t>
  </si>
  <si>
    <t>32016R0679:65:6:13</t>
  </si>
  <si>
    <t>de datum</t>
  </si>
  <si>
    <t>datum</t>
  </si>
  <si>
    <t>32016R0679:65:6:14</t>
  </si>
  <si>
    <t>naar het in lid 1 van dit artikel bedoelde besluit</t>
  </si>
  <si>
    <t>32016R0679:65:6:15</t>
  </si>
  <si>
    <t>aan het definitieve besluit</t>
  </si>
  <si>
    <t>definitieve besluit</t>
  </si>
  <si>
    <t>32016R0679:65:6:16</t>
  </si>
  <si>
    <t>32016R0679:65:6:17</t>
  </si>
  <si>
    <t>32016R0679:66:1:1</t>
  </si>
  <si>
    <t>voorlopige maatregelen</t>
  </si>
  <si>
    <t>voorlopige antidumpingheffing</t>
  </si>
  <si>
    <t>32016R0679:66:1:2</t>
  </si>
  <si>
    <t>die maatregelen</t>
  </si>
  <si>
    <t>32016R0679:66:2:3</t>
  </si>
  <si>
    <t>het Comité</t>
  </si>
  <si>
    <t>32016R0679:66:3:4</t>
  </si>
  <si>
    <t>een dringend advies of een dringend bindend besluit</t>
  </si>
  <si>
    <t>dringend advies of een dringend bindend besluit</t>
  </si>
  <si>
    <t>32016R0679:66:4:5</t>
  </si>
  <si>
    <t>een als in de leden 2 en 3 bedoeld dringend advies of dringend bindend besluit</t>
  </si>
  <si>
    <t>als bedoeld dringend advies of dringend bindend besluit</t>
  </si>
  <si>
    <t>32016R0679:67:whole:1</t>
  </si>
  <si>
    <t>32016R0679:67:whole:2</t>
  </si>
  <si>
    <t>uitvoeringshandelingen van algemene aard</t>
  </si>
  <si>
    <t>32016R0679:68:2:1</t>
  </si>
  <si>
    <t>Het Comité</t>
  </si>
  <si>
    <t>32016R0679:68:4:2</t>
  </si>
  <si>
    <t>een gezamenlijke vertegenwoordiger</t>
  </si>
  <si>
    <t>gezamenlijke vertegenwoordiger</t>
  </si>
  <si>
    <t>32016R0679:68:5:3</t>
  </si>
  <si>
    <t>de activiteiten</t>
  </si>
  <si>
    <t>32016R0679:68:5:4</t>
  </si>
  <si>
    <t>de bijeenkomsten</t>
  </si>
  <si>
    <t>bijeenkomsten</t>
  </si>
  <si>
    <t>internationale bijeenkomst</t>
  </si>
  <si>
    <t>internationale conferentie</t>
  </si>
  <si>
    <t>32016R0679:68:5:5</t>
  </si>
  <si>
    <t>32016R0679:68:5:6</t>
  </si>
  <si>
    <t>32016R0679:69:1:1</t>
  </si>
  <si>
    <t>32016R0679:69:2:2</t>
  </si>
  <si>
    <t>32016R0679:70:1:1</t>
  </si>
  <si>
    <t>de juiste toepassing van deze verordening</t>
  </si>
  <si>
    <t>juiste toepassing</t>
  </si>
  <si>
    <t>32016R0679:70:1:2</t>
  </si>
  <si>
    <t>32016R0679:70:1:3</t>
  </si>
  <si>
    <t>32016R0679:70:1:4</t>
  </si>
  <si>
    <t>32016R0679:70:1:5</t>
  </si>
  <si>
    <t>richtsnoeren, aanbevelingen en beste praktijken</t>
  </si>
  <si>
    <t>aanbeveling (EU)</t>
  </si>
  <si>
    <t>32016R0679:70:1:6</t>
  </si>
  <si>
    <t>kwesties die betrekking hebben op de toepassing van deze verordening</t>
  </si>
  <si>
    <t>kwesties die betrekking hebben op de toepassing</t>
  </si>
  <si>
    <t>grensoverschrijdende kwestie</t>
  </si>
  <si>
    <t>32016R0679:70:1:7</t>
  </si>
  <si>
    <t>32016R0679:70:1:8</t>
  </si>
  <si>
    <t>de praktische toepassing van de in de punten e) en f) bedoelde richtsnoeren, aanbevelingen en beste praktijken</t>
  </si>
  <si>
    <t>32016R0679:70:1:9</t>
  </si>
  <si>
    <t>het opstellen van gedragscodes</t>
  </si>
  <si>
    <t>32016R0679:70:1:10</t>
  </si>
  <si>
    <t>32016R0679:70:1:11</t>
  </si>
  <si>
    <t>de accreditatie van certificeringsorganen</t>
  </si>
  <si>
    <t>accreditatie van certificeringsorganen</t>
  </si>
  <si>
    <t>32016R0679:70:1:13</t>
  </si>
  <si>
    <t>de in artikel 43, lid 3, bedoelde vereisten</t>
  </si>
  <si>
    <t>vereisten</t>
  </si>
  <si>
    <t>vetmesten</t>
  </si>
  <si>
    <t>32016R0679:70:1:14</t>
  </si>
  <si>
    <t>32016R0679:70:1:16</t>
  </si>
  <si>
    <t>32016R0679:70:1:17</t>
  </si>
  <si>
    <t>bindende beslissingen</t>
  </si>
  <si>
    <t>32016R0679:70:1:18</t>
  </si>
  <si>
    <t>samenwerking en effectieve bilaterale en multilaterale uitwisseling van informatie en beste praktijken tussen de toezichthoudende autoriteiten</t>
  </si>
  <si>
    <t>samenwerking tussen de toezichthoudende autoriteiten | effectieve bilaterale en multilaterale uitwisseling van informatie en beste praktijken</t>
  </si>
  <si>
    <t>samenwerking tussen Instellingen</t>
  </si>
  <si>
    <t>samenwerking tussen ondernemingen</t>
  </si>
  <si>
    <t>samenwerking tussen gemeenten</t>
  </si>
  <si>
    <t>32016R0679:70:1:19</t>
  </si>
  <si>
    <t>gemeenschappelijke opleidingsprogramma's</t>
  </si>
  <si>
    <t>onderwijsprogramma</t>
  </si>
  <si>
    <t>32016R0679:70:1:20</t>
  </si>
  <si>
    <t>uitwisselingen van personeelsleden tussen de toezichthoudende autoriteiten</t>
  </si>
  <si>
    <t>uitwisseling van arbeidskrachten</t>
  </si>
  <si>
    <t>uitwisseling van docenten</t>
  </si>
  <si>
    <t>transitionele personeelshervorming</t>
  </si>
  <si>
    <t>32016R0679:70:1:22</t>
  </si>
  <si>
    <t>een openbaar elektronisch register van besluiten van toezichthoudende autoriteiten en gerechten</t>
  </si>
  <si>
    <t>openbaar elektronisch register van besluiten van toezichthoudende autoriteiten en gerechten</t>
  </si>
  <si>
    <t>elektronische overheid</t>
  </si>
  <si>
    <t>32016R0679:70:2:23</t>
  </si>
  <si>
    <t>een termijn</t>
  </si>
  <si>
    <t>32016R0679:70:3:24</t>
  </si>
  <si>
    <t>zijn adviezen, richtsnoeren, aanbevelingen en beste praktijken</t>
  </si>
  <si>
    <t>adviezen, richtsnoeren, aanbevelingen | beste praktijken</t>
  </si>
  <si>
    <t>32016R0679:70:3:25</t>
  </si>
  <si>
    <t>32016R0679:71:1:3</t>
  </si>
  <si>
    <t>32016R0679:72:1:1</t>
  </si>
  <si>
    <t>eigen reglement van orde | eigen werkregelingen</t>
  </si>
  <si>
    <t>32016R0679:73:1:1</t>
  </si>
  <si>
    <t>een voorzitter en twee vicevoorzitters</t>
  </si>
  <si>
    <t>voorzitter | twee vicevoorzitters</t>
  </si>
  <si>
    <t>kamervoorzitter</t>
  </si>
  <si>
    <t>bestuurder</t>
  </si>
  <si>
    <t>voorzitter van de instelling</t>
  </si>
  <si>
    <t>32016R0679:73:2:2</t>
  </si>
  <si>
    <t>vijf jaar</t>
  </si>
  <si>
    <t>32016R0679:73:2:3</t>
  </si>
  <si>
    <t>32016R0679:74:1:1</t>
  </si>
  <si>
    <t>32016R0679:74:1:2</t>
  </si>
  <si>
    <t>zijn agenda</t>
  </si>
  <si>
    <t>32016R0679:74:1:3</t>
  </si>
  <si>
    <t>de door het Comité overeenkomstig artikel 65 vastgestelde besluiten</t>
  </si>
  <si>
    <t>door het Comité vastgestelde besluiten</t>
  </si>
  <si>
    <t>32016R0679:74:1:4</t>
  </si>
  <si>
    <t>dat de taken van het Comité tijdig worden uitgevoerd</t>
  </si>
  <si>
    <t>taken van het Comité tijdig worden uitgevoerd</t>
  </si>
  <si>
    <t>32016R0679:74:2:5</t>
  </si>
  <si>
    <t>de taakverdeling tussen de voorzitter en de vicevoorzitters</t>
  </si>
  <si>
    <t>taakverdeling tussen de voorzitter en de vicevoorzitters</t>
  </si>
  <si>
    <t>vice-voorzitter van de instelling</t>
  </si>
  <si>
    <t>verdeling van de bevoegdheden</t>
  </si>
  <si>
    <t>32016R0679:75:2:1</t>
  </si>
  <si>
    <t>zijn taken</t>
  </si>
  <si>
    <t>32016R0679:75:5:3</t>
  </si>
  <si>
    <t>analytische, administratieve en logistieke ondersteuning</t>
  </si>
  <si>
    <t>32016R0679:75:6:4</t>
  </si>
  <si>
    <t>de dagelijkse werking van het Comité</t>
  </si>
  <si>
    <t>dagelijkse werking van het Comité</t>
  </si>
  <si>
    <t>communicatie tussen de leden van het Comité | voorzitter en de Commissie</t>
  </si>
  <si>
    <t>communicatiebeleid</t>
  </si>
  <si>
    <t>32016R0679:75:6:6</t>
  </si>
  <si>
    <t>de communicatie met andere instellingen en het brede publiek</t>
  </si>
  <si>
    <t>communicatie met andere instellingen | brede publiek</t>
  </si>
  <si>
    <t>brede maatschappelijke discussie</t>
  </si>
  <si>
    <t>publiek entrepot</t>
  </si>
  <si>
    <t>32016R0679:75:6:7</t>
  </si>
  <si>
    <t>het gebruik van elektronische middelen voor interne en externe communicatie</t>
  </si>
  <si>
    <t>elektronische middelen voor interne en externe communicatie</t>
  </si>
  <si>
    <t>ongevraagde elektronische communicatie</t>
  </si>
  <si>
    <t>telecommunicatiemateriaal</t>
  </si>
  <si>
    <t>elektronische gegevensverwerking</t>
  </si>
  <si>
    <t>32016R0679:75:6:8</t>
  </si>
  <si>
    <t>de vertaling van relevante informatie</t>
  </si>
  <si>
    <t>vertaling van relevante informatie</t>
  </si>
  <si>
    <t>32016R0679:75:6:9</t>
  </si>
  <si>
    <t>de voorbereiding en follow-up van de bijeenkomsten van het Comité</t>
  </si>
  <si>
    <t>voorbereiding van de bijeenkomsten van het Comité | follow-up</t>
  </si>
  <si>
    <t>32016R0679:75:6:10</t>
  </si>
  <si>
    <t>de voorbereiding, opstelling en bekendmaking van adviezen, besluiten inzake beslechting van geschillen tussen toezichthoudende autoriteiten, en andere teksten die het Comité vaststelt</t>
  </si>
  <si>
    <t>voorbereiding, opstelling en bekendmaking van adviezen, besluiten inzake beslechting van geschillen tussen toezichthoudende autoriteiten, en andere teksten die het Comité vaststelt</t>
  </si>
  <si>
    <t>32016R0679:76:1:1</t>
  </si>
  <si>
    <t>dit</t>
  </si>
  <si>
    <t>32016R0679:77:1:1</t>
  </si>
  <si>
    <t>32016R0679:78:1:1</t>
  </si>
  <si>
    <t>een doeltreffende voorziening in rechte</t>
  </si>
  <si>
    <t>doeltreffende voorziening in rechte</t>
  </si>
  <si>
    <t>voorziening</t>
  </si>
  <si>
    <t>32016R0679:78:2:2</t>
  </si>
  <si>
    <t>32016R0679:78:3:3</t>
  </si>
  <si>
    <t>Een procedure tegen een toezichthoudende autoriteit</t>
  </si>
  <si>
    <t>procedure tegen een toezichthoudende autoriteit</t>
  </si>
  <si>
    <t>32016R0679:78:4:4</t>
  </si>
  <si>
    <t>dat advies of besluit</t>
  </si>
  <si>
    <t>advies | besluit</t>
  </si>
  <si>
    <t>32016R0679:79:1:1</t>
  </si>
  <si>
    <t>32016R0679:79:2:2</t>
  </si>
  <si>
    <t>Een procedure tegen een verwerkingsverantwoordelijke of een verwerker</t>
  </si>
  <si>
    <t>procedure tegen een verwerkingsverantwoordelijke of een verwerker</t>
  </si>
  <si>
    <t>32016R0679:79:2:3</t>
  </si>
  <si>
    <t>Een dergelijke procedure</t>
  </si>
  <si>
    <t>32016R0679:80:1:1</t>
  </si>
  <si>
    <t>een 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t>
  </si>
  <si>
    <t>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t>
  </si>
  <si>
    <t>32016R0679:80:1:2</t>
  </si>
  <si>
    <t>de in artikelen 77, 78 en 79 bedoelde rechten</t>
  </si>
  <si>
    <t>32016R0679:80:1:3</t>
  </si>
  <si>
    <t>het in artikel 82 bedoelde recht op schadevergoeding</t>
  </si>
  <si>
    <t>recht op schadevergoeding</t>
  </si>
  <si>
    <t>32016R0679:80:2:4</t>
  </si>
  <si>
    <t>dat een orgaan, organisatie of vereniging als bedoeld in lid 1 van dit artikel, over het recht beschikt om onafhankelijk van de opdracht van een betrokkene in die lidstaat klacht in te dienen bij de overeenkomstig artikel 77 bevoegde toezichthoudende autoriteit en de in de artikelen 78 en 79 bedoelde rechten uit te oefenen</t>
  </si>
  <si>
    <t>orgaan, organisatie of vereniging over het recht beschikt om onafhankelijk van de opdracht van een betrokkene staat klacht in te dienen bij de rechten uit te oefenen</t>
  </si>
  <si>
    <t>32016R0679:81:1:1</t>
  </si>
  <si>
    <t>32016R0679:81:2:2</t>
  </si>
  <si>
    <t>zijn procedure</t>
  </si>
  <si>
    <t>32016R0679:81:3:3</t>
  </si>
  <si>
    <t>32016R0679:82:1:1</t>
  </si>
  <si>
    <t>32016R0679:82:2:2</t>
  </si>
  <si>
    <t>de schade die wordt veroorzaakt door verwerking die inbreuk maakt op deze verordening</t>
  </si>
  <si>
    <t>schade die wordt veroorzaakt door verwerking die inbreuk maakt op deze verordening</t>
  </si>
  <si>
    <t>32016R0679:82:2:3</t>
  </si>
  <si>
    <t>de schade die door verwerking is veroorzaakt</t>
  </si>
  <si>
    <t>schade die door verwerking is veroorzaakt</t>
  </si>
  <si>
    <t>32016R0679:82:4:5</t>
  </si>
  <si>
    <t>elke verwerkingsverantwoordelijke of verwerker</t>
  </si>
  <si>
    <t>32016R0679:82:6:7</t>
  </si>
  <si>
    <t>Gerechtelijke procedures voor het uitoefenen van het recht op schadevergoeding</t>
  </si>
  <si>
    <t>32016R0679:83:1:1</t>
  </si>
  <si>
    <t>de administratieve geldboeten die uit hoofde van dit artikel worden opgelegd voor de in de leden 4, 5 en 6 vermelde inbreuken op deze verordening</t>
  </si>
  <si>
    <t>administratieve geldboeten die worden opgelegd voor de inbreuken op deze verordening</t>
  </si>
  <si>
    <t>32016R0679:83:2:3</t>
  </si>
  <si>
    <t>32016R0679:83:3:4</t>
  </si>
  <si>
    <t>de totale geldboete</t>
  </si>
  <si>
    <t>totale geldboete</t>
  </si>
  <si>
    <t>totale toegestane vangst</t>
  </si>
  <si>
    <t>32016R0679:83:4:5</t>
  </si>
  <si>
    <t>32016R0679:83:5:6</t>
  </si>
  <si>
    <t>Inbreuken op onderstaande bepalingen</t>
  </si>
  <si>
    <t>inbreuk op de wet</t>
  </si>
  <si>
    <t>inbreuk op het EU-recht</t>
  </si>
  <si>
    <t>32016R0679:83:6:7</t>
  </si>
  <si>
    <t>32016R0679:83:7:8</t>
  </si>
  <si>
    <t>32016R0679:83:8:9</t>
  </si>
  <si>
    <t>passende procedurele waarborgen overeenkomstig het Unierecht en het lidstatelijke recht, waaronder een doeltreffende voorziening in rechte en eerlijke rechtsbedeling</t>
  </si>
  <si>
    <t>32016R0679:83:9:10</t>
  </si>
  <si>
    <t>de wetgevingsbepalingen</t>
  </si>
  <si>
    <t>wetgevingsbepalingen</t>
  </si>
  <si>
    <t>wetgevingsprocedure van de Europese Unie</t>
  </si>
  <si>
    <t>32016R0679:83:9:11</t>
  </si>
  <si>
    <t>alle latere wijzigingen daarvan en alle daarop van invloed zijnde wijzigingswetgeving</t>
  </si>
  <si>
    <t>latere wijzigingen en alle van invloed zijnde wijzigingswetgeving</t>
  </si>
  <si>
    <t>32016R0679:83:9:12</t>
  </si>
  <si>
    <t>32016R0679:83:9:13</t>
  </si>
  <si>
    <t>32016R0679:83:9:14</t>
  </si>
  <si>
    <t>32016R0679:83:9:15</t>
  </si>
  <si>
    <t>32016R0679:83:9:16</t>
  </si>
  <si>
    <t>32016R0679:84:1:2</t>
  </si>
  <si>
    <t>32016R0679:84:2:3</t>
  </si>
  <si>
    <t>de overeenkomstig lid 1 vastgestelde wetgevingsbepalingen</t>
  </si>
  <si>
    <t>32016R0679:84:2:4</t>
  </si>
  <si>
    <t>32016R0679:85:1:1</t>
  </si>
  <si>
    <t>het recht op bescherming van persoonsgegevens</t>
  </si>
  <si>
    <t>recht op bescherming van persoonsgegevens</t>
  </si>
  <si>
    <t>32016R0679:85:2:2</t>
  </si>
  <si>
    <t>uitzonderingen of afwijkingen</t>
  </si>
  <si>
    <t>uitzonderingen | afwijkingen</t>
  </si>
  <si>
    <t>aangeboren afwijking</t>
  </si>
  <si>
    <t>uitzonderingstoestand</t>
  </si>
  <si>
    <t>32016R0679:85:3:3</t>
  </si>
  <si>
    <t>de overeenkomstig lid 2 vastgestelde wetgevingsbepalingen</t>
  </si>
  <si>
    <t>32016R0679:85:3:4</t>
  </si>
  <si>
    <t>32016R0679:86:whole:1</t>
  </si>
  <si>
    <t>Persoonsgegevens in officiële documenten</t>
  </si>
  <si>
    <t>32016R0679:87:whole:1</t>
  </si>
  <si>
    <t>de specifieke voorwaarden voor de verwerking van een nationaal identificatienummer of enige andere identificator van algemene aard</t>
  </si>
  <si>
    <t>specifieke voorwaarden voor de verwerking van een nationaal identificatienummer of enige andere identificator van algemene aard</t>
  </si>
  <si>
    <t>nationale identificatienummer van algemene aard | identificator</t>
  </si>
  <si>
    <t>32016R0679:88:1:1</t>
  </si>
  <si>
    <t>nadere regels</t>
  </si>
  <si>
    <t>32016R0679:88:2:2</t>
  </si>
  <si>
    <t>passende en specifieke maatregelen</t>
  </si>
  <si>
    <t>32016R0679:88:3:3</t>
  </si>
  <si>
    <t>32016R0679:88:3:4</t>
  </si>
  <si>
    <t>32016R0679:89:1:1</t>
  </si>
  <si>
    <t>er technische en organisatorische maatregelen zijn getroffen om de inachtneming van het beginsel van minimale gegevensverwerking te garanderen</t>
  </si>
  <si>
    <t>32016R0679:89:1:2</t>
  </si>
  <si>
    <t>pseudonimisering</t>
  </si>
  <si>
    <t>anonimisering</t>
  </si>
  <si>
    <t>32016R0679:89:1:3</t>
  </si>
  <si>
    <t>32016R0679:89:1:4</t>
  </si>
  <si>
    <t>32016R0679:89:2:5</t>
  </si>
  <si>
    <t>afwijkingen van de in de artikelen 15, 16, 18 en 21 genoemde rechten</t>
  </si>
  <si>
    <t>afwijkingen van de rechten</t>
  </si>
  <si>
    <t>afwijking van de wet</t>
  </si>
  <si>
    <t>afwijking van het recht van de Europese Unie</t>
  </si>
  <si>
    <t>ontzetting uit de rechten</t>
  </si>
  <si>
    <t>32016R0679:89:3:6</t>
  </si>
  <si>
    <t>afwijkingen van de in de artikelen 15, 16, 18, 19, 20 en 21 genoemde rechten</t>
  </si>
  <si>
    <t>32016R0679:90:1:1</t>
  </si>
  <si>
    <t>specifieke regels</t>
  </si>
  <si>
    <t>speciaal tarief</t>
  </si>
  <si>
    <t>32016R0679:90:2:2</t>
  </si>
  <si>
    <t>de regels</t>
  </si>
  <si>
    <t>32016R0679:90:2:3</t>
  </si>
  <si>
    <t>alle wijzigingen daarvan</t>
  </si>
  <si>
    <t>wijzigingen</t>
  </si>
  <si>
    <t>32016R0679:91:1:1</t>
  </si>
  <si>
    <t>die regels</t>
  </si>
  <si>
    <t>32016R0679:92:1:1</t>
  </si>
  <si>
    <t>32016R0679:92:2:2</t>
  </si>
  <si>
    <t>De in artikel 12, lid 8, en artikel 43, lid 8, bedoelde bevoegdheidsdelegatie</t>
  </si>
  <si>
    <t>bevoegdheidsdelegatie</t>
  </si>
  <si>
    <t>32016R0679:92:3:3</t>
  </si>
  <si>
    <t>de in artikel 12, lid 8, en artikel 43, lid 8, bedoelde bevoegdheidsdelegatie</t>
  </si>
  <si>
    <t>32016R0679:92:3:4</t>
  </si>
  <si>
    <t>32016R0679:92:3:5</t>
  </si>
  <si>
    <t>32016R0679:92:3:6</t>
  </si>
  <si>
    <t>32016R0679:92:4:7</t>
  </si>
  <si>
    <t>32016R0679:92:5:8</t>
  </si>
  <si>
    <t>32016R0679:92:5:9</t>
  </si>
  <si>
    <t>32016R0679:97:1:1</t>
  </si>
  <si>
    <t>32016R0679:97:1:2</t>
  </si>
  <si>
    <t>De verslagen</t>
  </si>
  <si>
    <t>32016R0679:97:2:3</t>
  </si>
  <si>
    <t>de toepassing en de werking van</t>
  </si>
  <si>
    <t>toepassing | werking</t>
  </si>
  <si>
    <t>arbeid</t>
  </si>
  <si>
    <t>32016R0679:97:3:4</t>
  </si>
  <si>
    <t>32016R0679:97:4:5</t>
  </si>
  <si>
    <t>de standpunten en bevindingen van het Europees Parlement, van de Raad, en van andere relevante instanties of bronnen</t>
  </si>
  <si>
    <t>standpunten | bevindingen van het Europees Parlement | van de Raad | van andere relevante instanties of bronnen</t>
  </si>
  <si>
    <t>resolutie van het Europees Parlement</t>
  </si>
  <si>
    <t>besluit van het Europees Parlement</t>
  </si>
  <si>
    <t>verordening van het Europees Parlement</t>
  </si>
  <si>
    <t>32016R0679:97:5:6</t>
  </si>
  <si>
    <t>32016R0679:98:whole:1</t>
  </si>
  <si>
    <t>wetgevingsvoorstellen</t>
  </si>
  <si>
    <t>wetsvoorstel</t>
  </si>
  <si>
    <t>aangenomen wetsvoorstel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</si>
</sst>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3"/>
      <name val="Arial"/>
    </font>
    <font>
      <sz val="11"/>
      <name val="Arial"/>
    </font>
    <font>
      <b/>
      <sz val="11"/>
      <name val="Arial"/>
    </font>
    <font>
      <sz val="11"/>
      <name val="Arial"/>
    </font>
    <font>
      <b/>
      <sz val="11"/>
      <color rgb="FFFFFFFF"/>
      <name val="Arial"/>
    </font>
    <font>
      <b/>
      <sz val="11"/>
      <name val="Arial"/>
    </font>
    <font>
      <i/>
      <sz val="11"/>
      <name val="Arial"/>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EAF1DD"/>
      </patternFill>
    </fill>
  </fills>
  <borders count="2">
    <border>
      <left/>
      <right/>
      <top/>
      <bottom/>
      <diagonal/>
    </border>
    <border>
      <left/>
      <right/>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0" fontId="5" fillId="3" borderId="0" xfId="0" applyFont="1" applyFill="1" applyAlignment="1">
      <alignment vertical="center" wrapText="1"/>
    </xf>
    <xf numFmtId="0" fontId="4" fillId="0" borderId="0" xfId="0" applyFont="1"/>
    <xf numFmtId="0" fontId="4" fillId="2" borderId="0" xfId="0" applyFont="1" applyFill="1"/>
    <xf numFmtId="0" fontId="4" fillId="4" borderId="1" xfId="0" applyFont="1" applyFill="1" applyBorder="1" applyAlignment="1">
      <alignment vertical="top"/>
    </xf>
    <xf numFmtId="0" fontId="4" fillId="4" borderId="1" xfId="0" applyFont="1" applyFill="1" applyBorder="1" applyAlignment="1">
      <alignment vertical="top" wrapText="1"/>
    </xf>
    <xf numFmtId="2" fontId="4" fillId="4" borderId="1" xfId="0" applyNumberFormat="1" applyFont="1" applyFill="1" applyBorder="1" applyAlignment="1">
      <alignment vertical="top"/>
    </xf>
    <xf numFmtId="0" fontId="4" fillId="2" borderId="1" xfId="0" applyFont="1" applyFill="1" applyBorder="1" applyAlignment="1">
      <alignment vertical="top"/>
    </xf>
    <xf numFmtId="0" fontId="4" fillId="2" borderId="1" xfId="0" applyFont="1" applyFill="1" applyBorder="1" applyAlignment="1">
      <alignment vertical="top" wrapText="1"/>
    </xf>
    <xf numFmtId="9" fontId="4" fillId="0" borderId="0" xfId="0" applyNumberFormat="1" applyFont="1"/>
    <xf numFmtId="0" fontId="6" fillId="0" borderId="0" xfId="0" applyFont="1"/>
    <xf numFmtId="9" fontId="6" fillId="0" borderId="0" xfId="0" applyNumberFormat="1" applyFont="1"/>
    <xf numFmtId="0" fontId="7" fillId="0" borderId="0" xfId="0" applyFont="1"/>
    <xf numFmtId="0" fontId="4" fillId="0" borderId="0" xfId="0" applyFont="1" applyAlignment="1">
      <alignment vertical="top"/>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0"/>
  <sheetViews>
    <sheetView workbookViewId="0"/>
  </sheetViews>
  <sheetFormatPr defaultRowHeight="14.5" x14ac:dyDescent="0.35"/>
  <cols>
    <col min="1" max="1" width="45" customWidth="1"/>
    <col min="2" max="7" width="18" customWidth="1"/>
  </cols>
  <sheetData>
    <row r="1" spans="1:1" ht="16.5" x14ac:dyDescent="0.35">
      <c r="A1" s="1" t="s">
        <v>725</v>
      </c>
    </row>
    <row r="2" spans="1:1" x14ac:dyDescent="0.35">
      <c r="A2" s="2"/>
    </row>
    <row r="3" spans="1:1" x14ac:dyDescent="0.35">
      <c r="A3" s="3" t="s">
        <v>726</v>
      </c>
    </row>
    <row r="4" spans="1:1" x14ac:dyDescent="0.35">
      <c r="A4" s="2" t="s">
        <v>727</v>
      </c>
    </row>
    <row r="5" spans="1:1" x14ac:dyDescent="0.35">
      <c r="A5" s="2" t="s">
        <v>728</v>
      </c>
    </row>
    <row r="6" spans="1:1" x14ac:dyDescent="0.35">
      <c r="A6" s="2" t="s">
        <v>729</v>
      </c>
    </row>
    <row r="7" spans="1:1" x14ac:dyDescent="0.35">
      <c r="A7" s="2" t="s">
        <v>730</v>
      </c>
    </row>
    <row r="8" spans="1:1" x14ac:dyDescent="0.35">
      <c r="A8" s="2"/>
    </row>
    <row r="9" spans="1:1" x14ac:dyDescent="0.35">
      <c r="A9" s="3" t="s">
        <v>731</v>
      </c>
    </row>
    <row r="10" spans="1:1" x14ac:dyDescent="0.35">
      <c r="A10" s="2" t="s">
        <v>732</v>
      </c>
    </row>
    <row r="11" spans="1:1" x14ac:dyDescent="0.35">
      <c r="A11" s="2" t="s">
        <v>733</v>
      </c>
    </row>
    <row r="12" spans="1:1" x14ac:dyDescent="0.35">
      <c r="A12" s="2" t="s">
        <v>734</v>
      </c>
    </row>
    <row r="13" spans="1:1" x14ac:dyDescent="0.35">
      <c r="A13" s="2" t="s">
        <v>735</v>
      </c>
    </row>
    <row r="14" spans="1:1" x14ac:dyDescent="0.35">
      <c r="A14" s="2" t="s">
        <v>736</v>
      </c>
    </row>
    <row r="15" spans="1:1" x14ac:dyDescent="0.35">
      <c r="A15" s="2"/>
    </row>
    <row r="16" spans="1:1" x14ac:dyDescent="0.35">
      <c r="A16" s="3" t="s">
        <v>737</v>
      </c>
    </row>
    <row r="17" spans="1:7" x14ac:dyDescent="0.35">
      <c r="A17" s="2" t="s">
        <v>738</v>
      </c>
    </row>
    <row r="18" spans="1:7" x14ac:dyDescent="0.35">
      <c r="A18" s="2" t="s">
        <v>739</v>
      </c>
    </row>
    <row r="19" spans="1:7" x14ac:dyDescent="0.35">
      <c r="A19" s="2" t="s">
        <v>740</v>
      </c>
    </row>
    <row r="20" spans="1:7" x14ac:dyDescent="0.35">
      <c r="A20" s="2" t="s">
        <v>741</v>
      </c>
    </row>
    <row r="21" spans="1:7" x14ac:dyDescent="0.35">
      <c r="A21" s="2" t="s">
        <v>742</v>
      </c>
    </row>
    <row r="22" spans="1:7" x14ac:dyDescent="0.35">
      <c r="A22" s="2" t="s">
        <v>743</v>
      </c>
    </row>
    <row r="23" spans="1:7" x14ac:dyDescent="0.35">
      <c r="A23" s="2" t="s">
        <v>744</v>
      </c>
    </row>
    <row r="24" spans="1:7" x14ac:dyDescent="0.35">
      <c r="A24" s="2" t="s">
        <v>745</v>
      </c>
    </row>
    <row r="25" spans="1:7" x14ac:dyDescent="0.35">
      <c r="A25" s="2" t="s">
        <v>746</v>
      </c>
    </row>
    <row r="26" spans="1:7" x14ac:dyDescent="0.35">
      <c r="A26" s="2" t="s">
        <v>747</v>
      </c>
    </row>
    <row r="27" spans="1:7" x14ac:dyDescent="0.35">
      <c r="A27" s="2"/>
    </row>
    <row r="28" spans="1:7" x14ac:dyDescent="0.35">
      <c r="A28" s="3" t="s">
        <v>748</v>
      </c>
    </row>
    <row r="29" spans="1:7" x14ac:dyDescent="0.35">
      <c r="A29" s="4" t="s">
        <v>2</v>
      </c>
      <c r="B29" s="4" t="s">
        <v>6</v>
      </c>
      <c r="C29" s="4" t="s">
        <v>8</v>
      </c>
      <c r="D29" s="4" t="s">
        <v>9</v>
      </c>
      <c r="E29" s="4" t="s">
        <v>18</v>
      </c>
      <c r="F29" s="4" t="s">
        <v>19</v>
      </c>
      <c r="G29" s="4" t="s">
        <v>20</v>
      </c>
    </row>
    <row r="30" spans="1:7" x14ac:dyDescent="0.35">
      <c r="A30" s="5" t="s">
        <v>68</v>
      </c>
      <c r="B30" s="5" t="s">
        <v>5</v>
      </c>
      <c r="C30" s="5" t="s">
        <v>67</v>
      </c>
      <c r="D30" s="5">
        <v>0.8</v>
      </c>
      <c r="E30" s="6" t="s">
        <v>749</v>
      </c>
      <c r="F30" s="6" t="s">
        <v>750</v>
      </c>
      <c r="G30" s="6" t="s">
        <v>751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30"/>
  <sheetViews>
    <sheetView tabSelected="1" workbookViewId="0">
      <pane xSplit="3" ySplit="1" topLeftCell="D2" activePane="bottomRight" state="frozen"/>
      <selection pane="topRight"/>
      <selection pane="bottomLeft"/>
      <selection pane="bottomRight" activeCell="D3" sqref="D3"/>
    </sheetView>
  </sheetViews>
  <sheetFormatPr defaultRowHeight="14.5" x14ac:dyDescent="0.35"/>
  <cols>
    <col min="1" max="1" width="11" hidden="1" customWidth="1"/>
    <col min="2" max="2" width="18" hidden="1" customWidth="1"/>
    <col min="3" max="4" width="40" customWidth="1"/>
    <col min="5" max="6" width="16" hidden="1" customWidth="1"/>
    <col min="7" max="7" width="11" hidden="1" customWidth="1"/>
    <col min="8" max="8" width="16" hidden="1" customWidth="1"/>
    <col min="9" max="9" width="26" customWidth="1"/>
    <col min="10" max="10" width="8" hidden="1" customWidth="1"/>
    <col min="11" max="11" width="7" hidden="1" customWidth="1"/>
    <col min="12" max="12" width="22" hidden="1" customWidth="1"/>
    <col min="13" max="13" width="8" hidden="1" customWidth="1"/>
    <col min="14" max="14" width="22" hidden="1" customWidth="1"/>
    <col min="15" max="15" width="8" hidden="1" customWidth="1"/>
    <col min="16" max="16" width="9" hidden="1" customWidth="1"/>
    <col min="17" max="17" width="18" hidden="1" customWidth="1"/>
    <col min="18" max="18" width="12" customWidth="1"/>
    <col min="19" max="19" width="22" customWidth="1"/>
    <col min="20" max="20" width="30" customWidth="1"/>
    <col min="21" max="21" width="60" customWidth="1"/>
  </cols>
  <sheetData>
    <row r="1" spans="1:21" x14ac:dyDescent="0.3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18</v>
      </c>
      <c r="S1" s="4" t="s">
        <v>19</v>
      </c>
      <c r="T1" s="4" t="s">
        <v>20</v>
      </c>
      <c r="U1" s="4" t="s">
        <v>17</v>
      </c>
    </row>
    <row r="2" spans="1:21" ht="56" x14ac:dyDescent="0.35">
      <c r="A2" s="7" t="s">
        <v>21</v>
      </c>
      <c r="B2" s="7" t="s">
        <v>22</v>
      </c>
      <c r="C2" s="8" t="s">
        <v>23</v>
      </c>
      <c r="D2" s="8" t="s">
        <v>24</v>
      </c>
      <c r="E2" s="7" t="s">
        <v>22</v>
      </c>
      <c r="F2" s="7" t="s">
        <v>23</v>
      </c>
      <c r="G2" s="7" t="s">
        <v>22</v>
      </c>
      <c r="H2" s="7" t="s">
        <v>23</v>
      </c>
      <c r="I2" s="7" t="s">
        <v>23</v>
      </c>
      <c r="J2" s="9">
        <v>1</v>
      </c>
      <c r="K2" s="7"/>
      <c r="L2" s="7"/>
      <c r="M2" s="9"/>
      <c r="N2" s="7"/>
      <c r="O2" s="9"/>
      <c r="P2" s="7">
        <v>1</v>
      </c>
      <c r="Q2" s="7" t="s">
        <v>25</v>
      </c>
      <c r="R2" s="10"/>
      <c r="S2" s="10"/>
      <c r="T2" s="11"/>
      <c r="U2" s="8" t="s">
        <v>26</v>
      </c>
    </row>
    <row r="3" spans="1:21" ht="84" x14ac:dyDescent="0.35">
      <c r="A3" s="7" t="s">
        <v>21</v>
      </c>
      <c r="B3" s="7" t="s">
        <v>22</v>
      </c>
      <c r="C3" s="8" t="s">
        <v>27</v>
      </c>
      <c r="D3" s="8"/>
      <c r="E3" s="7" t="s">
        <v>22</v>
      </c>
      <c r="F3" s="7" t="s">
        <v>28</v>
      </c>
      <c r="G3" s="7" t="s">
        <v>22</v>
      </c>
      <c r="H3" s="7" t="s">
        <v>29</v>
      </c>
      <c r="I3" s="7" t="s">
        <v>30</v>
      </c>
      <c r="J3" s="9">
        <v>1</v>
      </c>
      <c r="K3" s="7"/>
      <c r="L3" s="7"/>
      <c r="M3" s="9"/>
      <c r="N3" s="7"/>
      <c r="O3" s="9"/>
      <c r="P3" s="7">
        <v>1</v>
      </c>
      <c r="Q3" s="7" t="s">
        <v>31</v>
      </c>
      <c r="R3" s="10"/>
      <c r="S3" s="10"/>
      <c r="T3" s="11"/>
      <c r="U3" s="8" t="s">
        <v>32</v>
      </c>
    </row>
    <row r="4" spans="1:21" ht="42" x14ac:dyDescent="0.35">
      <c r="A4" s="7" t="s">
        <v>21</v>
      </c>
      <c r="B4" s="7" t="s">
        <v>22</v>
      </c>
      <c r="C4" s="8" t="s">
        <v>33</v>
      </c>
      <c r="D4" s="8"/>
      <c r="E4" s="7" t="s">
        <v>22</v>
      </c>
      <c r="F4" s="7" t="s">
        <v>34</v>
      </c>
      <c r="G4" s="7" t="s">
        <v>22</v>
      </c>
      <c r="H4" s="7" t="s">
        <v>34</v>
      </c>
      <c r="I4" s="7" t="s">
        <v>34</v>
      </c>
      <c r="J4" s="9">
        <v>0.8</v>
      </c>
      <c r="K4" s="7"/>
      <c r="L4" s="7" t="s">
        <v>35</v>
      </c>
      <c r="M4" s="9">
        <v>0.8</v>
      </c>
      <c r="N4" s="7"/>
      <c r="O4" s="9"/>
      <c r="P4" s="7">
        <v>3</v>
      </c>
      <c r="Q4" s="7" t="s">
        <v>36</v>
      </c>
      <c r="R4" s="10"/>
      <c r="S4" s="10"/>
      <c r="T4" s="11"/>
      <c r="U4" s="8" t="s">
        <v>37</v>
      </c>
    </row>
    <row r="5" spans="1:21" ht="84" x14ac:dyDescent="0.35">
      <c r="A5" s="7" t="s">
        <v>21</v>
      </c>
      <c r="B5" s="7" t="s">
        <v>22</v>
      </c>
      <c r="C5" s="8" t="s">
        <v>38</v>
      </c>
      <c r="D5" s="8" t="s">
        <v>39</v>
      </c>
      <c r="E5" s="7" t="s">
        <v>22</v>
      </c>
      <c r="F5" s="7" t="s">
        <v>38</v>
      </c>
      <c r="G5" s="7" t="s">
        <v>22</v>
      </c>
      <c r="H5" s="7" t="s">
        <v>38</v>
      </c>
      <c r="I5" s="7" t="s">
        <v>38</v>
      </c>
      <c r="J5" s="9">
        <v>1</v>
      </c>
      <c r="K5" s="7"/>
      <c r="L5" s="7"/>
      <c r="M5" s="9"/>
      <c r="N5" s="7"/>
      <c r="O5" s="9"/>
      <c r="P5" s="7">
        <v>2</v>
      </c>
      <c r="Q5" s="7" t="s">
        <v>40</v>
      </c>
      <c r="R5" s="10"/>
      <c r="S5" s="10"/>
      <c r="T5" s="11"/>
      <c r="U5" s="8" t="s">
        <v>41</v>
      </c>
    </row>
    <row r="6" spans="1:21" ht="70" x14ac:dyDescent="0.35">
      <c r="A6" s="7" t="s">
        <v>21</v>
      </c>
      <c r="B6" s="7" t="s">
        <v>22</v>
      </c>
      <c r="C6" s="8" t="s">
        <v>42</v>
      </c>
      <c r="D6" s="8"/>
      <c r="E6" s="7" t="s">
        <v>22</v>
      </c>
      <c r="F6" s="7" t="s">
        <v>43</v>
      </c>
      <c r="G6" s="7" t="s">
        <v>22</v>
      </c>
      <c r="H6" s="7" t="s">
        <v>43</v>
      </c>
      <c r="I6" s="7" t="s">
        <v>43</v>
      </c>
      <c r="J6" s="9">
        <v>1</v>
      </c>
      <c r="K6" s="7"/>
      <c r="L6" s="7"/>
      <c r="M6" s="9"/>
      <c r="N6" s="7"/>
      <c r="O6" s="9"/>
      <c r="P6" s="7">
        <v>1</v>
      </c>
      <c r="Q6" s="7" t="s">
        <v>44</v>
      </c>
      <c r="R6" s="10"/>
      <c r="S6" s="10"/>
      <c r="T6" s="11"/>
      <c r="U6" s="8" t="s">
        <v>45</v>
      </c>
    </row>
    <row r="7" spans="1:21" ht="70" x14ac:dyDescent="0.35">
      <c r="A7" s="7" t="s">
        <v>21</v>
      </c>
      <c r="B7" s="7" t="s">
        <v>22</v>
      </c>
      <c r="C7" s="8" t="s">
        <v>46</v>
      </c>
      <c r="D7" s="8" t="s">
        <v>47</v>
      </c>
      <c r="E7" s="7" t="s">
        <v>22</v>
      </c>
      <c r="F7" s="7" t="s">
        <v>48</v>
      </c>
      <c r="G7" s="7" t="s">
        <v>22</v>
      </c>
      <c r="H7" s="7" t="s">
        <v>48</v>
      </c>
      <c r="I7" s="7" t="s">
        <v>49</v>
      </c>
      <c r="J7" s="9">
        <v>1</v>
      </c>
      <c r="K7" s="7"/>
      <c r="L7" s="7"/>
      <c r="M7" s="9"/>
      <c r="N7" s="7"/>
      <c r="O7" s="9"/>
      <c r="P7" s="7">
        <v>3</v>
      </c>
      <c r="Q7" s="7" t="s">
        <v>50</v>
      </c>
      <c r="R7" s="10"/>
      <c r="S7" s="10"/>
      <c r="T7" s="11"/>
      <c r="U7" s="8" t="s">
        <v>51</v>
      </c>
    </row>
    <row r="8" spans="1:21" ht="98" x14ac:dyDescent="0.35">
      <c r="A8" s="7" t="s">
        <v>21</v>
      </c>
      <c r="B8" s="7" t="s">
        <v>22</v>
      </c>
      <c r="C8" s="8" t="s">
        <v>52</v>
      </c>
      <c r="D8" s="8" t="s">
        <v>53</v>
      </c>
      <c r="E8" s="7" t="s">
        <v>22</v>
      </c>
      <c r="F8" s="7" t="s">
        <v>54</v>
      </c>
      <c r="G8" s="7" t="s">
        <v>22</v>
      </c>
      <c r="H8" s="7" t="s">
        <v>54</v>
      </c>
      <c r="I8" s="7" t="s">
        <v>55</v>
      </c>
      <c r="J8" s="9">
        <v>1</v>
      </c>
      <c r="K8" s="7"/>
      <c r="L8" s="7"/>
      <c r="M8" s="9"/>
      <c r="N8" s="7"/>
      <c r="O8" s="9"/>
      <c r="P8" s="7">
        <v>3</v>
      </c>
      <c r="Q8" s="7" t="s">
        <v>56</v>
      </c>
      <c r="R8" s="10"/>
      <c r="S8" s="10"/>
      <c r="T8" s="11"/>
      <c r="U8" s="8" t="s">
        <v>57</v>
      </c>
    </row>
    <row r="9" spans="1:21" ht="56" x14ac:dyDescent="0.35">
      <c r="A9" s="7" t="s">
        <v>21</v>
      </c>
      <c r="B9" s="7" t="s">
        <v>22</v>
      </c>
      <c r="C9" s="8" t="s">
        <v>54</v>
      </c>
      <c r="D9" s="8" t="s">
        <v>58</v>
      </c>
      <c r="E9" s="7" t="s">
        <v>22</v>
      </c>
      <c r="F9" s="7" t="s">
        <v>54</v>
      </c>
      <c r="G9" s="7" t="s">
        <v>22</v>
      </c>
      <c r="H9" s="7" t="s">
        <v>54</v>
      </c>
      <c r="I9" s="7" t="s">
        <v>55</v>
      </c>
      <c r="J9" s="9">
        <v>1</v>
      </c>
      <c r="K9" s="7"/>
      <c r="L9" s="7"/>
      <c r="M9" s="9"/>
      <c r="N9" s="7"/>
      <c r="O9" s="9"/>
      <c r="P9" s="7">
        <v>1</v>
      </c>
      <c r="Q9" s="7" t="s">
        <v>59</v>
      </c>
      <c r="R9" s="10"/>
      <c r="S9" s="10"/>
      <c r="T9" s="11"/>
      <c r="U9" s="8" t="s">
        <v>60</v>
      </c>
    </row>
    <row r="10" spans="1:21" ht="56" x14ac:dyDescent="0.35">
      <c r="A10" s="7" t="s">
        <v>21</v>
      </c>
      <c r="B10" s="7" t="s">
        <v>22</v>
      </c>
      <c r="C10" s="8" t="s">
        <v>61</v>
      </c>
      <c r="D10" s="8" t="s">
        <v>62</v>
      </c>
      <c r="E10" s="7" t="s">
        <v>22</v>
      </c>
      <c r="F10" s="7" t="s">
        <v>63</v>
      </c>
      <c r="G10" s="7" t="s">
        <v>22</v>
      </c>
      <c r="H10" s="7" t="s">
        <v>64</v>
      </c>
      <c r="I10" s="7" t="s">
        <v>61</v>
      </c>
      <c r="J10" s="9">
        <v>1</v>
      </c>
      <c r="K10" s="7"/>
      <c r="L10" s="7"/>
      <c r="M10" s="9"/>
      <c r="N10" s="7"/>
      <c r="O10" s="9"/>
      <c r="P10" s="7">
        <v>1</v>
      </c>
      <c r="Q10" s="7" t="s">
        <v>65</v>
      </c>
      <c r="R10" s="10"/>
      <c r="S10" s="10"/>
      <c r="T10" s="11"/>
      <c r="U10" s="8" t="s">
        <v>66</v>
      </c>
    </row>
    <row r="11" spans="1:21" ht="70" x14ac:dyDescent="0.35">
      <c r="A11" s="7" t="s">
        <v>21</v>
      </c>
      <c r="B11" s="7" t="s">
        <v>22</v>
      </c>
      <c r="C11" s="8" t="s">
        <v>67</v>
      </c>
      <c r="D11" s="8" t="s">
        <v>68</v>
      </c>
      <c r="E11" s="7" t="s">
        <v>22</v>
      </c>
      <c r="F11" s="7" t="s">
        <v>67</v>
      </c>
      <c r="G11" s="7" t="s">
        <v>22</v>
      </c>
      <c r="H11" s="7" t="s">
        <v>67</v>
      </c>
      <c r="I11" s="7" t="s">
        <v>67</v>
      </c>
      <c r="J11" s="9">
        <v>1</v>
      </c>
      <c r="K11" s="7"/>
      <c r="L11" s="7"/>
      <c r="M11" s="9"/>
      <c r="N11" s="7"/>
      <c r="O11" s="9"/>
      <c r="P11" s="7">
        <v>23</v>
      </c>
      <c r="Q11" s="7" t="s">
        <v>69</v>
      </c>
      <c r="R11" s="10"/>
      <c r="S11" s="10"/>
      <c r="T11" s="11"/>
      <c r="U11" s="8" t="s">
        <v>70</v>
      </c>
    </row>
    <row r="12" spans="1:21" ht="42" x14ac:dyDescent="0.35">
      <c r="A12" s="7" t="s">
        <v>21</v>
      </c>
      <c r="B12" s="7" t="s">
        <v>22</v>
      </c>
      <c r="C12" s="8" t="s">
        <v>71</v>
      </c>
      <c r="D12" s="8" t="s">
        <v>72</v>
      </c>
      <c r="E12" s="7" t="s">
        <v>22</v>
      </c>
      <c r="F12" s="7" t="s">
        <v>71</v>
      </c>
      <c r="G12" s="7" t="s">
        <v>22</v>
      </c>
      <c r="H12" s="7" t="s">
        <v>71</v>
      </c>
      <c r="I12" s="7" t="s">
        <v>73</v>
      </c>
      <c r="J12" s="9">
        <v>1</v>
      </c>
      <c r="K12" s="7"/>
      <c r="L12" s="7"/>
      <c r="M12" s="9"/>
      <c r="N12" s="7"/>
      <c r="O12" s="9"/>
      <c r="P12" s="7">
        <v>1</v>
      </c>
      <c r="Q12" s="7" t="s">
        <v>74</v>
      </c>
      <c r="R12" s="10"/>
      <c r="S12" s="10"/>
      <c r="T12" s="11"/>
      <c r="U12" s="8" t="s">
        <v>75</v>
      </c>
    </row>
    <row r="13" spans="1:21" ht="70" x14ac:dyDescent="0.35">
      <c r="A13" s="7" t="s">
        <v>21</v>
      </c>
      <c r="B13" s="7" t="s">
        <v>22</v>
      </c>
      <c r="C13" s="8" t="s">
        <v>76</v>
      </c>
      <c r="D13" s="8" t="s">
        <v>77</v>
      </c>
      <c r="E13" s="7" t="s">
        <v>22</v>
      </c>
      <c r="F13" s="7" t="s">
        <v>76</v>
      </c>
      <c r="G13" s="7" t="s">
        <v>22</v>
      </c>
      <c r="H13" s="7" t="s">
        <v>76</v>
      </c>
      <c r="I13" s="7" t="s">
        <v>76</v>
      </c>
      <c r="J13" s="9">
        <v>1</v>
      </c>
      <c r="K13" s="7"/>
      <c r="L13" s="7"/>
      <c r="M13" s="9"/>
      <c r="N13" s="7"/>
      <c r="O13" s="9"/>
      <c r="P13" s="7">
        <v>1</v>
      </c>
      <c r="Q13" s="7" t="s">
        <v>78</v>
      </c>
      <c r="R13" s="10"/>
      <c r="S13" s="10"/>
      <c r="T13" s="11"/>
      <c r="U13" s="8" t="s">
        <v>79</v>
      </c>
    </row>
    <row r="14" spans="1:21" ht="56" x14ac:dyDescent="0.35">
      <c r="A14" s="7" t="s">
        <v>21</v>
      </c>
      <c r="B14" s="7" t="s">
        <v>22</v>
      </c>
      <c r="C14" s="8" t="s">
        <v>80</v>
      </c>
      <c r="D14" s="8" t="s">
        <v>81</v>
      </c>
      <c r="E14" s="7" t="s">
        <v>22</v>
      </c>
      <c r="F14" s="7" t="s">
        <v>80</v>
      </c>
      <c r="G14" s="7" t="s">
        <v>22</v>
      </c>
      <c r="H14" s="7" t="s">
        <v>80</v>
      </c>
      <c r="I14" s="7" t="s">
        <v>80</v>
      </c>
      <c r="J14" s="9">
        <v>1</v>
      </c>
      <c r="K14" s="7"/>
      <c r="L14" s="7"/>
      <c r="M14" s="9"/>
      <c r="N14" s="7"/>
      <c r="O14" s="9"/>
      <c r="P14" s="7">
        <v>1</v>
      </c>
      <c r="Q14" s="7" t="s">
        <v>82</v>
      </c>
      <c r="R14" s="10"/>
      <c r="S14" s="10"/>
      <c r="T14" s="11"/>
      <c r="U14" s="8" t="s">
        <v>83</v>
      </c>
    </row>
    <row r="15" spans="1:21" ht="84" x14ac:dyDescent="0.35">
      <c r="A15" s="7" t="s">
        <v>21</v>
      </c>
      <c r="B15" s="7" t="s">
        <v>22</v>
      </c>
      <c r="C15" s="8" t="s">
        <v>84</v>
      </c>
      <c r="D15" s="8" t="s">
        <v>85</v>
      </c>
      <c r="E15" s="7" t="s">
        <v>22</v>
      </c>
      <c r="F15" s="7" t="s">
        <v>84</v>
      </c>
      <c r="G15" s="7" t="s">
        <v>22</v>
      </c>
      <c r="H15" s="7" t="s">
        <v>84</v>
      </c>
      <c r="I15" s="7" t="s">
        <v>86</v>
      </c>
      <c r="J15" s="9">
        <v>1</v>
      </c>
      <c r="K15" s="7"/>
      <c r="L15" s="7"/>
      <c r="M15" s="9"/>
      <c r="N15" s="7"/>
      <c r="O15" s="9"/>
      <c r="P15" s="7">
        <v>8</v>
      </c>
      <c r="Q15" s="7" t="s">
        <v>87</v>
      </c>
      <c r="R15" s="10"/>
      <c r="S15" s="10"/>
      <c r="T15" s="11"/>
      <c r="U15" s="8" t="s">
        <v>88</v>
      </c>
    </row>
    <row r="16" spans="1:21" ht="70" x14ac:dyDescent="0.35">
      <c r="A16" s="7" t="s">
        <v>21</v>
      </c>
      <c r="B16" s="7" t="s">
        <v>22</v>
      </c>
      <c r="C16" s="8" t="s">
        <v>89</v>
      </c>
      <c r="D16" s="8"/>
      <c r="E16" s="7" t="s">
        <v>22</v>
      </c>
      <c r="F16" s="7" t="s">
        <v>89</v>
      </c>
      <c r="G16" s="7" t="s">
        <v>22</v>
      </c>
      <c r="H16" s="7" t="s">
        <v>89</v>
      </c>
      <c r="I16" s="7" t="s">
        <v>89</v>
      </c>
      <c r="J16" s="9">
        <v>1</v>
      </c>
      <c r="K16" s="7"/>
      <c r="L16" s="7"/>
      <c r="M16" s="9"/>
      <c r="N16" s="7"/>
      <c r="O16" s="9"/>
      <c r="P16" s="7">
        <v>12</v>
      </c>
      <c r="Q16" s="7" t="s">
        <v>90</v>
      </c>
      <c r="R16" s="10"/>
      <c r="S16" s="10"/>
      <c r="T16" s="11"/>
      <c r="U16" s="8" t="s">
        <v>91</v>
      </c>
    </row>
    <row r="17" spans="1:21" ht="84" x14ac:dyDescent="0.35">
      <c r="A17" s="7" t="s">
        <v>21</v>
      </c>
      <c r="B17" s="7" t="s">
        <v>22</v>
      </c>
      <c r="C17" s="8" t="s">
        <v>92</v>
      </c>
      <c r="D17" s="8"/>
      <c r="E17" s="7" t="s">
        <v>22</v>
      </c>
      <c r="F17" s="7" t="s">
        <v>67</v>
      </c>
      <c r="G17" s="7" t="s">
        <v>22</v>
      </c>
      <c r="H17" s="7" t="s">
        <v>93</v>
      </c>
      <c r="I17" s="7" t="s">
        <v>94</v>
      </c>
      <c r="J17" s="9">
        <v>1</v>
      </c>
      <c r="K17" s="7"/>
      <c r="L17" s="7"/>
      <c r="M17" s="9"/>
      <c r="N17" s="7"/>
      <c r="O17" s="9"/>
      <c r="P17" s="7">
        <v>1</v>
      </c>
      <c r="Q17" s="7" t="s">
        <v>95</v>
      </c>
      <c r="R17" s="10"/>
      <c r="S17" s="10"/>
      <c r="T17" s="11"/>
      <c r="U17" s="8" t="s">
        <v>96</v>
      </c>
    </row>
    <row r="18" spans="1:21" ht="70" x14ac:dyDescent="0.35">
      <c r="A18" s="7" t="s">
        <v>21</v>
      </c>
      <c r="B18" s="7" t="s">
        <v>22</v>
      </c>
      <c r="C18" s="8" t="s">
        <v>97</v>
      </c>
      <c r="D18" s="8" t="s">
        <v>98</v>
      </c>
      <c r="E18" s="7" t="s">
        <v>22</v>
      </c>
      <c r="F18" s="7" t="s">
        <v>99</v>
      </c>
      <c r="G18" s="7" t="s">
        <v>22</v>
      </c>
      <c r="H18" s="7" t="s">
        <v>99</v>
      </c>
      <c r="I18" s="7" t="s">
        <v>100</v>
      </c>
      <c r="J18" s="9">
        <v>1</v>
      </c>
      <c r="K18" s="7"/>
      <c r="L18" s="7"/>
      <c r="M18" s="9"/>
      <c r="N18" s="7"/>
      <c r="O18" s="9"/>
      <c r="P18" s="7">
        <v>2</v>
      </c>
      <c r="Q18" s="7" t="s">
        <v>101</v>
      </c>
      <c r="R18" s="10"/>
      <c r="S18" s="10"/>
      <c r="T18" s="11"/>
      <c r="U18" s="8" t="s">
        <v>102</v>
      </c>
    </row>
    <row r="19" spans="1:21" ht="84" x14ac:dyDescent="0.35">
      <c r="A19" s="7" t="s">
        <v>21</v>
      </c>
      <c r="B19" s="7" t="s">
        <v>5</v>
      </c>
      <c r="C19" s="8" t="s">
        <v>103</v>
      </c>
      <c r="D19" s="8" t="s">
        <v>104</v>
      </c>
      <c r="E19" s="7" t="s">
        <v>5</v>
      </c>
      <c r="F19" s="7" t="s">
        <v>105</v>
      </c>
      <c r="G19" s="7" t="s">
        <v>5</v>
      </c>
      <c r="H19" s="7" t="s">
        <v>105</v>
      </c>
      <c r="I19" s="7" t="s">
        <v>105</v>
      </c>
      <c r="J19" s="9">
        <v>0.8</v>
      </c>
      <c r="K19" s="7"/>
      <c r="L19" s="7"/>
      <c r="M19" s="9"/>
      <c r="N19" s="7"/>
      <c r="O19" s="9"/>
      <c r="P19" s="7">
        <v>1</v>
      </c>
      <c r="Q19" s="7" t="s">
        <v>106</v>
      </c>
      <c r="R19" s="10"/>
      <c r="S19" s="10"/>
      <c r="T19" s="11"/>
      <c r="U19" s="8" t="s">
        <v>107</v>
      </c>
    </row>
    <row r="20" spans="1:21" ht="42" x14ac:dyDescent="0.35">
      <c r="A20" s="7" t="s">
        <v>21</v>
      </c>
      <c r="B20" s="7" t="s">
        <v>5</v>
      </c>
      <c r="C20" s="8" t="s">
        <v>108</v>
      </c>
      <c r="D20" s="8"/>
      <c r="E20" s="7" t="s">
        <v>5</v>
      </c>
      <c r="F20" s="7" t="s">
        <v>109</v>
      </c>
      <c r="G20" s="7" t="s">
        <v>5</v>
      </c>
      <c r="H20" s="7" t="s">
        <v>109</v>
      </c>
      <c r="I20" s="7" t="s">
        <v>110</v>
      </c>
      <c r="J20" s="9">
        <v>0.8</v>
      </c>
      <c r="K20" s="7"/>
      <c r="L20" s="7"/>
      <c r="M20" s="9"/>
      <c r="N20" s="7"/>
      <c r="O20" s="9"/>
      <c r="P20" s="7">
        <v>1</v>
      </c>
      <c r="Q20" s="7" t="s">
        <v>111</v>
      </c>
      <c r="R20" s="10"/>
      <c r="S20" s="10"/>
      <c r="T20" s="11"/>
      <c r="U20" s="8" t="s">
        <v>112</v>
      </c>
    </row>
    <row r="21" spans="1:21" ht="70" x14ac:dyDescent="0.35">
      <c r="A21" s="7" t="s">
        <v>21</v>
      </c>
      <c r="B21" s="7" t="s">
        <v>5</v>
      </c>
      <c r="C21" s="8" t="s">
        <v>113</v>
      </c>
      <c r="D21" s="8" t="s">
        <v>114</v>
      </c>
      <c r="E21" s="7" t="s">
        <v>5</v>
      </c>
      <c r="F21" s="7" t="s">
        <v>115</v>
      </c>
      <c r="G21" s="7" t="s">
        <v>5</v>
      </c>
      <c r="H21" s="7" t="s">
        <v>115</v>
      </c>
      <c r="I21" s="7" t="s">
        <v>115</v>
      </c>
      <c r="J21" s="9">
        <v>0.64</v>
      </c>
      <c r="K21" s="7"/>
      <c r="L21" s="7" t="s">
        <v>116</v>
      </c>
      <c r="M21" s="9">
        <v>0.64</v>
      </c>
      <c r="N21" s="7"/>
      <c r="O21" s="9"/>
      <c r="P21" s="7">
        <v>1</v>
      </c>
      <c r="Q21" s="7" t="s">
        <v>117</v>
      </c>
      <c r="R21" s="10"/>
      <c r="S21" s="10"/>
      <c r="T21" s="11"/>
      <c r="U21" s="8" t="s">
        <v>118</v>
      </c>
    </row>
    <row r="22" spans="1:21" ht="84" x14ac:dyDescent="0.35">
      <c r="A22" s="7" t="s">
        <v>21</v>
      </c>
      <c r="B22" s="7" t="s">
        <v>5</v>
      </c>
      <c r="C22" s="8" t="s">
        <v>119</v>
      </c>
      <c r="D22" s="8" t="s">
        <v>120</v>
      </c>
      <c r="E22" s="7" t="s">
        <v>5</v>
      </c>
      <c r="F22" s="7" t="s">
        <v>121</v>
      </c>
      <c r="G22" s="7" t="s">
        <v>5</v>
      </c>
      <c r="H22" s="7" t="s">
        <v>121</v>
      </c>
      <c r="I22" s="7" t="s">
        <v>121</v>
      </c>
      <c r="J22" s="9">
        <v>0.8</v>
      </c>
      <c r="K22" s="7"/>
      <c r="L22" s="7"/>
      <c r="M22" s="9"/>
      <c r="N22" s="7"/>
      <c r="O22" s="9"/>
      <c r="P22" s="7">
        <v>1</v>
      </c>
      <c r="Q22" s="7" t="s">
        <v>122</v>
      </c>
      <c r="R22" s="10"/>
      <c r="S22" s="10"/>
      <c r="T22" s="11"/>
      <c r="U22" s="8" t="s">
        <v>123</v>
      </c>
    </row>
    <row r="23" spans="1:21" ht="42" x14ac:dyDescent="0.35">
      <c r="A23" s="7" t="s">
        <v>21</v>
      </c>
      <c r="B23" s="7" t="s">
        <v>5</v>
      </c>
      <c r="C23" s="8" t="s">
        <v>124</v>
      </c>
      <c r="D23" s="8" t="s">
        <v>125</v>
      </c>
      <c r="E23" s="7" t="s">
        <v>5</v>
      </c>
      <c r="F23" s="7" t="s">
        <v>67</v>
      </c>
      <c r="G23" s="7" t="s">
        <v>5</v>
      </c>
      <c r="H23" s="7" t="s">
        <v>67</v>
      </c>
      <c r="I23" s="7" t="s">
        <v>67</v>
      </c>
      <c r="J23" s="9">
        <v>0.8</v>
      </c>
      <c r="K23" s="7"/>
      <c r="L23" s="7"/>
      <c r="M23" s="9"/>
      <c r="N23" s="7"/>
      <c r="O23" s="9"/>
      <c r="P23" s="7">
        <v>3</v>
      </c>
      <c r="Q23" s="7" t="s">
        <v>126</v>
      </c>
      <c r="R23" s="10"/>
      <c r="S23" s="10"/>
      <c r="T23" s="11"/>
      <c r="U23" s="8" t="s">
        <v>127</v>
      </c>
    </row>
    <row r="24" spans="1:21" ht="28" x14ac:dyDescent="0.35">
      <c r="A24" s="7" t="s">
        <v>21</v>
      </c>
      <c r="B24" s="7" t="s">
        <v>5</v>
      </c>
      <c r="C24" s="8" t="s">
        <v>128</v>
      </c>
      <c r="D24" s="8" t="s">
        <v>129</v>
      </c>
      <c r="E24" s="7" t="s">
        <v>5</v>
      </c>
      <c r="F24" s="7" t="s">
        <v>130</v>
      </c>
      <c r="G24" s="7" t="s">
        <v>5</v>
      </c>
      <c r="H24" s="7" t="s">
        <v>130</v>
      </c>
      <c r="I24" s="7" t="s">
        <v>100</v>
      </c>
      <c r="J24" s="9">
        <v>0.8</v>
      </c>
      <c r="K24" s="7"/>
      <c r="L24" s="7"/>
      <c r="M24" s="9"/>
      <c r="N24" s="7"/>
      <c r="O24" s="9"/>
      <c r="P24" s="7">
        <v>1</v>
      </c>
      <c r="Q24" s="7" t="s">
        <v>131</v>
      </c>
      <c r="R24" s="10"/>
      <c r="S24" s="10"/>
      <c r="T24" s="11"/>
      <c r="U24" s="8" t="s">
        <v>132</v>
      </c>
    </row>
    <row r="25" spans="1:21" ht="98" x14ac:dyDescent="0.35">
      <c r="A25" s="7" t="s">
        <v>21</v>
      </c>
      <c r="B25" s="7" t="s">
        <v>5</v>
      </c>
      <c r="C25" s="8" t="s">
        <v>133</v>
      </c>
      <c r="D25" s="8"/>
      <c r="E25" s="7" t="s">
        <v>5</v>
      </c>
      <c r="F25" s="7" t="s">
        <v>67</v>
      </c>
      <c r="G25" s="7" t="s">
        <v>5</v>
      </c>
      <c r="H25" s="7" t="s">
        <v>67</v>
      </c>
      <c r="I25" s="7" t="s">
        <v>67</v>
      </c>
      <c r="J25" s="9">
        <v>0.8</v>
      </c>
      <c r="K25" s="7"/>
      <c r="L25" s="7"/>
      <c r="M25" s="9"/>
      <c r="N25" s="7"/>
      <c r="O25" s="9"/>
      <c r="P25" s="7">
        <v>1</v>
      </c>
      <c r="Q25" s="7" t="s">
        <v>134</v>
      </c>
      <c r="R25" s="10"/>
      <c r="S25" s="10"/>
      <c r="T25" s="11"/>
      <c r="U25" s="8" t="s">
        <v>135</v>
      </c>
    </row>
    <row r="26" spans="1:21" ht="84" x14ac:dyDescent="0.35">
      <c r="A26" s="7" t="s">
        <v>21</v>
      </c>
      <c r="B26" s="7" t="s">
        <v>5</v>
      </c>
      <c r="C26" s="8" t="s">
        <v>136</v>
      </c>
      <c r="D26" s="8" t="s">
        <v>137</v>
      </c>
      <c r="E26" s="7" t="s">
        <v>5</v>
      </c>
      <c r="F26" s="7" t="s">
        <v>67</v>
      </c>
      <c r="G26" s="7" t="s">
        <v>5</v>
      </c>
      <c r="H26" s="7" t="s">
        <v>67</v>
      </c>
      <c r="I26" s="7" t="s">
        <v>67</v>
      </c>
      <c r="J26" s="9">
        <v>0.8</v>
      </c>
      <c r="K26" s="7"/>
      <c r="L26" s="7"/>
      <c r="M26" s="9"/>
      <c r="N26" s="7"/>
      <c r="O26" s="9"/>
      <c r="P26" s="7">
        <v>1</v>
      </c>
      <c r="Q26" s="7" t="s">
        <v>138</v>
      </c>
      <c r="R26" s="10"/>
      <c r="S26" s="10"/>
      <c r="T26" s="11"/>
      <c r="U26" s="8" t="s">
        <v>139</v>
      </c>
    </row>
    <row r="27" spans="1:21" ht="98" x14ac:dyDescent="0.35">
      <c r="A27" s="7" t="s">
        <v>21</v>
      </c>
      <c r="B27" s="7" t="s">
        <v>5</v>
      </c>
      <c r="C27" s="8" t="s">
        <v>140</v>
      </c>
      <c r="D27" s="8" t="s">
        <v>141</v>
      </c>
      <c r="E27" s="7" t="s">
        <v>5</v>
      </c>
      <c r="F27" s="7" t="s">
        <v>67</v>
      </c>
      <c r="G27" s="7" t="s">
        <v>5</v>
      </c>
      <c r="H27" s="7" t="s">
        <v>67</v>
      </c>
      <c r="I27" s="7" t="s">
        <v>67</v>
      </c>
      <c r="J27" s="9">
        <v>0.8</v>
      </c>
      <c r="K27" s="7"/>
      <c r="L27" s="7"/>
      <c r="M27" s="9"/>
      <c r="N27" s="7"/>
      <c r="O27" s="9"/>
      <c r="P27" s="7">
        <v>1</v>
      </c>
      <c r="Q27" s="7" t="s">
        <v>142</v>
      </c>
      <c r="R27" s="10"/>
      <c r="S27" s="10"/>
      <c r="T27" s="11"/>
      <c r="U27" s="8" t="s">
        <v>143</v>
      </c>
    </row>
    <row r="28" spans="1:21" ht="98" x14ac:dyDescent="0.35">
      <c r="A28" s="7" t="s">
        <v>21</v>
      </c>
      <c r="B28" s="7" t="s">
        <v>5</v>
      </c>
      <c r="C28" s="8" t="s">
        <v>144</v>
      </c>
      <c r="D28" s="8" t="s">
        <v>145</v>
      </c>
      <c r="E28" s="7" t="s">
        <v>5</v>
      </c>
      <c r="F28" s="7" t="s">
        <v>146</v>
      </c>
      <c r="G28" s="7" t="s">
        <v>5</v>
      </c>
      <c r="H28" s="7" t="s">
        <v>146</v>
      </c>
      <c r="I28" s="7" t="s">
        <v>147</v>
      </c>
      <c r="J28" s="9">
        <v>0.8</v>
      </c>
      <c r="K28" s="7"/>
      <c r="L28" s="7"/>
      <c r="M28" s="9"/>
      <c r="N28" s="7"/>
      <c r="O28" s="9"/>
      <c r="P28" s="7">
        <v>1</v>
      </c>
      <c r="Q28" s="7" t="s">
        <v>148</v>
      </c>
      <c r="R28" s="10"/>
      <c r="S28" s="10"/>
      <c r="T28" s="11"/>
      <c r="U28" s="8" t="s">
        <v>149</v>
      </c>
    </row>
    <row r="29" spans="1:21" ht="84" x14ac:dyDescent="0.35">
      <c r="A29" s="7" t="s">
        <v>21</v>
      </c>
      <c r="B29" s="7" t="s">
        <v>5</v>
      </c>
      <c r="C29" s="8" t="s">
        <v>150</v>
      </c>
      <c r="D29" s="8" t="s">
        <v>151</v>
      </c>
      <c r="E29" s="7" t="s">
        <v>5</v>
      </c>
      <c r="F29" s="7" t="s">
        <v>152</v>
      </c>
      <c r="G29" s="7" t="s">
        <v>5</v>
      </c>
      <c r="H29" s="7" t="s">
        <v>152</v>
      </c>
      <c r="I29" s="7" t="s">
        <v>152</v>
      </c>
      <c r="J29" s="9">
        <v>0.8</v>
      </c>
      <c r="K29" s="7"/>
      <c r="L29" s="7"/>
      <c r="M29" s="9"/>
      <c r="N29" s="7"/>
      <c r="O29" s="9"/>
      <c r="P29" s="7">
        <v>1</v>
      </c>
      <c r="Q29" s="7" t="s">
        <v>153</v>
      </c>
      <c r="R29" s="10"/>
      <c r="S29" s="10"/>
      <c r="T29" s="11"/>
      <c r="U29" s="8" t="s">
        <v>154</v>
      </c>
    </row>
    <row r="30" spans="1:21" ht="42" x14ac:dyDescent="0.35">
      <c r="A30" s="7" t="s">
        <v>21</v>
      </c>
      <c r="B30" s="7" t="s">
        <v>5</v>
      </c>
      <c r="C30" s="8" t="s">
        <v>155</v>
      </c>
      <c r="D30" s="8" t="s">
        <v>156</v>
      </c>
      <c r="E30" s="7" t="s">
        <v>157</v>
      </c>
      <c r="F30" s="7" t="s">
        <v>67</v>
      </c>
      <c r="G30" s="7" t="s">
        <v>5</v>
      </c>
      <c r="H30" s="7" t="s">
        <v>67</v>
      </c>
      <c r="I30" s="7" t="s">
        <v>67</v>
      </c>
      <c r="J30" s="9">
        <v>0.8</v>
      </c>
      <c r="K30" s="7"/>
      <c r="L30" s="7"/>
      <c r="M30" s="9"/>
      <c r="N30" s="7"/>
      <c r="O30" s="9"/>
      <c r="P30" s="7">
        <v>4</v>
      </c>
      <c r="Q30" s="7" t="s">
        <v>158</v>
      </c>
      <c r="R30" s="10"/>
      <c r="S30" s="10"/>
      <c r="T30" s="11"/>
      <c r="U30" s="8" t="s">
        <v>159</v>
      </c>
    </row>
    <row r="31" spans="1:21" ht="56" x14ac:dyDescent="0.35">
      <c r="A31" s="7" t="s">
        <v>21</v>
      </c>
      <c r="B31" s="7" t="s">
        <v>5</v>
      </c>
      <c r="C31" s="8" t="s">
        <v>160</v>
      </c>
      <c r="D31" s="8"/>
      <c r="E31" s="7" t="s">
        <v>5</v>
      </c>
      <c r="F31" s="7" t="s">
        <v>161</v>
      </c>
      <c r="G31" s="7" t="s">
        <v>5</v>
      </c>
      <c r="H31" s="7" t="s">
        <v>161</v>
      </c>
      <c r="I31" s="7" t="s">
        <v>161</v>
      </c>
      <c r="J31" s="9">
        <v>0.8</v>
      </c>
      <c r="K31" s="7"/>
      <c r="L31" s="7"/>
      <c r="M31" s="9"/>
      <c r="N31" s="7"/>
      <c r="O31" s="9"/>
      <c r="P31" s="7">
        <v>1</v>
      </c>
      <c r="Q31" s="7" t="s">
        <v>162</v>
      </c>
      <c r="R31" s="10"/>
      <c r="S31" s="10"/>
      <c r="T31" s="11"/>
      <c r="U31" s="8" t="s">
        <v>163</v>
      </c>
    </row>
    <row r="32" spans="1:21" ht="84" x14ac:dyDescent="0.35">
      <c r="A32" s="7" t="s">
        <v>21</v>
      </c>
      <c r="B32" s="7" t="s">
        <v>5</v>
      </c>
      <c r="C32" s="8" t="s">
        <v>164</v>
      </c>
      <c r="D32" s="8" t="s">
        <v>165</v>
      </c>
      <c r="E32" s="7" t="s">
        <v>22</v>
      </c>
      <c r="F32" s="7" t="s">
        <v>166</v>
      </c>
      <c r="G32" s="7" t="s">
        <v>5</v>
      </c>
      <c r="H32" s="7" t="s">
        <v>166</v>
      </c>
      <c r="I32" s="7" t="s">
        <v>167</v>
      </c>
      <c r="J32" s="9">
        <v>0.8</v>
      </c>
      <c r="K32" s="7"/>
      <c r="L32" s="7"/>
      <c r="M32" s="9"/>
      <c r="N32" s="7"/>
      <c r="O32" s="9"/>
      <c r="P32" s="7">
        <v>1</v>
      </c>
      <c r="Q32" s="7" t="s">
        <v>168</v>
      </c>
      <c r="R32" s="10"/>
      <c r="S32" s="10"/>
      <c r="T32" s="11"/>
      <c r="U32" s="8" t="s">
        <v>169</v>
      </c>
    </row>
    <row r="33" spans="1:21" ht="84" x14ac:dyDescent="0.35">
      <c r="A33" s="7" t="s">
        <v>21</v>
      </c>
      <c r="B33" s="7" t="s">
        <v>5</v>
      </c>
      <c r="C33" s="8" t="s">
        <v>170</v>
      </c>
      <c r="D33" s="8" t="s">
        <v>171</v>
      </c>
      <c r="E33" s="7" t="s">
        <v>22</v>
      </c>
      <c r="F33" s="7" t="s">
        <v>172</v>
      </c>
      <c r="G33" s="7" t="s">
        <v>5</v>
      </c>
      <c r="H33" s="7" t="s">
        <v>172</v>
      </c>
      <c r="I33" s="7" t="s">
        <v>173</v>
      </c>
      <c r="J33" s="9">
        <v>0.8</v>
      </c>
      <c r="K33" s="7"/>
      <c r="L33" s="7"/>
      <c r="M33" s="9"/>
      <c r="N33" s="7"/>
      <c r="O33" s="9"/>
      <c r="P33" s="7">
        <v>1</v>
      </c>
      <c r="Q33" s="7" t="s">
        <v>174</v>
      </c>
      <c r="R33" s="10"/>
      <c r="S33" s="10"/>
      <c r="T33" s="11"/>
      <c r="U33" s="8" t="s">
        <v>175</v>
      </c>
    </row>
    <row r="34" spans="1:21" ht="98" x14ac:dyDescent="0.35">
      <c r="A34" s="7" t="s">
        <v>21</v>
      </c>
      <c r="B34" s="7" t="s">
        <v>5</v>
      </c>
      <c r="C34" s="8" t="s">
        <v>176</v>
      </c>
      <c r="D34" s="8" t="s">
        <v>177</v>
      </c>
      <c r="E34" s="7" t="s">
        <v>5</v>
      </c>
      <c r="F34" s="7" t="s">
        <v>178</v>
      </c>
      <c r="G34" s="7" t="s">
        <v>5</v>
      </c>
      <c r="H34" s="7" t="s">
        <v>178</v>
      </c>
      <c r="I34" s="7" t="s">
        <v>179</v>
      </c>
      <c r="J34" s="9">
        <v>0.8</v>
      </c>
      <c r="K34" s="7"/>
      <c r="L34" s="7"/>
      <c r="M34" s="9"/>
      <c r="N34" s="7"/>
      <c r="O34" s="9"/>
      <c r="P34" s="7">
        <v>1</v>
      </c>
      <c r="Q34" s="7" t="s">
        <v>180</v>
      </c>
      <c r="R34" s="10"/>
      <c r="S34" s="10"/>
      <c r="T34" s="11"/>
      <c r="U34" s="8" t="s">
        <v>181</v>
      </c>
    </row>
    <row r="35" spans="1:21" ht="84" x14ac:dyDescent="0.35">
      <c r="A35" s="7" t="s">
        <v>21</v>
      </c>
      <c r="B35" s="7" t="s">
        <v>5</v>
      </c>
      <c r="C35" s="8" t="s">
        <v>182</v>
      </c>
      <c r="D35" s="8"/>
      <c r="E35" s="7" t="s">
        <v>5</v>
      </c>
      <c r="F35" s="7" t="s">
        <v>183</v>
      </c>
      <c r="G35" s="7" t="s">
        <v>5</v>
      </c>
      <c r="H35" s="7" t="s">
        <v>183</v>
      </c>
      <c r="I35" s="7" t="s">
        <v>183</v>
      </c>
      <c r="J35" s="9">
        <v>0.8</v>
      </c>
      <c r="K35" s="7"/>
      <c r="L35" s="7"/>
      <c r="M35" s="9"/>
      <c r="N35" s="7"/>
      <c r="O35" s="9"/>
      <c r="P35" s="7">
        <v>1</v>
      </c>
      <c r="Q35" s="7" t="s">
        <v>184</v>
      </c>
      <c r="R35" s="10"/>
      <c r="S35" s="10"/>
      <c r="T35" s="11"/>
      <c r="U35" s="8" t="s">
        <v>185</v>
      </c>
    </row>
    <row r="36" spans="1:21" ht="56" x14ac:dyDescent="0.35">
      <c r="A36" s="7" t="s">
        <v>21</v>
      </c>
      <c r="B36" s="7" t="s">
        <v>186</v>
      </c>
      <c r="C36" s="8" t="s">
        <v>187</v>
      </c>
      <c r="D36" s="8" t="s">
        <v>188</v>
      </c>
      <c r="E36" s="7" t="s">
        <v>157</v>
      </c>
      <c r="F36" s="7" t="s">
        <v>187</v>
      </c>
      <c r="G36" s="7" t="s">
        <v>186</v>
      </c>
      <c r="H36" s="7" t="s">
        <v>189</v>
      </c>
      <c r="I36" s="7" t="s">
        <v>190</v>
      </c>
      <c r="J36" s="9">
        <v>0.6</v>
      </c>
      <c r="K36" s="7"/>
      <c r="L36" s="7"/>
      <c r="M36" s="9"/>
      <c r="N36" s="7"/>
      <c r="O36" s="9"/>
      <c r="P36" s="7">
        <v>2</v>
      </c>
      <c r="Q36" s="7" t="s">
        <v>191</v>
      </c>
      <c r="R36" s="10"/>
      <c r="S36" s="10"/>
      <c r="T36" s="11"/>
      <c r="U36" s="8" t="s">
        <v>192</v>
      </c>
    </row>
    <row r="37" spans="1:21" ht="84" x14ac:dyDescent="0.35">
      <c r="A37" s="7" t="s">
        <v>21</v>
      </c>
      <c r="B37" s="7" t="s">
        <v>186</v>
      </c>
      <c r="C37" s="8" t="s">
        <v>193</v>
      </c>
      <c r="D37" s="8" t="s">
        <v>194</v>
      </c>
      <c r="E37" s="7" t="s">
        <v>186</v>
      </c>
      <c r="F37" s="7" t="s">
        <v>195</v>
      </c>
      <c r="G37" s="7" t="s">
        <v>186</v>
      </c>
      <c r="H37" s="7" t="s">
        <v>196</v>
      </c>
      <c r="I37" s="7" t="s">
        <v>197</v>
      </c>
      <c r="J37" s="9">
        <v>0.6</v>
      </c>
      <c r="K37" s="7"/>
      <c r="L37" s="7"/>
      <c r="M37" s="9"/>
      <c r="N37" s="7"/>
      <c r="O37" s="9"/>
      <c r="P37" s="7">
        <v>1</v>
      </c>
      <c r="Q37" s="7" t="s">
        <v>198</v>
      </c>
      <c r="R37" s="10"/>
      <c r="S37" s="10"/>
      <c r="T37" s="11"/>
      <c r="U37" s="8" t="s">
        <v>199</v>
      </c>
    </row>
    <row r="38" spans="1:21" ht="84" x14ac:dyDescent="0.35">
      <c r="A38" s="7" t="s">
        <v>21</v>
      </c>
      <c r="B38" s="7" t="s">
        <v>186</v>
      </c>
      <c r="C38" s="8" t="s">
        <v>200</v>
      </c>
      <c r="D38" s="8" t="s">
        <v>201</v>
      </c>
      <c r="E38" s="7" t="s">
        <v>186</v>
      </c>
      <c r="F38" s="7" t="s">
        <v>202</v>
      </c>
      <c r="G38" s="7" t="s">
        <v>186</v>
      </c>
      <c r="H38" s="7" t="s">
        <v>203</v>
      </c>
      <c r="I38" s="7" t="s">
        <v>203</v>
      </c>
      <c r="J38" s="9">
        <v>0.6</v>
      </c>
      <c r="K38" s="7"/>
      <c r="L38" s="7"/>
      <c r="M38" s="9"/>
      <c r="N38" s="7"/>
      <c r="O38" s="9"/>
      <c r="P38" s="7">
        <v>1</v>
      </c>
      <c r="Q38" s="7" t="s">
        <v>204</v>
      </c>
      <c r="R38" s="10"/>
      <c r="S38" s="10"/>
      <c r="T38" s="11"/>
      <c r="U38" s="8" t="s">
        <v>205</v>
      </c>
    </row>
    <row r="39" spans="1:21" ht="84" x14ac:dyDescent="0.35">
      <c r="A39" s="7" t="s">
        <v>21</v>
      </c>
      <c r="B39" s="7" t="s">
        <v>186</v>
      </c>
      <c r="C39" s="8" t="s">
        <v>206</v>
      </c>
      <c r="D39" s="8" t="s">
        <v>207</v>
      </c>
      <c r="E39" s="7" t="s">
        <v>186</v>
      </c>
      <c r="F39" s="7" t="s">
        <v>208</v>
      </c>
      <c r="G39" s="7" t="s">
        <v>186</v>
      </c>
      <c r="H39" s="7" t="s">
        <v>89</v>
      </c>
      <c r="I39" s="7" t="s">
        <v>89</v>
      </c>
      <c r="J39" s="9">
        <v>0.6</v>
      </c>
      <c r="K39" s="7"/>
      <c r="L39" s="7"/>
      <c r="M39" s="9"/>
      <c r="N39" s="7"/>
      <c r="O39" s="9"/>
      <c r="P39" s="7">
        <v>1</v>
      </c>
      <c r="Q39" s="7" t="s">
        <v>209</v>
      </c>
      <c r="R39" s="10"/>
      <c r="S39" s="10"/>
      <c r="T39" s="11"/>
      <c r="U39" s="8" t="s">
        <v>210</v>
      </c>
    </row>
    <row r="40" spans="1:21" ht="56" x14ac:dyDescent="0.35">
      <c r="A40" s="7" t="s">
        <v>21</v>
      </c>
      <c r="B40" s="7" t="s">
        <v>186</v>
      </c>
      <c r="C40" s="8" t="s">
        <v>211</v>
      </c>
      <c r="D40" s="8" t="s">
        <v>212</v>
      </c>
      <c r="E40" s="7" t="s">
        <v>186</v>
      </c>
      <c r="F40" s="7" t="s">
        <v>211</v>
      </c>
      <c r="G40" s="7" t="s">
        <v>186</v>
      </c>
      <c r="H40" s="7" t="s">
        <v>89</v>
      </c>
      <c r="I40" s="7" t="s">
        <v>89</v>
      </c>
      <c r="J40" s="9">
        <v>0.6</v>
      </c>
      <c r="K40" s="7"/>
      <c r="L40" s="7"/>
      <c r="M40" s="9"/>
      <c r="N40" s="7"/>
      <c r="O40" s="9"/>
      <c r="P40" s="7">
        <v>1</v>
      </c>
      <c r="Q40" s="7" t="s">
        <v>213</v>
      </c>
      <c r="R40" s="10"/>
      <c r="S40" s="10"/>
      <c r="T40" s="11"/>
      <c r="U40" s="8" t="s">
        <v>214</v>
      </c>
    </row>
    <row r="41" spans="1:21" ht="70" x14ac:dyDescent="0.35">
      <c r="A41" s="7" t="s">
        <v>21</v>
      </c>
      <c r="B41" s="7" t="s">
        <v>186</v>
      </c>
      <c r="C41" s="8" t="s">
        <v>215</v>
      </c>
      <c r="D41" s="8" t="s">
        <v>216</v>
      </c>
      <c r="E41" s="7" t="s">
        <v>186</v>
      </c>
      <c r="F41" s="7" t="s">
        <v>195</v>
      </c>
      <c r="G41" s="7" t="s">
        <v>186</v>
      </c>
      <c r="H41" s="7" t="s">
        <v>196</v>
      </c>
      <c r="I41" s="7" t="s">
        <v>197</v>
      </c>
      <c r="J41" s="9">
        <v>0.6</v>
      </c>
      <c r="K41" s="7"/>
      <c r="L41" s="7"/>
      <c r="M41" s="9"/>
      <c r="N41" s="7"/>
      <c r="O41" s="9"/>
      <c r="P41" s="7">
        <v>1</v>
      </c>
      <c r="Q41" s="7" t="s">
        <v>217</v>
      </c>
      <c r="R41" s="10"/>
      <c r="S41" s="10"/>
      <c r="T41" s="11"/>
      <c r="U41" s="8" t="s">
        <v>218</v>
      </c>
    </row>
    <row r="42" spans="1:21" ht="56" x14ac:dyDescent="0.35">
      <c r="A42" s="7" t="s">
        <v>21</v>
      </c>
      <c r="B42" s="7" t="s">
        <v>186</v>
      </c>
      <c r="C42" s="8" t="s">
        <v>219</v>
      </c>
      <c r="D42" s="8" t="s">
        <v>220</v>
      </c>
      <c r="E42" s="7" t="s">
        <v>186</v>
      </c>
      <c r="F42" s="7" t="s">
        <v>195</v>
      </c>
      <c r="G42" s="7" t="s">
        <v>186</v>
      </c>
      <c r="H42" s="7" t="s">
        <v>196</v>
      </c>
      <c r="I42" s="7" t="s">
        <v>197</v>
      </c>
      <c r="J42" s="9">
        <v>0.6</v>
      </c>
      <c r="K42" s="7"/>
      <c r="L42" s="7"/>
      <c r="M42" s="9"/>
      <c r="N42" s="7"/>
      <c r="O42" s="9"/>
      <c r="P42" s="7">
        <v>1</v>
      </c>
      <c r="Q42" s="7" t="s">
        <v>221</v>
      </c>
      <c r="R42" s="10"/>
      <c r="S42" s="10"/>
      <c r="T42" s="11"/>
      <c r="U42" s="8" t="s">
        <v>222</v>
      </c>
    </row>
    <row r="43" spans="1:21" ht="84" x14ac:dyDescent="0.35">
      <c r="A43" s="7" t="s">
        <v>21</v>
      </c>
      <c r="B43" s="7" t="s">
        <v>186</v>
      </c>
      <c r="C43" s="8" t="s">
        <v>223</v>
      </c>
      <c r="D43" s="8" t="s">
        <v>224</v>
      </c>
      <c r="E43" s="7" t="s">
        <v>186</v>
      </c>
      <c r="F43" s="7" t="s">
        <v>223</v>
      </c>
      <c r="G43" s="7" t="s">
        <v>186</v>
      </c>
      <c r="H43" s="7" t="s">
        <v>84</v>
      </c>
      <c r="I43" s="7" t="s">
        <v>86</v>
      </c>
      <c r="J43" s="9">
        <v>0.6</v>
      </c>
      <c r="K43" s="7"/>
      <c r="L43" s="7"/>
      <c r="M43" s="9"/>
      <c r="N43" s="7"/>
      <c r="O43" s="9"/>
      <c r="P43" s="7">
        <v>1</v>
      </c>
      <c r="Q43" s="7" t="s">
        <v>225</v>
      </c>
      <c r="R43" s="10"/>
      <c r="S43" s="10"/>
      <c r="T43" s="11"/>
      <c r="U43" s="8" t="s">
        <v>226</v>
      </c>
    </row>
    <row r="44" spans="1:21" ht="84" x14ac:dyDescent="0.35">
      <c r="A44" s="7" t="s">
        <v>21</v>
      </c>
      <c r="B44" s="7" t="s">
        <v>186</v>
      </c>
      <c r="C44" s="8" t="s">
        <v>227</v>
      </c>
      <c r="D44" s="8" t="s">
        <v>228</v>
      </c>
      <c r="E44" s="7" t="s">
        <v>186</v>
      </c>
      <c r="F44" s="7" t="s">
        <v>229</v>
      </c>
      <c r="G44" s="7" t="s">
        <v>186</v>
      </c>
      <c r="H44" s="7" t="s">
        <v>230</v>
      </c>
      <c r="I44" s="7" t="s">
        <v>230</v>
      </c>
      <c r="J44" s="9">
        <v>0.6</v>
      </c>
      <c r="K44" s="7"/>
      <c r="L44" s="7"/>
      <c r="M44" s="9"/>
      <c r="N44" s="7"/>
      <c r="O44" s="9"/>
      <c r="P44" s="7">
        <v>1</v>
      </c>
      <c r="Q44" s="7" t="s">
        <v>231</v>
      </c>
      <c r="R44" s="10"/>
      <c r="S44" s="10"/>
      <c r="T44" s="11"/>
      <c r="U44" s="8" t="s">
        <v>232</v>
      </c>
    </row>
    <row r="45" spans="1:21" ht="70" x14ac:dyDescent="0.35">
      <c r="A45" s="7" t="s">
        <v>21</v>
      </c>
      <c r="B45" s="7" t="s">
        <v>186</v>
      </c>
      <c r="C45" s="8" t="s">
        <v>233</v>
      </c>
      <c r="D45" s="8" t="s">
        <v>234</v>
      </c>
      <c r="E45" s="7" t="s">
        <v>186</v>
      </c>
      <c r="F45" s="7" t="s">
        <v>235</v>
      </c>
      <c r="G45" s="7" t="s">
        <v>186</v>
      </c>
      <c r="H45" s="7" t="s">
        <v>230</v>
      </c>
      <c r="I45" s="7" t="s">
        <v>230</v>
      </c>
      <c r="J45" s="9">
        <v>0.6</v>
      </c>
      <c r="K45" s="7"/>
      <c r="L45" s="7"/>
      <c r="M45" s="9"/>
      <c r="N45" s="7"/>
      <c r="O45" s="9"/>
      <c r="P45" s="7">
        <v>2</v>
      </c>
      <c r="Q45" s="7" t="s">
        <v>236</v>
      </c>
      <c r="R45" s="10"/>
      <c r="S45" s="10"/>
      <c r="T45" s="11"/>
      <c r="U45" s="8" t="s">
        <v>237</v>
      </c>
    </row>
    <row r="46" spans="1:21" ht="56" x14ac:dyDescent="0.35">
      <c r="A46" s="7" t="s">
        <v>21</v>
      </c>
      <c r="B46" s="7" t="s">
        <v>186</v>
      </c>
      <c r="C46" s="8" t="s">
        <v>238</v>
      </c>
      <c r="D46" s="8" t="s">
        <v>239</v>
      </c>
      <c r="E46" s="7" t="s">
        <v>186</v>
      </c>
      <c r="F46" s="7" t="s">
        <v>235</v>
      </c>
      <c r="G46" s="7" t="s">
        <v>186</v>
      </c>
      <c r="H46" s="7" t="s">
        <v>230</v>
      </c>
      <c r="I46" s="7" t="s">
        <v>230</v>
      </c>
      <c r="J46" s="9">
        <v>0.6</v>
      </c>
      <c r="K46" s="7"/>
      <c r="L46" s="7"/>
      <c r="M46" s="9"/>
      <c r="N46" s="7"/>
      <c r="O46" s="9"/>
      <c r="P46" s="7">
        <v>2</v>
      </c>
      <c r="Q46" s="7" t="s">
        <v>240</v>
      </c>
      <c r="R46" s="10"/>
      <c r="S46" s="10"/>
      <c r="T46" s="11"/>
      <c r="U46" s="8" t="s">
        <v>241</v>
      </c>
    </row>
    <row r="47" spans="1:21" ht="84" x14ac:dyDescent="0.35">
      <c r="A47" s="7" t="s">
        <v>21</v>
      </c>
      <c r="B47" s="7" t="s">
        <v>186</v>
      </c>
      <c r="C47" s="8" t="s">
        <v>242</v>
      </c>
      <c r="D47" s="8" t="s">
        <v>243</v>
      </c>
      <c r="E47" s="7" t="s">
        <v>186</v>
      </c>
      <c r="F47" s="7" t="s">
        <v>242</v>
      </c>
      <c r="G47" s="7" t="s">
        <v>186</v>
      </c>
      <c r="H47" s="7" t="s">
        <v>244</v>
      </c>
      <c r="I47" s="7" t="s">
        <v>244</v>
      </c>
      <c r="J47" s="9">
        <v>0.6</v>
      </c>
      <c r="K47" s="7"/>
      <c r="L47" s="7"/>
      <c r="M47" s="9"/>
      <c r="N47" s="7"/>
      <c r="O47" s="9"/>
      <c r="P47" s="7">
        <v>1</v>
      </c>
      <c r="Q47" s="7" t="s">
        <v>245</v>
      </c>
      <c r="R47" s="10"/>
      <c r="S47" s="10"/>
      <c r="T47" s="11"/>
      <c r="U47" s="8" t="s">
        <v>246</v>
      </c>
    </row>
    <row r="48" spans="1:21" ht="70" x14ac:dyDescent="0.35">
      <c r="A48" s="7" t="s">
        <v>21</v>
      </c>
      <c r="B48" s="7" t="s">
        <v>186</v>
      </c>
      <c r="C48" s="8" t="s">
        <v>247</v>
      </c>
      <c r="D48" s="8" t="s">
        <v>248</v>
      </c>
      <c r="E48" s="7" t="s">
        <v>186</v>
      </c>
      <c r="F48" s="7" t="s">
        <v>247</v>
      </c>
      <c r="G48" s="7" t="s">
        <v>186</v>
      </c>
      <c r="H48" s="7" t="s">
        <v>84</v>
      </c>
      <c r="I48" s="7" t="s">
        <v>86</v>
      </c>
      <c r="J48" s="9">
        <v>0.6</v>
      </c>
      <c r="K48" s="7"/>
      <c r="L48" s="7"/>
      <c r="M48" s="9"/>
      <c r="N48" s="7"/>
      <c r="O48" s="9"/>
      <c r="P48" s="7">
        <v>1</v>
      </c>
      <c r="Q48" s="7" t="s">
        <v>249</v>
      </c>
      <c r="R48" s="10"/>
      <c r="S48" s="10"/>
      <c r="T48" s="11"/>
      <c r="U48" s="8" t="s">
        <v>250</v>
      </c>
    </row>
    <row r="49" spans="1:21" ht="42" x14ac:dyDescent="0.35">
      <c r="A49" s="7" t="s">
        <v>21</v>
      </c>
      <c r="B49" s="7" t="s">
        <v>186</v>
      </c>
      <c r="C49" s="8" t="s">
        <v>251</v>
      </c>
      <c r="D49" s="8"/>
      <c r="E49" s="7" t="s">
        <v>186</v>
      </c>
      <c r="F49" s="7" t="s">
        <v>252</v>
      </c>
      <c r="G49" s="7" t="s">
        <v>186</v>
      </c>
      <c r="H49" s="7" t="s">
        <v>244</v>
      </c>
      <c r="I49" s="7" t="s">
        <v>244</v>
      </c>
      <c r="J49" s="9">
        <v>0.6</v>
      </c>
      <c r="K49" s="7"/>
      <c r="L49" s="7"/>
      <c r="M49" s="9"/>
      <c r="N49" s="7"/>
      <c r="O49" s="9"/>
      <c r="P49" s="7">
        <v>1</v>
      </c>
      <c r="Q49" s="7" t="s">
        <v>253</v>
      </c>
      <c r="R49" s="10"/>
      <c r="S49" s="10"/>
      <c r="T49" s="11"/>
      <c r="U49" s="8" t="s">
        <v>254</v>
      </c>
    </row>
    <row r="50" spans="1:21" ht="56" x14ac:dyDescent="0.35">
      <c r="A50" s="7" t="s">
        <v>21</v>
      </c>
      <c r="B50" s="7" t="s">
        <v>186</v>
      </c>
      <c r="C50" s="8" t="s">
        <v>252</v>
      </c>
      <c r="D50" s="8" t="s">
        <v>255</v>
      </c>
      <c r="E50" s="7" t="s">
        <v>186</v>
      </c>
      <c r="F50" s="7" t="s">
        <v>252</v>
      </c>
      <c r="G50" s="7" t="s">
        <v>186</v>
      </c>
      <c r="H50" s="7" t="s">
        <v>244</v>
      </c>
      <c r="I50" s="7" t="s">
        <v>244</v>
      </c>
      <c r="J50" s="9">
        <v>0.6</v>
      </c>
      <c r="K50" s="7"/>
      <c r="L50" s="7"/>
      <c r="M50" s="9"/>
      <c r="N50" s="7"/>
      <c r="O50" s="9"/>
      <c r="P50" s="7">
        <v>4</v>
      </c>
      <c r="Q50" s="7" t="s">
        <v>256</v>
      </c>
      <c r="R50" s="10"/>
      <c r="S50" s="10"/>
      <c r="T50" s="11"/>
      <c r="U50" s="8" t="s">
        <v>257</v>
      </c>
    </row>
    <row r="51" spans="1:21" ht="168" x14ac:dyDescent="0.35">
      <c r="A51" s="7" t="s">
        <v>21</v>
      </c>
      <c r="B51" s="7" t="s">
        <v>186</v>
      </c>
      <c r="C51" s="8" t="s">
        <v>258</v>
      </c>
      <c r="D51" s="8" t="s">
        <v>259</v>
      </c>
      <c r="E51" s="7" t="s">
        <v>186</v>
      </c>
      <c r="F51" s="7" t="s">
        <v>260</v>
      </c>
      <c r="G51" s="7" t="s">
        <v>186</v>
      </c>
      <c r="H51" s="7" t="s">
        <v>261</v>
      </c>
      <c r="I51" s="7" t="s">
        <v>262</v>
      </c>
      <c r="J51" s="9">
        <v>0.48</v>
      </c>
      <c r="K51" s="7"/>
      <c r="L51" s="7" t="s">
        <v>263</v>
      </c>
      <c r="M51" s="9">
        <v>0.48</v>
      </c>
      <c r="N51" s="7"/>
      <c r="O51" s="9"/>
      <c r="P51" s="7">
        <v>1</v>
      </c>
      <c r="Q51" s="7" t="s">
        <v>264</v>
      </c>
      <c r="R51" s="10"/>
      <c r="S51" s="10"/>
      <c r="T51" s="11"/>
      <c r="U51" s="8" t="s">
        <v>265</v>
      </c>
    </row>
    <row r="52" spans="1:21" ht="84" x14ac:dyDescent="0.35">
      <c r="A52" s="7" t="s">
        <v>21</v>
      </c>
      <c r="B52" s="7" t="s">
        <v>186</v>
      </c>
      <c r="C52" s="8" t="s">
        <v>266</v>
      </c>
      <c r="D52" s="8" t="s">
        <v>267</v>
      </c>
      <c r="E52" s="7" t="s">
        <v>186</v>
      </c>
      <c r="F52" s="7" t="s">
        <v>252</v>
      </c>
      <c r="G52" s="7" t="s">
        <v>186</v>
      </c>
      <c r="H52" s="7" t="s">
        <v>244</v>
      </c>
      <c r="I52" s="7" t="s">
        <v>244</v>
      </c>
      <c r="J52" s="9">
        <v>0.6</v>
      </c>
      <c r="K52" s="7"/>
      <c r="L52" s="7"/>
      <c r="M52" s="9"/>
      <c r="N52" s="7"/>
      <c r="O52" s="9"/>
      <c r="P52" s="7">
        <v>1</v>
      </c>
      <c r="Q52" s="7" t="s">
        <v>268</v>
      </c>
      <c r="R52" s="10"/>
      <c r="S52" s="10"/>
      <c r="T52" s="11"/>
      <c r="U52" s="8" t="s">
        <v>269</v>
      </c>
    </row>
    <row r="53" spans="1:21" ht="56" x14ac:dyDescent="0.35">
      <c r="A53" s="7" t="s">
        <v>21</v>
      </c>
      <c r="B53" s="7" t="s">
        <v>270</v>
      </c>
      <c r="C53" s="8" t="s">
        <v>271</v>
      </c>
      <c r="D53" s="8" t="s">
        <v>272</v>
      </c>
      <c r="E53" s="7" t="s">
        <v>273</v>
      </c>
      <c r="F53" s="7" t="s">
        <v>274</v>
      </c>
      <c r="G53" s="7" t="s">
        <v>273</v>
      </c>
      <c r="H53" s="7"/>
      <c r="I53" s="7" t="s">
        <v>275</v>
      </c>
      <c r="J53" s="9">
        <v>0.29949999999999999</v>
      </c>
      <c r="K53" s="7">
        <v>46.5</v>
      </c>
      <c r="L53" s="7"/>
      <c r="M53" s="9"/>
      <c r="N53" s="7"/>
      <c r="O53" s="9"/>
      <c r="P53" s="7">
        <v>1</v>
      </c>
      <c r="Q53" s="7" t="s">
        <v>276</v>
      </c>
      <c r="R53" s="10"/>
      <c r="S53" s="10"/>
      <c r="T53" s="11"/>
      <c r="U53" s="8" t="s">
        <v>277</v>
      </c>
    </row>
    <row r="54" spans="1:21" ht="84" x14ac:dyDescent="0.35">
      <c r="A54" s="7" t="s">
        <v>21</v>
      </c>
      <c r="B54" s="7" t="s">
        <v>270</v>
      </c>
      <c r="C54" s="8" t="s">
        <v>278</v>
      </c>
      <c r="D54" s="8" t="s">
        <v>279</v>
      </c>
      <c r="E54" s="7" t="s">
        <v>273</v>
      </c>
      <c r="F54" s="7" t="s">
        <v>278</v>
      </c>
      <c r="G54" s="7" t="s">
        <v>273</v>
      </c>
      <c r="H54" s="7"/>
      <c r="I54" s="7" t="s">
        <v>280</v>
      </c>
      <c r="J54" s="9">
        <v>0.2989</v>
      </c>
      <c r="K54" s="7">
        <v>46.4</v>
      </c>
      <c r="L54" s="7" t="s">
        <v>281</v>
      </c>
      <c r="M54" s="9">
        <v>0.2457</v>
      </c>
      <c r="N54" s="7" t="s">
        <v>282</v>
      </c>
      <c r="O54" s="9">
        <v>0.2261</v>
      </c>
      <c r="P54" s="7">
        <v>1</v>
      </c>
      <c r="Q54" s="7" t="s">
        <v>283</v>
      </c>
      <c r="R54" s="10"/>
      <c r="S54" s="10"/>
      <c r="T54" s="11"/>
      <c r="U54" s="8" t="s">
        <v>284</v>
      </c>
    </row>
    <row r="55" spans="1:21" ht="84" x14ac:dyDescent="0.35">
      <c r="A55" s="7" t="s">
        <v>21</v>
      </c>
      <c r="B55" s="7" t="s">
        <v>270</v>
      </c>
      <c r="C55" s="8" t="s">
        <v>285</v>
      </c>
      <c r="D55" s="8" t="s">
        <v>286</v>
      </c>
      <c r="E55" s="7" t="s">
        <v>273</v>
      </c>
      <c r="F55" s="7" t="s">
        <v>287</v>
      </c>
      <c r="G55" s="7" t="s">
        <v>273</v>
      </c>
      <c r="H55" s="7"/>
      <c r="I55" s="7" t="s">
        <v>43</v>
      </c>
      <c r="J55" s="9">
        <v>0.29759999999999998</v>
      </c>
      <c r="K55" s="7">
        <v>46</v>
      </c>
      <c r="L55" s="7" t="s">
        <v>288</v>
      </c>
      <c r="M55" s="9">
        <v>0.25419999999999998</v>
      </c>
      <c r="N55" s="7" t="s">
        <v>115</v>
      </c>
      <c r="O55" s="9">
        <v>0.23549999999999999</v>
      </c>
      <c r="P55" s="7">
        <v>1</v>
      </c>
      <c r="Q55" s="7" t="s">
        <v>289</v>
      </c>
      <c r="R55" s="10"/>
      <c r="S55" s="10"/>
      <c r="T55" s="11"/>
      <c r="U55" s="8" t="s">
        <v>290</v>
      </c>
    </row>
    <row r="56" spans="1:21" ht="70" x14ac:dyDescent="0.35">
      <c r="A56" s="7" t="s">
        <v>21</v>
      </c>
      <c r="B56" s="7" t="s">
        <v>270</v>
      </c>
      <c r="C56" s="8" t="s">
        <v>291</v>
      </c>
      <c r="D56" s="8" t="s">
        <v>292</v>
      </c>
      <c r="E56" s="7" t="s">
        <v>5</v>
      </c>
      <c r="F56" s="7" t="s">
        <v>293</v>
      </c>
      <c r="G56" s="7" t="s">
        <v>273</v>
      </c>
      <c r="H56" s="7"/>
      <c r="I56" s="7" t="s">
        <v>294</v>
      </c>
      <c r="J56" s="9">
        <v>0.29360000000000003</v>
      </c>
      <c r="K56" s="7">
        <v>45</v>
      </c>
      <c r="L56" s="7" t="s">
        <v>295</v>
      </c>
      <c r="M56" s="9">
        <v>0.29289999999999999</v>
      </c>
      <c r="N56" s="7" t="s">
        <v>296</v>
      </c>
      <c r="O56" s="9">
        <v>0.28970000000000001</v>
      </c>
      <c r="P56" s="7">
        <v>1</v>
      </c>
      <c r="Q56" s="7" t="s">
        <v>297</v>
      </c>
      <c r="R56" s="10"/>
      <c r="S56" s="10"/>
      <c r="T56" s="11"/>
      <c r="U56" s="8" t="s">
        <v>298</v>
      </c>
    </row>
    <row r="57" spans="1:21" ht="42" x14ac:dyDescent="0.35">
      <c r="A57" s="7" t="s">
        <v>21</v>
      </c>
      <c r="B57" s="7" t="s">
        <v>270</v>
      </c>
      <c r="C57" s="8" t="s">
        <v>299</v>
      </c>
      <c r="D57" s="8" t="s">
        <v>300</v>
      </c>
      <c r="E57" s="7" t="s">
        <v>186</v>
      </c>
      <c r="F57" s="7" t="s">
        <v>301</v>
      </c>
      <c r="G57" s="7" t="s">
        <v>273</v>
      </c>
      <c r="H57" s="7"/>
      <c r="I57" s="7" t="s">
        <v>302</v>
      </c>
      <c r="J57" s="9">
        <v>0.2828</v>
      </c>
      <c r="K57" s="7">
        <v>42.1</v>
      </c>
      <c r="L57" s="7" t="s">
        <v>303</v>
      </c>
      <c r="M57" s="9">
        <v>0.22059999999999999</v>
      </c>
      <c r="N57" s="7" t="s">
        <v>304</v>
      </c>
      <c r="O57" s="9">
        <v>0.214</v>
      </c>
      <c r="P57" s="7">
        <v>1</v>
      </c>
      <c r="Q57" s="7" t="s">
        <v>305</v>
      </c>
      <c r="R57" s="10"/>
      <c r="S57" s="10"/>
      <c r="T57" s="11"/>
      <c r="U57" s="8" t="s">
        <v>306</v>
      </c>
    </row>
    <row r="58" spans="1:21" ht="84" x14ac:dyDescent="0.35">
      <c r="A58" s="7" t="s">
        <v>21</v>
      </c>
      <c r="B58" s="7" t="s">
        <v>270</v>
      </c>
      <c r="C58" s="8" t="s">
        <v>307</v>
      </c>
      <c r="D58" s="8" t="s">
        <v>308</v>
      </c>
      <c r="E58" s="7" t="s">
        <v>273</v>
      </c>
      <c r="F58" s="7" t="s">
        <v>309</v>
      </c>
      <c r="G58" s="7" t="s">
        <v>273</v>
      </c>
      <c r="H58" s="7"/>
      <c r="I58" s="7" t="s">
        <v>310</v>
      </c>
      <c r="J58" s="9">
        <v>0.27950000000000003</v>
      </c>
      <c r="K58" s="7">
        <v>41.2</v>
      </c>
      <c r="L58" s="7" t="s">
        <v>311</v>
      </c>
      <c r="M58" s="9">
        <v>0.26150000000000001</v>
      </c>
      <c r="N58" s="7" t="s">
        <v>312</v>
      </c>
      <c r="O58" s="9">
        <v>0.25430000000000003</v>
      </c>
      <c r="P58" s="7">
        <v>8</v>
      </c>
      <c r="Q58" s="7" t="s">
        <v>313</v>
      </c>
      <c r="R58" s="10"/>
      <c r="S58" s="10"/>
      <c r="T58" s="11"/>
      <c r="U58" s="8" t="s">
        <v>314</v>
      </c>
    </row>
    <row r="59" spans="1:21" ht="84" x14ac:dyDescent="0.35">
      <c r="A59" s="7" t="s">
        <v>21</v>
      </c>
      <c r="B59" s="7" t="s">
        <v>270</v>
      </c>
      <c r="C59" s="8" t="s">
        <v>315</v>
      </c>
      <c r="D59" s="8" t="s">
        <v>316</v>
      </c>
      <c r="E59" s="7" t="s">
        <v>273</v>
      </c>
      <c r="F59" s="7" t="s">
        <v>317</v>
      </c>
      <c r="G59" s="7" t="s">
        <v>273</v>
      </c>
      <c r="H59" s="7"/>
      <c r="I59" s="7" t="s">
        <v>318</v>
      </c>
      <c r="J59" s="9">
        <v>0.27360000000000001</v>
      </c>
      <c r="K59" s="7">
        <v>39.6</v>
      </c>
      <c r="L59" s="7" t="s">
        <v>319</v>
      </c>
      <c r="M59" s="9">
        <v>0.25979999999999998</v>
      </c>
      <c r="N59" s="7" t="s">
        <v>320</v>
      </c>
      <c r="O59" s="9">
        <v>0.2422</v>
      </c>
      <c r="P59" s="7">
        <v>1</v>
      </c>
      <c r="Q59" s="7" t="s">
        <v>321</v>
      </c>
      <c r="R59" s="10"/>
      <c r="S59" s="10"/>
      <c r="T59" s="11"/>
      <c r="U59" s="8" t="s">
        <v>322</v>
      </c>
    </row>
    <row r="60" spans="1:21" ht="70" x14ac:dyDescent="0.35">
      <c r="A60" s="7" t="s">
        <v>21</v>
      </c>
      <c r="B60" s="7" t="s">
        <v>270</v>
      </c>
      <c r="C60" s="8" t="s">
        <v>323</v>
      </c>
      <c r="D60" s="8" t="s">
        <v>324</v>
      </c>
      <c r="E60" s="7" t="s">
        <v>273</v>
      </c>
      <c r="F60" s="7" t="s">
        <v>325</v>
      </c>
      <c r="G60" s="7" t="s">
        <v>273</v>
      </c>
      <c r="H60" s="7"/>
      <c r="I60" s="7" t="s">
        <v>326</v>
      </c>
      <c r="J60" s="9">
        <v>0.27089999999999997</v>
      </c>
      <c r="K60" s="7">
        <v>38.9</v>
      </c>
      <c r="L60" s="7" t="s">
        <v>327</v>
      </c>
      <c r="M60" s="9">
        <v>0.25509999999999999</v>
      </c>
      <c r="N60" s="7" t="s">
        <v>328</v>
      </c>
      <c r="O60" s="9">
        <v>0.23519999999999999</v>
      </c>
      <c r="P60" s="7">
        <v>1</v>
      </c>
      <c r="Q60" s="7" t="s">
        <v>329</v>
      </c>
      <c r="R60" s="10"/>
      <c r="S60" s="10"/>
      <c r="T60" s="11"/>
      <c r="U60" s="8" t="s">
        <v>330</v>
      </c>
    </row>
    <row r="61" spans="1:21" ht="84" x14ac:dyDescent="0.35">
      <c r="A61" s="7" t="s">
        <v>21</v>
      </c>
      <c r="B61" s="7" t="s">
        <v>270</v>
      </c>
      <c r="C61" s="8" t="s">
        <v>331</v>
      </c>
      <c r="D61" s="8" t="s">
        <v>332</v>
      </c>
      <c r="E61" s="7" t="s">
        <v>333</v>
      </c>
      <c r="F61" s="7" t="s">
        <v>334</v>
      </c>
      <c r="G61" s="7" t="s">
        <v>273</v>
      </c>
      <c r="H61" s="7"/>
      <c r="I61" s="7" t="s">
        <v>335</v>
      </c>
      <c r="J61" s="9">
        <v>0.26629999999999998</v>
      </c>
      <c r="K61" s="7">
        <v>37.700000000000003</v>
      </c>
      <c r="L61" s="7" t="s">
        <v>336</v>
      </c>
      <c r="M61" s="9">
        <v>0.26590000000000003</v>
      </c>
      <c r="N61" s="7" t="s">
        <v>190</v>
      </c>
      <c r="O61" s="9">
        <v>0.22020000000000001</v>
      </c>
      <c r="P61" s="7">
        <v>4</v>
      </c>
      <c r="Q61" s="7" t="s">
        <v>337</v>
      </c>
      <c r="R61" s="10"/>
      <c r="S61" s="10"/>
      <c r="T61" s="11"/>
      <c r="U61" s="8" t="s">
        <v>338</v>
      </c>
    </row>
    <row r="62" spans="1:21" ht="56" x14ac:dyDescent="0.35">
      <c r="A62" s="7" t="s">
        <v>21</v>
      </c>
      <c r="B62" s="7" t="s">
        <v>270</v>
      </c>
      <c r="C62" s="8" t="s">
        <v>339</v>
      </c>
      <c r="D62" s="8" t="s">
        <v>340</v>
      </c>
      <c r="E62" s="7" t="s">
        <v>273</v>
      </c>
      <c r="F62" s="7" t="s">
        <v>341</v>
      </c>
      <c r="G62" s="7" t="s">
        <v>273</v>
      </c>
      <c r="H62" s="7"/>
      <c r="I62" s="7" t="s">
        <v>342</v>
      </c>
      <c r="J62" s="9">
        <v>0.2477</v>
      </c>
      <c r="K62" s="7">
        <v>32.700000000000003</v>
      </c>
      <c r="L62" s="7" t="s">
        <v>343</v>
      </c>
      <c r="M62" s="9">
        <v>0.22109999999999999</v>
      </c>
      <c r="N62" s="7" t="s">
        <v>344</v>
      </c>
      <c r="O62" s="9">
        <v>0.20799999999999999</v>
      </c>
      <c r="P62" s="7">
        <v>1</v>
      </c>
      <c r="Q62" s="7" t="s">
        <v>345</v>
      </c>
      <c r="R62" s="10"/>
      <c r="S62" s="10"/>
      <c r="T62" s="11"/>
      <c r="U62" s="8" t="s">
        <v>346</v>
      </c>
    </row>
    <row r="63" spans="1:21" ht="70" x14ac:dyDescent="0.35">
      <c r="A63" s="7" t="s">
        <v>21</v>
      </c>
      <c r="B63" s="7" t="s">
        <v>270</v>
      </c>
      <c r="C63" s="8" t="s">
        <v>347</v>
      </c>
      <c r="D63" s="8"/>
      <c r="E63" s="7" t="s">
        <v>273</v>
      </c>
      <c r="F63" s="7" t="s">
        <v>348</v>
      </c>
      <c r="G63" s="7" t="s">
        <v>273</v>
      </c>
      <c r="H63" s="7"/>
      <c r="I63" s="7" t="s">
        <v>349</v>
      </c>
      <c r="J63" s="9">
        <v>0.24479999999999999</v>
      </c>
      <c r="K63" s="7">
        <v>31.9</v>
      </c>
      <c r="L63" s="7" t="s">
        <v>350</v>
      </c>
      <c r="M63" s="9">
        <v>0.2021</v>
      </c>
      <c r="N63" s="7"/>
      <c r="O63" s="9"/>
      <c r="P63" s="7">
        <v>1</v>
      </c>
      <c r="Q63" s="7" t="s">
        <v>351</v>
      </c>
      <c r="R63" s="10"/>
      <c r="S63" s="10"/>
      <c r="T63" s="11"/>
      <c r="U63" s="8" t="s">
        <v>352</v>
      </c>
    </row>
    <row r="64" spans="1:21" ht="70" x14ac:dyDescent="0.35">
      <c r="A64" s="7" t="s">
        <v>21</v>
      </c>
      <c r="B64" s="7" t="s">
        <v>270</v>
      </c>
      <c r="C64" s="8" t="s">
        <v>301</v>
      </c>
      <c r="D64" s="8" t="s">
        <v>353</v>
      </c>
      <c r="E64" s="7" t="s">
        <v>186</v>
      </c>
      <c r="F64" s="7" t="s">
        <v>301</v>
      </c>
      <c r="G64" s="7" t="s">
        <v>273</v>
      </c>
      <c r="H64" s="7"/>
      <c r="I64" s="7" t="s">
        <v>354</v>
      </c>
      <c r="J64" s="9">
        <v>0.23780000000000001</v>
      </c>
      <c r="K64" s="7">
        <v>30.1</v>
      </c>
      <c r="L64" s="7"/>
      <c r="M64" s="9"/>
      <c r="N64" s="7"/>
      <c r="O64" s="9"/>
      <c r="P64" s="7">
        <v>1</v>
      </c>
      <c r="Q64" s="7" t="s">
        <v>355</v>
      </c>
      <c r="R64" s="10"/>
      <c r="S64" s="10"/>
      <c r="T64" s="11"/>
      <c r="U64" s="8" t="s">
        <v>356</v>
      </c>
    </row>
    <row r="65" spans="1:21" ht="56" x14ac:dyDescent="0.35">
      <c r="A65" s="7" t="s">
        <v>21</v>
      </c>
      <c r="B65" s="7" t="s">
        <v>270</v>
      </c>
      <c r="C65" s="8" t="s">
        <v>357</v>
      </c>
      <c r="D65" s="8" t="s">
        <v>62</v>
      </c>
      <c r="E65" s="7" t="s">
        <v>333</v>
      </c>
      <c r="F65" s="7" t="s">
        <v>358</v>
      </c>
      <c r="G65" s="7" t="s">
        <v>273</v>
      </c>
      <c r="H65" s="7"/>
      <c r="I65" s="7" t="s">
        <v>359</v>
      </c>
      <c r="J65" s="9">
        <v>0.22969999999999999</v>
      </c>
      <c r="K65" s="7">
        <v>27.9</v>
      </c>
      <c r="L65" s="7"/>
      <c r="M65" s="9"/>
      <c r="N65" s="7"/>
      <c r="O65" s="9"/>
      <c r="P65" s="7">
        <v>2</v>
      </c>
      <c r="Q65" s="7" t="s">
        <v>65</v>
      </c>
      <c r="R65" s="10"/>
      <c r="S65" s="10"/>
      <c r="T65" s="11"/>
      <c r="U65" s="8" t="s">
        <v>66</v>
      </c>
    </row>
    <row r="66" spans="1:21" ht="112" x14ac:dyDescent="0.35">
      <c r="A66" s="7" t="s">
        <v>21</v>
      </c>
      <c r="B66" s="7" t="s">
        <v>270</v>
      </c>
      <c r="C66" s="8" t="s">
        <v>360</v>
      </c>
      <c r="D66" s="8" t="s">
        <v>361</v>
      </c>
      <c r="E66" s="7" t="s">
        <v>273</v>
      </c>
      <c r="F66" s="7" t="s">
        <v>362</v>
      </c>
      <c r="G66" s="7" t="s">
        <v>273</v>
      </c>
      <c r="H66" s="7"/>
      <c r="I66" s="7" t="s">
        <v>363</v>
      </c>
      <c r="J66" s="9">
        <v>0.21709999999999999</v>
      </c>
      <c r="K66" s="7">
        <v>24.6</v>
      </c>
      <c r="L66" s="7" t="s">
        <v>364</v>
      </c>
      <c r="M66" s="9">
        <v>0.21479999999999999</v>
      </c>
      <c r="N66" s="7"/>
      <c r="O66" s="9"/>
      <c r="P66" s="7">
        <v>2</v>
      </c>
      <c r="Q66" s="7" t="s">
        <v>365</v>
      </c>
      <c r="R66" s="10"/>
      <c r="S66" s="10"/>
      <c r="T66" s="11"/>
      <c r="U66" s="8" t="s">
        <v>366</v>
      </c>
    </row>
    <row r="67" spans="1:21" ht="84" x14ac:dyDescent="0.35">
      <c r="A67" s="7" t="s">
        <v>21</v>
      </c>
      <c r="B67" s="7" t="s">
        <v>270</v>
      </c>
      <c r="C67" s="8" t="s">
        <v>367</v>
      </c>
      <c r="D67" s="8" t="s">
        <v>368</v>
      </c>
      <c r="E67" s="7" t="s">
        <v>273</v>
      </c>
      <c r="F67" s="7" t="s">
        <v>369</v>
      </c>
      <c r="G67" s="7" t="s">
        <v>273</v>
      </c>
      <c r="H67" s="7"/>
      <c r="I67" s="7" t="s">
        <v>370</v>
      </c>
      <c r="J67" s="9">
        <v>0.21740000000000001</v>
      </c>
      <c r="K67" s="7">
        <v>24.6</v>
      </c>
      <c r="L67" s="7"/>
      <c r="M67" s="9"/>
      <c r="N67" s="7"/>
      <c r="O67" s="9"/>
      <c r="P67" s="7">
        <v>1</v>
      </c>
      <c r="Q67" s="7" t="s">
        <v>371</v>
      </c>
      <c r="R67" s="10"/>
      <c r="S67" s="10"/>
      <c r="T67" s="11"/>
      <c r="U67" s="8" t="s">
        <v>372</v>
      </c>
    </row>
    <row r="68" spans="1:21" ht="56" x14ac:dyDescent="0.35">
      <c r="A68" s="7" t="s">
        <v>21</v>
      </c>
      <c r="B68" s="7" t="s">
        <v>270</v>
      </c>
      <c r="C68" s="8" t="s">
        <v>373</v>
      </c>
      <c r="D68" s="8" t="s">
        <v>374</v>
      </c>
      <c r="E68" s="7" t="s">
        <v>273</v>
      </c>
      <c r="F68" s="7" t="s">
        <v>375</v>
      </c>
      <c r="G68" s="7" t="s">
        <v>273</v>
      </c>
      <c r="H68" s="7"/>
      <c r="I68" s="7" t="s">
        <v>376</v>
      </c>
      <c r="J68" s="9">
        <v>0.21590000000000001</v>
      </c>
      <c r="K68" s="7">
        <v>24.2</v>
      </c>
      <c r="L68" s="7" t="s">
        <v>377</v>
      </c>
      <c r="M68" s="9">
        <v>0.20269999999999999</v>
      </c>
      <c r="N68" s="7" t="s">
        <v>378</v>
      </c>
      <c r="O68" s="9">
        <v>0.20050000000000001</v>
      </c>
      <c r="P68" s="7">
        <v>1</v>
      </c>
      <c r="Q68" s="7" t="s">
        <v>379</v>
      </c>
      <c r="R68" s="10"/>
      <c r="S68" s="10"/>
      <c r="T68" s="11"/>
      <c r="U68" s="8" t="s">
        <v>380</v>
      </c>
    </row>
    <row r="69" spans="1:21" ht="84" x14ac:dyDescent="0.35">
      <c r="A69" s="7" t="s">
        <v>21</v>
      </c>
      <c r="B69" s="7" t="s">
        <v>270</v>
      </c>
      <c r="C69" s="8" t="s">
        <v>381</v>
      </c>
      <c r="D69" s="8" t="s">
        <v>382</v>
      </c>
      <c r="E69" s="7" t="s">
        <v>273</v>
      </c>
      <c r="F69" s="7" t="s">
        <v>348</v>
      </c>
      <c r="G69" s="7" t="s">
        <v>273</v>
      </c>
      <c r="H69" s="7"/>
      <c r="I69" s="7" t="s">
        <v>383</v>
      </c>
      <c r="J69" s="9">
        <v>0.21240000000000001</v>
      </c>
      <c r="K69" s="7">
        <v>23.3</v>
      </c>
      <c r="L69" s="7" t="s">
        <v>384</v>
      </c>
      <c r="M69" s="9">
        <v>0.20880000000000001</v>
      </c>
      <c r="N69" s="7" t="s">
        <v>385</v>
      </c>
      <c r="O69" s="9">
        <v>0.2001</v>
      </c>
      <c r="P69" s="7">
        <v>1</v>
      </c>
      <c r="Q69" s="7" t="s">
        <v>386</v>
      </c>
      <c r="R69" s="10"/>
      <c r="S69" s="10"/>
      <c r="T69" s="11"/>
      <c r="U69" s="8" t="s">
        <v>387</v>
      </c>
    </row>
    <row r="70" spans="1:21" ht="56" x14ac:dyDescent="0.35">
      <c r="A70" s="7" t="s">
        <v>21</v>
      </c>
      <c r="B70" s="7" t="s">
        <v>388</v>
      </c>
      <c r="C70" s="8" t="s">
        <v>389</v>
      </c>
      <c r="D70" s="8" t="s">
        <v>390</v>
      </c>
      <c r="E70" s="7" t="s">
        <v>273</v>
      </c>
      <c r="F70" s="7" t="s">
        <v>389</v>
      </c>
      <c r="G70" s="7" t="s">
        <v>273</v>
      </c>
      <c r="H70" s="7"/>
      <c r="I70" s="7" t="s">
        <v>391</v>
      </c>
      <c r="J70" s="9">
        <v>0.38979999999999998</v>
      </c>
      <c r="K70" s="7">
        <v>70.599999999999994</v>
      </c>
      <c r="L70" s="7" t="s">
        <v>392</v>
      </c>
      <c r="M70" s="9">
        <v>0.30220000000000002</v>
      </c>
      <c r="N70" s="7" t="s">
        <v>393</v>
      </c>
      <c r="O70" s="9">
        <v>0.25619999999999998</v>
      </c>
      <c r="P70" s="7">
        <v>2</v>
      </c>
      <c r="Q70" s="7" t="s">
        <v>394</v>
      </c>
      <c r="R70" s="10"/>
      <c r="S70" s="10"/>
      <c r="T70" s="11"/>
      <c r="U70" s="8" t="s">
        <v>395</v>
      </c>
    </row>
    <row r="71" spans="1:21" ht="70" x14ac:dyDescent="0.35">
      <c r="A71" s="7" t="s">
        <v>21</v>
      </c>
      <c r="B71" s="7" t="s">
        <v>388</v>
      </c>
      <c r="C71" s="8" t="s">
        <v>396</v>
      </c>
      <c r="D71" s="8" t="s">
        <v>292</v>
      </c>
      <c r="E71" s="7" t="s">
        <v>5</v>
      </c>
      <c r="F71" s="7" t="s">
        <v>397</v>
      </c>
      <c r="G71" s="7" t="s">
        <v>273</v>
      </c>
      <c r="H71" s="7"/>
      <c r="I71" s="7" t="s">
        <v>398</v>
      </c>
      <c r="J71" s="9">
        <v>0.38990000000000002</v>
      </c>
      <c r="K71" s="7">
        <v>70.599999999999994</v>
      </c>
      <c r="L71" s="7" t="s">
        <v>399</v>
      </c>
      <c r="M71" s="9">
        <v>0.30730000000000002</v>
      </c>
      <c r="N71" s="7" t="s">
        <v>400</v>
      </c>
      <c r="O71" s="9">
        <v>0.28510000000000002</v>
      </c>
      <c r="P71" s="7">
        <v>1</v>
      </c>
      <c r="Q71" s="7" t="s">
        <v>297</v>
      </c>
      <c r="R71" s="10"/>
      <c r="S71" s="10"/>
      <c r="T71" s="11"/>
      <c r="U71" s="8" t="s">
        <v>298</v>
      </c>
    </row>
    <row r="72" spans="1:21" ht="42" x14ac:dyDescent="0.35">
      <c r="A72" s="7" t="s">
        <v>21</v>
      </c>
      <c r="B72" s="7" t="s">
        <v>388</v>
      </c>
      <c r="C72" s="8" t="s">
        <v>401</v>
      </c>
      <c r="D72" s="8" t="s">
        <v>402</v>
      </c>
      <c r="E72" s="7" t="s">
        <v>22</v>
      </c>
      <c r="F72" s="7" t="s">
        <v>403</v>
      </c>
      <c r="G72" s="7" t="s">
        <v>273</v>
      </c>
      <c r="H72" s="7"/>
      <c r="I72" s="7" t="s">
        <v>404</v>
      </c>
      <c r="J72" s="9">
        <v>0.38790000000000002</v>
      </c>
      <c r="K72" s="7">
        <v>70.099999999999994</v>
      </c>
      <c r="L72" s="7" t="s">
        <v>405</v>
      </c>
      <c r="M72" s="9">
        <v>0.38250000000000001</v>
      </c>
      <c r="N72" s="7" t="s">
        <v>406</v>
      </c>
      <c r="O72" s="9">
        <v>0.37459999999999999</v>
      </c>
      <c r="P72" s="7">
        <v>1</v>
      </c>
      <c r="Q72" s="7" t="s">
        <v>407</v>
      </c>
      <c r="R72" s="10"/>
      <c r="S72" s="10"/>
      <c r="T72" s="11"/>
      <c r="U72" s="8" t="s">
        <v>408</v>
      </c>
    </row>
    <row r="73" spans="1:21" ht="56" x14ac:dyDescent="0.35">
      <c r="A73" s="7" t="s">
        <v>21</v>
      </c>
      <c r="B73" s="7" t="s">
        <v>388</v>
      </c>
      <c r="C73" s="8" t="s">
        <v>409</v>
      </c>
      <c r="D73" s="8" t="s">
        <v>410</v>
      </c>
      <c r="E73" s="7" t="s">
        <v>273</v>
      </c>
      <c r="F73" s="7" t="s">
        <v>411</v>
      </c>
      <c r="G73" s="7" t="s">
        <v>273</v>
      </c>
      <c r="H73" s="7"/>
      <c r="I73" s="7" t="s">
        <v>412</v>
      </c>
      <c r="J73" s="9">
        <v>0.38619999999999999</v>
      </c>
      <c r="K73" s="7">
        <v>69.7</v>
      </c>
      <c r="L73" s="7" t="s">
        <v>413</v>
      </c>
      <c r="M73" s="9">
        <v>0.38290000000000002</v>
      </c>
      <c r="N73" s="7" t="s">
        <v>414</v>
      </c>
      <c r="O73" s="9">
        <v>0.28739999999999999</v>
      </c>
      <c r="P73" s="7">
        <v>1</v>
      </c>
      <c r="Q73" s="7" t="s">
        <v>415</v>
      </c>
      <c r="R73" s="10"/>
      <c r="S73" s="10"/>
      <c r="T73" s="11"/>
      <c r="U73" s="8" t="s">
        <v>416</v>
      </c>
    </row>
    <row r="74" spans="1:21" ht="28" x14ac:dyDescent="0.35">
      <c r="A74" s="7" t="s">
        <v>21</v>
      </c>
      <c r="B74" s="7" t="s">
        <v>388</v>
      </c>
      <c r="C74" s="8" t="s">
        <v>417</v>
      </c>
      <c r="D74" s="8" t="s">
        <v>418</v>
      </c>
      <c r="E74" s="7" t="s">
        <v>419</v>
      </c>
      <c r="F74" s="7" t="s">
        <v>420</v>
      </c>
      <c r="G74" s="7" t="s">
        <v>273</v>
      </c>
      <c r="H74" s="7"/>
      <c r="I74" s="7" t="s">
        <v>421</v>
      </c>
      <c r="J74" s="9">
        <v>0.38500000000000001</v>
      </c>
      <c r="K74" s="7">
        <v>69.3</v>
      </c>
      <c r="L74" s="7" t="s">
        <v>422</v>
      </c>
      <c r="M74" s="9">
        <v>0.24560000000000001</v>
      </c>
      <c r="N74" s="7" t="s">
        <v>423</v>
      </c>
      <c r="O74" s="9">
        <v>0.2356</v>
      </c>
      <c r="P74" s="7">
        <v>2</v>
      </c>
      <c r="Q74" s="7" t="s">
        <v>424</v>
      </c>
      <c r="R74" s="10"/>
      <c r="S74" s="10"/>
      <c r="T74" s="11"/>
      <c r="U74" s="8" t="s">
        <v>425</v>
      </c>
    </row>
    <row r="75" spans="1:21" ht="84" x14ac:dyDescent="0.35">
      <c r="A75" s="7" t="s">
        <v>21</v>
      </c>
      <c r="B75" s="7" t="s">
        <v>388</v>
      </c>
      <c r="C75" s="8" t="s">
        <v>426</v>
      </c>
      <c r="D75" s="8" t="s">
        <v>427</v>
      </c>
      <c r="E75" s="7" t="s">
        <v>273</v>
      </c>
      <c r="F75" s="7" t="s">
        <v>426</v>
      </c>
      <c r="G75" s="7" t="s">
        <v>273</v>
      </c>
      <c r="H75" s="7"/>
      <c r="I75" s="7" t="s">
        <v>428</v>
      </c>
      <c r="J75" s="9">
        <v>0.38369999999999999</v>
      </c>
      <c r="K75" s="7">
        <v>69</v>
      </c>
      <c r="L75" s="7" t="s">
        <v>429</v>
      </c>
      <c r="M75" s="9">
        <v>0.36930000000000002</v>
      </c>
      <c r="N75" s="7" t="s">
        <v>430</v>
      </c>
      <c r="O75" s="9">
        <v>0.2873</v>
      </c>
      <c r="P75" s="7">
        <v>2</v>
      </c>
      <c r="Q75" s="7" t="s">
        <v>431</v>
      </c>
      <c r="R75" s="10"/>
      <c r="S75" s="10"/>
      <c r="T75" s="11"/>
      <c r="U75" s="8" t="s">
        <v>432</v>
      </c>
    </row>
    <row r="76" spans="1:21" ht="84" x14ac:dyDescent="0.35">
      <c r="A76" s="7" t="s">
        <v>21</v>
      </c>
      <c r="B76" s="7" t="s">
        <v>388</v>
      </c>
      <c r="C76" s="8" t="s">
        <v>433</v>
      </c>
      <c r="D76" s="8" t="s">
        <v>434</v>
      </c>
      <c r="E76" s="7" t="s">
        <v>419</v>
      </c>
      <c r="F76" s="7" t="s">
        <v>435</v>
      </c>
      <c r="G76" s="7" t="s">
        <v>273</v>
      </c>
      <c r="H76" s="7"/>
      <c r="I76" s="7" t="s">
        <v>436</v>
      </c>
      <c r="J76" s="9">
        <v>0.3831</v>
      </c>
      <c r="K76" s="7">
        <v>68.8</v>
      </c>
      <c r="L76" s="7" t="s">
        <v>437</v>
      </c>
      <c r="M76" s="9">
        <v>0.29370000000000002</v>
      </c>
      <c r="N76" s="7" t="s">
        <v>438</v>
      </c>
      <c r="O76" s="9">
        <v>0.29110000000000003</v>
      </c>
      <c r="P76" s="7">
        <v>3</v>
      </c>
      <c r="Q76" s="7" t="s">
        <v>439</v>
      </c>
      <c r="R76" s="10"/>
      <c r="S76" s="10"/>
      <c r="T76" s="11"/>
      <c r="U76" s="8" t="s">
        <v>440</v>
      </c>
    </row>
    <row r="77" spans="1:21" ht="84" x14ac:dyDescent="0.35">
      <c r="A77" s="7" t="s">
        <v>21</v>
      </c>
      <c r="B77" s="7" t="s">
        <v>388</v>
      </c>
      <c r="C77" s="8" t="s">
        <v>441</v>
      </c>
      <c r="D77" s="8" t="s">
        <v>120</v>
      </c>
      <c r="E77" s="7" t="s">
        <v>419</v>
      </c>
      <c r="F77" s="7" t="s">
        <v>442</v>
      </c>
      <c r="G77" s="7" t="s">
        <v>273</v>
      </c>
      <c r="H77" s="7"/>
      <c r="I77" s="7" t="s">
        <v>443</v>
      </c>
      <c r="J77" s="9">
        <v>0.35499999999999998</v>
      </c>
      <c r="K77" s="7">
        <v>61.3</v>
      </c>
      <c r="L77" s="7" t="s">
        <v>302</v>
      </c>
      <c r="M77" s="9">
        <v>0.32629999999999998</v>
      </c>
      <c r="N77" s="7" t="s">
        <v>444</v>
      </c>
      <c r="O77" s="9">
        <v>0.22700000000000001</v>
      </c>
      <c r="P77" s="7">
        <v>3</v>
      </c>
      <c r="Q77" s="7" t="s">
        <v>122</v>
      </c>
      <c r="R77" s="10"/>
      <c r="S77" s="10"/>
      <c r="T77" s="11"/>
      <c r="U77" s="8" t="s">
        <v>123</v>
      </c>
    </row>
    <row r="78" spans="1:21" ht="56" x14ac:dyDescent="0.35">
      <c r="A78" s="7" t="s">
        <v>21</v>
      </c>
      <c r="B78" s="7" t="s">
        <v>388</v>
      </c>
      <c r="C78" s="8" t="s">
        <v>445</v>
      </c>
      <c r="D78" s="8" t="s">
        <v>446</v>
      </c>
      <c r="E78" s="7" t="s">
        <v>273</v>
      </c>
      <c r="F78" s="7" t="s">
        <v>447</v>
      </c>
      <c r="G78" s="7" t="s">
        <v>273</v>
      </c>
      <c r="H78" s="7"/>
      <c r="I78" s="7" t="s">
        <v>448</v>
      </c>
      <c r="J78" s="9">
        <v>0.35099999999999998</v>
      </c>
      <c r="K78" s="7">
        <v>60.3</v>
      </c>
      <c r="L78" s="7" t="s">
        <v>449</v>
      </c>
      <c r="M78" s="9">
        <v>0.27650000000000002</v>
      </c>
      <c r="N78" s="7" t="s">
        <v>450</v>
      </c>
      <c r="O78" s="9">
        <v>0.27550000000000002</v>
      </c>
      <c r="P78" s="7">
        <v>2</v>
      </c>
      <c r="Q78" s="7" t="s">
        <v>451</v>
      </c>
      <c r="R78" s="10"/>
      <c r="S78" s="10"/>
      <c r="T78" s="11"/>
      <c r="U78" s="8" t="s">
        <v>452</v>
      </c>
    </row>
    <row r="79" spans="1:21" ht="84" x14ac:dyDescent="0.35">
      <c r="A79" s="7" t="s">
        <v>21</v>
      </c>
      <c r="B79" s="7" t="s">
        <v>388</v>
      </c>
      <c r="C79" s="8" t="s">
        <v>453</v>
      </c>
      <c r="D79" s="8" t="s">
        <v>454</v>
      </c>
      <c r="E79" s="7" t="s">
        <v>273</v>
      </c>
      <c r="F79" s="7" t="s">
        <v>453</v>
      </c>
      <c r="G79" s="7" t="s">
        <v>273</v>
      </c>
      <c r="H79" s="7"/>
      <c r="I79" s="7" t="s">
        <v>455</v>
      </c>
      <c r="J79" s="9">
        <v>0.34129999999999999</v>
      </c>
      <c r="K79" s="7">
        <v>57.7</v>
      </c>
      <c r="L79" s="7" t="s">
        <v>456</v>
      </c>
      <c r="M79" s="9">
        <v>0.21990000000000001</v>
      </c>
      <c r="N79" s="7" t="s">
        <v>457</v>
      </c>
      <c r="O79" s="9">
        <v>0.21779999999999999</v>
      </c>
      <c r="P79" s="7">
        <v>1</v>
      </c>
      <c r="Q79" s="7" t="s">
        <v>458</v>
      </c>
      <c r="R79" s="10"/>
      <c r="S79" s="10"/>
      <c r="T79" s="11"/>
      <c r="U79" s="8" t="s">
        <v>459</v>
      </c>
    </row>
    <row r="80" spans="1:21" ht="28" x14ac:dyDescent="0.35">
      <c r="A80" s="7" t="s">
        <v>21</v>
      </c>
      <c r="B80" s="7" t="s">
        <v>388</v>
      </c>
      <c r="C80" s="8" t="s">
        <v>460</v>
      </c>
      <c r="D80" s="8" t="s">
        <v>129</v>
      </c>
      <c r="E80" s="7" t="s">
        <v>5</v>
      </c>
      <c r="F80" s="7" t="s">
        <v>461</v>
      </c>
      <c r="G80" s="7" t="s">
        <v>273</v>
      </c>
      <c r="H80" s="7"/>
      <c r="I80" s="7" t="s">
        <v>462</v>
      </c>
      <c r="J80" s="9">
        <v>0.33410000000000001</v>
      </c>
      <c r="K80" s="7">
        <v>55.8</v>
      </c>
      <c r="L80" s="7" t="s">
        <v>463</v>
      </c>
      <c r="M80" s="9">
        <v>0.32950000000000002</v>
      </c>
      <c r="N80" s="7" t="s">
        <v>464</v>
      </c>
      <c r="O80" s="9">
        <v>0.30109999999999998</v>
      </c>
      <c r="P80" s="7">
        <v>1</v>
      </c>
      <c r="Q80" s="7" t="s">
        <v>131</v>
      </c>
      <c r="R80" s="10"/>
      <c r="S80" s="10"/>
      <c r="T80" s="11"/>
      <c r="U80" s="8" t="s">
        <v>132</v>
      </c>
    </row>
    <row r="81" spans="1:21" ht="56" x14ac:dyDescent="0.35">
      <c r="A81" s="7" t="s">
        <v>21</v>
      </c>
      <c r="B81" s="7" t="s">
        <v>388</v>
      </c>
      <c r="C81" s="8" t="s">
        <v>465</v>
      </c>
      <c r="D81" s="8" t="s">
        <v>62</v>
      </c>
      <c r="E81" s="7" t="s">
        <v>22</v>
      </c>
      <c r="F81" s="7" t="s">
        <v>466</v>
      </c>
      <c r="G81" s="7" t="s">
        <v>273</v>
      </c>
      <c r="H81" s="7"/>
      <c r="I81" s="7" t="s">
        <v>467</v>
      </c>
      <c r="J81" s="9">
        <v>0.33339999999999997</v>
      </c>
      <c r="K81" s="7">
        <v>55.6</v>
      </c>
      <c r="L81" s="7" t="s">
        <v>468</v>
      </c>
      <c r="M81" s="9">
        <v>0.26419999999999999</v>
      </c>
      <c r="N81" s="7" t="s">
        <v>469</v>
      </c>
      <c r="O81" s="9">
        <v>0.22090000000000001</v>
      </c>
      <c r="P81" s="7">
        <v>1</v>
      </c>
      <c r="Q81" s="7" t="s">
        <v>65</v>
      </c>
      <c r="R81" s="10"/>
      <c r="S81" s="10"/>
      <c r="T81" s="11"/>
      <c r="U81" s="8" t="s">
        <v>66</v>
      </c>
    </row>
    <row r="82" spans="1:21" ht="84" x14ac:dyDescent="0.35">
      <c r="A82" s="7" t="s">
        <v>21</v>
      </c>
      <c r="B82" s="7" t="s">
        <v>388</v>
      </c>
      <c r="C82" s="8" t="s">
        <v>470</v>
      </c>
      <c r="D82" s="8" t="s">
        <v>471</v>
      </c>
      <c r="E82" s="7" t="s">
        <v>186</v>
      </c>
      <c r="F82" s="7" t="s">
        <v>470</v>
      </c>
      <c r="G82" s="7" t="s">
        <v>273</v>
      </c>
      <c r="H82" s="7"/>
      <c r="I82" s="7" t="s">
        <v>472</v>
      </c>
      <c r="J82" s="9">
        <v>0.32400000000000001</v>
      </c>
      <c r="K82" s="7">
        <v>53.1</v>
      </c>
      <c r="L82" s="7" t="s">
        <v>473</v>
      </c>
      <c r="M82" s="9">
        <v>0.31859999999999999</v>
      </c>
      <c r="N82" s="7" t="s">
        <v>474</v>
      </c>
      <c r="O82" s="9">
        <v>0.2727</v>
      </c>
      <c r="P82" s="7">
        <v>1</v>
      </c>
      <c r="Q82" s="7" t="s">
        <v>475</v>
      </c>
      <c r="R82" s="10"/>
      <c r="S82" s="10"/>
      <c r="T82" s="11"/>
      <c r="U82" s="8" t="s">
        <v>476</v>
      </c>
    </row>
    <row r="83" spans="1:21" ht="56" x14ac:dyDescent="0.35">
      <c r="A83" s="7" t="s">
        <v>21</v>
      </c>
      <c r="B83" s="7" t="s">
        <v>388</v>
      </c>
      <c r="C83" s="8" t="s">
        <v>477</v>
      </c>
      <c r="D83" s="8" t="s">
        <v>478</v>
      </c>
      <c r="E83" s="7" t="s">
        <v>419</v>
      </c>
      <c r="F83" s="7"/>
      <c r="G83" s="7" t="s">
        <v>273</v>
      </c>
      <c r="H83" s="7"/>
      <c r="I83" s="7" t="s">
        <v>479</v>
      </c>
      <c r="J83" s="9">
        <v>0.32369999999999999</v>
      </c>
      <c r="K83" s="7">
        <v>53</v>
      </c>
      <c r="L83" s="7" t="s">
        <v>480</v>
      </c>
      <c r="M83" s="9">
        <v>0.3211</v>
      </c>
      <c r="N83" s="7" t="s">
        <v>481</v>
      </c>
      <c r="O83" s="9">
        <v>0.314</v>
      </c>
      <c r="P83" s="7">
        <v>3</v>
      </c>
      <c r="Q83" s="7" t="s">
        <v>482</v>
      </c>
      <c r="R83" s="10"/>
      <c r="S83" s="10"/>
      <c r="T83" s="11"/>
      <c r="U83" s="8" t="s">
        <v>483</v>
      </c>
    </row>
    <row r="84" spans="1:21" ht="84" x14ac:dyDescent="0.35">
      <c r="A84" s="7" t="s">
        <v>21</v>
      </c>
      <c r="B84" s="7" t="s">
        <v>388</v>
      </c>
      <c r="C84" s="8" t="s">
        <v>484</v>
      </c>
      <c r="D84" s="8" t="s">
        <v>171</v>
      </c>
      <c r="E84" s="7" t="s">
        <v>22</v>
      </c>
      <c r="F84" s="7" t="s">
        <v>485</v>
      </c>
      <c r="G84" s="7" t="s">
        <v>273</v>
      </c>
      <c r="H84" s="7"/>
      <c r="I84" s="7" t="s">
        <v>486</v>
      </c>
      <c r="J84" s="9">
        <v>0.31130000000000002</v>
      </c>
      <c r="K84" s="7">
        <v>49.7</v>
      </c>
      <c r="L84" s="7" t="s">
        <v>487</v>
      </c>
      <c r="M84" s="9">
        <v>0.28539999999999999</v>
      </c>
      <c r="N84" s="7" t="s">
        <v>488</v>
      </c>
      <c r="O84" s="9">
        <v>0.25679999999999997</v>
      </c>
      <c r="P84" s="7">
        <v>1</v>
      </c>
      <c r="Q84" s="7" t="s">
        <v>174</v>
      </c>
      <c r="R84" s="10"/>
      <c r="S84" s="10"/>
      <c r="T84" s="11"/>
      <c r="U84" s="8" t="s">
        <v>175</v>
      </c>
    </row>
    <row r="85" spans="1:21" ht="84" x14ac:dyDescent="0.35">
      <c r="A85" s="7" t="s">
        <v>21</v>
      </c>
      <c r="B85" s="7" t="s">
        <v>388</v>
      </c>
      <c r="C85" s="8" t="s">
        <v>489</v>
      </c>
      <c r="D85" s="8" t="s">
        <v>490</v>
      </c>
      <c r="E85" s="7" t="s">
        <v>22</v>
      </c>
      <c r="F85" s="7" t="s">
        <v>491</v>
      </c>
      <c r="G85" s="7" t="s">
        <v>273</v>
      </c>
      <c r="H85" s="7"/>
      <c r="I85" s="7" t="s">
        <v>492</v>
      </c>
      <c r="J85" s="9">
        <v>0.3085</v>
      </c>
      <c r="K85" s="7">
        <v>48.9</v>
      </c>
      <c r="L85" s="7" t="s">
        <v>493</v>
      </c>
      <c r="M85" s="9">
        <v>0.30420000000000003</v>
      </c>
      <c r="N85" s="7" t="s">
        <v>494</v>
      </c>
      <c r="O85" s="9">
        <v>0.29239999999999999</v>
      </c>
      <c r="P85" s="7">
        <v>1</v>
      </c>
      <c r="Q85" s="7" t="s">
        <v>495</v>
      </c>
      <c r="R85" s="10"/>
      <c r="S85" s="10"/>
      <c r="T85" s="11"/>
      <c r="U85" s="8" t="s">
        <v>496</v>
      </c>
    </row>
    <row r="86" spans="1:21" ht="56" x14ac:dyDescent="0.35">
      <c r="A86" s="7" t="s">
        <v>21</v>
      </c>
      <c r="B86" s="7" t="s">
        <v>388</v>
      </c>
      <c r="C86" s="8" t="s">
        <v>497</v>
      </c>
      <c r="D86" s="8"/>
      <c r="E86" s="7" t="s">
        <v>273</v>
      </c>
      <c r="F86" s="7" t="s">
        <v>498</v>
      </c>
      <c r="G86" s="7" t="s">
        <v>273</v>
      </c>
      <c r="H86" s="7"/>
      <c r="I86" s="7" t="s">
        <v>499</v>
      </c>
      <c r="J86" s="9">
        <v>0.30249999999999999</v>
      </c>
      <c r="K86" s="7">
        <v>47.3</v>
      </c>
      <c r="L86" s="7" t="s">
        <v>377</v>
      </c>
      <c r="M86" s="9">
        <v>0.27939999999999998</v>
      </c>
      <c r="N86" s="7" t="s">
        <v>500</v>
      </c>
      <c r="O86" s="9">
        <v>0.27850000000000003</v>
      </c>
      <c r="P86" s="7">
        <v>6</v>
      </c>
      <c r="Q86" s="7" t="s">
        <v>501</v>
      </c>
      <c r="R86" s="10"/>
      <c r="S86" s="10"/>
      <c r="T86" s="11"/>
      <c r="U86" s="8" t="s">
        <v>502</v>
      </c>
    </row>
    <row r="87" spans="1:21" ht="84" x14ac:dyDescent="0.35">
      <c r="A87" s="7" t="s">
        <v>21</v>
      </c>
      <c r="B87" s="7" t="s">
        <v>503</v>
      </c>
      <c r="C87" s="8" t="s">
        <v>504</v>
      </c>
      <c r="D87" s="8" t="s">
        <v>505</v>
      </c>
      <c r="E87" s="7" t="s">
        <v>273</v>
      </c>
      <c r="F87" s="7"/>
      <c r="G87" s="7" t="s">
        <v>273</v>
      </c>
      <c r="H87" s="7"/>
      <c r="I87" s="7" t="s">
        <v>115</v>
      </c>
      <c r="J87" s="9">
        <v>0.48149999999999998</v>
      </c>
      <c r="K87" s="7">
        <v>95.1</v>
      </c>
      <c r="L87" s="7" t="s">
        <v>43</v>
      </c>
      <c r="M87" s="9">
        <v>0.4783</v>
      </c>
      <c r="N87" s="7" t="s">
        <v>506</v>
      </c>
      <c r="O87" s="9">
        <v>0.45440000000000003</v>
      </c>
      <c r="P87" s="7">
        <v>3</v>
      </c>
      <c r="Q87" s="7" t="s">
        <v>507</v>
      </c>
      <c r="R87" s="10"/>
      <c r="S87" s="10"/>
      <c r="T87" s="11"/>
      <c r="U87" s="8" t="s">
        <v>508</v>
      </c>
    </row>
    <row r="88" spans="1:21" ht="84" x14ac:dyDescent="0.35">
      <c r="A88" s="7" t="s">
        <v>21</v>
      </c>
      <c r="B88" s="7" t="s">
        <v>503</v>
      </c>
      <c r="C88" s="8" t="s">
        <v>509</v>
      </c>
      <c r="D88" s="8" t="s">
        <v>510</v>
      </c>
      <c r="E88" s="7" t="s">
        <v>419</v>
      </c>
      <c r="F88" s="7" t="s">
        <v>511</v>
      </c>
      <c r="G88" s="7" t="s">
        <v>273</v>
      </c>
      <c r="H88" s="7"/>
      <c r="I88" s="7" t="s">
        <v>512</v>
      </c>
      <c r="J88" s="9">
        <v>0.47089999999999999</v>
      </c>
      <c r="K88" s="7">
        <v>92.2</v>
      </c>
      <c r="L88" s="7" t="s">
        <v>513</v>
      </c>
      <c r="M88" s="9">
        <v>0.46779999999999999</v>
      </c>
      <c r="N88" s="7" t="s">
        <v>514</v>
      </c>
      <c r="O88" s="9">
        <v>0.4042</v>
      </c>
      <c r="P88" s="7">
        <v>9</v>
      </c>
      <c r="Q88" s="7" t="s">
        <v>515</v>
      </c>
      <c r="R88" s="10"/>
      <c r="S88" s="10"/>
      <c r="T88" s="11"/>
      <c r="U88" s="8" t="s">
        <v>516</v>
      </c>
    </row>
    <row r="89" spans="1:21" ht="70" x14ac:dyDescent="0.35">
      <c r="A89" s="7" t="s">
        <v>21</v>
      </c>
      <c r="B89" s="7" t="s">
        <v>503</v>
      </c>
      <c r="C89" s="8" t="s">
        <v>517</v>
      </c>
      <c r="D89" s="8" t="s">
        <v>518</v>
      </c>
      <c r="E89" s="7" t="s">
        <v>273</v>
      </c>
      <c r="F89" s="7" t="s">
        <v>519</v>
      </c>
      <c r="G89" s="7" t="s">
        <v>273</v>
      </c>
      <c r="H89" s="7"/>
      <c r="I89" s="7" t="s">
        <v>520</v>
      </c>
      <c r="J89" s="9">
        <v>0.46700000000000003</v>
      </c>
      <c r="K89" s="7">
        <v>91.2</v>
      </c>
      <c r="L89" s="7" t="s">
        <v>521</v>
      </c>
      <c r="M89" s="9">
        <v>0.4657</v>
      </c>
      <c r="N89" s="7" t="s">
        <v>522</v>
      </c>
      <c r="O89" s="9">
        <v>0.44550000000000001</v>
      </c>
      <c r="P89" s="7">
        <v>1</v>
      </c>
      <c r="Q89" s="7" t="s">
        <v>523</v>
      </c>
      <c r="R89" s="10"/>
      <c r="S89" s="10"/>
      <c r="T89" s="11"/>
      <c r="U89" s="8" t="s">
        <v>524</v>
      </c>
    </row>
    <row r="90" spans="1:21" ht="70" x14ac:dyDescent="0.35">
      <c r="A90" s="7" t="s">
        <v>21</v>
      </c>
      <c r="B90" s="7" t="s">
        <v>503</v>
      </c>
      <c r="C90" s="8" t="s">
        <v>525</v>
      </c>
      <c r="D90" s="8" t="s">
        <v>526</v>
      </c>
      <c r="E90" s="7" t="s">
        <v>22</v>
      </c>
      <c r="F90" s="7" t="s">
        <v>525</v>
      </c>
      <c r="G90" s="7" t="s">
        <v>273</v>
      </c>
      <c r="H90" s="7"/>
      <c r="I90" s="7" t="s">
        <v>262</v>
      </c>
      <c r="J90" s="9">
        <v>0.46400000000000002</v>
      </c>
      <c r="K90" s="7">
        <v>90.4</v>
      </c>
      <c r="L90" s="7" t="s">
        <v>527</v>
      </c>
      <c r="M90" s="9">
        <v>0.2467</v>
      </c>
      <c r="N90" s="7" t="s">
        <v>528</v>
      </c>
      <c r="O90" s="9">
        <v>0.2281</v>
      </c>
      <c r="P90" s="7">
        <v>1</v>
      </c>
      <c r="Q90" s="7" t="s">
        <v>529</v>
      </c>
      <c r="R90" s="10"/>
      <c r="S90" s="10"/>
      <c r="T90" s="11"/>
      <c r="U90" s="8" t="s">
        <v>530</v>
      </c>
    </row>
    <row r="91" spans="1:21" ht="70" x14ac:dyDescent="0.35">
      <c r="A91" s="7" t="s">
        <v>21</v>
      </c>
      <c r="B91" s="7" t="s">
        <v>503</v>
      </c>
      <c r="C91" s="8" t="s">
        <v>531</v>
      </c>
      <c r="D91" s="8" t="s">
        <v>532</v>
      </c>
      <c r="E91" s="7" t="s">
        <v>22</v>
      </c>
      <c r="F91" s="7" t="s">
        <v>533</v>
      </c>
      <c r="G91" s="7" t="s">
        <v>273</v>
      </c>
      <c r="H91" s="7"/>
      <c r="I91" s="7" t="s">
        <v>534</v>
      </c>
      <c r="J91" s="9">
        <v>0.46329999999999999</v>
      </c>
      <c r="K91" s="7">
        <v>90.2</v>
      </c>
      <c r="L91" s="7" t="s">
        <v>535</v>
      </c>
      <c r="M91" s="9">
        <v>0.29249999999999998</v>
      </c>
      <c r="N91" s="7" t="s">
        <v>536</v>
      </c>
      <c r="O91" s="9">
        <v>0.28070000000000001</v>
      </c>
      <c r="P91" s="7">
        <v>1</v>
      </c>
      <c r="Q91" s="7" t="s">
        <v>537</v>
      </c>
      <c r="R91" s="10"/>
      <c r="S91" s="10"/>
      <c r="T91" s="11"/>
      <c r="U91" s="8" t="s">
        <v>538</v>
      </c>
    </row>
    <row r="92" spans="1:21" ht="84" x14ac:dyDescent="0.35">
      <c r="A92" s="7" t="s">
        <v>21</v>
      </c>
      <c r="B92" s="7" t="s">
        <v>503</v>
      </c>
      <c r="C92" s="8" t="s">
        <v>539</v>
      </c>
      <c r="D92" s="8" t="s">
        <v>540</v>
      </c>
      <c r="E92" s="7" t="s">
        <v>5</v>
      </c>
      <c r="F92" s="7" t="s">
        <v>541</v>
      </c>
      <c r="G92" s="7" t="s">
        <v>273</v>
      </c>
      <c r="H92" s="7"/>
      <c r="I92" s="7" t="s">
        <v>542</v>
      </c>
      <c r="J92" s="9">
        <v>0.46260000000000001</v>
      </c>
      <c r="K92" s="7">
        <v>90</v>
      </c>
      <c r="L92" s="7" t="s">
        <v>543</v>
      </c>
      <c r="M92" s="9">
        <v>0.44019999999999998</v>
      </c>
      <c r="N92" s="7" t="s">
        <v>544</v>
      </c>
      <c r="O92" s="9">
        <v>0.43309999999999998</v>
      </c>
      <c r="P92" s="7">
        <v>1</v>
      </c>
      <c r="Q92" s="7" t="s">
        <v>545</v>
      </c>
      <c r="R92" s="10"/>
      <c r="S92" s="10"/>
      <c r="T92" s="11"/>
      <c r="U92" s="8" t="s">
        <v>546</v>
      </c>
    </row>
    <row r="93" spans="1:21" ht="84" x14ac:dyDescent="0.35">
      <c r="A93" s="7" t="s">
        <v>21</v>
      </c>
      <c r="B93" s="7" t="s">
        <v>503</v>
      </c>
      <c r="C93" s="8" t="s">
        <v>547</v>
      </c>
      <c r="D93" s="8"/>
      <c r="E93" s="7" t="s">
        <v>273</v>
      </c>
      <c r="F93" s="7" t="s">
        <v>309</v>
      </c>
      <c r="G93" s="7" t="s">
        <v>273</v>
      </c>
      <c r="H93" s="7"/>
      <c r="I93" s="7" t="s">
        <v>548</v>
      </c>
      <c r="J93" s="9">
        <v>0.45950000000000002</v>
      </c>
      <c r="K93" s="7">
        <v>89.2</v>
      </c>
      <c r="L93" s="7" t="s">
        <v>549</v>
      </c>
      <c r="M93" s="9">
        <v>0.42620000000000002</v>
      </c>
      <c r="N93" s="7" t="s">
        <v>550</v>
      </c>
      <c r="O93" s="9">
        <v>0.40649999999999997</v>
      </c>
      <c r="P93" s="7">
        <v>1</v>
      </c>
      <c r="Q93" s="7" t="s">
        <v>551</v>
      </c>
      <c r="R93" s="10"/>
      <c r="S93" s="10"/>
      <c r="T93" s="11"/>
      <c r="U93" s="8" t="s">
        <v>552</v>
      </c>
    </row>
    <row r="94" spans="1:21" ht="70" x14ac:dyDescent="0.35">
      <c r="A94" s="7" t="s">
        <v>21</v>
      </c>
      <c r="B94" s="7" t="s">
        <v>503</v>
      </c>
      <c r="C94" s="8" t="s">
        <v>553</v>
      </c>
      <c r="D94" s="8" t="s">
        <v>554</v>
      </c>
      <c r="E94" s="7" t="s">
        <v>273</v>
      </c>
      <c r="F94" s="7" t="s">
        <v>555</v>
      </c>
      <c r="G94" s="7" t="s">
        <v>273</v>
      </c>
      <c r="H94" s="7"/>
      <c r="I94" s="7" t="s">
        <v>556</v>
      </c>
      <c r="J94" s="9">
        <v>0.45329999999999998</v>
      </c>
      <c r="K94" s="7">
        <v>87.6</v>
      </c>
      <c r="L94" s="7" t="s">
        <v>557</v>
      </c>
      <c r="M94" s="9">
        <v>0.38869999999999999</v>
      </c>
      <c r="N94" s="7" t="s">
        <v>558</v>
      </c>
      <c r="O94" s="9">
        <v>0.38579999999999998</v>
      </c>
      <c r="P94" s="7">
        <v>1</v>
      </c>
      <c r="Q94" s="7" t="s">
        <v>559</v>
      </c>
      <c r="R94" s="10"/>
      <c r="S94" s="10"/>
      <c r="T94" s="11"/>
      <c r="U94" s="8" t="s">
        <v>560</v>
      </c>
    </row>
    <row r="95" spans="1:21" ht="56" x14ac:dyDescent="0.35">
      <c r="A95" s="7" t="s">
        <v>21</v>
      </c>
      <c r="B95" s="7" t="s">
        <v>503</v>
      </c>
      <c r="C95" s="8" t="s">
        <v>561</v>
      </c>
      <c r="D95" s="8" t="s">
        <v>562</v>
      </c>
      <c r="E95" s="7" t="s">
        <v>333</v>
      </c>
      <c r="F95" s="7" t="s">
        <v>447</v>
      </c>
      <c r="G95" s="7" t="s">
        <v>273</v>
      </c>
      <c r="H95" s="7"/>
      <c r="I95" s="7" t="s">
        <v>563</v>
      </c>
      <c r="J95" s="9">
        <v>0.4466</v>
      </c>
      <c r="K95" s="7">
        <v>85.8</v>
      </c>
      <c r="L95" s="7" t="s">
        <v>564</v>
      </c>
      <c r="M95" s="9">
        <v>0.37619999999999998</v>
      </c>
      <c r="N95" s="7" t="s">
        <v>565</v>
      </c>
      <c r="O95" s="9">
        <v>0.32100000000000001</v>
      </c>
      <c r="P95" s="7">
        <v>2</v>
      </c>
      <c r="Q95" s="7" t="s">
        <v>566</v>
      </c>
      <c r="R95" s="10"/>
      <c r="S95" s="10"/>
      <c r="T95" s="11"/>
      <c r="U95" s="8" t="s">
        <v>567</v>
      </c>
    </row>
    <row r="96" spans="1:21" ht="84" x14ac:dyDescent="0.35">
      <c r="A96" s="7" t="s">
        <v>21</v>
      </c>
      <c r="B96" s="7" t="s">
        <v>503</v>
      </c>
      <c r="C96" s="8" t="s">
        <v>568</v>
      </c>
      <c r="D96" s="8" t="s">
        <v>569</v>
      </c>
      <c r="E96" s="7" t="s">
        <v>5</v>
      </c>
      <c r="F96" s="7" t="s">
        <v>568</v>
      </c>
      <c r="G96" s="7" t="s">
        <v>273</v>
      </c>
      <c r="H96" s="7"/>
      <c r="I96" s="7" t="s">
        <v>570</v>
      </c>
      <c r="J96" s="9">
        <v>0.44409999999999999</v>
      </c>
      <c r="K96" s="7">
        <v>85.1</v>
      </c>
      <c r="L96" s="7" t="s">
        <v>571</v>
      </c>
      <c r="M96" s="9">
        <v>0.43609999999999999</v>
      </c>
      <c r="N96" s="7" t="s">
        <v>572</v>
      </c>
      <c r="O96" s="9">
        <v>0.3548</v>
      </c>
      <c r="P96" s="7">
        <v>1</v>
      </c>
      <c r="Q96" s="7" t="s">
        <v>573</v>
      </c>
      <c r="R96" s="10"/>
      <c r="S96" s="10"/>
      <c r="T96" s="11"/>
      <c r="U96" s="8" t="s">
        <v>574</v>
      </c>
    </row>
    <row r="97" spans="1:21" ht="70" x14ac:dyDescent="0.35">
      <c r="A97" s="7" t="s">
        <v>21</v>
      </c>
      <c r="B97" s="7" t="s">
        <v>503</v>
      </c>
      <c r="C97" s="8" t="s">
        <v>575</v>
      </c>
      <c r="D97" s="8" t="s">
        <v>576</v>
      </c>
      <c r="E97" s="7" t="s">
        <v>419</v>
      </c>
      <c r="F97" s="7" t="s">
        <v>575</v>
      </c>
      <c r="G97" s="7" t="s">
        <v>273</v>
      </c>
      <c r="H97" s="7"/>
      <c r="I97" s="7" t="s">
        <v>577</v>
      </c>
      <c r="J97" s="9">
        <v>0.43280000000000002</v>
      </c>
      <c r="K97" s="7">
        <v>82.1</v>
      </c>
      <c r="L97" s="7" t="s">
        <v>578</v>
      </c>
      <c r="M97" s="9">
        <v>0.43109999999999998</v>
      </c>
      <c r="N97" s="7" t="s">
        <v>579</v>
      </c>
      <c r="O97" s="9">
        <v>0.42320000000000002</v>
      </c>
      <c r="P97" s="7">
        <v>4</v>
      </c>
      <c r="Q97" s="7" t="s">
        <v>580</v>
      </c>
      <c r="R97" s="10"/>
      <c r="S97" s="10"/>
      <c r="T97" s="11"/>
      <c r="U97" s="8" t="s">
        <v>581</v>
      </c>
    </row>
    <row r="98" spans="1:21" ht="56" x14ac:dyDescent="0.35">
      <c r="A98" s="7" t="s">
        <v>21</v>
      </c>
      <c r="B98" s="7" t="s">
        <v>503</v>
      </c>
      <c r="C98" s="8" t="s">
        <v>582</v>
      </c>
      <c r="D98" s="8" t="s">
        <v>583</v>
      </c>
      <c r="E98" s="7" t="s">
        <v>5</v>
      </c>
      <c r="F98" s="7" t="s">
        <v>582</v>
      </c>
      <c r="G98" s="7" t="s">
        <v>273</v>
      </c>
      <c r="H98" s="7"/>
      <c r="I98" s="7" t="s">
        <v>584</v>
      </c>
      <c r="J98" s="9">
        <v>0.42449999999999999</v>
      </c>
      <c r="K98" s="7">
        <v>79.900000000000006</v>
      </c>
      <c r="L98" s="7" t="s">
        <v>585</v>
      </c>
      <c r="M98" s="9">
        <v>0.42070000000000002</v>
      </c>
      <c r="N98" s="7" t="s">
        <v>586</v>
      </c>
      <c r="O98" s="9">
        <v>0.40670000000000001</v>
      </c>
      <c r="P98" s="7">
        <v>2</v>
      </c>
      <c r="Q98" s="7" t="s">
        <v>587</v>
      </c>
      <c r="R98" s="10"/>
      <c r="S98" s="10"/>
      <c r="T98" s="11"/>
      <c r="U98" s="8" t="s">
        <v>588</v>
      </c>
    </row>
    <row r="99" spans="1:21" ht="84" x14ac:dyDescent="0.35">
      <c r="A99" s="7" t="s">
        <v>21</v>
      </c>
      <c r="B99" s="7" t="s">
        <v>503</v>
      </c>
      <c r="C99" s="8" t="s">
        <v>589</v>
      </c>
      <c r="D99" s="8" t="s">
        <v>590</v>
      </c>
      <c r="E99" s="7" t="s">
        <v>273</v>
      </c>
      <c r="F99" s="7"/>
      <c r="G99" s="7" t="s">
        <v>273</v>
      </c>
      <c r="H99" s="7"/>
      <c r="I99" s="7" t="s">
        <v>591</v>
      </c>
      <c r="J99" s="9">
        <v>0.41489999999999999</v>
      </c>
      <c r="K99" s="7">
        <v>77.3</v>
      </c>
      <c r="L99" s="7" t="s">
        <v>592</v>
      </c>
      <c r="M99" s="9">
        <v>0.33910000000000001</v>
      </c>
      <c r="N99" s="7" t="s">
        <v>593</v>
      </c>
      <c r="O99" s="9">
        <v>0.33679999999999999</v>
      </c>
      <c r="P99" s="7">
        <v>2</v>
      </c>
      <c r="Q99" s="7" t="s">
        <v>594</v>
      </c>
      <c r="R99" s="10"/>
      <c r="S99" s="10"/>
      <c r="T99" s="11"/>
      <c r="U99" s="8" t="s">
        <v>595</v>
      </c>
    </row>
    <row r="100" spans="1:21" ht="84" x14ac:dyDescent="0.35">
      <c r="A100" s="7" t="s">
        <v>21</v>
      </c>
      <c r="B100" s="7" t="s">
        <v>503</v>
      </c>
      <c r="C100" s="8" t="s">
        <v>596</v>
      </c>
      <c r="D100" s="8" t="s">
        <v>597</v>
      </c>
      <c r="E100" s="7" t="s">
        <v>333</v>
      </c>
      <c r="F100" s="7" t="s">
        <v>598</v>
      </c>
      <c r="G100" s="7" t="s">
        <v>273</v>
      </c>
      <c r="H100" s="7"/>
      <c r="I100" s="7" t="s">
        <v>599</v>
      </c>
      <c r="J100" s="9">
        <v>0.4103</v>
      </c>
      <c r="K100" s="7">
        <v>76.099999999999994</v>
      </c>
      <c r="L100" s="7" t="s">
        <v>600</v>
      </c>
      <c r="M100" s="9">
        <v>0.28970000000000001</v>
      </c>
      <c r="N100" s="7" t="s">
        <v>601</v>
      </c>
      <c r="O100" s="9">
        <v>0.26729999999999998</v>
      </c>
      <c r="P100" s="7">
        <v>12</v>
      </c>
      <c r="Q100" s="7" t="s">
        <v>602</v>
      </c>
      <c r="R100" s="10"/>
      <c r="S100" s="10"/>
      <c r="T100" s="11"/>
      <c r="U100" s="8" t="s">
        <v>603</v>
      </c>
    </row>
    <row r="101" spans="1:21" ht="56" x14ac:dyDescent="0.35">
      <c r="A101" s="7" t="s">
        <v>21</v>
      </c>
      <c r="B101" s="7" t="s">
        <v>503</v>
      </c>
      <c r="C101" s="8" t="s">
        <v>604</v>
      </c>
      <c r="D101" s="8" t="s">
        <v>188</v>
      </c>
      <c r="E101" s="7" t="s">
        <v>22</v>
      </c>
      <c r="F101" s="7" t="s">
        <v>604</v>
      </c>
      <c r="G101" s="7" t="s">
        <v>273</v>
      </c>
      <c r="H101" s="7"/>
      <c r="I101" s="7" t="s">
        <v>605</v>
      </c>
      <c r="J101" s="9">
        <v>0.4088</v>
      </c>
      <c r="K101" s="7">
        <v>75.7</v>
      </c>
      <c r="L101" s="7" t="s">
        <v>606</v>
      </c>
      <c r="M101" s="9">
        <v>0.39750000000000002</v>
      </c>
      <c r="N101" s="7" t="s">
        <v>607</v>
      </c>
      <c r="O101" s="9">
        <v>0.38519999999999999</v>
      </c>
      <c r="P101" s="7">
        <v>1</v>
      </c>
      <c r="Q101" s="7" t="s">
        <v>191</v>
      </c>
      <c r="R101" s="10"/>
      <c r="S101" s="10"/>
      <c r="T101" s="11"/>
      <c r="U101" s="8" t="s">
        <v>192</v>
      </c>
    </row>
    <row r="102" spans="1:21" ht="70" x14ac:dyDescent="0.35">
      <c r="A102" s="7" t="s">
        <v>21</v>
      </c>
      <c r="B102" s="7" t="s">
        <v>503</v>
      </c>
      <c r="C102" s="8" t="s">
        <v>608</v>
      </c>
      <c r="D102" s="8" t="s">
        <v>216</v>
      </c>
      <c r="E102" s="7" t="s">
        <v>186</v>
      </c>
      <c r="F102" s="7" t="s">
        <v>389</v>
      </c>
      <c r="G102" s="7" t="s">
        <v>273</v>
      </c>
      <c r="H102" s="7"/>
      <c r="I102" s="7" t="s">
        <v>609</v>
      </c>
      <c r="J102" s="9">
        <v>0.40550000000000003</v>
      </c>
      <c r="K102" s="7">
        <v>74.8</v>
      </c>
      <c r="L102" s="7" t="s">
        <v>610</v>
      </c>
      <c r="M102" s="9">
        <v>0.26879999999999998</v>
      </c>
      <c r="N102" s="7" t="s">
        <v>611</v>
      </c>
      <c r="O102" s="9">
        <v>0.24490000000000001</v>
      </c>
      <c r="P102" s="7">
        <v>1</v>
      </c>
      <c r="Q102" s="7" t="s">
        <v>217</v>
      </c>
      <c r="R102" s="10"/>
      <c r="S102" s="10"/>
      <c r="T102" s="11"/>
      <c r="U102" s="8" t="s">
        <v>218</v>
      </c>
    </row>
    <row r="103" spans="1:21" ht="84" x14ac:dyDescent="0.35">
      <c r="A103" s="7" t="s">
        <v>21</v>
      </c>
      <c r="B103" s="7" t="s">
        <v>503</v>
      </c>
      <c r="C103" s="8" t="s">
        <v>612</v>
      </c>
      <c r="D103" s="8"/>
      <c r="E103" s="7" t="s">
        <v>273</v>
      </c>
      <c r="F103" s="7" t="s">
        <v>613</v>
      </c>
      <c r="G103" s="7" t="s">
        <v>273</v>
      </c>
      <c r="H103" s="7"/>
      <c r="I103" s="7" t="s">
        <v>336</v>
      </c>
      <c r="J103" s="9">
        <v>0.40239999999999998</v>
      </c>
      <c r="K103" s="7">
        <v>74</v>
      </c>
      <c r="L103" s="7" t="s">
        <v>614</v>
      </c>
      <c r="M103" s="9">
        <v>0.38369999999999999</v>
      </c>
      <c r="N103" s="7" t="s">
        <v>615</v>
      </c>
      <c r="O103" s="9">
        <v>0.3805</v>
      </c>
      <c r="P103" s="7">
        <v>1</v>
      </c>
      <c r="Q103" s="7" t="s">
        <v>616</v>
      </c>
      <c r="R103" s="10"/>
      <c r="S103" s="10"/>
      <c r="T103" s="11"/>
      <c r="U103" s="8" t="s">
        <v>617</v>
      </c>
    </row>
    <row r="104" spans="1:21" ht="98" x14ac:dyDescent="0.35">
      <c r="A104" s="7" t="s">
        <v>21</v>
      </c>
      <c r="B104" s="7" t="s">
        <v>618</v>
      </c>
      <c r="C104" s="8" t="s">
        <v>619</v>
      </c>
      <c r="D104" s="8" t="s">
        <v>620</v>
      </c>
      <c r="E104" s="7" t="s">
        <v>273</v>
      </c>
      <c r="F104" s="7" t="s">
        <v>621</v>
      </c>
      <c r="G104" s="7"/>
      <c r="H104" s="7"/>
      <c r="I104" s="7"/>
      <c r="J104" s="9"/>
      <c r="K104" s="7"/>
      <c r="L104" s="7"/>
      <c r="M104" s="9"/>
      <c r="N104" s="7"/>
      <c r="O104" s="9"/>
      <c r="P104" s="7">
        <v>1</v>
      </c>
      <c r="Q104" s="7" t="s">
        <v>622</v>
      </c>
      <c r="R104" s="10"/>
      <c r="S104" s="10"/>
      <c r="T104" s="11"/>
      <c r="U104" s="8" t="s">
        <v>623</v>
      </c>
    </row>
    <row r="105" spans="1:21" ht="56" x14ac:dyDescent="0.35">
      <c r="A105" s="7" t="s">
        <v>21</v>
      </c>
      <c r="B105" s="7" t="s">
        <v>618</v>
      </c>
      <c r="C105" s="8" t="s">
        <v>624</v>
      </c>
      <c r="D105" s="8" t="s">
        <v>625</v>
      </c>
      <c r="E105" s="7" t="s">
        <v>273</v>
      </c>
      <c r="F105" s="7" t="s">
        <v>626</v>
      </c>
      <c r="G105" s="7"/>
      <c r="H105" s="7"/>
      <c r="I105" s="7"/>
      <c r="J105" s="9"/>
      <c r="K105" s="7"/>
      <c r="L105" s="7"/>
      <c r="M105" s="9"/>
      <c r="N105" s="7"/>
      <c r="O105" s="9"/>
      <c r="P105" s="7">
        <v>1</v>
      </c>
      <c r="Q105" s="7" t="s">
        <v>627</v>
      </c>
      <c r="R105" s="10"/>
      <c r="S105" s="10"/>
      <c r="T105" s="11"/>
      <c r="U105" s="8" t="s">
        <v>628</v>
      </c>
    </row>
    <row r="106" spans="1:21" ht="56" x14ac:dyDescent="0.35">
      <c r="A106" s="7" t="s">
        <v>21</v>
      </c>
      <c r="B106" s="7" t="s">
        <v>618</v>
      </c>
      <c r="C106" s="8" t="s">
        <v>629</v>
      </c>
      <c r="D106" s="8" t="s">
        <v>62</v>
      </c>
      <c r="E106" s="7" t="s">
        <v>22</v>
      </c>
      <c r="F106" s="7" t="s">
        <v>630</v>
      </c>
      <c r="G106" s="7"/>
      <c r="H106" s="7"/>
      <c r="I106" s="7"/>
      <c r="J106" s="9"/>
      <c r="K106" s="7"/>
      <c r="L106" s="7"/>
      <c r="M106" s="9"/>
      <c r="N106" s="7"/>
      <c r="O106" s="9"/>
      <c r="P106" s="7">
        <v>1</v>
      </c>
      <c r="Q106" s="7" t="s">
        <v>65</v>
      </c>
      <c r="R106" s="10"/>
      <c r="S106" s="10"/>
      <c r="T106" s="11"/>
      <c r="U106" s="8" t="s">
        <v>66</v>
      </c>
    </row>
    <row r="107" spans="1:21" ht="84" x14ac:dyDescent="0.35">
      <c r="A107" s="7" t="s">
        <v>21</v>
      </c>
      <c r="B107" s="7" t="s">
        <v>618</v>
      </c>
      <c r="C107" s="8" t="s">
        <v>631</v>
      </c>
      <c r="D107" s="8" t="s">
        <v>632</v>
      </c>
      <c r="E107" s="7" t="s">
        <v>633</v>
      </c>
      <c r="F107" s="7" t="s">
        <v>634</v>
      </c>
      <c r="G107" s="7"/>
      <c r="H107" s="7"/>
      <c r="I107" s="7"/>
      <c r="J107" s="9"/>
      <c r="K107" s="7"/>
      <c r="L107" s="7"/>
      <c r="M107" s="9"/>
      <c r="N107" s="7"/>
      <c r="O107" s="9"/>
      <c r="P107" s="7">
        <v>1</v>
      </c>
      <c r="Q107" s="7" t="s">
        <v>635</v>
      </c>
      <c r="R107" s="10"/>
      <c r="S107" s="10"/>
      <c r="T107" s="11"/>
      <c r="U107" s="8" t="s">
        <v>636</v>
      </c>
    </row>
    <row r="108" spans="1:21" ht="84" x14ac:dyDescent="0.35">
      <c r="A108" s="7" t="s">
        <v>21</v>
      </c>
      <c r="B108" s="7" t="s">
        <v>618</v>
      </c>
      <c r="C108" s="8" t="s">
        <v>637</v>
      </c>
      <c r="D108" s="8" t="s">
        <v>638</v>
      </c>
      <c r="E108" s="7" t="s">
        <v>633</v>
      </c>
      <c r="F108" s="7" t="s">
        <v>639</v>
      </c>
      <c r="G108" s="7"/>
      <c r="H108" s="7"/>
      <c r="I108" s="7"/>
      <c r="J108" s="9"/>
      <c r="K108" s="7"/>
      <c r="L108" s="7"/>
      <c r="M108" s="9"/>
      <c r="N108" s="7"/>
      <c r="O108" s="9"/>
      <c r="P108" s="7">
        <v>1</v>
      </c>
      <c r="Q108" s="7" t="s">
        <v>640</v>
      </c>
      <c r="R108" s="10"/>
      <c r="S108" s="10"/>
      <c r="T108" s="11"/>
      <c r="U108" s="8" t="s">
        <v>641</v>
      </c>
    </row>
    <row r="109" spans="1:21" ht="56" x14ac:dyDescent="0.35">
      <c r="A109" s="7" t="s">
        <v>21</v>
      </c>
      <c r="B109" s="7" t="s">
        <v>618</v>
      </c>
      <c r="C109" s="8" t="s">
        <v>642</v>
      </c>
      <c r="D109" s="8" t="s">
        <v>643</v>
      </c>
      <c r="E109" s="7" t="s">
        <v>644</v>
      </c>
      <c r="F109" s="7" t="s">
        <v>645</v>
      </c>
      <c r="G109" s="7"/>
      <c r="H109" s="7"/>
      <c r="I109" s="7"/>
      <c r="J109" s="9"/>
      <c r="K109" s="7"/>
      <c r="L109" s="7"/>
      <c r="M109" s="9"/>
      <c r="N109" s="7"/>
      <c r="O109" s="9"/>
      <c r="P109" s="7">
        <v>4</v>
      </c>
      <c r="Q109" s="7" t="s">
        <v>646</v>
      </c>
      <c r="R109" s="10"/>
      <c r="S109" s="10"/>
      <c r="T109" s="11"/>
      <c r="U109" s="8" t="s">
        <v>647</v>
      </c>
    </row>
    <row r="110" spans="1:21" ht="70" x14ac:dyDescent="0.35">
      <c r="A110" s="7" t="s">
        <v>21</v>
      </c>
      <c r="B110" s="7" t="s">
        <v>618</v>
      </c>
      <c r="C110" s="8" t="s">
        <v>648</v>
      </c>
      <c r="D110" s="8" t="s">
        <v>649</v>
      </c>
      <c r="E110" s="7" t="s">
        <v>633</v>
      </c>
      <c r="F110" s="7" t="s">
        <v>650</v>
      </c>
      <c r="G110" s="7"/>
      <c r="H110" s="7"/>
      <c r="I110" s="7"/>
      <c r="J110" s="9"/>
      <c r="K110" s="7"/>
      <c r="L110" s="7"/>
      <c r="M110" s="9"/>
      <c r="N110" s="7"/>
      <c r="O110" s="9"/>
      <c r="P110" s="7">
        <v>1</v>
      </c>
      <c r="Q110" s="7" t="s">
        <v>651</v>
      </c>
      <c r="R110" s="10"/>
      <c r="S110" s="10"/>
      <c r="T110" s="11"/>
      <c r="U110" s="8" t="s">
        <v>652</v>
      </c>
    </row>
    <row r="111" spans="1:21" ht="84" x14ac:dyDescent="0.35">
      <c r="A111" s="7" t="s">
        <v>21</v>
      </c>
      <c r="B111" s="7" t="s">
        <v>618</v>
      </c>
      <c r="C111" s="8" t="s">
        <v>653</v>
      </c>
      <c r="D111" s="8" t="s">
        <v>368</v>
      </c>
      <c r="E111" s="7" t="s">
        <v>273</v>
      </c>
      <c r="F111" s="7" t="s">
        <v>653</v>
      </c>
      <c r="G111" s="7"/>
      <c r="H111" s="7"/>
      <c r="I111" s="7"/>
      <c r="J111" s="9"/>
      <c r="K111" s="7"/>
      <c r="L111" s="7"/>
      <c r="M111" s="9"/>
      <c r="N111" s="7"/>
      <c r="O111" s="9"/>
      <c r="P111" s="7">
        <v>1</v>
      </c>
      <c r="Q111" s="7" t="s">
        <v>371</v>
      </c>
      <c r="R111" s="10"/>
      <c r="S111" s="10"/>
      <c r="T111" s="11"/>
      <c r="U111" s="8" t="s">
        <v>372</v>
      </c>
    </row>
    <row r="112" spans="1:21" ht="126" x14ac:dyDescent="0.35">
      <c r="A112" s="7" t="s">
        <v>21</v>
      </c>
      <c r="B112" s="7" t="s">
        <v>618</v>
      </c>
      <c r="C112" s="8" t="s">
        <v>654</v>
      </c>
      <c r="D112" s="8" t="s">
        <v>655</v>
      </c>
      <c r="E112" s="7" t="s">
        <v>633</v>
      </c>
      <c r="F112" s="7" t="s">
        <v>656</v>
      </c>
      <c r="G112" s="7"/>
      <c r="H112" s="7"/>
      <c r="I112" s="7"/>
      <c r="J112" s="9"/>
      <c r="K112" s="7"/>
      <c r="L112" s="7"/>
      <c r="M112" s="9"/>
      <c r="N112" s="7"/>
      <c r="O112" s="9"/>
      <c r="P112" s="7">
        <v>1</v>
      </c>
      <c r="Q112" s="7" t="s">
        <v>657</v>
      </c>
      <c r="R112" s="10"/>
      <c r="S112" s="10"/>
      <c r="T112" s="11"/>
      <c r="U112" s="8" t="s">
        <v>658</v>
      </c>
    </row>
    <row r="113" spans="1:21" ht="56" x14ac:dyDescent="0.35">
      <c r="A113" s="7" t="s">
        <v>21</v>
      </c>
      <c r="B113" s="7" t="s">
        <v>618</v>
      </c>
      <c r="C113" s="8" t="s">
        <v>659</v>
      </c>
      <c r="D113" s="8" t="s">
        <v>660</v>
      </c>
      <c r="E113" s="7" t="s">
        <v>273</v>
      </c>
      <c r="F113" s="7" t="s">
        <v>659</v>
      </c>
      <c r="G113" s="7"/>
      <c r="H113" s="7"/>
      <c r="I113" s="7"/>
      <c r="J113" s="9"/>
      <c r="K113" s="7"/>
      <c r="L113" s="7"/>
      <c r="M113" s="9"/>
      <c r="N113" s="7"/>
      <c r="O113" s="9"/>
      <c r="P113" s="7">
        <v>1</v>
      </c>
      <c r="Q113" s="7" t="s">
        <v>661</v>
      </c>
      <c r="R113" s="10"/>
      <c r="S113" s="10"/>
      <c r="T113" s="11"/>
      <c r="U113" s="8" t="s">
        <v>662</v>
      </c>
    </row>
    <row r="114" spans="1:21" ht="126" x14ac:dyDescent="0.35">
      <c r="A114" s="7" t="s">
        <v>21</v>
      </c>
      <c r="B114" s="7" t="s">
        <v>618</v>
      </c>
      <c r="C114" s="8" t="s">
        <v>663</v>
      </c>
      <c r="D114" s="8" t="s">
        <v>664</v>
      </c>
      <c r="E114" s="7" t="s">
        <v>633</v>
      </c>
      <c r="F114" s="7" t="s">
        <v>665</v>
      </c>
      <c r="G114" s="7"/>
      <c r="H114" s="7"/>
      <c r="I114" s="7"/>
      <c r="J114" s="9"/>
      <c r="K114" s="7"/>
      <c r="L114" s="7"/>
      <c r="M114" s="9"/>
      <c r="N114" s="7"/>
      <c r="O114" s="9"/>
      <c r="P114" s="7">
        <v>1</v>
      </c>
      <c r="Q114" s="7" t="s">
        <v>666</v>
      </c>
      <c r="R114" s="10"/>
      <c r="S114" s="10"/>
      <c r="T114" s="11"/>
      <c r="U114" s="8" t="s">
        <v>667</v>
      </c>
    </row>
    <row r="115" spans="1:21" ht="56" x14ac:dyDescent="0.35">
      <c r="A115" s="7" t="s">
        <v>21</v>
      </c>
      <c r="B115" s="7" t="s">
        <v>618</v>
      </c>
      <c r="C115" s="8" t="s">
        <v>668</v>
      </c>
      <c r="D115" s="8" t="s">
        <v>669</v>
      </c>
      <c r="E115" s="7" t="s">
        <v>633</v>
      </c>
      <c r="F115" s="7" t="s">
        <v>670</v>
      </c>
      <c r="G115" s="7"/>
      <c r="H115" s="7"/>
      <c r="I115" s="7"/>
      <c r="J115" s="9"/>
      <c r="K115" s="7"/>
      <c r="L115" s="7"/>
      <c r="M115" s="9"/>
      <c r="N115" s="7"/>
      <c r="O115" s="9"/>
      <c r="P115" s="7">
        <v>1</v>
      </c>
      <c r="Q115" s="7" t="s">
        <v>671</v>
      </c>
      <c r="R115" s="10"/>
      <c r="S115" s="10"/>
      <c r="T115" s="11"/>
      <c r="U115" s="8" t="s">
        <v>672</v>
      </c>
    </row>
    <row r="116" spans="1:21" ht="56" x14ac:dyDescent="0.35">
      <c r="A116" s="7" t="s">
        <v>21</v>
      </c>
      <c r="B116" s="7" t="s">
        <v>618</v>
      </c>
      <c r="C116" s="8" t="s">
        <v>673</v>
      </c>
      <c r="D116" s="8" t="s">
        <v>674</v>
      </c>
      <c r="E116" s="7" t="s">
        <v>675</v>
      </c>
      <c r="F116" s="7" t="s">
        <v>533</v>
      </c>
      <c r="G116" s="7"/>
      <c r="H116" s="7"/>
      <c r="I116" s="7"/>
      <c r="J116" s="9"/>
      <c r="K116" s="7"/>
      <c r="L116" s="7"/>
      <c r="M116" s="9"/>
      <c r="N116" s="7"/>
      <c r="O116" s="9"/>
      <c r="P116" s="7">
        <v>8</v>
      </c>
      <c r="Q116" s="7" t="s">
        <v>676</v>
      </c>
      <c r="R116" s="10"/>
      <c r="S116" s="10"/>
      <c r="T116" s="11"/>
      <c r="U116" s="8" t="s">
        <v>677</v>
      </c>
    </row>
    <row r="117" spans="1:21" ht="126" x14ac:dyDescent="0.35">
      <c r="A117" s="7" t="s">
        <v>21</v>
      </c>
      <c r="B117" s="7" t="s">
        <v>618</v>
      </c>
      <c r="C117" s="8" t="s">
        <v>678</v>
      </c>
      <c r="D117" s="8" t="s">
        <v>679</v>
      </c>
      <c r="E117" s="7" t="s">
        <v>633</v>
      </c>
      <c r="F117" s="7" t="s">
        <v>680</v>
      </c>
      <c r="G117" s="7"/>
      <c r="H117" s="7"/>
      <c r="I117" s="7"/>
      <c r="J117" s="9"/>
      <c r="K117" s="7"/>
      <c r="L117" s="7"/>
      <c r="M117" s="9"/>
      <c r="N117" s="7"/>
      <c r="O117" s="9"/>
      <c r="P117" s="7">
        <v>1</v>
      </c>
      <c r="Q117" s="7" t="s">
        <v>681</v>
      </c>
      <c r="R117" s="10"/>
      <c r="S117" s="10"/>
      <c r="T117" s="11"/>
      <c r="U117" s="8" t="s">
        <v>682</v>
      </c>
    </row>
    <row r="118" spans="1:21" ht="70" x14ac:dyDescent="0.35">
      <c r="A118" s="7" t="s">
        <v>21</v>
      </c>
      <c r="B118" s="7" t="s">
        <v>618</v>
      </c>
      <c r="C118" s="8" t="s">
        <v>683</v>
      </c>
      <c r="D118" s="8" t="s">
        <v>684</v>
      </c>
      <c r="E118" s="7" t="s">
        <v>22</v>
      </c>
      <c r="F118" s="7" t="s">
        <v>639</v>
      </c>
      <c r="G118" s="7"/>
      <c r="H118" s="7"/>
      <c r="I118" s="7"/>
      <c r="J118" s="9"/>
      <c r="K118" s="7"/>
      <c r="L118" s="7"/>
      <c r="M118" s="9"/>
      <c r="N118" s="7"/>
      <c r="O118" s="9"/>
      <c r="P118" s="7">
        <v>1</v>
      </c>
      <c r="Q118" s="7" t="s">
        <v>685</v>
      </c>
      <c r="R118" s="10"/>
      <c r="S118" s="10"/>
      <c r="T118" s="11"/>
      <c r="U118" s="8" t="s">
        <v>686</v>
      </c>
    </row>
    <row r="119" spans="1:21" ht="154" x14ac:dyDescent="0.35">
      <c r="A119" s="7" t="s">
        <v>21</v>
      </c>
      <c r="B119" s="7" t="s">
        <v>618</v>
      </c>
      <c r="C119" s="8" t="s">
        <v>687</v>
      </c>
      <c r="D119" s="8" t="s">
        <v>688</v>
      </c>
      <c r="E119" s="7" t="s">
        <v>273</v>
      </c>
      <c r="F119" s="7" t="s">
        <v>689</v>
      </c>
      <c r="G119" s="7"/>
      <c r="H119" s="7"/>
      <c r="I119" s="7"/>
      <c r="J119" s="9"/>
      <c r="K119" s="7"/>
      <c r="L119" s="7"/>
      <c r="M119" s="9"/>
      <c r="N119" s="7"/>
      <c r="O119" s="9"/>
      <c r="P119" s="7">
        <v>1</v>
      </c>
      <c r="Q119" s="7" t="s">
        <v>690</v>
      </c>
      <c r="R119" s="10"/>
      <c r="S119" s="10"/>
      <c r="T119" s="11"/>
      <c r="U119" s="8" t="s">
        <v>691</v>
      </c>
    </row>
    <row r="120" spans="1:21" ht="98" x14ac:dyDescent="0.35">
      <c r="A120" s="7" t="s">
        <v>21</v>
      </c>
      <c r="B120" s="7" t="s">
        <v>618</v>
      </c>
      <c r="C120" s="8" t="s">
        <v>692</v>
      </c>
      <c r="D120" s="8" t="s">
        <v>693</v>
      </c>
      <c r="E120" s="7" t="s">
        <v>273</v>
      </c>
      <c r="F120" s="7" t="s">
        <v>694</v>
      </c>
      <c r="G120" s="7"/>
      <c r="H120" s="7"/>
      <c r="I120" s="7"/>
      <c r="J120" s="9"/>
      <c r="K120" s="7"/>
      <c r="L120" s="7"/>
      <c r="M120" s="9"/>
      <c r="N120" s="7"/>
      <c r="O120" s="9"/>
      <c r="P120" s="7">
        <v>1</v>
      </c>
      <c r="Q120" s="7" t="s">
        <v>695</v>
      </c>
      <c r="R120" s="10"/>
      <c r="S120" s="10"/>
      <c r="T120" s="11"/>
      <c r="U120" s="8" t="s">
        <v>696</v>
      </c>
    </row>
    <row r="121" spans="1:21" ht="56" x14ac:dyDescent="0.35">
      <c r="A121" s="7" t="s">
        <v>21</v>
      </c>
      <c r="B121" s="7" t="s">
        <v>697</v>
      </c>
      <c r="C121" s="8"/>
      <c r="D121" s="8"/>
      <c r="E121" s="7" t="s">
        <v>698</v>
      </c>
      <c r="F121" s="7"/>
      <c r="G121" s="7"/>
      <c r="H121" s="7"/>
      <c r="I121" s="7"/>
      <c r="J121" s="9"/>
      <c r="K121" s="7"/>
      <c r="L121" s="7"/>
      <c r="M121" s="9"/>
      <c r="N121" s="7"/>
      <c r="O121" s="9"/>
      <c r="P121" s="7">
        <v>1</v>
      </c>
      <c r="Q121" s="7" t="s">
        <v>699</v>
      </c>
      <c r="R121" s="10"/>
      <c r="S121" s="10"/>
      <c r="T121" s="11"/>
      <c r="U121" s="8" t="s">
        <v>700</v>
      </c>
    </row>
    <row r="122" spans="1:21" ht="56" x14ac:dyDescent="0.35">
      <c r="A122" s="7" t="s">
        <v>21</v>
      </c>
      <c r="B122" s="7" t="s">
        <v>697</v>
      </c>
      <c r="C122" s="8"/>
      <c r="D122" s="8"/>
      <c r="E122" s="7" t="s">
        <v>698</v>
      </c>
      <c r="F122" s="7"/>
      <c r="G122" s="7"/>
      <c r="H122" s="7"/>
      <c r="I122" s="7"/>
      <c r="J122" s="9"/>
      <c r="K122" s="7"/>
      <c r="L122" s="7"/>
      <c r="M122" s="9"/>
      <c r="N122" s="7"/>
      <c r="O122" s="9"/>
      <c r="P122" s="7">
        <v>1</v>
      </c>
      <c r="Q122" s="7" t="s">
        <v>701</v>
      </c>
      <c r="R122" s="10"/>
      <c r="S122" s="10"/>
      <c r="T122" s="11"/>
      <c r="U122" s="8" t="s">
        <v>702</v>
      </c>
    </row>
    <row r="123" spans="1:21" ht="70" x14ac:dyDescent="0.35">
      <c r="A123" s="7" t="s">
        <v>21</v>
      </c>
      <c r="B123" s="7" t="s">
        <v>697</v>
      </c>
      <c r="C123" s="8"/>
      <c r="D123" s="8"/>
      <c r="E123" s="7" t="s">
        <v>698</v>
      </c>
      <c r="F123" s="7"/>
      <c r="G123" s="7"/>
      <c r="H123" s="7"/>
      <c r="I123" s="7"/>
      <c r="J123" s="9"/>
      <c r="K123" s="7"/>
      <c r="L123" s="7"/>
      <c r="M123" s="9"/>
      <c r="N123" s="7"/>
      <c r="O123" s="9"/>
      <c r="P123" s="7">
        <v>1</v>
      </c>
      <c r="Q123" s="7" t="s">
        <v>703</v>
      </c>
      <c r="R123" s="10"/>
      <c r="S123" s="10"/>
      <c r="T123" s="11"/>
      <c r="U123" s="8" t="s">
        <v>704</v>
      </c>
    </row>
    <row r="124" spans="1:21" ht="70" x14ac:dyDescent="0.35">
      <c r="A124" s="7" t="s">
        <v>21</v>
      </c>
      <c r="B124" s="7" t="s">
        <v>697</v>
      </c>
      <c r="C124" s="8"/>
      <c r="D124" s="8"/>
      <c r="E124" s="7" t="s">
        <v>698</v>
      </c>
      <c r="F124" s="7"/>
      <c r="G124" s="7"/>
      <c r="H124" s="7"/>
      <c r="I124" s="7"/>
      <c r="J124" s="9"/>
      <c r="K124" s="7"/>
      <c r="L124" s="7"/>
      <c r="M124" s="9"/>
      <c r="N124" s="7"/>
      <c r="O124" s="9"/>
      <c r="P124" s="7">
        <v>1</v>
      </c>
      <c r="Q124" s="7" t="s">
        <v>705</v>
      </c>
      <c r="R124" s="10"/>
      <c r="S124" s="10"/>
      <c r="T124" s="11"/>
      <c r="U124" s="8" t="s">
        <v>706</v>
      </c>
    </row>
    <row r="125" spans="1:21" ht="84" x14ac:dyDescent="0.35">
      <c r="A125" s="7" t="s">
        <v>21</v>
      </c>
      <c r="B125" s="7" t="s">
        <v>697</v>
      </c>
      <c r="C125" s="8"/>
      <c r="D125" s="8"/>
      <c r="E125" s="7" t="s">
        <v>698</v>
      </c>
      <c r="F125" s="7"/>
      <c r="G125" s="7"/>
      <c r="H125" s="7"/>
      <c r="I125" s="7"/>
      <c r="J125" s="9"/>
      <c r="K125" s="7"/>
      <c r="L125" s="7"/>
      <c r="M125" s="9"/>
      <c r="N125" s="7"/>
      <c r="O125" s="9"/>
      <c r="P125" s="7">
        <v>1</v>
      </c>
      <c r="Q125" s="7" t="s">
        <v>707</v>
      </c>
      <c r="R125" s="10"/>
      <c r="S125" s="10"/>
      <c r="T125" s="11"/>
      <c r="U125" s="8" t="s">
        <v>708</v>
      </c>
    </row>
    <row r="126" spans="1:21" ht="42" x14ac:dyDescent="0.35">
      <c r="A126" s="7" t="s">
        <v>21</v>
      </c>
      <c r="B126" s="7" t="s">
        <v>709</v>
      </c>
      <c r="C126" s="8" t="s">
        <v>710</v>
      </c>
      <c r="D126" s="8"/>
      <c r="E126" s="7" t="s">
        <v>633</v>
      </c>
      <c r="F126" s="7"/>
      <c r="G126" s="7"/>
      <c r="H126" s="7"/>
      <c r="I126" s="7"/>
      <c r="J126" s="9"/>
      <c r="K126" s="7"/>
      <c r="L126" s="7"/>
      <c r="M126" s="9"/>
      <c r="N126" s="7"/>
      <c r="O126" s="9"/>
      <c r="P126" s="7">
        <v>1</v>
      </c>
      <c r="Q126" s="7" t="s">
        <v>711</v>
      </c>
      <c r="R126" s="10"/>
      <c r="S126" s="10"/>
      <c r="T126" s="11"/>
      <c r="U126" s="8" t="s">
        <v>712</v>
      </c>
    </row>
    <row r="127" spans="1:21" ht="70" x14ac:dyDescent="0.35">
      <c r="A127" s="7" t="s">
        <v>21</v>
      </c>
      <c r="B127" s="7" t="s">
        <v>709</v>
      </c>
      <c r="C127" s="8" t="s">
        <v>713</v>
      </c>
      <c r="D127" s="8"/>
      <c r="E127" s="7" t="s">
        <v>633</v>
      </c>
      <c r="F127" s="7"/>
      <c r="G127" s="7"/>
      <c r="H127" s="7"/>
      <c r="I127" s="7"/>
      <c r="J127" s="9"/>
      <c r="K127" s="7"/>
      <c r="L127" s="7"/>
      <c r="M127" s="9"/>
      <c r="N127" s="7"/>
      <c r="O127" s="9"/>
      <c r="P127" s="7">
        <v>1</v>
      </c>
      <c r="Q127" s="7" t="s">
        <v>714</v>
      </c>
      <c r="R127" s="10"/>
      <c r="S127" s="10"/>
      <c r="T127" s="11"/>
      <c r="U127" s="8" t="s">
        <v>715</v>
      </c>
    </row>
    <row r="128" spans="1:21" ht="84" x14ac:dyDescent="0.35">
      <c r="A128" s="7" t="s">
        <v>21</v>
      </c>
      <c r="B128" s="7" t="s">
        <v>709</v>
      </c>
      <c r="C128" s="8" t="s">
        <v>716</v>
      </c>
      <c r="D128" s="8"/>
      <c r="E128" s="7" t="s">
        <v>633</v>
      </c>
      <c r="F128" s="7"/>
      <c r="G128" s="7"/>
      <c r="H128" s="7"/>
      <c r="I128" s="7"/>
      <c r="J128" s="9"/>
      <c r="K128" s="7"/>
      <c r="L128" s="7"/>
      <c r="M128" s="9"/>
      <c r="N128" s="7"/>
      <c r="O128" s="9"/>
      <c r="P128" s="7">
        <v>1</v>
      </c>
      <c r="Q128" s="7" t="s">
        <v>717</v>
      </c>
      <c r="R128" s="10"/>
      <c r="S128" s="10"/>
      <c r="T128" s="11"/>
      <c r="U128" s="8" t="s">
        <v>718</v>
      </c>
    </row>
    <row r="129" spans="1:21" ht="42" x14ac:dyDescent="0.35">
      <c r="A129" s="7" t="s">
        <v>21</v>
      </c>
      <c r="B129" s="7" t="s">
        <v>709</v>
      </c>
      <c r="C129" s="8" t="s">
        <v>719</v>
      </c>
      <c r="D129" s="8"/>
      <c r="E129" s="7" t="s">
        <v>633</v>
      </c>
      <c r="F129" s="7"/>
      <c r="G129" s="7"/>
      <c r="H129" s="7"/>
      <c r="I129" s="7"/>
      <c r="J129" s="9"/>
      <c r="K129" s="7"/>
      <c r="L129" s="7"/>
      <c r="M129" s="9"/>
      <c r="N129" s="7"/>
      <c r="O129" s="9"/>
      <c r="P129" s="7">
        <v>1</v>
      </c>
      <c r="Q129" s="7" t="s">
        <v>720</v>
      </c>
      <c r="R129" s="10"/>
      <c r="S129" s="10"/>
      <c r="T129" s="11"/>
      <c r="U129" s="8" t="s">
        <v>721</v>
      </c>
    </row>
    <row r="130" spans="1:21" ht="84" x14ac:dyDescent="0.35">
      <c r="A130" s="7" t="s">
        <v>21</v>
      </c>
      <c r="B130" s="7" t="s">
        <v>709</v>
      </c>
      <c r="C130" s="8" t="s">
        <v>722</v>
      </c>
      <c r="D130" s="8"/>
      <c r="E130" s="7" t="s">
        <v>633</v>
      </c>
      <c r="F130" s="7"/>
      <c r="G130" s="7"/>
      <c r="H130" s="7"/>
      <c r="I130" s="7"/>
      <c r="J130" s="9"/>
      <c r="K130" s="7"/>
      <c r="L130" s="7"/>
      <c r="M130" s="9"/>
      <c r="N130" s="7"/>
      <c r="O130" s="9"/>
      <c r="P130" s="7">
        <v>1</v>
      </c>
      <c r="Q130" s="7" t="s">
        <v>723</v>
      </c>
      <c r="R130" s="10"/>
      <c r="S130" s="10"/>
      <c r="T130" s="11"/>
      <c r="U130" s="8" t="s">
        <v>724</v>
      </c>
    </row>
  </sheetData>
  <autoFilter ref="A1:T130" xr:uid="{00000000-0009-0000-0000-000001000000}"/>
  <dataValidations count="1">
    <dataValidation type="list" allowBlank="1" showErrorMessage="1" errorTitle="Judgement" error="Choose: correct, partial, wrong, unclear" sqref="R2:R130" xr:uid="{00000000-0002-0000-0100-000000000000}">
      <formula1>"correct,partial,wrong,unclear"</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5"/>
  <sheetViews>
    <sheetView workbookViewId="0"/>
  </sheetViews>
  <sheetFormatPr defaultRowHeight="14.5" x14ac:dyDescent="0.35"/>
  <cols>
    <col min="1" max="1" width="22" customWidth="1"/>
    <col min="2" max="2" width="9" customWidth="1"/>
    <col min="3" max="3" width="10" customWidth="1"/>
    <col min="4" max="8" width="8" customWidth="1"/>
    <col min="9" max="9" width="17" customWidth="1"/>
    <col min="10" max="10" width="18" customWidth="1"/>
  </cols>
  <sheetData>
    <row r="1" spans="1:10" x14ac:dyDescent="0.35">
      <c r="A1" s="4" t="s">
        <v>1</v>
      </c>
      <c r="B1" s="4" t="s">
        <v>752</v>
      </c>
      <c r="C1" s="4" t="s">
        <v>753</v>
      </c>
      <c r="D1" s="4" t="s">
        <v>754</v>
      </c>
      <c r="E1" s="4" t="s">
        <v>755</v>
      </c>
      <c r="F1" s="4" t="s">
        <v>749</v>
      </c>
      <c r="G1" s="4" t="s">
        <v>756</v>
      </c>
      <c r="H1" s="4" t="s">
        <v>757</v>
      </c>
      <c r="I1" s="4" t="s">
        <v>758</v>
      </c>
      <c r="J1" s="4" t="s">
        <v>759</v>
      </c>
    </row>
    <row r="2" spans="1:10" x14ac:dyDescent="0.35">
      <c r="A2" s="5" t="s">
        <v>22</v>
      </c>
      <c r="B2" s="5">
        <v>51</v>
      </c>
      <c r="C2" s="5">
        <f>COUNTIFS(Validate!$B$2:$B$130,A2,Validate!$A$2:$A$130,"yes")</f>
        <v>17</v>
      </c>
      <c r="D2" s="5">
        <f>COUNTIFS(Validate!$B$2:$B$130,A2,Validate!$R$2:$R$130,"&lt;&gt;")</f>
        <v>0</v>
      </c>
      <c r="E2" s="5">
        <f>COUNTIFS(Validate!$B$2:$B$130,A2,Validate!$R$2:$R$130,"correct")</f>
        <v>0</v>
      </c>
      <c r="F2" s="5">
        <f>COUNTIFS(Validate!$B$2:$B$130,A2,Validate!$R$2:$R$130,"partial")</f>
        <v>0</v>
      </c>
      <c r="G2" s="5">
        <f>COUNTIFS(Validate!$B$2:$B$130,A2,Validate!$R$2:$R$130,"wrong")</f>
        <v>0</v>
      </c>
      <c r="H2" s="5">
        <f>COUNTIFS(Validate!$B$2:$B$130,A2,Validate!$R$2:$R$130,"unclear")</f>
        <v>0</v>
      </c>
      <c r="I2" s="12" t="str">
        <f t="shared" ref="I2:I11" si="0">IFERROR(E2/(D2-H2),"")</f>
        <v/>
      </c>
      <c r="J2" s="12" t="str">
        <f t="shared" ref="J2:J11" si="1">IFERROR((E2+F2)/(D2-H2),"")</f>
        <v/>
      </c>
    </row>
    <row r="3" spans="1:10" x14ac:dyDescent="0.35">
      <c r="A3" s="5" t="s">
        <v>5</v>
      </c>
      <c r="B3" s="5">
        <v>139</v>
      </c>
      <c r="C3" s="5">
        <f>COUNTIFS(Validate!$B$2:$B$130,A3,Validate!$A$2:$A$130,"yes")</f>
        <v>17</v>
      </c>
      <c r="D3" s="5">
        <f>COUNTIFS(Validate!$B$2:$B$130,A3,Validate!$R$2:$R$130,"&lt;&gt;")</f>
        <v>0</v>
      </c>
      <c r="E3" s="5">
        <f>COUNTIFS(Validate!$B$2:$B$130,A3,Validate!$R$2:$R$130,"correct")</f>
        <v>0</v>
      </c>
      <c r="F3" s="5">
        <f>COUNTIFS(Validate!$B$2:$B$130,A3,Validate!$R$2:$R$130,"partial")</f>
        <v>0</v>
      </c>
      <c r="G3" s="5">
        <f>COUNTIFS(Validate!$B$2:$B$130,A3,Validate!$R$2:$R$130,"wrong")</f>
        <v>0</v>
      </c>
      <c r="H3" s="5">
        <f>COUNTIFS(Validate!$B$2:$B$130,A3,Validate!$R$2:$R$130,"unclear")</f>
        <v>0</v>
      </c>
      <c r="I3" s="12" t="str">
        <f t="shared" si="0"/>
        <v/>
      </c>
      <c r="J3" s="12" t="str">
        <f t="shared" si="1"/>
        <v/>
      </c>
    </row>
    <row r="4" spans="1:10" x14ac:dyDescent="0.35">
      <c r="A4" s="5" t="s">
        <v>186</v>
      </c>
      <c r="B4" s="5">
        <v>39</v>
      </c>
      <c r="C4" s="5">
        <f>COUNTIFS(Validate!$B$2:$B$130,A4,Validate!$A$2:$A$130,"yes")</f>
        <v>17</v>
      </c>
      <c r="D4" s="5">
        <f>COUNTIFS(Validate!$B$2:$B$130,A4,Validate!$R$2:$R$130,"&lt;&gt;")</f>
        <v>0</v>
      </c>
      <c r="E4" s="5">
        <f>COUNTIFS(Validate!$B$2:$B$130,A4,Validate!$R$2:$R$130,"correct")</f>
        <v>0</v>
      </c>
      <c r="F4" s="5">
        <f>COUNTIFS(Validate!$B$2:$B$130,A4,Validate!$R$2:$R$130,"partial")</f>
        <v>0</v>
      </c>
      <c r="G4" s="5">
        <f>COUNTIFS(Validate!$B$2:$B$130,A4,Validate!$R$2:$R$130,"wrong")</f>
        <v>0</v>
      </c>
      <c r="H4" s="5">
        <f>COUNTIFS(Validate!$B$2:$B$130,A4,Validate!$R$2:$R$130,"unclear")</f>
        <v>0</v>
      </c>
      <c r="I4" s="12" t="str">
        <f t="shared" si="0"/>
        <v/>
      </c>
      <c r="J4" s="12" t="str">
        <f t="shared" si="1"/>
        <v/>
      </c>
    </row>
    <row r="5" spans="1:10" x14ac:dyDescent="0.35">
      <c r="A5" s="5" t="s">
        <v>270</v>
      </c>
      <c r="B5" s="5">
        <v>193</v>
      </c>
      <c r="C5" s="5">
        <f>COUNTIFS(Validate!$B$2:$B$130,A5,Validate!$A$2:$A$130,"yes")</f>
        <v>17</v>
      </c>
      <c r="D5" s="5">
        <f>COUNTIFS(Validate!$B$2:$B$130,A5,Validate!$R$2:$R$130,"&lt;&gt;")</f>
        <v>0</v>
      </c>
      <c r="E5" s="5">
        <f>COUNTIFS(Validate!$B$2:$B$130,A5,Validate!$R$2:$R$130,"correct")</f>
        <v>0</v>
      </c>
      <c r="F5" s="5">
        <f>COUNTIFS(Validate!$B$2:$B$130,A5,Validate!$R$2:$R$130,"partial")</f>
        <v>0</v>
      </c>
      <c r="G5" s="5">
        <f>COUNTIFS(Validate!$B$2:$B$130,A5,Validate!$R$2:$R$130,"wrong")</f>
        <v>0</v>
      </c>
      <c r="H5" s="5">
        <f>COUNTIFS(Validate!$B$2:$B$130,A5,Validate!$R$2:$R$130,"unclear")</f>
        <v>0</v>
      </c>
      <c r="I5" s="12" t="str">
        <f t="shared" si="0"/>
        <v/>
      </c>
      <c r="J5" s="12" t="str">
        <f t="shared" si="1"/>
        <v/>
      </c>
    </row>
    <row r="6" spans="1:10" x14ac:dyDescent="0.35">
      <c r="A6" s="5" t="s">
        <v>388</v>
      </c>
      <c r="B6" s="5">
        <v>184</v>
      </c>
      <c r="C6" s="5">
        <f>COUNTIFS(Validate!$B$2:$B$130,A6,Validate!$A$2:$A$130,"yes")</f>
        <v>17</v>
      </c>
      <c r="D6" s="5">
        <f>COUNTIFS(Validate!$B$2:$B$130,A6,Validate!$R$2:$R$130,"&lt;&gt;")</f>
        <v>0</v>
      </c>
      <c r="E6" s="5">
        <f>COUNTIFS(Validate!$B$2:$B$130,A6,Validate!$R$2:$R$130,"correct")</f>
        <v>0</v>
      </c>
      <c r="F6" s="5">
        <f>COUNTIFS(Validate!$B$2:$B$130,A6,Validate!$R$2:$R$130,"partial")</f>
        <v>0</v>
      </c>
      <c r="G6" s="5">
        <f>COUNTIFS(Validate!$B$2:$B$130,A6,Validate!$R$2:$R$130,"wrong")</f>
        <v>0</v>
      </c>
      <c r="H6" s="5">
        <f>COUNTIFS(Validate!$B$2:$B$130,A6,Validate!$R$2:$R$130,"unclear")</f>
        <v>0</v>
      </c>
      <c r="I6" s="12" t="str">
        <f t="shared" si="0"/>
        <v/>
      </c>
      <c r="J6" s="12" t="str">
        <f t="shared" si="1"/>
        <v/>
      </c>
    </row>
    <row r="7" spans="1:10" x14ac:dyDescent="0.35">
      <c r="A7" s="5" t="s">
        <v>503</v>
      </c>
      <c r="B7" s="5">
        <v>126</v>
      </c>
      <c r="C7" s="5">
        <f>COUNTIFS(Validate!$B$2:$B$130,A7,Validate!$A$2:$A$130,"yes")</f>
        <v>17</v>
      </c>
      <c r="D7" s="5">
        <f>COUNTIFS(Validate!$B$2:$B$130,A7,Validate!$R$2:$R$130,"&lt;&gt;")</f>
        <v>0</v>
      </c>
      <c r="E7" s="5">
        <f>COUNTIFS(Validate!$B$2:$B$130,A7,Validate!$R$2:$R$130,"correct")</f>
        <v>0</v>
      </c>
      <c r="F7" s="5">
        <f>COUNTIFS(Validate!$B$2:$B$130,A7,Validate!$R$2:$R$130,"partial")</f>
        <v>0</v>
      </c>
      <c r="G7" s="5">
        <f>COUNTIFS(Validate!$B$2:$B$130,A7,Validate!$R$2:$R$130,"wrong")</f>
        <v>0</v>
      </c>
      <c r="H7" s="5">
        <f>COUNTIFS(Validate!$B$2:$B$130,A7,Validate!$R$2:$R$130,"unclear")</f>
        <v>0</v>
      </c>
      <c r="I7" s="12" t="str">
        <f t="shared" si="0"/>
        <v/>
      </c>
      <c r="J7" s="12" t="str">
        <f t="shared" si="1"/>
        <v/>
      </c>
    </row>
    <row r="8" spans="1:10" x14ac:dyDescent="0.35">
      <c r="A8" s="5" t="s">
        <v>618</v>
      </c>
      <c r="B8" s="5">
        <v>142</v>
      </c>
      <c r="C8" s="5">
        <f>COUNTIFS(Validate!$B$2:$B$130,A8,Validate!$A$2:$A$130,"yes")</f>
        <v>17</v>
      </c>
      <c r="D8" s="5">
        <f>COUNTIFS(Validate!$B$2:$B$130,A8,Validate!$R$2:$R$130,"&lt;&gt;")</f>
        <v>0</v>
      </c>
      <c r="E8" s="5">
        <f>COUNTIFS(Validate!$B$2:$B$130,A8,Validate!$R$2:$R$130,"correct")</f>
        <v>0</v>
      </c>
      <c r="F8" s="5">
        <f>COUNTIFS(Validate!$B$2:$B$130,A8,Validate!$R$2:$R$130,"partial")</f>
        <v>0</v>
      </c>
      <c r="G8" s="5">
        <f>COUNTIFS(Validate!$B$2:$B$130,A8,Validate!$R$2:$R$130,"wrong")</f>
        <v>0</v>
      </c>
      <c r="H8" s="5">
        <f>COUNTIFS(Validate!$B$2:$B$130,A8,Validate!$R$2:$R$130,"unclear")</f>
        <v>0</v>
      </c>
      <c r="I8" s="12" t="str">
        <f t="shared" si="0"/>
        <v/>
      </c>
      <c r="J8" s="12" t="str">
        <f t="shared" si="1"/>
        <v/>
      </c>
    </row>
    <row r="9" spans="1:10" x14ac:dyDescent="0.35">
      <c r="A9" s="5" t="s">
        <v>697</v>
      </c>
      <c r="B9" s="5">
        <v>144</v>
      </c>
      <c r="C9" s="5">
        <f>COUNTIFS(Validate!$B$2:$B$130,A9,Validate!$A$2:$A$130,"yes")</f>
        <v>5</v>
      </c>
      <c r="D9" s="5">
        <f>COUNTIFS(Validate!$B$2:$B$130,A9,Validate!$R$2:$R$130,"&lt;&gt;")</f>
        <v>0</v>
      </c>
      <c r="E9" s="5">
        <f>COUNTIFS(Validate!$B$2:$B$130,A9,Validate!$R$2:$R$130,"correct")</f>
        <v>0</v>
      </c>
      <c r="F9" s="5">
        <f>COUNTIFS(Validate!$B$2:$B$130,A9,Validate!$R$2:$R$130,"partial")</f>
        <v>0</v>
      </c>
      <c r="G9" s="5">
        <f>COUNTIFS(Validate!$B$2:$B$130,A9,Validate!$R$2:$R$130,"wrong")</f>
        <v>0</v>
      </c>
      <c r="H9" s="5">
        <f>COUNTIFS(Validate!$B$2:$B$130,A9,Validate!$R$2:$R$130,"unclear")</f>
        <v>0</v>
      </c>
      <c r="I9" s="12" t="str">
        <f t="shared" si="0"/>
        <v/>
      </c>
      <c r="J9" s="12" t="str">
        <f t="shared" si="1"/>
        <v/>
      </c>
    </row>
    <row r="10" spans="1:10" x14ac:dyDescent="0.35">
      <c r="A10" s="5" t="s">
        <v>709</v>
      </c>
      <c r="B10" s="5">
        <v>63</v>
      </c>
      <c r="C10" s="5">
        <f>COUNTIFS(Validate!$B$2:$B$130,A10,Validate!$A$2:$A$130,"yes")</f>
        <v>5</v>
      </c>
      <c r="D10" s="5">
        <f>COUNTIFS(Validate!$B$2:$B$130,A10,Validate!$R$2:$R$130,"&lt;&gt;")</f>
        <v>0</v>
      </c>
      <c r="E10" s="5">
        <f>COUNTIFS(Validate!$B$2:$B$130,A10,Validate!$R$2:$R$130,"correct")</f>
        <v>0</v>
      </c>
      <c r="F10" s="5">
        <f>COUNTIFS(Validate!$B$2:$B$130,A10,Validate!$R$2:$R$130,"partial")</f>
        <v>0</v>
      </c>
      <c r="G10" s="5">
        <f>COUNTIFS(Validate!$B$2:$B$130,A10,Validate!$R$2:$R$130,"wrong")</f>
        <v>0</v>
      </c>
      <c r="H10" s="5">
        <f>COUNTIFS(Validate!$B$2:$B$130,A10,Validate!$R$2:$R$130,"unclear")</f>
        <v>0</v>
      </c>
      <c r="I10" s="12" t="str">
        <f t="shared" si="0"/>
        <v/>
      </c>
      <c r="J10" s="12" t="str">
        <f t="shared" si="1"/>
        <v/>
      </c>
    </row>
    <row r="11" spans="1:10" x14ac:dyDescent="0.35">
      <c r="A11" s="13" t="s">
        <v>760</v>
      </c>
      <c r="B11" s="13">
        <f t="shared" ref="B11:H11" si="2">SUM(B2:B10)</f>
        <v>1081</v>
      </c>
      <c r="C11" s="13">
        <f t="shared" si="2"/>
        <v>129</v>
      </c>
      <c r="D11" s="13">
        <f t="shared" si="2"/>
        <v>0</v>
      </c>
      <c r="E11" s="13">
        <f t="shared" si="2"/>
        <v>0</v>
      </c>
      <c r="F11" s="13">
        <f t="shared" si="2"/>
        <v>0</v>
      </c>
      <c r="G11" s="13">
        <f t="shared" si="2"/>
        <v>0</v>
      </c>
      <c r="H11" s="13">
        <f t="shared" si="2"/>
        <v>0</v>
      </c>
      <c r="I11" s="14" t="str">
        <f t="shared" si="0"/>
        <v/>
      </c>
      <c r="J11" s="14" t="str">
        <f t="shared" si="1"/>
        <v/>
      </c>
    </row>
    <row r="13" spans="1:10" x14ac:dyDescent="0.35">
      <c r="A13" s="15" t="s">
        <v>761</v>
      </c>
    </row>
    <row r="14" spans="1:10" x14ac:dyDescent="0.35">
      <c r="A14" s="15" t="s">
        <v>762</v>
      </c>
    </row>
    <row r="15" spans="1:10" x14ac:dyDescent="0.35">
      <c r="A15" s="15" t="s">
        <v>763</v>
      </c>
    </row>
    <row r="16" spans="1:10" x14ac:dyDescent="0.35">
      <c r="A16" s="15" t="s">
        <v>764</v>
      </c>
    </row>
    <row r="17" spans="1:3" x14ac:dyDescent="0.35">
      <c r="A17" s="15" t="s">
        <v>765</v>
      </c>
    </row>
    <row r="19" spans="1:3" ht="28" x14ac:dyDescent="0.35">
      <c r="A19" s="4" t="s">
        <v>4</v>
      </c>
      <c r="B19" s="4" t="s">
        <v>766</v>
      </c>
      <c r="C19" s="4" t="s">
        <v>767</v>
      </c>
    </row>
    <row r="20" spans="1:3" x14ac:dyDescent="0.35">
      <c r="A20" s="5" t="s">
        <v>273</v>
      </c>
      <c r="B20" s="5">
        <v>683</v>
      </c>
      <c r="C20" s="5">
        <v>41</v>
      </c>
    </row>
    <row r="21" spans="1:3" x14ac:dyDescent="0.35">
      <c r="A21" s="5" t="s">
        <v>633</v>
      </c>
      <c r="B21" s="5">
        <v>212</v>
      </c>
      <c r="C21" s="5">
        <v>14</v>
      </c>
    </row>
    <row r="22" spans="1:3" x14ac:dyDescent="0.35">
      <c r="A22" s="5" t="s">
        <v>5</v>
      </c>
      <c r="B22" s="5">
        <v>167</v>
      </c>
      <c r="C22" s="5">
        <v>28</v>
      </c>
    </row>
    <row r="23" spans="1:3" x14ac:dyDescent="0.35">
      <c r="A23" s="5" t="s">
        <v>22</v>
      </c>
      <c r="B23" s="5">
        <v>157</v>
      </c>
      <c r="C23" s="5">
        <v>35</v>
      </c>
    </row>
    <row r="24" spans="1:3" x14ac:dyDescent="0.35">
      <c r="A24" s="5" t="s">
        <v>698</v>
      </c>
      <c r="B24" s="5">
        <v>144</v>
      </c>
      <c r="C24" s="5">
        <v>5</v>
      </c>
    </row>
    <row r="25" spans="1:3" x14ac:dyDescent="0.35">
      <c r="A25" s="5" t="s">
        <v>186</v>
      </c>
      <c r="B25" s="5">
        <v>47</v>
      </c>
      <c r="C25" s="5">
        <v>21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411"/>
  <sheetViews>
    <sheetView workbookViewId="0">
      <pane xSplit="1" ySplit="1" topLeftCell="B2" activePane="bottomRight" state="frozen"/>
      <selection pane="topRight"/>
      <selection pane="bottomLeft"/>
      <selection pane="bottomRight"/>
    </sheetView>
  </sheetViews>
  <sheetFormatPr defaultRowHeight="14.5" x14ac:dyDescent="0.35"/>
  <cols>
    <col min="1" max="1" width="22" customWidth="1"/>
    <col min="2" max="2" width="50" customWidth="1"/>
    <col min="3" max="3" width="35" customWidth="1"/>
    <col min="4" max="4" width="11" customWidth="1"/>
    <col min="5" max="5" width="26" customWidth="1"/>
    <col min="6" max="6" width="8" customWidth="1"/>
    <col min="7" max="8" width="22" customWidth="1"/>
    <col min="9" max="9" width="16" customWidth="1"/>
  </cols>
  <sheetData>
    <row r="1" spans="1:9" x14ac:dyDescent="0.35">
      <c r="A1" s="4" t="s">
        <v>768</v>
      </c>
      <c r="B1" s="4" t="s">
        <v>2</v>
      </c>
      <c r="C1" s="4" t="s">
        <v>769</v>
      </c>
      <c r="D1" s="4" t="s">
        <v>6</v>
      </c>
      <c r="E1" s="4" t="s">
        <v>8</v>
      </c>
      <c r="F1" s="4" t="s">
        <v>9</v>
      </c>
      <c r="G1" s="4" t="s">
        <v>11</v>
      </c>
      <c r="H1" s="4" t="s">
        <v>13</v>
      </c>
      <c r="I1" s="4" t="s">
        <v>4</v>
      </c>
    </row>
    <row r="2" spans="1:9" x14ac:dyDescent="0.35">
      <c r="A2" s="16" t="s">
        <v>501</v>
      </c>
      <c r="B2" s="17" t="s">
        <v>497</v>
      </c>
      <c r="C2" s="17" t="s">
        <v>497</v>
      </c>
      <c r="D2" s="16" t="s">
        <v>273</v>
      </c>
      <c r="E2" s="16" t="s">
        <v>499</v>
      </c>
      <c r="F2" s="16">
        <v>0.30249999999999999</v>
      </c>
      <c r="G2" s="16" t="s">
        <v>377</v>
      </c>
      <c r="H2" s="16" t="s">
        <v>500</v>
      </c>
      <c r="I2" s="16" t="s">
        <v>273</v>
      </c>
    </row>
    <row r="3" spans="1:9" ht="84" x14ac:dyDescent="0.35">
      <c r="A3" s="16" t="s">
        <v>770</v>
      </c>
      <c r="B3" s="17" t="s">
        <v>771</v>
      </c>
      <c r="C3" s="17" t="s">
        <v>772</v>
      </c>
      <c r="D3" s="16"/>
      <c r="E3" s="16"/>
      <c r="F3" s="16"/>
      <c r="G3" s="16"/>
      <c r="H3" s="16"/>
      <c r="I3" s="16" t="s">
        <v>633</v>
      </c>
    </row>
    <row r="4" spans="1:9" ht="28" x14ac:dyDescent="0.35">
      <c r="A4" s="16" t="s">
        <v>439</v>
      </c>
      <c r="B4" s="17" t="s">
        <v>434</v>
      </c>
      <c r="C4" s="17" t="s">
        <v>773</v>
      </c>
      <c r="D4" s="16" t="s">
        <v>5</v>
      </c>
      <c r="E4" s="16" t="s">
        <v>774</v>
      </c>
      <c r="F4" s="16">
        <v>0.8</v>
      </c>
      <c r="G4" s="16" t="s">
        <v>436</v>
      </c>
      <c r="H4" s="16" t="s">
        <v>437</v>
      </c>
      <c r="I4" s="16" t="s">
        <v>5</v>
      </c>
    </row>
    <row r="5" spans="1:9" ht="56" x14ac:dyDescent="0.35">
      <c r="A5" s="16" t="s">
        <v>775</v>
      </c>
      <c r="B5" s="17" t="s">
        <v>776</v>
      </c>
      <c r="C5" s="17" t="s">
        <v>777</v>
      </c>
      <c r="D5" s="16"/>
      <c r="E5" s="16"/>
      <c r="F5" s="16"/>
      <c r="G5" s="16"/>
      <c r="H5" s="16"/>
      <c r="I5" s="16" t="s">
        <v>633</v>
      </c>
    </row>
    <row r="6" spans="1:9" x14ac:dyDescent="0.35">
      <c r="A6" s="16" t="s">
        <v>778</v>
      </c>
      <c r="B6" s="17" t="s">
        <v>716</v>
      </c>
      <c r="C6" s="17"/>
      <c r="D6" s="16"/>
      <c r="E6" s="16"/>
      <c r="F6" s="16"/>
      <c r="G6" s="16"/>
      <c r="H6" s="16"/>
      <c r="I6" s="16" t="s">
        <v>633</v>
      </c>
    </row>
    <row r="7" spans="1:9" x14ac:dyDescent="0.35">
      <c r="A7" s="16" t="s">
        <v>779</v>
      </c>
      <c r="B7" s="17" t="s">
        <v>780</v>
      </c>
      <c r="C7" s="17" t="s">
        <v>781</v>
      </c>
      <c r="D7" s="16" t="s">
        <v>273</v>
      </c>
      <c r="E7" s="16" t="s">
        <v>782</v>
      </c>
      <c r="F7" s="16">
        <v>0.2157</v>
      </c>
      <c r="G7" s="16" t="s">
        <v>783</v>
      </c>
      <c r="H7" s="16"/>
      <c r="I7" s="16" t="s">
        <v>273</v>
      </c>
    </row>
    <row r="8" spans="1:9" ht="42" x14ac:dyDescent="0.35">
      <c r="A8" s="16" t="s">
        <v>784</v>
      </c>
      <c r="B8" s="17" t="s">
        <v>785</v>
      </c>
      <c r="C8" s="17" t="s">
        <v>786</v>
      </c>
      <c r="D8" s="16"/>
      <c r="E8" s="16"/>
      <c r="F8" s="16"/>
      <c r="G8" s="16"/>
      <c r="H8" s="16"/>
      <c r="I8" s="16" t="s">
        <v>633</v>
      </c>
    </row>
    <row r="9" spans="1:9" x14ac:dyDescent="0.35">
      <c r="A9" s="16" t="s">
        <v>69</v>
      </c>
      <c r="B9" s="17" t="s">
        <v>68</v>
      </c>
      <c r="C9" s="17" t="s">
        <v>67</v>
      </c>
      <c r="D9" s="16" t="s">
        <v>22</v>
      </c>
      <c r="E9" s="16" t="s">
        <v>67</v>
      </c>
      <c r="F9" s="16">
        <v>1</v>
      </c>
      <c r="G9" s="16"/>
      <c r="H9" s="16"/>
      <c r="I9" s="16" t="s">
        <v>22</v>
      </c>
    </row>
    <row r="10" spans="1:9" x14ac:dyDescent="0.35">
      <c r="A10" s="16" t="s">
        <v>787</v>
      </c>
      <c r="B10" s="17" t="s">
        <v>788</v>
      </c>
      <c r="C10" s="17" t="s">
        <v>788</v>
      </c>
      <c r="D10" s="16" t="s">
        <v>273</v>
      </c>
      <c r="E10" s="16" t="s">
        <v>789</v>
      </c>
      <c r="F10" s="16">
        <v>0.31790000000000002</v>
      </c>
      <c r="G10" s="16" t="s">
        <v>790</v>
      </c>
      <c r="H10" s="16" t="s">
        <v>791</v>
      </c>
      <c r="I10" s="16" t="s">
        <v>273</v>
      </c>
    </row>
    <row r="11" spans="1:9" ht="56" x14ac:dyDescent="0.35">
      <c r="A11" s="16" t="s">
        <v>792</v>
      </c>
      <c r="B11" s="17" t="s">
        <v>793</v>
      </c>
      <c r="C11" s="17" t="s">
        <v>794</v>
      </c>
      <c r="D11" s="16"/>
      <c r="E11" s="16"/>
      <c r="F11" s="16"/>
      <c r="G11" s="16"/>
      <c r="H11" s="16"/>
      <c r="I11" s="16" t="s">
        <v>633</v>
      </c>
    </row>
    <row r="12" spans="1:9" ht="84" x14ac:dyDescent="0.35">
      <c r="A12" s="16" t="s">
        <v>795</v>
      </c>
      <c r="B12" s="17" t="s">
        <v>796</v>
      </c>
      <c r="C12" s="17" t="s">
        <v>797</v>
      </c>
      <c r="D12" s="16"/>
      <c r="E12" s="16"/>
      <c r="F12" s="16"/>
      <c r="G12" s="16"/>
      <c r="H12" s="16"/>
      <c r="I12" s="16" t="s">
        <v>633</v>
      </c>
    </row>
    <row r="13" spans="1:9" x14ac:dyDescent="0.35">
      <c r="A13" s="16" t="s">
        <v>798</v>
      </c>
      <c r="B13" s="17" t="s">
        <v>799</v>
      </c>
      <c r="C13" s="17" t="s">
        <v>800</v>
      </c>
      <c r="D13" s="16" t="s">
        <v>273</v>
      </c>
      <c r="E13" s="16" t="s">
        <v>378</v>
      </c>
      <c r="F13" s="16">
        <v>0.28949999999999998</v>
      </c>
      <c r="G13" s="16" t="s">
        <v>377</v>
      </c>
      <c r="H13" s="16" t="s">
        <v>801</v>
      </c>
      <c r="I13" s="16" t="s">
        <v>273</v>
      </c>
    </row>
    <row r="14" spans="1:9" x14ac:dyDescent="0.35">
      <c r="A14" s="16" t="s">
        <v>602</v>
      </c>
      <c r="B14" s="17" t="s">
        <v>597</v>
      </c>
      <c r="C14" s="17" t="s">
        <v>596</v>
      </c>
      <c r="D14" s="16" t="s">
        <v>273</v>
      </c>
      <c r="E14" s="16" t="s">
        <v>599</v>
      </c>
      <c r="F14" s="16">
        <v>0.4103</v>
      </c>
      <c r="G14" s="16" t="s">
        <v>600</v>
      </c>
      <c r="H14" s="16" t="s">
        <v>601</v>
      </c>
      <c r="I14" s="16" t="s">
        <v>273</v>
      </c>
    </row>
    <row r="15" spans="1:9" ht="42" x14ac:dyDescent="0.35">
      <c r="A15" s="16" t="s">
        <v>162</v>
      </c>
      <c r="B15" s="17" t="s">
        <v>160</v>
      </c>
      <c r="C15" s="17" t="s">
        <v>160</v>
      </c>
      <c r="D15" s="16" t="s">
        <v>5</v>
      </c>
      <c r="E15" s="16" t="s">
        <v>161</v>
      </c>
      <c r="F15" s="16">
        <v>0.8</v>
      </c>
      <c r="G15" s="16"/>
      <c r="H15" s="16"/>
      <c r="I15" s="16" t="s">
        <v>5</v>
      </c>
    </row>
    <row r="16" spans="1:9" ht="70" x14ac:dyDescent="0.35">
      <c r="A16" s="16" t="s">
        <v>802</v>
      </c>
      <c r="B16" s="17" t="s">
        <v>803</v>
      </c>
      <c r="C16" s="17" t="s">
        <v>804</v>
      </c>
      <c r="D16" s="16" t="s">
        <v>186</v>
      </c>
      <c r="E16" s="16" t="s">
        <v>230</v>
      </c>
      <c r="F16" s="16">
        <v>0.6</v>
      </c>
      <c r="G16" s="16"/>
      <c r="H16" s="16"/>
      <c r="I16" s="16" t="s">
        <v>186</v>
      </c>
    </row>
    <row r="17" spans="1:9" x14ac:dyDescent="0.35">
      <c r="A17" s="16" t="s">
        <v>805</v>
      </c>
      <c r="B17" s="17" t="s">
        <v>806</v>
      </c>
      <c r="C17" s="17" t="s">
        <v>807</v>
      </c>
      <c r="D17" s="16" t="s">
        <v>273</v>
      </c>
      <c r="E17" s="16" t="s">
        <v>808</v>
      </c>
      <c r="F17" s="16">
        <v>0.30990000000000001</v>
      </c>
      <c r="G17" s="16"/>
      <c r="H17" s="16"/>
      <c r="I17" s="16" t="s">
        <v>273</v>
      </c>
    </row>
    <row r="18" spans="1:9" x14ac:dyDescent="0.35">
      <c r="A18" s="16" t="s">
        <v>809</v>
      </c>
      <c r="B18" s="17" t="s">
        <v>810</v>
      </c>
      <c r="C18" s="17" t="s">
        <v>810</v>
      </c>
      <c r="D18" s="16" t="s">
        <v>22</v>
      </c>
      <c r="E18" s="16" t="s">
        <v>73</v>
      </c>
      <c r="F18" s="16">
        <v>1</v>
      </c>
      <c r="G18" s="16"/>
      <c r="H18" s="16"/>
      <c r="I18" s="16" t="s">
        <v>22</v>
      </c>
    </row>
    <row r="19" spans="1:9" x14ac:dyDescent="0.35">
      <c r="A19" s="16" t="s">
        <v>811</v>
      </c>
      <c r="B19" s="17" t="s">
        <v>810</v>
      </c>
      <c r="C19" s="17" t="s">
        <v>810</v>
      </c>
      <c r="D19" s="16" t="s">
        <v>22</v>
      </c>
      <c r="E19" s="16" t="s">
        <v>73</v>
      </c>
      <c r="F19" s="16">
        <v>1</v>
      </c>
      <c r="G19" s="16"/>
      <c r="H19" s="16"/>
      <c r="I19" s="16" t="s">
        <v>22</v>
      </c>
    </row>
    <row r="20" spans="1:9" x14ac:dyDescent="0.35">
      <c r="A20" s="16" t="s">
        <v>812</v>
      </c>
      <c r="B20" s="17" t="s">
        <v>788</v>
      </c>
      <c r="C20" s="17" t="s">
        <v>788</v>
      </c>
      <c r="D20" s="16" t="s">
        <v>273</v>
      </c>
      <c r="E20" s="16" t="s">
        <v>789</v>
      </c>
      <c r="F20" s="16">
        <v>0.31790000000000002</v>
      </c>
      <c r="G20" s="16" t="s">
        <v>790</v>
      </c>
      <c r="H20" s="16" t="s">
        <v>791</v>
      </c>
      <c r="I20" s="16" t="s">
        <v>273</v>
      </c>
    </row>
    <row r="21" spans="1:9" ht="28" x14ac:dyDescent="0.35">
      <c r="A21" s="16" t="s">
        <v>813</v>
      </c>
      <c r="B21" s="17" t="s">
        <v>814</v>
      </c>
      <c r="C21" s="17" t="s">
        <v>815</v>
      </c>
      <c r="D21" s="16"/>
      <c r="E21" s="16"/>
      <c r="F21" s="16"/>
      <c r="G21" s="16"/>
      <c r="H21" s="16"/>
      <c r="I21" s="16" t="s">
        <v>633</v>
      </c>
    </row>
    <row r="22" spans="1:9" x14ac:dyDescent="0.35">
      <c r="A22" s="16" t="s">
        <v>816</v>
      </c>
      <c r="B22" s="17" t="s">
        <v>817</v>
      </c>
      <c r="C22" s="17" t="s">
        <v>818</v>
      </c>
      <c r="D22" s="16" t="s">
        <v>5</v>
      </c>
      <c r="E22" s="16" t="s">
        <v>152</v>
      </c>
      <c r="F22" s="16">
        <v>0.8</v>
      </c>
      <c r="G22" s="16"/>
      <c r="H22" s="16"/>
      <c r="I22" s="16" t="s">
        <v>5</v>
      </c>
    </row>
    <row r="23" spans="1:9" x14ac:dyDescent="0.35">
      <c r="A23" s="16" t="s">
        <v>580</v>
      </c>
      <c r="B23" s="17" t="s">
        <v>576</v>
      </c>
      <c r="C23" s="17" t="s">
        <v>575</v>
      </c>
      <c r="D23" s="16" t="s">
        <v>273</v>
      </c>
      <c r="E23" s="16" t="s">
        <v>577</v>
      </c>
      <c r="F23" s="16">
        <v>0.43280000000000002</v>
      </c>
      <c r="G23" s="16" t="s">
        <v>578</v>
      </c>
      <c r="H23" s="16" t="s">
        <v>579</v>
      </c>
      <c r="I23" s="16" t="s">
        <v>273</v>
      </c>
    </row>
    <row r="24" spans="1:9" x14ac:dyDescent="0.35">
      <c r="A24" s="16" t="s">
        <v>249</v>
      </c>
      <c r="B24" s="17" t="s">
        <v>248</v>
      </c>
      <c r="C24" s="17" t="s">
        <v>247</v>
      </c>
      <c r="D24" s="16" t="s">
        <v>186</v>
      </c>
      <c r="E24" s="16" t="s">
        <v>86</v>
      </c>
      <c r="F24" s="16">
        <v>0.6</v>
      </c>
      <c r="G24" s="16"/>
      <c r="H24" s="16"/>
      <c r="I24" s="16" t="s">
        <v>186</v>
      </c>
    </row>
    <row r="25" spans="1:9" x14ac:dyDescent="0.35">
      <c r="A25" s="16" t="s">
        <v>819</v>
      </c>
      <c r="B25" s="17" t="s">
        <v>820</v>
      </c>
      <c r="C25" s="17" t="s">
        <v>820</v>
      </c>
      <c r="D25" s="16" t="s">
        <v>273</v>
      </c>
      <c r="E25" s="16" t="s">
        <v>821</v>
      </c>
      <c r="F25" s="16">
        <v>0.2049</v>
      </c>
      <c r="G25" s="16"/>
      <c r="H25" s="16"/>
      <c r="I25" s="16" t="s">
        <v>273</v>
      </c>
    </row>
    <row r="26" spans="1:9" x14ac:dyDescent="0.35">
      <c r="A26" s="16" t="s">
        <v>822</v>
      </c>
      <c r="B26" s="17" t="s">
        <v>823</v>
      </c>
      <c r="C26" s="17" t="s">
        <v>823</v>
      </c>
      <c r="D26" s="16" t="s">
        <v>273</v>
      </c>
      <c r="E26" s="16" t="s">
        <v>824</v>
      </c>
      <c r="F26" s="16">
        <v>0.40570000000000001</v>
      </c>
      <c r="G26" s="16" t="s">
        <v>825</v>
      </c>
      <c r="H26" s="16" t="s">
        <v>826</v>
      </c>
      <c r="I26" s="16" t="s">
        <v>273</v>
      </c>
    </row>
    <row r="27" spans="1:9" x14ac:dyDescent="0.35">
      <c r="A27" s="16" t="s">
        <v>827</v>
      </c>
      <c r="B27" s="17" t="s">
        <v>823</v>
      </c>
      <c r="C27" s="17" t="s">
        <v>823</v>
      </c>
      <c r="D27" s="16" t="s">
        <v>273</v>
      </c>
      <c r="E27" s="16" t="s">
        <v>824</v>
      </c>
      <c r="F27" s="16">
        <v>0.40570000000000001</v>
      </c>
      <c r="G27" s="16" t="s">
        <v>825</v>
      </c>
      <c r="H27" s="16" t="s">
        <v>826</v>
      </c>
      <c r="I27" s="16" t="s">
        <v>273</v>
      </c>
    </row>
    <row r="28" spans="1:9" x14ac:dyDescent="0.35">
      <c r="A28" s="16" t="s">
        <v>828</v>
      </c>
      <c r="B28" s="17" t="s">
        <v>823</v>
      </c>
      <c r="C28" s="17" t="s">
        <v>823</v>
      </c>
      <c r="D28" s="16" t="s">
        <v>273</v>
      </c>
      <c r="E28" s="16" t="s">
        <v>824</v>
      </c>
      <c r="F28" s="16">
        <v>0.40570000000000001</v>
      </c>
      <c r="G28" s="16" t="s">
        <v>825</v>
      </c>
      <c r="H28" s="16" t="s">
        <v>826</v>
      </c>
      <c r="I28" s="16" t="s">
        <v>273</v>
      </c>
    </row>
    <row r="29" spans="1:9" x14ac:dyDescent="0.35">
      <c r="A29" s="16" t="s">
        <v>646</v>
      </c>
      <c r="B29" s="17" t="s">
        <v>643</v>
      </c>
      <c r="C29" s="17" t="s">
        <v>642</v>
      </c>
      <c r="D29" s="16"/>
      <c r="E29" s="16"/>
      <c r="F29" s="16"/>
      <c r="G29" s="16"/>
      <c r="H29" s="16"/>
      <c r="I29" s="16" t="s">
        <v>633</v>
      </c>
    </row>
    <row r="30" spans="1:9" x14ac:dyDescent="0.35">
      <c r="A30" s="16" t="s">
        <v>829</v>
      </c>
      <c r="B30" s="17" t="s">
        <v>823</v>
      </c>
      <c r="C30" s="17" t="s">
        <v>823</v>
      </c>
      <c r="D30" s="16" t="s">
        <v>273</v>
      </c>
      <c r="E30" s="16" t="s">
        <v>824</v>
      </c>
      <c r="F30" s="16">
        <v>0.40570000000000001</v>
      </c>
      <c r="G30" s="16" t="s">
        <v>825</v>
      </c>
      <c r="H30" s="16" t="s">
        <v>826</v>
      </c>
      <c r="I30" s="16" t="s">
        <v>273</v>
      </c>
    </row>
    <row r="31" spans="1:9" x14ac:dyDescent="0.35">
      <c r="A31" s="16" t="s">
        <v>830</v>
      </c>
      <c r="B31" s="17" t="s">
        <v>831</v>
      </c>
      <c r="C31" s="17" t="s">
        <v>832</v>
      </c>
      <c r="D31" s="16" t="s">
        <v>273</v>
      </c>
      <c r="E31" s="16" t="s">
        <v>833</v>
      </c>
      <c r="F31" s="16">
        <v>0.25890000000000002</v>
      </c>
      <c r="G31" s="16"/>
      <c r="H31" s="16"/>
      <c r="I31" s="16" t="s">
        <v>273</v>
      </c>
    </row>
    <row r="32" spans="1:9" x14ac:dyDescent="0.35">
      <c r="A32" s="16" t="s">
        <v>834</v>
      </c>
      <c r="B32" s="17" t="s">
        <v>835</v>
      </c>
      <c r="C32" s="17" t="s">
        <v>836</v>
      </c>
      <c r="D32" s="16" t="s">
        <v>273</v>
      </c>
      <c r="E32" s="16" t="s">
        <v>837</v>
      </c>
      <c r="F32" s="16">
        <v>0.46289999999999998</v>
      </c>
      <c r="G32" s="16" t="s">
        <v>838</v>
      </c>
      <c r="H32" s="16" t="s">
        <v>839</v>
      </c>
      <c r="I32" s="16" t="s">
        <v>273</v>
      </c>
    </row>
    <row r="33" spans="1:9" ht="56" x14ac:dyDescent="0.35">
      <c r="A33" s="16" t="s">
        <v>840</v>
      </c>
      <c r="B33" s="17" t="s">
        <v>841</v>
      </c>
      <c r="C33" s="17" t="s">
        <v>842</v>
      </c>
      <c r="D33" s="16"/>
      <c r="E33" s="16"/>
      <c r="F33" s="16"/>
      <c r="G33" s="16"/>
      <c r="H33" s="16"/>
      <c r="I33" s="16" t="s">
        <v>633</v>
      </c>
    </row>
    <row r="34" spans="1:9" ht="42" x14ac:dyDescent="0.35">
      <c r="A34" s="16" t="s">
        <v>843</v>
      </c>
      <c r="B34" s="17" t="s">
        <v>844</v>
      </c>
      <c r="C34" s="17" t="s">
        <v>845</v>
      </c>
      <c r="D34" s="16" t="s">
        <v>273</v>
      </c>
      <c r="E34" s="16" t="s">
        <v>846</v>
      </c>
      <c r="F34" s="16">
        <v>0.29160000000000003</v>
      </c>
      <c r="G34" s="16" t="s">
        <v>847</v>
      </c>
      <c r="H34" s="16" t="s">
        <v>848</v>
      </c>
      <c r="I34" s="16" t="s">
        <v>273</v>
      </c>
    </row>
    <row r="35" spans="1:9" x14ac:dyDescent="0.35">
      <c r="A35" s="16" t="s">
        <v>849</v>
      </c>
      <c r="B35" s="17" t="s">
        <v>850</v>
      </c>
      <c r="C35" s="17" t="s">
        <v>836</v>
      </c>
      <c r="D35" s="16" t="s">
        <v>273</v>
      </c>
      <c r="E35" s="16" t="s">
        <v>837</v>
      </c>
      <c r="F35" s="16">
        <v>0.46289999999999998</v>
      </c>
      <c r="G35" s="16" t="s">
        <v>838</v>
      </c>
      <c r="H35" s="16" t="s">
        <v>839</v>
      </c>
      <c r="I35" s="16" t="s">
        <v>273</v>
      </c>
    </row>
    <row r="36" spans="1:9" x14ac:dyDescent="0.35">
      <c r="A36" s="16" t="s">
        <v>851</v>
      </c>
      <c r="B36" s="17" t="s">
        <v>850</v>
      </c>
      <c r="C36" s="17" t="s">
        <v>836</v>
      </c>
      <c r="D36" s="16" t="s">
        <v>273</v>
      </c>
      <c r="E36" s="16" t="s">
        <v>837</v>
      </c>
      <c r="F36" s="16">
        <v>0.46289999999999998</v>
      </c>
      <c r="G36" s="16" t="s">
        <v>838</v>
      </c>
      <c r="H36" s="16" t="s">
        <v>839</v>
      </c>
      <c r="I36" s="16" t="s">
        <v>273</v>
      </c>
    </row>
    <row r="37" spans="1:9" x14ac:dyDescent="0.35">
      <c r="A37" s="16" t="s">
        <v>852</v>
      </c>
      <c r="B37" s="17" t="s">
        <v>850</v>
      </c>
      <c r="C37" s="17" t="s">
        <v>836</v>
      </c>
      <c r="D37" s="16" t="s">
        <v>273</v>
      </c>
      <c r="E37" s="16" t="s">
        <v>837</v>
      </c>
      <c r="F37" s="16">
        <v>0.46289999999999998</v>
      </c>
      <c r="G37" s="16" t="s">
        <v>838</v>
      </c>
      <c r="H37" s="16" t="s">
        <v>839</v>
      </c>
      <c r="I37" s="16" t="s">
        <v>273</v>
      </c>
    </row>
    <row r="38" spans="1:9" x14ac:dyDescent="0.35">
      <c r="A38" s="16" t="s">
        <v>853</v>
      </c>
      <c r="B38" s="17" t="s">
        <v>850</v>
      </c>
      <c r="C38" s="17" t="s">
        <v>836</v>
      </c>
      <c r="D38" s="16" t="s">
        <v>273</v>
      </c>
      <c r="E38" s="16" t="s">
        <v>837</v>
      </c>
      <c r="F38" s="16">
        <v>0.46289999999999998</v>
      </c>
      <c r="G38" s="16" t="s">
        <v>838</v>
      </c>
      <c r="H38" s="16" t="s">
        <v>839</v>
      </c>
      <c r="I38" s="16" t="s">
        <v>273</v>
      </c>
    </row>
    <row r="39" spans="1:9" ht="42" x14ac:dyDescent="0.35">
      <c r="A39" s="16" t="s">
        <v>854</v>
      </c>
      <c r="B39" s="17" t="s">
        <v>855</v>
      </c>
      <c r="C39" s="17" t="s">
        <v>856</v>
      </c>
      <c r="D39" s="16" t="s">
        <v>5</v>
      </c>
      <c r="E39" s="16" t="s">
        <v>444</v>
      </c>
      <c r="F39" s="16">
        <v>0.8</v>
      </c>
      <c r="G39" s="16"/>
      <c r="H39" s="16"/>
      <c r="I39" s="16" t="s">
        <v>5</v>
      </c>
    </row>
    <row r="40" spans="1:9" ht="56" x14ac:dyDescent="0.35">
      <c r="A40" s="16" t="s">
        <v>857</v>
      </c>
      <c r="B40" s="17" t="s">
        <v>858</v>
      </c>
      <c r="C40" s="17" t="s">
        <v>859</v>
      </c>
      <c r="D40" s="16"/>
      <c r="E40" s="16"/>
      <c r="F40" s="16"/>
      <c r="G40" s="16"/>
      <c r="H40" s="16"/>
      <c r="I40" s="16" t="s">
        <v>633</v>
      </c>
    </row>
    <row r="41" spans="1:9" x14ac:dyDescent="0.35">
      <c r="A41" s="16" t="s">
        <v>860</v>
      </c>
      <c r="B41" s="17" t="s">
        <v>716</v>
      </c>
      <c r="C41" s="17"/>
      <c r="D41" s="16"/>
      <c r="E41" s="16"/>
      <c r="F41" s="16"/>
      <c r="G41" s="16"/>
      <c r="H41" s="16"/>
      <c r="I41" s="16" t="s">
        <v>633</v>
      </c>
    </row>
    <row r="42" spans="1:9" ht="28" x14ac:dyDescent="0.35">
      <c r="A42" s="16" t="s">
        <v>861</v>
      </c>
      <c r="B42" s="17" t="s">
        <v>862</v>
      </c>
      <c r="C42" s="17" t="s">
        <v>863</v>
      </c>
      <c r="D42" s="16" t="s">
        <v>5</v>
      </c>
      <c r="E42" s="16" t="s">
        <v>167</v>
      </c>
      <c r="F42" s="16">
        <v>0.8</v>
      </c>
      <c r="G42" s="16"/>
      <c r="H42" s="16"/>
      <c r="I42" s="16" t="s">
        <v>5</v>
      </c>
    </row>
    <row r="43" spans="1:9" ht="28" x14ac:dyDescent="0.35">
      <c r="A43" s="16" t="s">
        <v>864</v>
      </c>
      <c r="B43" s="17" t="s">
        <v>865</v>
      </c>
      <c r="C43" s="17" t="s">
        <v>865</v>
      </c>
      <c r="D43" s="16" t="s">
        <v>273</v>
      </c>
      <c r="E43" s="16" t="s">
        <v>866</v>
      </c>
      <c r="F43" s="16">
        <v>0.26740000000000003</v>
      </c>
      <c r="G43" s="16" t="s">
        <v>867</v>
      </c>
      <c r="H43" s="16" t="s">
        <v>868</v>
      </c>
      <c r="I43" s="16" t="s">
        <v>273</v>
      </c>
    </row>
    <row r="44" spans="1:9" ht="28" x14ac:dyDescent="0.35">
      <c r="A44" s="16" t="s">
        <v>869</v>
      </c>
      <c r="B44" s="17" t="s">
        <v>870</v>
      </c>
      <c r="C44" s="17" t="s">
        <v>871</v>
      </c>
      <c r="D44" s="16" t="s">
        <v>5</v>
      </c>
      <c r="E44" s="16" t="s">
        <v>67</v>
      </c>
      <c r="F44" s="16">
        <v>0.8</v>
      </c>
      <c r="G44" s="16" t="s">
        <v>872</v>
      </c>
      <c r="H44" s="16"/>
      <c r="I44" s="16" t="s">
        <v>5</v>
      </c>
    </row>
    <row r="45" spans="1:9" ht="70" x14ac:dyDescent="0.35">
      <c r="A45" s="16" t="s">
        <v>873</v>
      </c>
      <c r="B45" s="17" t="s">
        <v>874</v>
      </c>
      <c r="C45" s="17" t="s">
        <v>875</v>
      </c>
      <c r="D45" s="16"/>
      <c r="E45" s="16"/>
      <c r="F45" s="16"/>
      <c r="G45" s="16"/>
      <c r="H45" s="16"/>
      <c r="I45" s="16" t="s">
        <v>633</v>
      </c>
    </row>
    <row r="46" spans="1:9" x14ac:dyDescent="0.35">
      <c r="A46" s="16" t="s">
        <v>876</v>
      </c>
      <c r="B46" s="17" t="s">
        <v>877</v>
      </c>
      <c r="C46" s="17" t="s">
        <v>877</v>
      </c>
      <c r="D46" s="16" t="s">
        <v>273</v>
      </c>
      <c r="E46" s="16" t="s">
        <v>878</v>
      </c>
      <c r="F46" s="16">
        <v>0.2177</v>
      </c>
      <c r="G46" s="16"/>
      <c r="H46" s="16"/>
      <c r="I46" s="16" t="s">
        <v>273</v>
      </c>
    </row>
    <row r="47" spans="1:9" x14ac:dyDescent="0.35">
      <c r="A47" s="16" t="s">
        <v>879</v>
      </c>
      <c r="B47" s="17"/>
      <c r="C47" s="17"/>
      <c r="D47" s="16"/>
      <c r="E47" s="16"/>
      <c r="F47" s="16"/>
      <c r="G47" s="16"/>
      <c r="H47" s="16"/>
      <c r="I47" s="16" t="s">
        <v>698</v>
      </c>
    </row>
    <row r="48" spans="1:9" x14ac:dyDescent="0.35">
      <c r="A48" s="16" t="s">
        <v>880</v>
      </c>
      <c r="B48" s="17" t="s">
        <v>881</v>
      </c>
      <c r="C48" s="17" t="s">
        <v>882</v>
      </c>
      <c r="D48" s="16" t="s">
        <v>273</v>
      </c>
      <c r="E48" s="16" t="s">
        <v>455</v>
      </c>
      <c r="F48" s="16">
        <v>0.31369999999999998</v>
      </c>
      <c r="G48" s="16"/>
      <c r="H48" s="16"/>
      <c r="I48" s="16" t="s">
        <v>273</v>
      </c>
    </row>
    <row r="49" spans="1:9" x14ac:dyDescent="0.35">
      <c r="A49" s="16" t="s">
        <v>883</v>
      </c>
      <c r="B49" s="17" t="s">
        <v>884</v>
      </c>
      <c r="C49" s="17" t="s">
        <v>877</v>
      </c>
      <c r="D49" s="16" t="s">
        <v>273</v>
      </c>
      <c r="E49" s="16" t="s">
        <v>878</v>
      </c>
      <c r="F49" s="16">
        <v>0.2177</v>
      </c>
      <c r="G49" s="16"/>
      <c r="H49" s="16"/>
      <c r="I49" s="16" t="s">
        <v>273</v>
      </c>
    </row>
    <row r="50" spans="1:9" x14ac:dyDescent="0.35">
      <c r="A50" s="16" t="s">
        <v>885</v>
      </c>
      <c r="B50" s="17"/>
      <c r="C50" s="17"/>
      <c r="D50" s="16"/>
      <c r="E50" s="16"/>
      <c r="F50" s="16"/>
      <c r="G50" s="16"/>
      <c r="H50" s="16"/>
      <c r="I50" s="16" t="s">
        <v>698</v>
      </c>
    </row>
    <row r="51" spans="1:9" ht="84" x14ac:dyDescent="0.35">
      <c r="A51" s="16" t="s">
        <v>886</v>
      </c>
      <c r="B51" s="17" t="s">
        <v>887</v>
      </c>
      <c r="C51" s="17" t="s">
        <v>888</v>
      </c>
      <c r="D51" s="16" t="s">
        <v>5</v>
      </c>
      <c r="E51" s="16" t="s">
        <v>889</v>
      </c>
      <c r="F51" s="16">
        <v>0.8</v>
      </c>
      <c r="G51" s="16"/>
      <c r="H51" s="16"/>
      <c r="I51" s="16" t="s">
        <v>5</v>
      </c>
    </row>
    <row r="52" spans="1:9" ht="42" x14ac:dyDescent="0.35">
      <c r="A52" s="16" t="s">
        <v>890</v>
      </c>
      <c r="B52" s="17" t="s">
        <v>891</v>
      </c>
      <c r="C52" s="17" t="s">
        <v>891</v>
      </c>
      <c r="D52" s="16"/>
      <c r="E52" s="16"/>
      <c r="F52" s="16"/>
      <c r="G52" s="16"/>
      <c r="H52" s="16"/>
      <c r="I52" s="16" t="s">
        <v>633</v>
      </c>
    </row>
    <row r="53" spans="1:9" x14ac:dyDescent="0.35">
      <c r="A53" s="16" t="s">
        <v>892</v>
      </c>
      <c r="B53" s="17" t="s">
        <v>893</v>
      </c>
      <c r="C53" s="17" t="s">
        <v>894</v>
      </c>
      <c r="D53" s="16" t="s">
        <v>273</v>
      </c>
      <c r="E53" s="16" t="s">
        <v>895</v>
      </c>
      <c r="F53" s="16">
        <v>0.2923</v>
      </c>
      <c r="G53" s="16" t="s">
        <v>896</v>
      </c>
      <c r="H53" s="16" t="s">
        <v>897</v>
      </c>
      <c r="I53" s="16" t="s">
        <v>273</v>
      </c>
    </row>
    <row r="54" spans="1:9" ht="28" x14ac:dyDescent="0.35">
      <c r="A54" s="16" t="s">
        <v>898</v>
      </c>
      <c r="B54" s="17" t="s">
        <v>899</v>
      </c>
      <c r="C54" s="17"/>
      <c r="D54" s="16"/>
      <c r="E54" s="16"/>
      <c r="F54" s="16"/>
      <c r="G54" s="16"/>
      <c r="H54" s="16"/>
      <c r="I54" s="16" t="s">
        <v>633</v>
      </c>
    </row>
    <row r="55" spans="1:9" x14ac:dyDescent="0.35">
      <c r="A55" s="16" t="s">
        <v>900</v>
      </c>
      <c r="B55" s="17"/>
      <c r="C55" s="17"/>
      <c r="D55" s="16"/>
      <c r="E55" s="16"/>
      <c r="F55" s="16"/>
      <c r="G55" s="16"/>
      <c r="H55" s="16"/>
      <c r="I55" s="16" t="s">
        <v>698</v>
      </c>
    </row>
    <row r="56" spans="1:9" ht="84" x14ac:dyDescent="0.35">
      <c r="A56" s="16" t="s">
        <v>901</v>
      </c>
      <c r="B56" s="17" t="s">
        <v>902</v>
      </c>
      <c r="C56" s="17" t="s">
        <v>903</v>
      </c>
      <c r="D56" s="16"/>
      <c r="E56" s="16"/>
      <c r="F56" s="16"/>
      <c r="G56" s="16"/>
      <c r="H56" s="16"/>
      <c r="I56" s="16" t="s">
        <v>633</v>
      </c>
    </row>
    <row r="57" spans="1:9" ht="28" x14ac:dyDescent="0.35">
      <c r="A57" s="16" t="s">
        <v>904</v>
      </c>
      <c r="B57" s="17" t="s">
        <v>905</v>
      </c>
      <c r="C57" s="17" t="s">
        <v>905</v>
      </c>
      <c r="D57" s="16" t="s">
        <v>273</v>
      </c>
      <c r="E57" s="16" t="s">
        <v>513</v>
      </c>
      <c r="F57" s="16">
        <v>0.30020000000000002</v>
      </c>
      <c r="G57" s="16" t="s">
        <v>906</v>
      </c>
      <c r="H57" s="16" t="s">
        <v>512</v>
      </c>
      <c r="I57" s="16" t="s">
        <v>273</v>
      </c>
    </row>
    <row r="58" spans="1:9" ht="70" x14ac:dyDescent="0.35">
      <c r="A58" s="16" t="s">
        <v>907</v>
      </c>
      <c r="B58" s="17" t="s">
        <v>908</v>
      </c>
      <c r="C58" s="17" t="s">
        <v>909</v>
      </c>
      <c r="D58" s="16" t="s">
        <v>273</v>
      </c>
      <c r="E58" s="16" t="s">
        <v>847</v>
      </c>
      <c r="F58" s="16">
        <v>0.2009</v>
      </c>
      <c r="G58" s="16"/>
      <c r="H58" s="16"/>
      <c r="I58" s="16" t="s">
        <v>273</v>
      </c>
    </row>
    <row r="59" spans="1:9" ht="154" x14ac:dyDescent="0.35">
      <c r="A59" s="16" t="s">
        <v>910</v>
      </c>
      <c r="B59" s="17" t="s">
        <v>911</v>
      </c>
      <c r="C59" s="17" t="s">
        <v>912</v>
      </c>
      <c r="D59" s="16" t="s">
        <v>273</v>
      </c>
      <c r="E59" s="16" t="s">
        <v>512</v>
      </c>
      <c r="F59" s="16">
        <v>0.20499999999999999</v>
      </c>
      <c r="G59" s="16"/>
      <c r="H59" s="16"/>
      <c r="I59" s="16" t="s">
        <v>273</v>
      </c>
    </row>
    <row r="60" spans="1:9" x14ac:dyDescent="0.35">
      <c r="A60" s="16" t="s">
        <v>913</v>
      </c>
      <c r="B60" s="17"/>
      <c r="C60" s="17"/>
      <c r="D60" s="16"/>
      <c r="E60" s="16"/>
      <c r="F60" s="16"/>
      <c r="G60" s="16"/>
      <c r="H60" s="16"/>
      <c r="I60" s="16" t="s">
        <v>698</v>
      </c>
    </row>
    <row r="61" spans="1:9" ht="98" x14ac:dyDescent="0.35">
      <c r="A61" s="16" t="s">
        <v>914</v>
      </c>
      <c r="B61" s="17" t="s">
        <v>915</v>
      </c>
      <c r="C61" s="17" t="s">
        <v>916</v>
      </c>
      <c r="D61" s="16"/>
      <c r="E61" s="16"/>
      <c r="F61" s="16"/>
      <c r="G61" s="16"/>
      <c r="H61" s="16"/>
      <c r="I61" s="16" t="s">
        <v>633</v>
      </c>
    </row>
    <row r="62" spans="1:9" x14ac:dyDescent="0.35">
      <c r="A62" s="16" t="s">
        <v>917</v>
      </c>
      <c r="B62" s="17" t="s">
        <v>918</v>
      </c>
      <c r="C62" s="17" t="s">
        <v>433</v>
      </c>
      <c r="D62" s="16" t="s">
        <v>273</v>
      </c>
      <c r="E62" s="16" t="s">
        <v>436</v>
      </c>
      <c r="F62" s="16">
        <v>0.3831</v>
      </c>
      <c r="G62" s="16" t="s">
        <v>437</v>
      </c>
      <c r="H62" s="16" t="s">
        <v>438</v>
      </c>
      <c r="I62" s="16" t="s">
        <v>273</v>
      </c>
    </row>
    <row r="63" spans="1:9" ht="28" x14ac:dyDescent="0.35">
      <c r="A63" s="16" t="s">
        <v>919</v>
      </c>
      <c r="B63" s="17" t="s">
        <v>920</v>
      </c>
      <c r="C63" s="17" t="s">
        <v>921</v>
      </c>
      <c r="D63" s="16" t="s">
        <v>273</v>
      </c>
      <c r="E63" s="16" t="s">
        <v>922</v>
      </c>
      <c r="F63" s="16">
        <v>0.34279999999999999</v>
      </c>
      <c r="G63" s="16" t="s">
        <v>923</v>
      </c>
      <c r="H63" s="16" t="s">
        <v>924</v>
      </c>
      <c r="I63" s="16" t="s">
        <v>273</v>
      </c>
    </row>
    <row r="64" spans="1:9" x14ac:dyDescent="0.35">
      <c r="A64" s="16" t="s">
        <v>925</v>
      </c>
      <c r="B64" s="17"/>
      <c r="C64" s="17"/>
      <c r="D64" s="16"/>
      <c r="E64" s="16"/>
      <c r="F64" s="16"/>
      <c r="G64" s="16"/>
      <c r="H64" s="16"/>
      <c r="I64" s="16" t="s">
        <v>698</v>
      </c>
    </row>
    <row r="65" spans="1:9" ht="28" x14ac:dyDescent="0.35">
      <c r="A65" s="16" t="s">
        <v>926</v>
      </c>
      <c r="B65" s="17" t="s">
        <v>927</v>
      </c>
      <c r="C65" s="17" t="s">
        <v>928</v>
      </c>
      <c r="D65" s="16" t="s">
        <v>273</v>
      </c>
      <c r="E65" s="16" t="s">
        <v>929</v>
      </c>
      <c r="F65" s="16">
        <v>0.41239999999999999</v>
      </c>
      <c r="G65" s="16" t="s">
        <v>930</v>
      </c>
      <c r="H65" s="16" t="s">
        <v>931</v>
      </c>
      <c r="I65" s="16" t="s">
        <v>273</v>
      </c>
    </row>
    <row r="66" spans="1:9" ht="28" x14ac:dyDescent="0.35">
      <c r="A66" s="16" t="s">
        <v>932</v>
      </c>
      <c r="B66" s="17" t="s">
        <v>933</v>
      </c>
      <c r="C66" s="17" t="s">
        <v>934</v>
      </c>
      <c r="D66" s="16" t="s">
        <v>5</v>
      </c>
      <c r="E66" s="16" t="s">
        <v>935</v>
      </c>
      <c r="F66" s="16">
        <v>0.8</v>
      </c>
      <c r="G66" s="16"/>
      <c r="H66" s="16"/>
      <c r="I66" s="16" t="s">
        <v>5</v>
      </c>
    </row>
    <row r="67" spans="1:9" x14ac:dyDescent="0.35">
      <c r="A67" s="16" t="s">
        <v>936</v>
      </c>
      <c r="B67" s="17" t="s">
        <v>937</v>
      </c>
      <c r="C67" s="17" t="s">
        <v>935</v>
      </c>
      <c r="D67" s="16" t="s">
        <v>22</v>
      </c>
      <c r="E67" s="16" t="s">
        <v>935</v>
      </c>
      <c r="F67" s="16">
        <v>1</v>
      </c>
      <c r="G67" s="16"/>
      <c r="H67" s="16"/>
      <c r="I67" s="16" t="s">
        <v>22</v>
      </c>
    </row>
    <row r="68" spans="1:9" x14ac:dyDescent="0.35">
      <c r="A68" s="16" t="s">
        <v>938</v>
      </c>
      <c r="B68" s="17" t="s">
        <v>939</v>
      </c>
      <c r="C68" s="17" t="s">
        <v>935</v>
      </c>
      <c r="D68" s="16" t="s">
        <v>22</v>
      </c>
      <c r="E68" s="16" t="s">
        <v>935</v>
      </c>
      <c r="F68" s="16">
        <v>1</v>
      </c>
      <c r="G68" s="16"/>
      <c r="H68" s="16"/>
      <c r="I68" s="16" t="s">
        <v>22</v>
      </c>
    </row>
    <row r="69" spans="1:9" ht="28" x14ac:dyDescent="0.35">
      <c r="A69" s="16" t="s">
        <v>940</v>
      </c>
      <c r="B69" s="17" t="s">
        <v>941</v>
      </c>
      <c r="C69" s="17" t="s">
        <v>942</v>
      </c>
      <c r="D69" s="16" t="s">
        <v>5</v>
      </c>
      <c r="E69" s="16" t="s">
        <v>152</v>
      </c>
      <c r="F69" s="16">
        <v>0.8</v>
      </c>
      <c r="G69" s="16"/>
      <c r="H69" s="16"/>
      <c r="I69" s="16" t="s">
        <v>5</v>
      </c>
    </row>
    <row r="70" spans="1:9" x14ac:dyDescent="0.35">
      <c r="A70" s="16" t="s">
        <v>943</v>
      </c>
      <c r="B70" s="17" t="s">
        <v>944</v>
      </c>
      <c r="C70" s="17" t="s">
        <v>929</v>
      </c>
      <c r="D70" s="16" t="s">
        <v>22</v>
      </c>
      <c r="E70" s="16" t="s">
        <v>152</v>
      </c>
      <c r="F70" s="16">
        <v>1</v>
      </c>
      <c r="G70" s="16"/>
      <c r="H70" s="16"/>
      <c r="I70" s="16" t="s">
        <v>22</v>
      </c>
    </row>
    <row r="71" spans="1:9" x14ac:dyDescent="0.35">
      <c r="A71" s="16" t="s">
        <v>945</v>
      </c>
      <c r="B71" s="17" t="s">
        <v>944</v>
      </c>
      <c r="C71" s="17" t="s">
        <v>929</v>
      </c>
      <c r="D71" s="16" t="s">
        <v>22</v>
      </c>
      <c r="E71" s="16" t="s">
        <v>152</v>
      </c>
      <c r="F71" s="16">
        <v>1</v>
      </c>
      <c r="G71" s="16"/>
      <c r="H71" s="16"/>
      <c r="I71" s="16" t="s">
        <v>22</v>
      </c>
    </row>
    <row r="72" spans="1:9" ht="28" x14ac:dyDescent="0.35">
      <c r="A72" s="16" t="s">
        <v>946</v>
      </c>
      <c r="B72" s="17" t="s">
        <v>947</v>
      </c>
      <c r="C72" s="17" t="s">
        <v>948</v>
      </c>
      <c r="D72" s="16"/>
      <c r="E72" s="16"/>
      <c r="F72" s="16"/>
      <c r="G72" s="16"/>
      <c r="H72" s="16"/>
      <c r="I72" s="16" t="s">
        <v>633</v>
      </c>
    </row>
    <row r="73" spans="1:9" ht="28" x14ac:dyDescent="0.35">
      <c r="A73" s="16" t="s">
        <v>949</v>
      </c>
      <c r="B73" s="17" t="s">
        <v>950</v>
      </c>
      <c r="C73" s="17" t="s">
        <v>951</v>
      </c>
      <c r="D73" s="16" t="s">
        <v>5</v>
      </c>
      <c r="E73" s="16" t="s">
        <v>67</v>
      </c>
      <c r="F73" s="16">
        <v>0.8</v>
      </c>
      <c r="G73" s="16"/>
      <c r="H73" s="16"/>
      <c r="I73" s="16" t="s">
        <v>5</v>
      </c>
    </row>
    <row r="74" spans="1:9" x14ac:dyDescent="0.35">
      <c r="A74" s="16" t="s">
        <v>952</v>
      </c>
      <c r="B74" s="17" t="s">
        <v>953</v>
      </c>
      <c r="C74" s="17" t="s">
        <v>954</v>
      </c>
      <c r="D74" s="16" t="s">
        <v>273</v>
      </c>
      <c r="E74" s="16" t="s">
        <v>955</v>
      </c>
      <c r="F74" s="16">
        <v>0.25940000000000002</v>
      </c>
      <c r="G74" s="16"/>
      <c r="H74" s="16"/>
      <c r="I74" s="16" t="s">
        <v>273</v>
      </c>
    </row>
    <row r="75" spans="1:9" x14ac:dyDescent="0.35">
      <c r="A75" s="16" t="s">
        <v>956</v>
      </c>
      <c r="B75" s="17" t="s">
        <v>957</v>
      </c>
      <c r="C75" s="17" t="s">
        <v>958</v>
      </c>
      <c r="D75" s="16" t="s">
        <v>5</v>
      </c>
      <c r="E75" s="16" t="s">
        <v>121</v>
      </c>
      <c r="F75" s="16">
        <v>0.8</v>
      </c>
      <c r="G75" s="16"/>
      <c r="H75" s="16"/>
      <c r="I75" s="16" t="s">
        <v>5</v>
      </c>
    </row>
    <row r="76" spans="1:9" x14ac:dyDescent="0.35">
      <c r="A76" s="16" t="s">
        <v>959</v>
      </c>
      <c r="B76" s="17" t="s">
        <v>823</v>
      </c>
      <c r="C76" s="17" t="s">
        <v>823</v>
      </c>
      <c r="D76" s="16" t="s">
        <v>273</v>
      </c>
      <c r="E76" s="16" t="s">
        <v>824</v>
      </c>
      <c r="F76" s="16">
        <v>0.40570000000000001</v>
      </c>
      <c r="G76" s="16" t="s">
        <v>825</v>
      </c>
      <c r="H76" s="16" t="s">
        <v>826</v>
      </c>
      <c r="I76" s="16" t="s">
        <v>273</v>
      </c>
    </row>
    <row r="77" spans="1:9" x14ac:dyDescent="0.35">
      <c r="A77" s="16" t="s">
        <v>960</v>
      </c>
      <c r="B77" s="17" t="s">
        <v>961</v>
      </c>
      <c r="C77" s="17" t="s">
        <v>961</v>
      </c>
      <c r="D77" s="16" t="s">
        <v>273</v>
      </c>
      <c r="E77" s="16" t="s">
        <v>962</v>
      </c>
      <c r="F77" s="16">
        <v>0.33310000000000001</v>
      </c>
      <c r="G77" s="16" t="s">
        <v>963</v>
      </c>
      <c r="H77" s="16" t="s">
        <v>964</v>
      </c>
      <c r="I77" s="16" t="s">
        <v>273</v>
      </c>
    </row>
    <row r="78" spans="1:9" x14ac:dyDescent="0.35">
      <c r="A78" s="16" t="s">
        <v>965</v>
      </c>
      <c r="B78" s="17" t="s">
        <v>966</v>
      </c>
      <c r="C78" s="17" t="s">
        <v>967</v>
      </c>
      <c r="D78" s="16" t="s">
        <v>273</v>
      </c>
      <c r="E78" s="16" t="s">
        <v>968</v>
      </c>
      <c r="F78" s="16">
        <v>0.25590000000000002</v>
      </c>
      <c r="G78" s="16" t="s">
        <v>969</v>
      </c>
      <c r="H78" s="16"/>
      <c r="I78" s="16" t="s">
        <v>273</v>
      </c>
    </row>
    <row r="79" spans="1:9" x14ac:dyDescent="0.35">
      <c r="A79" s="16" t="s">
        <v>970</v>
      </c>
      <c r="B79" s="17" t="s">
        <v>971</v>
      </c>
      <c r="C79" s="17" t="s">
        <v>971</v>
      </c>
      <c r="D79" s="16" t="s">
        <v>273</v>
      </c>
      <c r="E79" s="16" t="s">
        <v>972</v>
      </c>
      <c r="F79" s="16">
        <v>0.4466</v>
      </c>
      <c r="G79" s="16" t="s">
        <v>973</v>
      </c>
      <c r="H79" s="16" t="s">
        <v>974</v>
      </c>
      <c r="I79" s="16" t="s">
        <v>273</v>
      </c>
    </row>
    <row r="80" spans="1:9" x14ac:dyDescent="0.35">
      <c r="A80" s="16" t="s">
        <v>975</v>
      </c>
      <c r="B80" s="17" t="s">
        <v>497</v>
      </c>
      <c r="C80" s="17" t="s">
        <v>497</v>
      </c>
      <c r="D80" s="16" t="s">
        <v>273</v>
      </c>
      <c r="E80" s="16" t="s">
        <v>499</v>
      </c>
      <c r="F80" s="16">
        <v>0.30249999999999999</v>
      </c>
      <c r="G80" s="16" t="s">
        <v>377</v>
      </c>
      <c r="H80" s="16" t="s">
        <v>500</v>
      </c>
      <c r="I80" s="16" t="s">
        <v>273</v>
      </c>
    </row>
    <row r="81" spans="1:9" x14ac:dyDescent="0.35">
      <c r="A81" s="16" t="s">
        <v>44</v>
      </c>
      <c r="B81" s="17" t="s">
        <v>42</v>
      </c>
      <c r="C81" s="17" t="s">
        <v>42</v>
      </c>
      <c r="D81" s="16" t="s">
        <v>22</v>
      </c>
      <c r="E81" s="16" t="s">
        <v>43</v>
      </c>
      <c r="F81" s="16">
        <v>1</v>
      </c>
      <c r="G81" s="16"/>
      <c r="H81" s="16"/>
      <c r="I81" s="16" t="s">
        <v>22</v>
      </c>
    </row>
    <row r="82" spans="1:9" ht="42" x14ac:dyDescent="0.35">
      <c r="A82" s="16" t="s">
        <v>976</v>
      </c>
      <c r="B82" s="17" t="s">
        <v>977</v>
      </c>
      <c r="C82" s="17" t="s">
        <v>978</v>
      </c>
      <c r="D82" s="16"/>
      <c r="E82" s="16"/>
      <c r="F82" s="16"/>
      <c r="G82" s="16"/>
      <c r="H82" s="16"/>
      <c r="I82" s="16" t="s">
        <v>633</v>
      </c>
    </row>
    <row r="83" spans="1:9" x14ac:dyDescent="0.35">
      <c r="A83" s="16" t="s">
        <v>979</v>
      </c>
      <c r="B83" s="17"/>
      <c r="C83" s="17"/>
      <c r="D83" s="16"/>
      <c r="E83" s="16"/>
      <c r="F83" s="16"/>
      <c r="G83" s="16"/>
      <c r="H83" s="16"/>
      <c r="I83" s="16" t="s">
        <v>698</v>
      </c>
    </row>
    <row r="84" spans="1:9" ht="28" x14ac:dyDescent="0.35">
      <c r="A84" s="16" t="s">
        <v>980</v>
      </c>
      <c r="B84" s="17" t="s">
        <v>981</v>
      </c>
      <c r="C84" s="17" t="s">
        <v>982</v>
      </c>
      <c r="D84" s="16" t="s">
        <v>273</v>
      </c>
      <c r="E84" s="16" t="s">
        <v>848</v>
      </c>
      <c r="F84" s="16">
        <v>0.28960000000000002</v>
      </c>
      <c r="G84" s="16" t="s">
        <v>983</v>
      </c>
      <c r="H84" s="16"/>
      <c r="I84" s="16" t="s">
        <v>273</v>
      </c>
    </row>
    <row r="85" spans="1:9" ht="56" x14ac:dyDescent="0.35">
      <c r="A85" s="16" t="s">
        <v>984</v>
      </c>
      <c r="B85" s="17" t="s">
        <v>985</v>
      </c>
      <c r="C85" s="17" t="s">
        <v>986</v>
      </c>
      <c r="D85" s="16"/>
      <c r="E85" s="16"/>
      <c r="F85" s="16"/>
      <c r="G85" s="16"/>
      <c r="H85" s="16"/>
      <c r="I85" s="16" t="s">
        <v>633</v>
      </c>
    </row>
    <row r="86" spans="1:9" ht="70" x14ac:dyDescent="0.35">
      <c r="A86" s="16" t="s">
        <v>987</v>
      </c>
      <c r="B86" s="17" t="s">
        <v>988</v>
      </c>
      <c r="C86" s="17" t="s">
        <v>989</v>
      </c>
      <c r="D86" s="16"/>
      <c r="E86" s="16"/>
      <c r="F86" s="16"/>
      <c r="G86" s="16"/>
      <c r="H86" s="16"/>
      <c r="I86" s="16" t="s">
        <v>633</v>
      </c>
    </row>
    <row r="87" spans="1:9" x14ac:dyDescent="0.35">
      <c r="A87" s="16" t="s">
        <v>495</v>
      </c>
      <c r="B87" s="17" t="s">
        <v>490</v>
      </c>
      <c r="C87" s="17" t="s">
        <v>990</v>
      </c>
      <c r="D87" s="16" t="s">
        <v>22</v>
      </c>
      <c r="E87" s="16" t="s">
        <v>167</v>
      </c>
      <c r="F87" s="16">
        <v>1</v>
      </c>
      <c r="G87" s="16" t="s">
        <v>492</v>
      </c>
      <c r="H87" s="16" t="s">
        <v>493</v>
      </c>
      <c r="I87" s="16" t="s">
        <v>22</v>
      </c>
    </row>
    <row r="88" spans="1:9" ht="224" x14ac:dyDescent="0.35">
      <c r="A88" s="16" t="s">
        <v>991</v>
      </c>
      <c r="B88" s="17" t="s">
        <v>992</v>
      </c>
      <c r="C88" s="17" t="s">
        <v>993</v>
      </c>
      <c r="D88" s="16"/>
      <c r="E88" s="16"/>
      <c r="F88" s="16"/>
      <c r="G88" s="16"/>
      <c r="H88" s="16"/>
      <c r="I88" s="16" t="s">
        <v>633</v>
      </c>
    </row>
    <row r="89" spans="1:9" ht="28" x14ac:dyDescent="0.35">
      <c r="A89" s="16" t="s">
        <v>994</v>
      </c>
      <c r="B89" s="17" t="s">
        <v>995</v>
      </c>
      <c r="C89" s="17" t="s">
        <v>996</v>
      </c>
      <c r="D89" s="16" t="s">
        <v>273</v>
      </c>
      <c r="E89" s="16" t="s">
        <v>528</v>
      </c>
      <c r="F89" s="16">
        <v>0.34989999999999999</v>
      </c>
      <c r="G89" s="16" t="s">
        <v>997</v>
      </c>
      <c r="H89" s="16" t="s">
        <v>998</v>
      </c>
      <c r="I89" s="16" t="s">
        <v>273</v>
      </c>
    </row>
    <row r="90" spans="1:9" x14ac:dyDescent="0.35">
      <c r="A90" s="16" t="s">
        <v>999</v>
      </c>
      <c r="B90" s="17" t="s">
        <v>1000</v>
      </c>
      <c r="C90" s="17" t="s">
        <v>1001</v>
      </c>
      <c r="D90" s="16" t="s">
        <v>273</v>
      </c>
      <c r="E90" s="16" t="s">
        <v>1002</v>
      </c>
      <c r="F90" s="16">
        <v>0.41070000000000001</v>
      </c>
      <c r="G90" s="16" t="s">
        <v>1003</v>
      </c>
      <c r="H90" s="16" t="s">
        <v>839</v>
      </c>
      <c r="I90" s="16" t="s">
        <v>273</v>
      </c>
    </row>
    <row r="91" spans="1:9" x14ac:dyDescent="0.35">
      <c r="A91" s="16" t="s">
        <v>1004</v>
      </c>
      <c r="B91" s="17" t="s">
        <v>1005</v>
      </c>
      <c r="C91" s="17" t="s">
        <v>152</v>
      </c>
      <c r="D91" s="16" t="s">
        <v>22</v>
      </c>
      <c r="E91" s="16" t="s">
        <v>152</v>
      </c>
      <c r="F91" s="16">
        <v>1</v>
      </c>
      <c r="G91" s="16"/>
      <c r="H91" s="16"/>
      <c r="I91" s="16" t="s">
        <v>22</v>
      </c>
    </row>
    <row r="92" spans="1:9" x14ac:dyDescent="0.35">
      <c r="A92" s="16" t="s">
        <v>1006</v>
      </c>
      <c r="B92" s="17" t="s">
        <v>1007</v>
      </c>
      <c r="C92" s="17" t="s">
        <v>1008</v>
      </c>
      <c r="D92" s="16" t="s">
        <v>273</v>
      </c>
      <c r="E92" s="16" t="s">
        <v>1009</v>
      </c>
      <c r="F92" s="16">
        <v>0.22009999999999999</v>
      </c>
      <c r="G92" s="16"/>
      <c r="H92" s="16"/>
      <c r="I92" s="16" t="s">
        <v>273</v>
      </c>
    </row>
    <row r="93" spans="1:9" x14ac:dyDescent="0.35">
      <c r="A93" s="16" t="s">
        <v>1010</v>
      </c>
      <c r="B93" s="17" t="s">
        <v>1011</v>
      </c>
      <c r="C93" s="17" t="s">
        <v>1012</v>
      </c>
      <c r="D93" s="16" t="s">
        <v>273</v>
      </c>
      <c r="E93" s="16" t="s">
        <v>1013</v>
      </c>
      <c r="F93" s="16">
        <v>0.43909999999999999</v>
      </c>
      <c r="G93" s="16" t="s">
        <v>1014</v>
      </c>
      <c r="H93" s="16" t="s">
        <v>1015</v>
      </c>
      <c r="I93" s="16" t="s">
        <v>273</v>
      </c>
    </row>
    <row r="94" spans="1:9" x14ac:dyDescent="0.35">
      <c r="A94" s="16" t="s">
        <v>1016</v>
      </c>
      <c r="B94" s="17" t="s">
        <v>1017</v>
      </c>
      <c r="C94" s="17" t="s">
        <v>1018</v>
      </c>
      <c r="D94" s="16" t="s">
        <v>273</v>
      </c>
      <c r="E94" s="16" t="s">
        <v>304</v>
      </c>
      <c r="F94" s="16">
        <v>0.38290000000000002</v>
      </c>
      <c r="G94" s="16"/>
      <c r="H94" s="16"/>
      <c r="I94" s="16" t="s">
        <v>273</v>
      </c>
    </row>
    <row r="95" spans="1:9" ht="28" x14ac:dyDescent="0.35">
      <c r="A95" s="16" t="s">
        <v>1019</v>
      </c>
      <c r="B95" s="17" t="s">
        <v>1020</v>
      </c>
      <c r="C95" s="17" t="s">
        <v>1021</v>
      </c>
      <c r="D95" s="16" t="s">
        <v>186</v>
      </c>
      <c r="E95" s="16" t="s">
        <v>86</v>
      </c>
      <c r="F95" s="16">
        <v>0.6</v>
      </c>
      <c r="G95" s="16"/>
      <c r="H95" s="16"/>
      <c r="I95" s="16" t="s">
        <v>186</v>
      </c>
    </row>
    <row r="96" spans="1:9" ht="28" x14ac:dyDescent="0.35">
      <c r="A96" s="16" t="s">
        <v>1022</v>
      </c>
      <c r="B96" s="17" t="s">
        <v>1023</v>
      </c>
      <c r="C96" s="17" t="s">
        <v>1024</v>
      </c>
      <c r="D96" s="16"/>
      <c r="E96" s="16"/>
      <c r="F96" s="16"/>
      <c r="G96" s="16"/>
      <c r="H96" s="16"/>
      <c r="I96" s="16" t="s">
        <v>633</v>
      </c>
    </row>
    <row r="97" spans="1:9" x14ac:dyDescent="0.35">
      <c r="A97" s="16" t="s">
        <v>1025</v>
      </c>
      <c r="B97" s="17" t="s">
        <v>1026</v>
      </c>
      <c r="C97" s="17" t="s">
        <v>1027</v>
      </c>
      <c r="D97" s="16" t="s">
        <v>5</v>
      </c>
      <c r="E97" s="16" t="s">
        <v>67</v>
      </c>
      <c r="F97" s="16">
        <v>0.8</v>
      </c>
      <c r="G97" s="16"/>
      <c r="H97" s="16"/>
      <c r="I97" s="16" t="s">
        <v>5</v>
      </c>
    </row>
    <row r="98" spans="1:9" x14ac:dyDescent="0.35">
      <c r="A98" s="16" t="s">
        <v>245</v>
      </c>
      <c r="B98" s="17" t="s">
        <v>243</v>
      </c>
      <c r="C98" s="17" t="s">
        <v>242</v>
      </c>
      <c r="D98" s="16" t="s">
        <v>186</v>
      </c>
      <c r="E98" s="16" t="s">
        <v>244</v>
      </c>
      <c r="F98" s="16">
        <v>0.6</v>
      </c>
      <c r="G98" s="16"/>
      <c r="H98" s="16"/>
      <c r="I98" s="16" t="s">
        <v>186</v>
      </c>
    </row>
    <row r="99" spans="1:9" x14ac:dyDescent="0.35">
      <c r="A99" s="16" t="s">
        <v>1028</v>
      </c>
      <c r="B99" s="17" t="s">
        <v>1029</v>
      </c>
      <c r="C99" s="17" t="s">
        <v>877</v>
      </c>
      <c r="D99" s="16" t="s">
        <v>273</v>
      </c>
      <c r="E99" s="16" t="s">
        <v>878</v>
      </c>
      <c r="F99" s="16">
        <v>0.2177</v>
      </c>
      <c r="G99" s="16"/>
      <c r="H99" s="16"/>
      <c r="I99" s="16" t="s">
        <v>273</v>
      </c>
    </row>
    <row r="100" spans="1:9" x14ac:dyDescent="0.35">
      <c r="A100" s="16" t="s">
        <v>1030</v>
      </c>
      <c r="B100" s="17" t="s">
        <v>1031</v>
      </c>
      <c r="C100" s="17" t="s">
        <v>1032</v>
      </c>
      <c r="D100" s="16" t="s">
        <v>273</v>
      </c>
      <c r="E100" s="16" t="s">
        <v>878</v>
      </c>
      <c r="F100" s="16">
        <v>0.24249999999999999</v>
      </c>
      <c r="G100" s="16"/>
      <c r="H100" s="16"/>
      <c r="I100" s="16" t="s">
        <v>273</v>
      </c>
    </row>
    <row r="101" spans="1:9" x14ac:dyDescent="0.35">
      <c r="A101" s="16" t="s">
        <v>1033</v>
      </c>
      <c r="B101" s="17" t="s">
        <v>1034</v>
      </c>
      <c r="C101" s="17" t="s">
        <v>1001</v>
      </c>
      <c r="D101" s="16" t="s">
        <v>273</v>
      </c>
      <c r="E101" s="16" t="s">
        <v>1002</v>
      </c>
      <c r="F101" s="16">
        <v>0.41070000000000001</v>
      </c>
      <c r="G101" s="16" t="s">
        <v>1003</v>
      </c>
      <c r="H101" s="16" t="s">
        <v>839</v>
      </c>
      <c r="I101" s="16" t="s">
        <v>273</v>
      </c>
    </row>
    <row r="102" spans="1:9" x14ac:dyDescent="0.35">
      <c r="A102" s="16" t="s">
        <v>1035</v>
      </c>
      <c r="B102" s="17"/>
      <c r="C102" s="17"/>
      <c r="D102" s="16"/>
      <c r="E102" s="16"/>
      <c r="F102" s="16"/>
      <c r="G102" s="16"/>
      <c r="H102" s="16"/>
      <c r="I102" s="16" t="s">
        <v>698</v>
      </c>
    </row>
    <row r="103" spans="1:9" x14ac:dyDescent="0.35">
      <c r="A103" s="16" t="s">
        <v>1036</v>
      </c>
      <c r="B103" s="17" t="s">
        <v>1037</v>
      </c>
      <c r="C103" s="17" t="s">
        <v>1038</v>
      </c>
      <c r="D103" s="16" t="s">
        <v>273</v>
      </c>
      <c r="E103" s="16" t="s">
        <v>444</v>
      </c>
      <c r="F103" s="16">
        <v>0.26219999999999999</v>
      </c>
      <c r="G103" s="16" t="s">
        <v>1039</v>
      </c>
      <c r="H103" s="16"/>
      <c r="I103" s="16" t="s">
        <v>273</v>
      </c>
    </row>
    <row r="104" spans="1:9" x14ac:dyDescent="0.35">
      <c r="A104" s="16" t="s">
        <v>1040</v>
      </c>
      <c r="B104" s="17" t="s">
        <v>1041</v>
      </c>
      <c r="C104" s="17" t="s">
        <v>1042</v>
      </c>
      <c r="D104" s="16" t="s">
        <v>273</v>
      </c>
      <c r="E104" s="16" t="s">
        <v>1043</v>
      </c>
      <c r="F104" s="16">
        <v>0.3422</v>
      </c>
      <c r="G104" s="16" t="s">
        <v>1044</v>
      </c>
      <c r="H104" s="16" t="s">
        <v>1045</v>
      </c>
      <c r="I104" s="16" t="s">
        <v>273</v>
      </c>
    </row>
    <row r="105" spans="1:9" x14ac:dyDescent="0.35">
      <c r="A105" s="16" t="s">
        <v>1046</v>
      </c>
      <c r="B105" s="17" t="s">
        <v>1047</v>
      </c>
      <c r="C105" s="17" t="s">
        <v>1038</v>
      </c>
      <c r="D105" s="16" t="s">
        <v>273</v>
      </c>
      <c r="E105" s="16" t="s">
        <v>444</v>
      </c>
      <c r="F105" s="16">
        <v>0.26219999999999999</v>
      </c>
      <c r="G105" s="16" t="s">
        <v>1039</v>
      </c>
      <c r="H105" s="16"/>
      <c r="I105" s="16" t="s">
        <v>273</v>
      </c>
    </row>
    <row r="106" spans="1:9" ht="56" x14ac:dyDescent="0.35">
      <c r="A106" s="16" t="s">
        <v>1048</v>
      </c>
      <c r="B106" s="17" t="s">
        <v>1049</v>
      </c>
      <c r="C106" s="17" t="s">
        <v>1050</v>
      </c>
      <c r="D106" s="16" t="s">
        <v>273</v>
      </c>
      <c r="E106" s="16" t="s">
        <v>1051</v>
      </c>
      <c r="F106" s="16">
        <v>0.23130000000000001</v>
      </c>
      <c r="G106" s="16" t="s">
        <v>1052</v>
      </c>
      <c r="H106" s="16"/>
      <c r="I106" s="16" t="s">
        <v>273</v>
      </c>
    </row>
    <row r="107" spans="1:9" ht="28" x14ac:dyDescent="0.35">
      <c r="A107" s="16" t="s">
        <v>1053</v>
      </c>
      <c r="B107" s="17" t="s">
        <v>1054</v>
      </c>
      <c r="C107" s="17" t="s">
        <v>1055</v>
      </c>
      <c r="D107" s="16" t="s">
        <v>5</v>
      </c>
      <c r="E107" s="16" t="s">
        <v>86</v>
      </c>
      <c r="F107" s="16">
        <v>0.8</v>
      </c>
      <c r="G107" s="16"/>
      <c r="H107" s="16"/>
      <c r="I107" s="16" t="s">
        <v>5</v>
      </c>
    </row>
    <row r="108" spans="1:9" x14ac:dyDescent="0.35">
      <c r="A108" s="16" t="s">
        <v>1056</v>
      </c>
      <c r="B108" s="17" t="s">
        <v>1057</v>
      </c>
      <c r="C108" s="17" t="s">
        <v>1058</v>
      </c>
      <c r="D108" s="16" t="s">
        <v>273</v>
      </c>
      <c r="E108" s="16" t="s">
        <v>1059</v>
      </c>
      <c r="F108" s="16">
        <v>0.33360000000000001</v>
      </c>
      <c r="G108" s="16" t="s">
        <v>1060</v>
      </c>
      <c r="H108" s="16" t="s">
        <v>1061</v>
      </c>
      <c r="I108" s="16" t="s">
        <v>273</v>
      </c>
    </row>
    <row r="109" spans="1:9" x14ac:dyDescent="0.35">
      <c r="A109" s="16" t="s">
        <v>1062</v>
      </c>
      <c r="B109" s="17" t="s">
        <v>1063</v>
      </c>
      <c r="C109" s="17" t="s">
        <v>433</v>
      </c>
      <c r="D109" s="16" t="s">
        <v>273</v>
      </c>
      <c r="E109" s="16" t="s">
        <v>436</v>
      </c>
      <c r="F109" s="16">
        <v>0.3831</v>
      </c>
      <c r="G109" s="16" t="s">
        <v>437</v>
      </c>
      <c r="H109" s="16" t="s">
        <v>438</v>
      </c>
      <c r="I109" s="16" t="s">
        <v>273</v>
      </c>
    </row>
    <row r="110" spans="1:9" x14ac:dyDescent="0.35">
      <c r="A110" s="16" t="s">
        <v>1064</v>
      </c>
      <c r="B110" s="17" t="s">
        <v>1065</v>
      </c>
      <c r="C110" s="17" t="s">
        <v>929</v>
      </c>
      <c r="D110" s="16" t="s">
        <v>22</v>
      </c>
      <c r="E110" s="16" t="s">
        <v>152</v>
      </c>
      <c r="F110" s="16">
        <v>1</v>
      </c>
      <c r="G110" s="16"/>
      <c r="H110" s="16"/>
      <c r="I110" s="16" t="s">
        <v>22</v>
      </c>
    </row>
    <row r="111" spans="1:9" x14ac:dyDescent="0.35">
      <c r="A111" s="16" t="s">
        <v>1066</v>
      </c>
      <c r="B111" s="17" t="s">
        <v>1067</v>
      </c>
      <c r="C111" s="17" t="s">
        <v>1008</v>
      </c>
      <c r="D111" s="16" t="s">
        <v>273</v>
      </c>
      <c r="E111" s="16" t="s">
        <v>1009</v>
      </c>
      <c r="F111" s="16">
        <v>0.22009999999999999</v>
      </c>
      <c r="G111" s="16"/>
      <c r="H111" s="16"/>
      <c r="I111" s="16" t="s">
        <v>273</v>
      </c>
    </row>
    <row r="112" spans="1:9" x14ac:dyDescent="0.35">
      <c r="A112" s="16" t="s">
        <v>1068</v>
      </c>
      <c r="B112" s="17"/>
      <c r="C112" s="17"/>
      <c r="D112" s="16"/>
      <c r="E112" s="16"/>
      <c r="F112" s="16"/>
      <c r="G112" s="16"/>
      <c r="H112" s="16"/>
      <c r="I112" s="16" t="s">
        <v>698</v>
      </c>
    </row>
    <row r="113" spans="1:9" ht="42" x14ac:dyDescent="0.35">
      <c r="A113" s="16" t="s">
        <v>1069</v>
      </c>
      <c r="B113" s="17" t="s">
        <v>1070</v>
      </c>
      <c r="C113" s="17" t="s">
        <v>1071</v>
      </c>
      <c r="D113" s="16"/>
      <c r="E113" s="16"/>
      <c r="F113" s="16"/>
      <c r="G113" s="16"/>
      <c r="H113" s="16"/>
      <c r="I113" s="16" t="s">
        <v>633</v>
      </c>
    </row>
    <row r="114" spans="1:9" x14ac:dyDescent="0.35">
      <c r="A114" s="16" t="s">
        <v>1072</v>
      </c>
      <c r="B114" s="17" t="s">
        <v>1073</v>
      </c>
      <c r="C114" s="17" t="s">
        <v>1074</v>
      </c>
      <c r="D114" s="16" t="s">
        <v>273</v>
      </c>
      <c r="E114" s="16" t="s">
        <v>1075</v>
      </c>
      <c r="F114" s="16">
        <v>0.31369999999999998</v>
      </c>
      <c r="G114" s="16" t="s">
        <v>1076</v>
      </c>
      <c r="H114" s="16" t="s">
        <v>924</v>
      </c>
      <c r="I114" s="16" t="s">
        <v>273</v>
      </c>
    </row>
    <row r="115" spans="1:9" x14ac:dyDescent="0.35">
      <c r="A115" s="16" t="s">
        <v>1077</v>
      </c>
      <c r="B115" s="17"/>
      <c r="C115" s="17"/>
      <c r="D115" s="16"/>
      <c r="E115" s="16"/>
      <c r="F115" s="16"/>
      <c r="G115" s="16"/>
      <c r="H115" s="16"/>
      <c r="I115" s="16" t="s">
        <v>698</v>
      </c>
    </row>
    <row r="116" spans="1:9" ht="70" x14ac:dyDescent="0.35">
      <c r="A116" s="16" t="s">
        <v>142</v>
      </c>
      <c r="B116" s="17" t="s">
        <v>141</v>
      </c>
      <c r="C116" s="17" t="s">
        <v>140</v>
      </c>
      <c r="D116" s="16" t="s">
        <v>5</v>
      </c>
      <c r="E116" s="16" t="s">
        <v>67</v>
      </c>
      <c r="F116" s="16">
        <v>0.8</v>
      </c>
      <c r="G116" s="16"/>
      <c r="H116" s="16"/>
      <c r="I116" s="16" t="s">
        <v>5</v>
      </c>
    </row>
    <row r="117" spans="1:9" ht="42" x14ac:dyDescent="0.35">
      <c r="A117" s="16" t="s">
        <v>1078</v>
      </c>
      <c r="B117" s="17" t="s">
        <v>1079</v>
      </c>
      <c r="C117" s="17" t="s">
        <v>1080</v>
      </c>
      <c r="D117" s="16"/>
      <c r="E117" s="16"/>
      <c r="F117" s="16"/>
      <c r="G117" s="16"/>
      <c r="H117" s="16"/>
      <c r="I117" s="16" t="s">
        <v>633</v>
      </c>
    </row>
    <row r="118" spans="1:9" x14ac:dyDescent="0.35">
      <c r="A118" s="16" t="s">
        <v>1081</v>
      </c>
      <c r="B118" s="17"/>
      <c r="C118" s="17"/>
      <c r="D118" s="16"/>
      <c r="E118" s="16"/>
      <c r="F118" s="16"/>
      <c r="G118" s="16"/>
      <c r="H118" s="16"/>
      <c r="I118" s="16" t="s">
        <v>698</v>
      </c>
    </row>
    <row r="119" spans="1:9" x14ac:dyDescent="0.35">
      <c r="A119" s="16" t="s">
        <v>1082</v>
      </c>
      <c r="B119" s="17" t="s">
        <v>1083</v>
      </c>
      <c r="C119" s="17" t="s">
        <v>1084</v>
      </c>
      <c r="D119" s="16" t="s">
        <v>273</v>
      </c>
      <c r="E119" s="16" t="s">
        <v>1085</v>
      </c>
      <c r="F119" s="16">
        <v>0.26900000000000002</v>
      </c>
      <c r="G119" s="16" t="s">
        <v>1086</v>
      </c>
      <c r="H119" s="16" t="s">
        <v>1087</v>
      </c>
      <c r="I119" s="16" t="s">
        <v>273</v>
      </c>
    </row>
    <row r="120" spans="1:9" x14ac:dyDescent="0.35">
      <c r="A120" s="16" t="s">
        <v>1088</v>
      </c>
      <c r="B120" s="17" t="s">
        <v>1089</v>
      </c>
      <c r="C120" s="17" t="s">
        <v>1084</v>
      </c>
      <c r="D120" s="16" t="s">
        <v>273</v>
      </c>
      <c r="E120" s="16" t="s">
        <v>1085</v>
      </c>
      <c r="F120" s="16">
        <v>0.26900000000000002</v>
      </c>
      <c r="G120" s="16" t="s">
        <v>1086</v>
      </c>
      <c r="H120" s="16" t="s">
        <v>1087</v>
      </c>
      <c r="I120" s="16" t="s">
        <v>273</v>
      </c>
    </row>
    <row r="121" spans="1:9" x14ac:dyDescent="0.35">
      <c r="A121" s="16" t="s">
        <v>1090</v>
      </c>
      <c r="B121" s="17" t="s">
        <v>1091</v>
      </c>
      <c r="C121" s="17" t="s">
        <v>1092</v>
      </c>
      <c r="D121" s="16" t="s">
        <v>22</v>
      </c>
      <c r="E121" s="16" t="s">
        <v>1092</v>
      </c>
      <c r="F121" s="16">
        <v>1</v>
      </c>
      <c r="G121" s="16"/>
      <c r="H121" s="16"/>
      <c r="I121" s="16" t="s">
        <v>22</v>
      </c>
    </row>
    <row r="122" spans="1:9" x14ac:dyDescent="0.35">
      <c r="A122" s="16" t="s">
        <v>1093</v>
      </c>
      <c r="B122" s="17"/>
      <c r="C122" s="17"/>
      <c r="D122" s="16"/>
      <c r="E122" s="16"/>
      <c r="F122" s="16"/>
      <c r="G122" s="16"/>
      <c r="H122" s="16"/>
      <c r="I122" s="16" t="s">
        <v>698</v>
      </c>
    </row>
    <row r="123" spans="1:9" x14ac:dyDescent="0.35">
      <c r="A123" s="16" t="s">
        <v>1094</v>
      </c>
      <c r="B123" s="17" t="s">
        <v>1095</v>
      </c>
      <c r="C123" s="17" t="s">
        <v>274</v>
      </c>
      <c r="D123" s="16" t="s">
        <v>273</v>
      </c>
      <c r="E123" s="16" t="s">
        <v>1096</v>
      </c>
      <c r="F123" s="16">
        <v>0.42659999999999998</v>
      </c>
      <c r="G123" s="16" t="s">
        <v>1097</v>
      </c>
      <c r="H123" s="16" t="s">
        <v>1098</v>
      </c>
      <c r="I123" s="16" t="s">
        <v>273</v>
      </c>
    </row>
    <row r="124" spans="1:9" x14ac:dyDescent="0.35">
      <c r="A124" s="16" t="s">
        <v>1099</v>
      </c>
      <c r="B124" s="17"/>
      <c r="C124" s="17"/>
      <c r="D124" s="16"/>
      <c r="E124" s="16"/>
      <c r="F124" s="16"/>
      <c r="G124" s="16"/>
      <c r="H124" s="16"/>
      <c r="I124" s="16" t="s">
        <v>698</v>
      </c>
    </row>
    <row r="125" spans="1:9" ht="28" x14ac:dyDescent="0.35">
      <c r="A125" s="16" t="s">
        <v>1100</v>
      </c>
      <c r="B125" s="17" t="s">
        <v>1101</v>
      </c>
      <c r="C125" s="17" t="s">
        <v>1102</v>
      </c>
      <c r="D125" s="16" t="s">
        <v>273</v>
      </c>
      <c r="E125" s="16" t="s">
        <v>1103</v>
      </c>
      <c r="F125" s="16">
        <v>0.43659999999999999</v>
      </c>
      <c r="G125" s="16" t="s">
        <v>528</v>
      </c>
      <c r="H125" s="16" t="s">
        <v>997</v>
      </c>
      <c r="I125" s="16" t="s">
        <v>273</v>
      </c>
    </row>
    <row r="126" spans="1:9" x14ac:dyDescent="0.35">
      <c r="A126" s="16" t="s">
        <v>1104</v>
      </c>
      <c r="B126" s="17"/>
      <c r="C126" s="17"/>
      <c r="D126" s="16"/>
      <c r="E126" s="16"/>
      <c r="F126" s="16"/>
      <c r="G126" s="16"/>
      <c r="H126" s="16"/>
      <c r="I126" s="16" t="s">
        <v>698</v>
      </c>
    </row>
    <row r="127" spans="1:9" ht="28" x14ac:dyDescent="0.35">
      <c r="A127" s="16" t="s">
        <v>1105</v>
      </c>
      <c r="B127" s="17" t="s">
        <v>1106</v>
      </c>
      <c r="C127" s="17" t="s">
        <v>1107</v>
      </c>
      <c r="D127" s="16" t="s">
        <v>273</v>
      </c>
      <c r="E127" s="16" t="s">
        <v>320</v>
      </c>
      <c r="F127" s="16">
        <v>0.23069999999999999</v>
      </c>
      <c r="G127" s="16" t="s">
        <v>342</v>
      </c>
      <c r="H127" s="16" t="s">
        <v>543</v>
      </c>
      <c r="I127" s="16" t="s">
        <v>273</v>
      </c>
    </row>
    <row r="128" spans="1:9" x14ac:dyDescent="0.35">
      <c r="A128" s="16" t="s">
        <v>1108</v>
      </c>
      <c r="B128" s="17"/>
      <c r="C128" s="17"/>
      <c r="D128" s="16"/>
      <c r="E128" s="16"/>
      <c r="F128" s="16"/>
      <c r="G128" s="16"/>
      <c r="H128" s="16"/>
      <c r="I128" s="16" t="s">
        <v>698</v>
      </c>
    </row>
    <row r="129" spans="1:9" ht="126" x14ac:dyDescent="0.35">
      <c r="A129" s="16" t="s">
        <v>657</v>
      </c>
      <c r="B129" s="17" t="s">
        <v>655</v>
      </c>
      <c r="C129" s="17" t="s">
        <v>654</v>
      </c>
      <c r="D129" s="16"/>
      <c r="E129" s="16"/>
      <c r="F129" s="16"/>
      <c r="G129" s="16"/>
      <c r="H129" s="16"/>
      <c r="I129" s="16" t="s">
        <v>633</v>
      </c>
    </row>
    <row r="130" spans="1:9" x14ac:dyDescent="0.35">
      <c r="A130" s="16" t="s">
        <v>1109</v>
      </c>
      <c r="B130" s="17" t="s">
        <v>1031</v>
      </c>
      <c r="C130" s="17" t="s">
        <v>1032</v>
      </c>
      <c r="D130" s="16" t="s">
        <v>273</v>
      </c>
      <c r="E130" s="16" t="s">
        <v>878</v>
      </c>
      <c r="F130" s="16">
        <v>0.24249999999999999</v>
      </c>
      <c r="G130" s="16"/>
      <c r="H130" s="16"/>
      <c r="I130" s="16" t="s">
        <v>273</v>
      </c>
    </row>
    <row r="131" spans="1:9" x14ac:dyDescent="0.35">
      <c r="A131" s="16" t="s">
        <v>1110</v>
      </c>
      <c r="B131" s="17"/>
      <c r="C131" s="17"/>
      <c r="D131" s="16"/>
      <c r="E131" s="16"/>
      <c r="F131" s="16"/>
      <c r="G131" s="16"/>
      <c r="H131" s="16"/>
      <c r="I131" s="16" t="s">
        <v>698</v>
      </c>
    </row>
    <row r="132" spans="1:9" x14ac:dyDescent="0.35">
      <c r="A132" s="16" t="s">
        <v>1111</v>
      </c>
      <c r="B132" s="17"/>
      <c r="C132" s="17"/>
      <c r="D132" s="16"/>
      <c r="E132" s="16"/>
      <c r="F132" s="16"/>
      <c r="G132" s="16"/>
      <c r="H132" s="16"/>
      <c r="I132" s="16" t="s">
        <v>698</v>
      </c>
    </row>
    <row r="133" spans="1:9" ht="56" x14ac:dyDescent="0.35">
      <c r="A133" s="16" t="s">
        <v>1112</v>
      </c>
      <c r="B133" s="17" t="s">
        <v>1113</v>
      </c>
      <c r="C133" s="17" t="s">
        <v>1114</v>
      </c>
      <c r="D133" s="16" t="s">
        <v>5</v>
      </c>
      <c r="E133" s="16" t="s">
        <v>1115</v>
      </c>
      <c r="F133" s="16">
        <v>0.8</v>
      </c>
      <c r="G133" s="16"/>
      <c r="H133" s="16"/>
      <c r="I133" s="16" t="s">
        <v>5</v>
      </c>
    </row>
    <row r="134" spans="1:9" ht="28" x14ac:dyDescent="0.35">
      <c r="A134" s="16" t="s">
        <v>1116</v>
      </c>
      <c r="B134" s="17" t="s">
        <v>1117</v>
      </c>
      <c r="C134" s="17" t="s">
        <v>1118</v>
      </c>
      <c r="D134" s="16" t="s">
        <v>273</v>
      </c>
      <c r="E134" s="16" t="s">
        <v>1119</v>
      </c>
      <c r="F134" s="16">
        <v>0.39639999999999997</v>
      </c>
      <c r="G134" s="16" t="s">
        <v>1120</v>
      </c>
      <c r="H134" s="16" t="s">
        <v>1121</v>
      </c>
      <c r="I134" s="16" t="s">
        <v>273</v>
      </c>
    </row>
    <row r="135" spans="1:9" ht="28" x14ac:dyDescent="0.35">
      <c r="A135" s="16" t="s">
        <v>1122</v>
      </c>
      <c r="B135" s="17" t="s">
        <v>1023</v>
      </c>
      <c r="C135" s="17" t="s">
        <v>1024</v>
      </c>
      <c r="D135" s="16"/>
      <c r="E135" s="16"/>
      <c r="F135" s="16"/>
      <c r="G135" s="16"/>
      <c r="H135" s="16"/>
      <c r="I135" s="16" t="s">
        <v>633</v>
      </c>
    </row>
    <row r="136" spans="1:9" x14ac:dyDescent="0.35">
      <c r="A136" s="16" t="s">
        <v>1123</v>
      </c>
      <c r="B136" s="17" t="s">
        <v>1124</v>
      </c>
      <c r="C136" s="17" t="s">
        <v>274</v>
      </c>
      <c r="D136" s="16" t="s">
        <v>273</v>
      </c>
      <c r="E136" s="16" t="s">
        <v>1096</v>
      </c>
      <c r="F136" s="16">
        <v>0.42659999999999998</v>
      </c>
      <c r="G136" s="16" t="s">
        <v>1097</v>
      </c>
      <c r="H136" s="16" t="s">
        <v>1098</v>
      </c>
      <c r="I136" s="16" t="s">
        <v>273</v>
      </c>
    </row>
    <row r="137" spans="1:9" x14ac:dyDescent="0.35">
      <c r="A137" s="16" t="s">
        <v>1125</v>
      </c>
      <c r="B137" s="17" t="s">
        <v>1124</v>
      </c>
      <c r="C137" s="17" t="s">
        <v>274</v>
      </c>
      <c r="D137" s="16" t="s">
        <v>273</v>
      </c>
      <c r="E137" s="16" t="s">
        <v>1096</v>
      </c>
      <c r="F137" s="16">
        <v>0.42659999999999998</v>
      </c>
      <c r="G137" s="16" t="s">
        <v>1097</v>
      </c>
      <c r="H137" s="16" t="s">
        <v>1098</v>
      </c>
      <c r="I137" s="16" t="s">
        <v>273</v>
      </c>
    </row>
    <row r="138" spans="1:9" x14ac:dyDescent="0.35">
      <c r="A138" s="16" t="s">
        <v>1126</v>
      </c>
      <c r="B138" s="17" t="s">
        <v>1127</v>
      </c>
      <c r="C138" s="17" t="s">
        <v>1128</v>
      </c>
      <c r="D138" s="16" t="s">
        <v>273</v>
      </c>
      <c r="E138" s="16" t="s">
        <v>1129</v>
      </c>
      <c r="F138" s="16">
        <v>0.21840000000000001</v>
      </c>
      <c r="G138" s="16"/>
      <c r="H138" s="16"/>
      <c r="I138" s="16" t="s">
        <v>273</v>
      </c>
    </row>
    <row r="139" spans="1:9" ht="42" x14ac:dyDescent="0.35">
      <c r="A139" s="16" t="s">
        <v>1130</v>
      </c>
      <c r="B139" s="17" t="s">
        <v>1131</v>
      </c>
      <c r="C139" s="17" t="s">
        <v>1132</v>
      </c>
      <c r="D139" s="16" t="s">
        <v>5</v>
      </c>
      <c r="E139" s="16" t="s">
        <v>67</v>
      </c>
      <c r="F139" s="16">
        <v>0.8</v>
      </c>
      <c r="G139" s="16"/>
      <c r="H139" s="16"/>
      <c r="I139" s="16" t="s">
        <v>5</v>
      </c>
    </row>
    <row r="140" spans="1:9" x14ac:dyDescent="0.35">
      <c r="A140" s="16" t="s">
        <v>1133</v>
      </c>
      <c r="B140" s="17"/>
      <c r="C140" s="17"/>
      <c r="D140" s="16"/>
      <c r="E140" s="16"/>
      <c r="F140" s="16"/>
      <c r="G140" s="16"/>
      <c r="H140" s="16"/>
      <c r="I140" s="16" t="s">
        <v>698</v>
      </c>
    </row>
    <row r="141" spans="1:9" ht="28" x14ac:dyDescent="0.35">
      <c r="A141" s="16" t="s">
        <v>1134</v>
      </c>
      <c r="B141" s="17" t="s">
        <v>1135</v>
      </c>
      <c r="C141" s="17" t="s">
        <v>1136</v>
      </c>
      <c r="D141" s="16" t="s">
        <v>5</v>
      </c>
      <c r="E141" s="16" t="s">
        <v>1115</v>
      </c>
      <c r="F141" s="16">
        <v>0.8</v>
      </c>
      <c r="G141" s="16"/>
      <c r="H141" s="16"/>
      <c r="I141" s="16" t="s">
        <v>5</v>
      </c>
    </row>
    <row r="142" spans="1:9" x14ac:dyDescent="0.35">
      <c r="A142" s="16" t="s">
        <v>529</v>
      </c>
      <c r="B142" s="17" t="s">
        <v>526</v>
      </c>
      <c r="C142" s="17" t="s">
        <v>1137</v>
      </c>
      <c r="D142" s="16" t="s">
        <v>22</v>
      </c>
      <c r="E142" s="16" t="s">
        <v>1138</v>
      </c>
      <c r="F142" s="16">
        <v>1</v>
      </c>
      <c r="G142" s="16" t="s">
        <v>262</v>
      </c>
      <c r="H142" s="16" t="s">
        <v>527</v>
      </c>
      <c r="I142" s="16" t="s">
        <v>22</v>
      </c>
    </row>
    <row r="143" spans="1:9" x14ac:dyDescent="0.35">
      <c r="A143" s="16" t="s">
        <v>1139</v>
      </c>
      <c r="B143" s="17" t="s">
        <v>1140</v>
      </c>
      <c r="C143" s="17" t="s">
        <v>1141</v>
      </c>
      <c r="D143" s="16" t="s">
        <v>273</v>
      </c>
      <c r="E143" s="16" t="s">
        <v>1142</v>
      </c>
      <c r="F143" s="16">
        <v>0.20569999999999999</v>
      </c>
      <c r="G143" s="16" t="s">
        <v>1143</v>
      </c>
      <c r="H143" s="16"/>
      <c r="I143" s="16" t="s">
        <v>273</v>
      </c>
    </row>
    <row r="144" spans="1:9" ht="42" x14ac:dyDescent="0.35">
      <c r="A144" s="16" t="s">
        <v>1144</v>
      </c>
      <c r="B144" s="17" t="s">
        <v>1145</v>
      </c>
      <c r="C144" s="17" t="s">
        <v>1146</v>
      </c>
      <c r="D144" s="16"/>
      <c r="E144" s="16"/>
      <c r="F144" s="16"/>
      <c r="G144" s="16"/>
      <c r="H144" s="16"/>
      <c r="I144" s="16" t="s">
        <v>633</v>
      </c>
    </row>
    <row r="145" spans="1:9" ht="28" x14ac:dyDescent="0.35">
      <c r="A145" s="16" t="s">
        <v>1147</v>
      </c>
      <c r="B145" s="17" t="s">
        <v>1148</v>
      </c>
      <c r="C145" s="17" t="s">
        <v>1149</v>
      </c>
      <c r="D145" s="16" t="s">
        <v>5</v>
      </c>
      <c r="E145" s="16" t="s">
        <v>86</v>
      </c>
      <c r="F145" s="16">
        <v>0.8</v>
      </c>
      <c r="G145" s="16"/>
      <c r="H145" s="16"/>
      <c r="I145" s="16" t="s">
        <v>5</v>
      </c>
    </row>
    <row r="146" spans="1:9" ht="28" x14ac:dyDescent="0.35">
      <c r="A146" s="16" t="s">
        <v>1150</v>
      </c>
      <c r="B146" s="17" t="s">
        <v>1151</v>
      </c>
      <c r="C146" s="17" t="s">
        <v>1151</v>
      </c>
      <c r="D146" s="16" t="s">
        <v>5</v>
      </c>
      <c r="E146" s="16" t="s">
        <v>1115</v>
      </c>
      <c r="F146" s="16">
        <v>0.8</v>
      </c>
      <c r="G146" s="16"/>
      <c r="H146" s="16"/>
      <c r="I146" s="16" t="s">
        <v>5</v>
      </c>
    </row>
    <row r="147" spans="1:9" x14ac:dyDescent="0.35">
      <c r="A147" s="16" t="s">
        <v>1152</v>
      </c>
      <c r="B147" s="17"/>
      <c r="C147" s="17"/>
      <c r="D147" s="16"/>
      <c r="E147" s="16"/>
      <c r="F147" s="16"/>
      <c r="G147" s="16"/>
      <c r="H147" s="16"/>
      <c r="I147" s="16" t="s">
        <v>698</v>
      </c>
    </row>
    <row r="148" spans="1:9" x14ac:dyDescent="0.35">
      <c r="A148" s="16" t="s">
        <v>1153</v>
      </c>
      <c r="B148" s="17" t="s">
        <v>1154</v>
      </c>
      <c r="C148" s="17" t="s">
        <v>1155</v>
      </c>
      <c r="D148" s="16" t="s">
        <v>5</v>
      </c>
      <c r="E148" s="16" t="s">
        <v>67</v>
      </c>
      <c r="F148" s="16">
        <v>0.8</v>
      </c>
      <c r="G148" s="16"/>
      <c r="H148" s="16"/>
      <c r="I148" s="16" t="s">
        <v>5</v>
      </c>
    </row>
    <row r="149" spans="1:9" ht="28" x14ac:dyDescent="0.35">
      <c r="A149" s="16" t="s">
        <v>1156</v>
      </c>
      <c r="B149" s="17" t="s">
        <v>1157</v>
      </c>
      <c r="C149" s="17" t="s">
        <v>1158</v>
      </c>
      <c r="D149" s="16" t="s">
        <v>273</v>
      </c>
      <c r="E149" s="16" t="s">
        <v>1159</v>
      </c>
      <c r="F149" s="16">
        <v>0.32569999999999999</v>
      </c>
      <c r="G149" s="16" t="s">
        <v>1160</v>
      </c>
      <c r="H149" s="16" t="s">
        <v>1161</v>
      </c>
      <c r="I149" s="16" t="s">
        <v>273</v>
      </c>
    </row>
    <row r="150" spans="1:9" x14ac:dyDescent="0.35">
      <c r="A150" s="16" t="s">
        <v>1162</v>
      </c>
      <c r="B150" s="17"/>
      <c r="C150" s="17"/>
      <c r="D150" s="16"/>
      <c r="E150" s="16"/>
      <c r="F150" s="16"/>
      <c r="G150" s="16"/>
      <c r="H150" s="16"/>
      <c r="I150" s="16" t="s">
        <v>698</v>
      </c>
    </row>
    <row r="151" spans="1:9" x14ac:dyDescent="0.35">
      <c r="A151" s="16" t="s">
        <v>1163</v>
      </c>
      <c r="B151" s="17" t="s">
        <v>1164</v>
      </c>
      <c r="C151" s="17" t="s">
        <v>1165</v>
      </c>
      <c r="D151" s="16" t="s">
        <v>22</v>
      </c>
      <c r="E151" s="16" t="s">
        <v>86</v>
      </c>
      <c r="F151" s="16">
        <v>1</v>
      </c>
      <c r="G151" s="16"/>
      <c r="H151" s="16"/>
      <c r="I151" s="16" t="s">
        <v>22</v>
      </c>
    </row>
    <row r="152" spans="1:9" ht="28" x14ac:dyDescent="0.35">
      <c r="A152" s="16" t="s">
        <v>573</v>
      </c>
      <c r="B152" s="17" t="s">
        <v>569</v>
      </c>
      <c r="C152" s="17" t="s">
        <v>1166</v>
      </c>
      <c r="D152" s="16" t="s">
        <v>5</v>
      </c>
      <c r="E152" s="16" t="s">
        <v>67</v>
      </c>
      <c r="F152" s="16">
        <v>0.8</v>
      </c>
      <c r="G152" s="16" t="s">
        <v>570</v>
      </c>
      <c r="H152" s="16" t="s">
        <v>571</v>
      </c>
      <c r="I152" s="16" t="s">
        <v>5</v>
      </c>
    </row>
    <row r="153" spans="1:9" x14ac:dyDescent="0.35">
      <c r="A153" s="16" t="s">
        <v>1167</v>
      </c>
      <c r="B153" s="17" t="s">
        <v>1168</v>
      </c>
      <c r="C153" s="17" t="s">
        <v>1168</v>
      </c>
      <c r="D153" s="16" t="s">
        <v>273</v>
      </c>
      <c r="E153" s="16" t="s">
        <v>1169</v>
      </c>
      <c r="F153" s="16">
        <v>0.29339999999999999</v>
      </c>
      <c r="G153" s="16" t="s">
        <v>1170</v>
      </c>
      <c r="H153" s="16" t="s">
        <v>1171</v>
      </c>
      <c r="I153" s="16" t="s">
        <v>273</v>
      </c>
    </row>
    <row r="154" spans="1:9" x14ac:dyDescent="0.35">
      <c r="A154" s="16" t="s">
        <v>640</v>
      </c>
      <c r="B154" s="17" t="s">
        <v>638</v>
      </c>
      <c r="C154" s="17" t="s">
        <v>637</v>
      </c>
      <c r="D154" s="16"/>
      <c r="E154" s="16"/>
      <c r="F154" s="16"/>
      <c r="G154" s="16"/>
      <c r="H154" s="16"/>
      <c r="I154" s="16" t="s">
        <v>633</v>
      </c>
    </row>
    <row r="155" spans="1:9" x14ac:dyDescent="0.35">
      <c r="A155" s="16" t="s">
        <v>1172</v>
      </c>
      <c r="B155" s="17" t="s">
        <v>1173</v>
      </c>
      <c r="C155" s="17"/>
      <c r="D155" s="16"/>
      <c r="E155" s="16"/>
      <c r="F155" s="16"/>
      <c r="G155" s="16"/>
      <c r="H155" s="16"/>
      <c r="I155" s="16" t="s">
        <v>633</v>
      </c>
    </row>
    <row r="156" spans="1:9" x14ac:dyDescent="0.35">
      <c r="A156" s="16" t="s">
        <v>1174</v>
      </c>
      <c r="B156" s="17"/>
      <c r="C156" s="17"/>
      <c r="D156" s="16"/>
      <c r="E156" s="16"/>
      <c r="F156" s="16"/>
      <c r="G156" s="16"/>
      <c r="H156" s="16"/>
      <c r="I156" s="16" t="s">
        <v>698</v>
      </c>
    </row>
    <row r="157" spans="1:9" ht="28" x14ac:dyDescent="0.35">
      <c r="A157" s="16" t="s">
        <v>1175</v>
      </c>
      <c r="B157" s="17" t="s">
        <v>1176</v>
      </c>
      <c r="C157" s="17" t="s">
        <v>1176</v>
      </c>
      <c r="D157" s="16" t="s">
        <v>273</v>
      </c>
      <c r="E157" s="16" t="s">
        <v>1177</v>
      </c>
      <c r="F157" s="16">
        <v>0.29049999999999998</v>
      </c>
      <c r="G157" s="16" t="s">
        <v>931</v>
      </c>
      <c r="H157" s="16" t="s">
        <v>1178</v>
      </c>
      <c r="I157" s="16" t="s">
        <v>273</v>
      </c>
    </row>
    <row r="158" spans="1:9" x14ac:dyDescent="0.35">
      <c r="A158" s="16" t="s">
        <v>1179</v>
      </c>
      <c r="B158" s="17" t="s">
        <v>1180</v>
      </c>
      <c r="C158" s="17" t="s">
        <v>1181</v>
      </c>
      <c r="D158" s="16" t="s">
        <v>273</v>
      </c>
      <c r="E158" s="16" t="s">
        <v>564</v>
      </c>
      <c r="F158" s="16">
        <v>0.34460000000000002</v>
      </c>
      <c r="G158" s="16" t="s">
        <v>1182</v>
      </c>
      <c r="H158" s="16" t="s">
        <v>1183</v>
      </c>
      <c r="I158" s="16" t="s">
        <v>273</v>
      </c>
    </row>
    <row r="159" spans="1:9" x14ac:dyDescent="0.35">
      <c r="A159" s="16" t="s">
        <v>1184</v>
      </c>
      <c r="B159" s="17"/>
      <c r="C159" s="17"/>
      <c r="D159" s="16"/>
      <c r="E159" s="16"/>
      <c r="F159" s="16"/>
      <c r="G159" s="16"/>
      <c r="H159" s="16"/>
      <c r="I159" s="16" t="s">
        <v>698</v>
      </c>
    </row>
    <row r="160" spans="1:9" x14ac:dyDescent="0.35">
      <c r="A160" s="16" t="s">
        <v>1185</v>
      </c>
      <c r="B160" s="17" t="s">
        <v>719</v>
      </c>
      <c r="C160" s="17"/>
      <c r="D160" s="16"/>
      <c r="E160" s="16"/>
      <c r="F160" s="16"/>
      <c r="G160" s="16"/>
      <c r="H160" s="16"/>
      <c r="I160" s="16" t="s">
        <v>633</v>
      </c>
    </row>
    <row r="161" spans="1:9" x14ac:dyDescent="0.35">
      <c r="A161" s="16" t="s">
        <v>1186</v>
      </c>
      <c r="B161" s="17" t="s">
        <v>1187</v>
      </c>
      <c r="C161" s="17" t="s">
        <v>274</v>
      </c>
      <c r="D161" s="16" t="s">
        <v>273</v>
      </c>
      <c r="E161" s="16" t="s">
        <v>1096</v>
      </c>
      <c r="F161" s="16">
        <v>0.42659999999999998</v>
      </c>
      <c r="G161" s="16" t="s">
        <v>1097</v>
      </c>
      <c r="H161" s="16" t="s">
        <v>1098</v>
      </c>
      <c r="I161" s="16" t="s">
        <v>273</v>
      </c>
    </row>
    <row r="162" spans="1:9" ht="28" x14ac:dyDescent="0.35">
      <c r="A162" s="16" t="s">
        <v>1188</v>
      </c>
      <c r="B162" s="17" t="s">
        <v>1189</v>
      </c>
      <c r="C162" s="17" t="s">
        <v>1190</v>
      </c>
      <c r="D162" s="16"/>
      <c r="E162" s="16"/>
      <c r="F162" s="16"/>
      <c r="G162" s="16"/>
      <c r="H162" s="16"/>
      <c r="I162" s="16" t="s">
        <v>633</v>
      </c>
    </row>
    <row r="163" spans="1:9" x14ac:dyDescent="0.35">
      <c r="A163" s="16" t="s">
        <v>1191</v>
      </c>
      <c r="B163" s="17" t="s">
        <v>1192</v>
      </c>
      <c r="C163" s="17" t="s">
        <v>1193</v>
      </c>
      <c r="D163" s="16" t="s">
        <v>273</v>
      </c>
      <c r="E163" s="16" t="s">
        <v>1194</v>
      </c>
      <c r="F163" s="16">
        <v>0.36049999999999999</v>
      </c>
      <c r="G163" s="16"/>
      <c r="H163" s="16"/>
      <c r="I163" s="16" t="s">
        <v>273</v>
      </c>
    </row>
    <row r="164" spans="1:9" x14ac:dyDescent="0.35">
      <c r="A164" s="16" t="s">
        <v>1195</v>
      </c>
      <c r="B164" s="17"/>
      <c r="C164" s="17"/>
      <c r="D164" s="16"/>
      <c r="E164" s="16"/>
      <c r="F164" s="16"/>
      <c r="G164" s="16"/>
      <c r="H164" s="16"/>
      <c r="I164" s="16" t="s">
        <v>698</v>
      </c>
    </row>
    <row r="165" spans="1:9" ht="28" x14ac:dyDescent="0.35">
      <c r="A165" s="16" t="s">
        <v>225</v>
      </c>
      <c r="B165" s="17" t="s">
        <v>224</v>
      </c>
      <c r="C165" s="17" t="s">
        <v>223</v>
      </c>
      <c r="D165" s="16" t="s">
        <v>186</v>
      </c>
      <c r="E165" s="16" t="s">
        <v>86</v>
      </c>
      <c r="F165" s="16">
        <v>0.6</v>
      </c>
      <c r="G165" s="16"/>
      <c r="H165" s="16"/>
      <c r="I165" s="16" t="s">
        <v>186</v>
      </c>
    </row>
    <row r="166" spans="1:9" x14ac:dyDescent="0.35">
      <c r="A166" s="16" t="s">
        <v>87</v>
      </c>
      <c r="B166" s="17" t="s">
        <v>85</v>
      </c>
      <c r="C166" s="17" t="s">
        <v>84</v>
      </c>
      <c r="D166" s="16" t="s">
        <v>22</v>
      </c>
      <c r="E166" s="16" t="s">
        <v>86</v>
      </c>
      <c r="F166" s="16">
        <v>1</v>
      </c>
      <c r="G166" s="16"/>
      <c r="H166" s="16"/>
      <c r="I166" s="16" t="s">
        <v>22</v>
      </c>
    </row>
    <row r="167" spans="1:9" ht="42" x14ac:dyDescent="0.35">
      <c r="A167" s="16" t="s">
        <v>1196</v>
      </c>
      <c r="B167" s="17" t="s">
        <v>1197</v>
      </c>
      <c r="C167" s="17" t="s">
        <v>1198</v>
      </c>
      <c r="D167" s="16"/>
      <c r="E167" s="16"/>
      <c r="F167" s="16"/>
      <c r="G167" s="16"/>
      <c r="H167" s="16"/>
      <c r="I167" s="16" t="s">
        <v>633</v>
      </c>
    </row>
    <row r="168" spans="1:9" x14ac:dyDescent="0.35">
      <c r="A168" s="16" t="s">
        <v>1199</v>
      </c>
      <c r="B168" s="17" t="s">
        <v>1200</v>
      </c>
      <c r="C168" s="17" t="s">
        <v>1008</v>
      </c>
      <c r="D168" s="16" t="s">
        <v>273</v>
      </c>
      <c r="E168" s="16" t="s">
        <v>1009</v>
      </c>
      <c r="F168" s="16">
        <v>0.22009999999999999</v>
      </c>
      <c r="G168" s="16"/>
      <c r="H168" s="16"/>
      <c r="I168" s="16" t="s">
        <v>273</v>
      </c>
    </row>
    <row r="169" spans="1:9" x14ac:dyDescent="0.35">
      <c r="A169" s="16" t="s">
        <v>1201</v>
      </c>
      <c r="B169" s="17"/>
      <c r="C169" s="17"/>
      <c r="D169" s="16"/>
      <c r="E169" s="16"/>
      <c r="F169" s="16"/>
      <c r="G169" s="16"/>
      <c r="H169" s="16"/>
      <c r="I169" s="16" t="s">
        <v>698</v>
      </c>
    </row>
    <row r="170" spans="1:9" x14ac:dyDescent="0.35">
      <c r="A170" s="16" t="s">
        <v>1202</v>
      </c>
      <c r="B170" s="17" t="s">
        <v>1203</v>
      </c>
      <c r="C170" s="17" t="s">
        <v>67</v>
      </c>
      <c r="D170" s="16" t="s">
        <v>22</v>
      </c>
      <c r="E170" s="16" t="s">
        <v>67</v>
      </c>
      <c r="F170" s="16">
        <v>1</v>
      </c>
      <c r="G170" s="16"/>
      <c r="H170" s="16"/>
      <c r="I170" s="16" t="s">
        <v>22</v>
      </c>
    </row>
    <row r="171" spans="1:9" x14ac:dyDescent="0.35">
      <c r="A171" s="16" t="s">
        <v>1204</v>
      </c>
      <c r="B171" s="17" t="s">
        <v>1124</v>
      </c>
      <c r="C171" s="17" t="s">
        <v>274</v>
      </c>
      <c r="D171" s="16" t="s">
        <v>273</v>
      </c>
      <c r="E171" s="16" t="s">
        <v>1096</v>
      </c>
      <c r="F171" s="16">
        <v>0.42659999999999998</v>
      </c>
      <c r="G171" s="16" t="s">
        <v>1097</v>
      </c>
      <c r="H171" s="16" t="s">
        <v>1098</v>
      </c>
      <c r="I171" s="16" t="s">
        <v>273</v>
      </c>
    </row>
    <row r="172" spans="1:9" x14ac:dyDescent="0.35">
      <c r="A172" s="16" t="s">
        <v>1205</v>
      </c>
      <c r="B172" s="17" t="s">
        <v>1206</v>
      </c>
      <c r="C172" s="17" t="s">
        <v>1021</v>
      </c>
      <c r="D172" s="16" t="s">
        <v>186</v>
      </c>
      <c r="E172" s="16" t="s">
        <v>86</v>
      </c>
      <c r="F172" s="16">
        <v>0.6</v>
      </c>
      <c r="G172" s="16"/>
      <c r="H172" s="16"/>
      <c r="I172" s="16" t="s">
        <v>186</v>
      </c>
    </row>
    <row r="173" spans="1:9" x14ac:dyDescent="0.35">
      <c r="A173" s="16" t="s">
        <v>1207</v>
      </c>
      <c r="B173" s="17"/>
      <c r="C173" s="17"/>
      <c r="D173" s="16"/>
      <c r="E173" s="16"/>
      <c r="F173" s="16"/>
      <c r="G173" s="16"/>
      <c r="H173" s="16"/>
      <c r="I173" s="16" t="s">
        <v>698</v>
      </c>
    </row>
    <row r="174" spans="1:9" ht="28" x14ac:dyDescent="0.35">
      <c r="A174" s="16" t="s">
        <v>1208</v>
      </c>
      <c r="B174" s="17" t="s">
        <v>1209</v>
      </c>
      <c r="C174" s="17" t="s">
        <v>1210</v>
      </c>
      <c r="D174" s="16" t="s">
        <v>5</v>
      </c>
      <c r="E174" s="16" t="s">
        <v>67</v>
      </c>
      <c r="F174" s="16">
        <v>0.8</v>
      </c>
      <c r="G174" s="16"/>
      <c r="H174" s="16"/>
      <c r="I174" s="16" t="s">
        <v>5</v>
      </c>
    </row>
    <row r="175" spans="1:9" x14ac:dyDescent="0.35">
      <c r="A175" s="16" t="s">
        <v>1211</v>
      </c>
      <c r="B175" s="17" t="s">
        <v>1212</v>
      </c>
      <c r="C175" s="17" t="s">
        <v>1213</v>
      </c>
      <c r="D175" s="16" t="s">
        <v>22</v>
      </c>
      <c r="E175" s="16" t="s">
        <v>1214</v>
      </c>
      <c r="F175" s="16">
        <v>1</v>
      </c>
      <c r="G175" s="16"/>
      <c r="H175" s="16"/>
      <c r="I175" s="16" t="s">
        <v>22</v>
      </c>
    </row>
    <row r="176" spans="1:9" x14ac:dyDescent="0.35">
      <c r="A176" s="16" t="s">
        <v>1215</v>
      </c>
      <c r="B176" s="17" t="s">
        <v>1216</v>
      </c>
      <c r="C176" s="17"/>
      <c r="D176" s="16"/>
      <c r="E176" s="16"/>
      <c r="F176" s="16"/>
      <c r="G176" s="16"/>
      <c r="H176" s="16"/>
      <c r="I176" s="16" t="s">
        <v>633</v>
      </c>
    </row>
    <row r="177" spans="1:9" x14ac:dyDescent="0.35">
      <c r="A177" s="16" t="s">
        <v>1217</v>
      </c>
      <c r="B177" s="17"/>
      <c r="C177" s="17"/>
      <c r="D177" s="16"/>
      <c r="E177" s="16"/>
      <c r="F177" s="16"/>
      <c r="G177" s="16"/>
      <c r="H177" s="16"/>
      <c r="I177" s="16" t="s">
        <v>698</v>
      </c>
    </row>
    <row r="178" spans="1:9" ht="28" x14ac:dyDescent="0.35">
      <c r="A178" s="16" t="s">
        <v>1218</v>
      </c>
      <c r="B178" s="17" t="s">
        <v>1219</v>
      </c>
      <c r="C178" s="17" t="s">
        <v>1220</v>
      </c>
      <c r="D178" s="16"/>
      <c r="E178" s="16"/>
      <c r="F178" s="16"/>
      <c r="G178" s="16"/>
      <c r="H178" s="16"/>
      <c r="I178" s="16" t="s">
        <v>633</v>
      </c>
    </row>
    <row r="179" spans="1:9" ht="70" x14ac:dyDescent="0.35">
      <c r="A179" s="16" t="s">
        <v>1221</v>
      </c>
      <c r="B179" s="17" t="s">
        <v>1222</v>
      </c>
      <c r="C179" s="17" t="s">
        <v>1223</v>
      </c>
      <c r="D179" s="16"/>
      <c r="E179" s="16"/>
      <c r="F179" s="16"/>
      <c r="G179" s="16"/>
      <c r="H179" s="16"/>
      <c r="I179" s="16" t="s">
        <v>633</v>
      </c>
    </row>
    <row r="180" spans="1:9" x14ac:dyDescent="0.35">
      <c r="A180" s="16" t="s">
        <v>1224</v>
      </c>
      <c r="B180" s="17" t="s">
        <v>1225</v>
      </c>
      <c r="C180" s="17" t="s">
        <v>1226</v>
      </c>
      <c r="D180" s="16" t="s">
        <v>273</v>
      </c>
      <c r="E180" s="16" t="s">
        <v>522</v>
      </c>
      <c r="F180" s="16">
        <v>0.35449999999999998</v>
      </c>
      <c r="G180" s="16" t="s">
        <v>1227</v>
      </c>
      <c r="H180" s="16" t="s">
        <v>1228</v>
      </c>
      <c r="I180" s="16" t="s">
        <v>273</v>
      </c>
    </row>
    <row r="181" spans="1:9" ht="28" x14ac:dyDescent="0.35">
      <c r="A181" s="16" t="s">
        <v>1229</v>
      </c>
      <c r="B181" s="17" t="s">
        <v>1230</v>
      </c>
      <c r="C181" s="17" t="s">
        <v>1032</v>
      </c>
      <c r="D181" s="16" t="s">
        <v>273</v>
      </c>
      <c r="E181" s="16" t="s">
        <v>878</v>
      </c>
      <c r="F181" s="16">
        <v>0.24249999999999999</v>
      </c>
      <c r="G181" s="16"/>
      <c r="H181" s="16"/>
      <c r="I181" s="16" t="s">
        <v>273</v>
      </c>
    </row>
    <row r="182" spans="1:9" x14ac:dyDescent="0.35">
      <c r="A182" s="16" t="s">
        <v>1231</v>
      </c>
      <c r="B182" s="17" t="s">
        <v>1232</v>
      </c>
      <c r="C182" s="17" t="s">
        <v>1233</v>
      </c>
      <c r="D182" s="16" t="s">
        <v>273</v>
      </c>
      <c r="E182" s="16" t="s">
        <v>605</v>
      </c>
      <c r="F182" s="16">
        <v>0.45369999999999999</v>
      </c>
      <c r="G182" s="16" t="s">
        <v>606</v>
      </c>
      <c r="H182" s="16" t="s">
        <v>1183</v>
      </c>
      <c r="I182" s="16" t="s">
        <v>273</v>
      </c>
    </row>
    <row r="183" spans="1:9" x14ac:dyDescent="0.35">
      <c r="A183" s="16" t="s">
        <v>1234</v>
      </c>
      <c r="B183" s="17" t="s">
        <v>1235</v>
      </c>
      <c r="C183" s="17" t="s">
        <v>1236</v>
      </c>
      <c r="D183" s="16"/>
      <c r="E183" s="16"/>
      <c r="F183" s="16"/>
      <c r="G183" s="16"/>
      <c r="H183" s="16"/>
      <c r="I183" s="16" t="s">
        <v>633</v>
      </c>
    </row>
    <row r="184" spans="1:9" x14ac:dyDescent="0.35">
      <c r="A184" s="16" t="s">
        <v>1237</v>
      </c>
      <c r="B184" s="17" t="s">
        <v>1238</v>
      </c>
      <c r="C184" s="17" t="s">
        <v>1239</v>
      </c>
      <c r="D184" s="16" t="s">
        <v>5</v>
      </c>
      <c r="E184" s="16" t="s">
        <v>86</v>
      </c>
      <c r="F184" s="16">
        <v>0.8</v>
      </c>
      <c r="G184" s="16"/>
      <c r="H184" s="16"/>
      <c r="I184" s="16" t="s">
        <v>5</v>
      </c>
    </row>
    <row r="185" spans="1:9" x14ac:dyDescent="0.35">
      <c r="A185" s="16" t="s">
        <v>1240</v>
      </c>
      <c r="B185" s="17" t="s">
        <v>1241</v>
      </c>
      <c r="C185" s="17" t="s">
        <v>1242</v>
      </c>
      <c r="D185" s="16"/>
      <c r="E185" s="16"/>
      <c r="F185" s="16"/>
      <c r="G185" s="16"/>
      <c r="H185" s="16"/>
      <c r="I185" s="16" t="s">
        <v>633</v>
      </c>
    </row>
    <row r="186" spans="1:9" x14ac:dyDescent="0.35">
      <c r="A186" s="16" t="s">
        <v>1243</v>
      </c>
      <c r="B186" s="17" t="s">
        <v>1244</v>
      </c>
      <c r="C186" s="17" t="s">
        <v>1245</v>
      </c>
      <c r="D186" s="16" t="s">
        <v>273</v>
      </c>
      <c r="E186" s="16" t="s">
        <v>448</v>
      </c>
      <c r="F186" s="16">
        <v>0.27510000000000001</v>
      </c>
      <c r="G186" s="16" t="s">
        <v>1246</v>
      </c>
      <c r="H186" s="16" t="s">
        <v>450</v>
      </c>
      <c r="I186" s="16" t="s">
        <v>273</v>
      </c>
    </row>
    <row r="187" spans="1:9" x14ac:dyDescent="0.35">
      <c r="A187" s="16" t="s">
        <v>451</v>
      </c>
      <c r="B187" s="17" t="s">
        <v>446</v>
      </c>
      <c r="C187" s="17" t="s">
        <v>445</v>
      </c>
      <c r="D187" s="16" t="s">
        <v>273</v>
      </c>
      <c r="E187" s="16" t="s">
        <v>448</v>
      </c>
      <c r="F187" s="16">
        <v>0.35099999999999998</v>
      </c>
      <c r="G187" s="16" t="s">
        <v>449</v>
      </c>
      <c r="H187" s="16" t="s">
        <v>450</v>
      </c>
      <c r="I187" s="16" t="s">
        <v>273</v>
      </c>
    </row>
    <row r="188" spans="1:9" ht="70" x14ac:dyDescent="0.35">
      <c r="A188" s="16" t="s">
        <v>1247</v>
      </c>
      <c r="B188" s="17" t="s">
        <v>1248</v>
      </c>
      <c r="C188" s="17" t="s">
        <v>1249</v>
      </c>
      <c r="D188" s="16" t="s">
        <v>273</v>
      </c>
      <c r="E188" s="16" t="s">
        <v>847</v>
      </c>
      <c r="F188" s="16">
        <v>0.21609999999999999</v>
      </c>
      <c r="G188" s="16"/>
      <c r="H188" s="16"/>
      <c r="I188" s="16" t="s">
        <v>273</v>
      </c>
    </row>
    <row r="189" spans="1:9" x14ac:dyDescent="0.35">
      <c r="A189" s="16" t="s">
        <v>1250</v>
      </c>
      <c r="B189" s="17"/>
      <c r="C189" s="17"/>
      <c r="D189" s="16"/>
      <c r="E189" s="16"/>
      <c r="F189" s="16"/>
      <c r="G189" s="16"/>
      <c r="H189" s="16"/>
      <c r="I189" s="16" t="s">
        <v>698</v>
      </c>
    </row>
    <row r="190" spans="1:9" ht="56" x14ac:dyDescent="0.35">
      <c r="A190" s="16" t="s">
        <v>1251</v>
      </c>
      <c r="B190" s="17" t="s">
        <v>1252</v>
      </c>
      <c r="C190" s="17" t="s">
        <v>1253</v>
      </c>
      <c r="D190" s="16" t="s">
        <v>273</v>
      </c>
      <c r="E190" s="16" t="s">
        <v>1254</v>
      </c>
      <c r="F190" s="16">
        <v>0.23899999999999999</v>
      </c>
      <c r="G190" s="16" t="s">
        <v>564</v>
      </c>
      <c r="H190" s="16"/>
      <c r="I190" s="16" t="s">
        <v>273</v>
      </c>
    </row>
    <row r="191" spans="1:9" x14ac:dyDescent="0.35">
      <c r="A191" s="16" t="s">
        <v>1255</v>
      </c>
      <c r="B191" s="17"/>
      <c r="C191" s="17"/>
      <c r="D191" s="16"/>
      <c r="E191" s="16"/>
      <c r="F191" s="16"/>
      <c r="G191" s="16"/>
      <c r="H191" s="16"/>
      <c r="I191" s="16" t="s">
        <v>698</v>
      </c>
    </row>
    <row r="192" spans="1:9" x14ac:dyDescent="0.35">
      <c r="A192" s="16" t="s">
        <v>1256</v>
      </c>
      <c r="B192" s="17" t="s">
        <v>1257</v>
      </c>
      <c r="C192" s="17" t="s">
        <v>1257</v>
      </c>
      <c r="D192" s="16" t="s">
        <v>273</v>
      </c>
      <c r="E192" s="16" t="s">
        <v>1258</v>
      </c>
      <c r="F192" s="16">
        <v>0.43980000000000002</v>
      </c>
      <c r="G192" s="16" t="s">
        <v>1259</v>
      </c>
      <c r="H192" s="16" t="s">
        <v>1260</v>
      </c>
      <c r="I192" s="16" t="s">
        <v>273</v>
      </c>
    </row>
    <row r="193" spans="1:9" x14ac:dyDescent="0.35">
      <c r="A193" s="16" t="s">
        <v>1261</v>
      </c>
      <c r="B193" s="17" t="s">
        <v>1257</v>
      </c>
      <c r="C193" s="17" t="s">
        <v>1257</v>
      </c>
      <c r="D193" s="16" t="s">
        <v>273</v>
      </c>
      <c r="E193" s="16" t="s">
        <v>1258</v>
      </c>
      <c r="F193" s="16">
        <v>0.43980000000000002</v>
      </c>
      <c r="G193" s="16" t="s">
        <v>1259</v>
      </c>
      <c r="H193" s="16" t="s">
        <v>1260</v>
      </c>
      <c r="I193" s="16" t="s">
        <v>273</v>
      </c>
    </row>
    <row r="194" spans="1:9" x14ac:dyDescent="0.35">
      <c r="A194" s="16" t="s">
        <v>36</v>
      </c>
      <c r="B194" s="17" t="s">
        <v>33</v>
      </c>
      <c r="C194" s="17" t="s">
        <v>33</v>
      </c>
      <c r="D194" s="16" t="s">
        <v>22</v>
      </c>
      <c r="E194" s="16" t="s">
        <v>34</v>
      </c>
      <c r="F194" s="16">
        <v>0.8</v>
      </c>
      <c r="G194" s="16" t="s">
        <v>35</v>
      </c>
      <c r="H194" s="16"/>
      <c r="I194" s="16" t="s">
        <v>22</v>
      </c>
    </row>
    <row r="195" spans="1:9" ht="28" x14ac:dyDescent="0.35">
      <c r="A195" s="16" t="s">
        <v>126</v>
      </c>
      <c r="B195" s="17" t="s">
        <v>125</v>
      </c>
      <c r="C195" s="17" t="s">
        <v>124</v>
      </c>
      <c r="D195" s="16" t="s">
        <v>5</v>
      </c>
      <c r="E195" s="16" t="s">
        <v>67</v>
      </c>
      <c r="F195" s="16">
        <v>0.8</v>
      </c>
      <c r="G195" s="16"/>
      <c r="H195" s="16"/>
      <c r="I195" s="16" t="s">
        <v>5</v>
      </c>
    </row>
    <row r="196" spans="1:9" ht="28" x14ac:dyDescent="0.35">
      <c r="A196" s="16" t="s">
        <v>1262</v>
      </c>
      <c r="B196" s="17" t="s">
        <v>1263</v>
      </c>
      <c r="C196" s="17" t="s">
        <v>1264</v>
      </c>
      <c r="D196" s="16" t="s">
        <v>273</v>
      </c>
      <c r="E196" s="16" t="s">
        <v>1265</v>
      </c>
      <c r="F196" s="16">
        <v>0.39340000000000003</v>
      </c>
      <c r="G196" s="16" t="s">
        <v>1266</v>
      </c>
      <c r="H196" s="16" t="s">
        <v>1267</v>
      </c>
      <c r="I196" s="16" t="s">
        <v>273</v>
      </c>
    </row>
    <row r="197" spans="1:9" x14ac:dyDescent="0.35">
      <c r="A197" s="16" t="s">
        <v>1268</v>
      </c>
      <c r="B197" s="17" t="s">
        <v>1269</v>
      </c>
      <c r="C197" s="17" t="s">
        <v>1270</v>
      </c>
      <c r="D197" s="16" t="s">
        <v>273</v>
      </c>
      <c r="E197" s="16" t="s">
        <v>521</v>
      </c>
      <c r="F197" s="16">
        <v>0.39579999999999999</v>
      </c>
      <c r="G197" s="16" t="s">
        <v>1227</v>
      </c>
      <c r="H197" s="16" t="s">
        <v>1271</v>
      </c>
      <c r="I197" s="16" t="s">
        <v>273</v>
      </c>
    </row>
    <row r="198" spans="1:9" x14ac:dyDescent="0.35">
      <c r="A198" s="16" t="s">
        <v>1272</v>
      </c>
      <c r="B198" s="17" t="s">
        <v>1273</v>
      </c>
      <c r="C198" s="17" t="s">
        <v>1274</v>
      </c>
      <c r="D198" s="16" t="s">
        <v>273</v>
      </c>
      <c r="E198" s="16" t="s">
        <v>450</v>
      </c>
      <c r="F198" s="16">
        <v>0.47560000000000002</v>
      </c>
      <c r="G198" s="16" t="s">
        <v>522</v>
      </c>
      <c r="H198" s="16" t="s">
        <v>521</v>
      </c>
      <c r="I198" s="16" t="s">
        <v>273</v>
      </c>
    </row>
    <row r="199" spans="1:9" ht="182" x14ac:dyDescent="0.35">
      <c r="A199" s="16" t="s">
        <v>1275</v>
      </c>
      <c r="B199" s="17" t="s">
        <v>1276</v>
      </c>
      <c r="C199" s="17" t="s">
        <v>1277</v>
      </c>
      <c r="D199" s="16"/>
      <c r="E199" s="16"/>
      <c r="F199" s="16"/>
      <c r="G199" s="16"/>
      <c r="H199" s="16"/>
      <c r="I199" s="16" t="s">
        <v>633</v>
      </c>
    </row>
    <row r="200" spans="1:9" x14ac:dyDescent="0.35">
      <c r="A200" s="16" t="s">
        <v>1278</v>
      </c>
      <c r="B200" s="17"/>
      <c r="C200" s="17"/>
      <c r="D200" s="16"/>
      <c r="E200" s="16"/>
      <c r="F200" s="16"/>
      <c r="G200" s="16"/>
      <c r="H200" s="16"/>
      <c r="I200" s="16" t="s">
        <v>698</v>
      </c>
    </row>
    <row r="201" spans="1:9" ht="28" x14ac:dyDescent="0.35">
      <c r="A201" s="16" t="s">
        <v>1279</v>
      </c>
      <c r="B201" s="17" t="s">
        <v>1280</v>
      </c>
      <c r="C201" s="17" t="s">
        <v>152</v>
      </c>
      <c r="D201" s="16" t="s">
        <v>22</v>
      </c>
      <c r="E201" s="16" t="s">
        <v>152</v>
      </c>
      <c r="F201" s="16">
        <v>1</v>
      </c>
      <c r="G201" s="16"/>
      <c r="H201" s="16"/>
      <c r="I201" s="16" t="s">
        <v>22</v>
      </c>
    </row>
    <row r="202" spans="1:9" ht="28" x14ac:dyDescent="0.35">
      <c r="A202" s="16" t="s">
        <v>122</v>
      </c>
      <c r="B202" s="17" t="s">
        <v>120</v>
      </c>
      <c r="C202" s="17" t="s">
        <v>1281</v>
      </c>
      <c r="D202" s="16" t="s">
        <v>5</v>
      </c>
      <c r="E202" s="16" t="s">
        <v>121</v>
      </c>
      <c r="F202" s="16">
        <v>0.8</v>
      </c>
      <c r="G202" s="16" t="s">
        <v>443</v>
      </c>
      <c r="H202" s="16" t="s">
        <v>302</v>
      </c>
      <c r="I202" s="16" t="s">
        <v>5</v>
      </c>
    </row>
    <row r="203" spans="1:9" x14ac:dyDescent="0.35">
      <c r="A203" s="16" t="s">
        <v>1282</v>
      </c>
      <c r="B203" s="17" t="s">
        <v>1283</v>
      </c>
      <c r="C203" s="17" t="s">
        <v>1283</v>
      </c>
      <c r="D203" s="16" t="s">
        <v>273</v>
      </c>
      <c r="E203" s="16" t="s">
        <v>1284</v>
      </c>
      <c r="F203" s="16">
        <v>0.35049999999999998</v>
      </c>
      <c r="G203" s="16" t="s">
        <v>578</v>
      </c>
      <c r="H203" s="16" t="s">
        <v>1285</v>
      </c>
      <c r="I203" s="16" t="s">
        <v>273</v>
      </c>
    </row>
    <row r="204" spans="1:9" ht="28" x14ac:dyDescent="0.35">
      <c r="A204" s="16" t="s">
        <v>1286</v>
      </c>
      <c r="B204" s="17" t="s">
        <v>1287</v>
      </c>
      <c r="C204" s="17" t="s">
        <v>1288</v>
      </c>
      <c r="D204" s="16" t="s">
        <v>273</v>
      </c>
      <c r="E204" s="16" t="s">
        <v>1284</v>
      </c>
      <c r="F204" s="16">
        <v>0.30459999999999998</v>
      </c>
      <c r="G204" s="16" t="s">
        <v>1285</v>
      </c>
      <c r="H204" s="16" t="s">
        <v>578</v>
      </c>
      <c r="I204" s="16" t="s">
        <v>273</v>
      </c>
    </row>
    <row r="205" spans="1:9" ht="98" x14ac:dyDescent="0.35">
      <c r="A205" s="16" t="s">
        <v>635</v>
      </c>
      <c r="B205" s="17" t="s">
        <v>632</v>
      </c>
      <c r="C205" s="17" t="s">
        <v>631</v>
      </c>
      <c r="D205" s="16"/>
      <c r="E205" s="16"/>
      <c r="F205" s="16"/>
      <c r="G205" s="16"/>
      <c r="H205" s="16"/>
      <c r="I205" s="16" t="s">
        <v>633</v>
      </c>
    </row>
    <row r="206" spans="1:9" ht="28" x14ac:dyDescent="0.35">
      <c r="A206" s="16" t="s">
        <v>1289</v>
      </c>
      <c r="B206" s="17" t="s">
        <v>1290</v>
      </c>
      <c r="C206" s="17" t="s">
        <v>1291</v>
      </c>
      <c r="D206" s="16" t="s">
        <v>273</v>
      </c>
      <c r="E206" s="16" t="s">
        <v>1258</v>
      </c>
      <c r="F206" s="16">
        <v>0.23350000000000001</v>
      </c>
      <c r="G206" s="16" t="s">
        <v>1292</v>
      </c>
      <c r="H206" s="16"/>
      <c r="I206" s="16" t="s">
        <v>273</v>
      </c>
    </row>
    <row r="207" spans="1:9" x14ac:dyDescent="0.35">
      <c r="A207" s="16" t="s">
        <v>1293</v>
      </c>
      <c r="B207" s="17"/>
      <c r="C207" s="17"/>
      <c r="D207" s="16"/>
      <c r="E207" s="16"/>
      <c r="F207" s="16"/>
      <c r="G207" s="16"/>
      <c r="H207" s="16"/>
      <c r="I207" s="16" t="s">
        <v>698</v>
      </c>
    </row>
    <row r="208" spans="1:9" x14ac:dyDescent="0.35">
      <c r="A208" s="16" t="s">
        <v>1294</v>
      </c>
      <c r="B208" s="17"/>
      <c r="C208" s="17"/>
      <c r="D208" s="16"/>
      <c r="E208" s="16"/>
      <c r="F208" s="16"/>
      <c r="G208" s="16"/>
      <c r="H208" s="16"/>
      <c r="I208" s="16" t="s">
        <v>698</v>
      </c>
    </row>
    <row r="209" spans="1:9" x14ac:dyDescent="0.35">
      <c r="A209" s="16" t="s">
        <v>1295</v>
      </c>
      <c r="B209" s="17" t="s">
        <v>1296</v>
      </c>
      <c r="C209" s="17" t="s">
        <v>596</v>
      </c>
      <c r="D209" s="16" t="s">
        <v>273</v>
      </c>
      <c r="E209" s="16" t="s">
        <v>599</v>
      </c>
      <c r="F209" s="16">
        <v>0.4103</v>
      </c>
      <c r="G209" s="16" t="s">
        <v>600</v>
      </c>
      <c r="H209" s="16" t="s">
        <v>601</v>
      </c>
      <c r="I209" s="16" t="s">
        <v>273</v>
      </c>
    </row>
    <row r="210" spans="1:9" ht="70" x14ac:dyDescent="0.35">
      <c r="A210" s="16" t="s">
        <v>1297</v>
      </c>
      <c r="B210" s="17" t="s">
        <v>1298</v>
      </c>
      <c r="C210" s="17" t="s">
        <v>1299</v>
      </c>
      <c r="D210" s="16"/>
      <c r="E210" s="16"/>
      <c r="F210" s="16"/>
      <c r="G210" s="16"/>
      <c r="H210" s="16"/>
      <c r="I210" s="16" t="s">
        <v>633</v>
      </c>
    </row>
    <row r="211" spans="1:9" ht="70" x14ac:dyDescent="0.35">
      <c r="A211" s="16" t="s">
        <v>651</v>
      </c>
      <c r="B211" s="17" t="s">
        <v>649</v>
      </c>
      <c r="C211" s="17" t="s">
        <v>648</v>
      </c>
      <c r="D211" s="16"/>
      <c r="E211" s="16"/>
      <c r="F211" s="16"/>
      <c r="G211" s="16"/>
      <c r="H211" s="16"/>
      <c r="I211" s="16" t="s">
        <v>633</v>
      </c>
    </row>
    <row r="212" spans="1:9" ht="98" x14ac:dyDescent="0.35">
      <c r="A212" s="16" t="s">
        <v>313</v>
      </c>
      <c r="B212" s="17" t="s">
        <v>308</v>
      </c>
      <c r="C212" s="17" t="s">
        <v>1300</v>
      </c>
      <c r="D212" s="16" t="s">
        <v>273</v>
      </c>
      <c r="E212" s="16" t="s">
        <v>578</v>
      </c>
      <c r="F212" s="16">
        <v>0.37840000000000001</v>
      </c>
      <c r="G212" s="16" t="s">
        <v>1301</v>
      </c>
      <c r="H212" s="16" t="s">
        <v>310</v>
      </c>
      <c r="I212" s="16" t="s">
        <v>273</v>
      </c>
    </row>
    <row r="213" spans="1:9" x14ac:dyDescent="0.35">
      <c r="A213" s="16" t="s">
        <v>1302</v>
      </c>
      <c r="B213" s="17"/>
      <c r="C213" s="17"/>
      <c r="D213" s="16"/>
      <c r="E213" s="16"/>
      <c r="F213" s="16"/>
      <c r="G213" s="16"/>
      <c r="H213" s="16"/>
      <c r="I213" s="16" t="s">
        <v>698</v>
      </c>
    </row>
    <row r="214" spans="1:9" x14ac:dyDescent="0.35">
      <c r="A214" s="16" t="s">
        <v>1303</v>
      </c>
      <c r="B214" s="17"/>
      <c r="C214" s="17"/>
      <c r="D214" s="16"/>
      <c r="E214" s="16"/>
      <c r="F214" s="16"/>
      <c r="G214" s="16"/>
      <c r="H214" s="16"/>
      <c r="I214" s="16" t="s">
        <v>698</v>
      </c>
    </row>
    <row r="215" spans="1:9" x14ac:dyDescent="0.35">
      <c r="A215" s="16" t="s">
        <v>40</v>
      </c>
      <c r="B215" s="17" t="s">
        <v>39</v>
      </c>
      <c r="C215" s="17" t="s">
        <v>38</v>
      </c>
      <c r="D215" s="16" t="s">
        <v>22</v>
      </c>
      <c r="E215" s="16" t="s">
        <v>38</v>
      </c>
      <c r="F215" s="16">
        <v>1</v>
      </c>
      <c r="G215" s="16"/>
      <c r="H215" s="16"/>
      <c r="I215" s="16" t="s">
        <v>22</v>
      </c>
    </row>
    <row r="216" spans="1:9" x14ac:dyDescent="0.35">
      <c r="A216" s="16" t="s">
        <v>1304</v>
      </c>
      <c r="B216" s="17" t="s">
        <v>1305</v>
      </c>
      <c r="C216" s="17" t="s">
        <v>1306</v>
      </c>
      <c r="D216" s="16" t="s">
        <v>273</v>
      </c>
      <c r="E216" s="16" t="s">
        <v>1307</v>
      </c>
      <c r="F216" s="16">
        <v>0.3382</v>
      </c>
      <c r="G216" s="16" t="s">
        <v>1308</v>
      </c>
      <c r="H216" s="16" t="s">
        <v>310</v>
      </c>
      <c r="I216" s="16" t="s">
        <v>273</v>
      </c>
    </row>
    <row r="217" spans="1:9" ht="42" x14ac:dyDescent="0.35">
      <c r="A217" s="16" t="s">
        <v>1309</v>
      </c>
      <c r="B217" s="17" t="s">
        <v>1310</v>
      </c>
      <c r="C217" s="17" t="s">
        <v>1311</v>
      </c>
      <c r="D217" s="16" t="s">
        <v>5</v>
      </c>
      <c r="E217" s="16" t="s">
        <v>67</v>
      </c>
      <c r="F217" s="16">
        <v>0.8</v>
      </c>
      <c r="G217" s="16"/>
      <c r="H217" s="16"/>
      <c r="I217" s="16" t="s">
        <v>5</v>
      </c>
    </row>
    <row r="218" spans="1:9" x14ac:dyDescent="0.35">
      <c r="A218" s="16" t="s">
        <v>1312</v>
      </c>
      <c r="B218" s="17" t="s">
        <v>1313</v>
      </c>
      <c r="C218" s="17" t="s">
        <v>1314</v>
      </c>
      <c r="D218" s="16" t="s">
        <v>273</v>
      </c>
      <c r="E218" s="16" t="s">
        <v>310</v>
      </c>
      <c r="F218" s="16">
        <v>0.39460000000000001</v>
      </c>
      <c r="G218" s="16" t="s">
        <v>1307</v>
      </c>
      <c r="H218" s="16" t="s">
        <v>1227</v>
      </c>
      <c r="I218" s="16" t="s">
        <v>273</v>
      </c>
    </row>
    <row r="219" spans="1:9" ht="28" x14ac:dyDescent="0.35">
      <c r="A219" s="16" t="s">
        <v>1315</v>
      </c>
      <c r="B219" s="17" t="s">
        <v>1316</v>
      </c>
      <c r="C219" s="17" t="s">
        <v>1317</v>
      </c>
      <c r="D219" s="16" t="s">
        <v>186</v>
      </c>
      <c r="E219" s="16" t="s">
        <v>1318</v>
      </c>
      <c r="F219" s="16">
        <v>0.6</v>
      </c>
      <c r="G219" s="16"/>
      <c r="H219" s="16"/>
      <c r="I219" s="16" t="s">
        <v>186</v>
      </c>
    </row>
    <row r="220" spans="1:9" x14ac:dyDescent="0.35">
      <c r="A220" s="16" t="s">
        <v>676</v>
      </c>
      <c r="B220" s="17" t="s">
        <v>674</v>
      </c>
      <c r="C220" s="17" t="s">
        <v>673</v>
      </c>
      <c r="D220" s="16"/>
      <c r="E220" s="16"/>
      <c r="F220" s="16"/>
      <c r="G220" s="16"/>
      <c r="H220" s="16"/>
      <c r="I220" s="16" t="s">
        <v>633</v>
      </c>
    </row>
    <row r="221" spans="1:9" x14ac:dyDescent="0.35">
      <c r="A221" s="16" t="s">
        <v>1319</v>
      </c>
      <c r="B221" s="17" t="s">
        <v>1320</v>
      </c>
      <c r="C221" s="17" t="s">
        <v>1321</v>
      </c>
      <c r="D221" s="16" t="s">
        <v>273</v>
      </c>
      <c r="E221" s="16" t="s">
        <v>1322</v>
      </c>
      <c r="F221" s="16">
        <v>0.29670000000000002</v>
      </c>
      <c r="G221" s="16" t="s">
        <v>1323</v>
      </c>
      <c r="H221" s="16" t="s">
        <v>1324</v>
      </c>
      <c r="I221" s="16" t="s">
        <v>273</v>
      </c>
    </row>
    <row r="222" spans="1:9" ht="42" x14ac:dyDescent="0.35">
      <c r="A222" s="16" t="s">
        <v>1325</v>
      </c>
      <c r="B222" s="17" t="s">
        <v>1326</v>
      </c>
      <c r="C222" s="17" t="s">
        <v>1327</v>
      </c>
      <c r="D222" s="16" t="s">
        <v>5</v>
      </c>
      <c r="E222" s="16" t="s">
        <v>1328</v>
      </c>
      <c r="F222" s="16">
        <v>0.8</v>
      </c>
      <c r="G222" s="16"/>
      <c r="H222" s="16"/>
      <c r="I222" s="16" t="s">
        <v>5</v>
      </c>
    </row>
    <row r="223" spans="1:9" x14ac:dyDescent="0.35">
      <c r="A223" s="16" t="s">
        <v>1329</v>
      </c>
      <c r="B223" s="17"/>
      <c r="C223" s="17"/>
      <c r="D223" s="16"/>
      <c r="E223" s="16"/>
      <c r="F223" s="16"/>
      <c r="G223" s="16"/>
      <c r="H223" s="16"/>
      <c r="I223" s="16" t="s">
        <v>698</v>
      </c>
    </row>
    <row r="224" spans="1:9" x14ac:dyDescent="0.35">
      <c r="A224" s="16" t="s">
        <v>699</v>
      </c>
      <c r="B224" s="17"/>
      <c r="C224" s="17"/>
      <c r="D224" s="16"/>
      <c r="E224" s="16"/>
      <c r="F224" s="16"/>
      <c r="G224" s="16"/>
      <c r="H224" s="16"/>
      <c r="I224" s="16" t="s">
        <v>698</v>
      </c>
    </row>
    <row r="225" spans="1:9" ht="28" x14ac:dyDescent="0.35">
      <c r="A225" s="16" t="s">
        <v>1330</v>
      </c>
      <c r="B225" s="17" t="s">
        <v>1331</v>
      </c>
      <c r="C225" s="17" t="s">
        <v>1332</v>
      </c>
      <c r="D225" s="16" t="s">
        <v>273</v>
      </c>
      <c r="E225" s="16" t="s">
        <v>1333</v>
      </c>
      <c r="F225" s="16">
        <v>0.20499999999999999</v>
      </c>
      <c r="G225" s="16"/>
      <c r="H225" s="16"/>
      <c r="I225" s="16" t="s">
        <v>273</v>
      </c>
    </row>
    <row r="226" spans="1:9" x14ac:dyDescent="0.35">
      <c r="A226" s="16" t="s">
        <v>1334</v>
      </c>
      <c r="B226" s="17"/>
      <c r="C226" s="17"/>
      <c r="D226" s="16"/>
      <c r="E226" s="16"/>
      <c r="F226" s="16"/>
      <c r="G226" s="16"/>
      <c r="H226" s="16"/>
      <c r="I226" s="16" t="s">
        <v>698</v>
      </c>
    </row>
    <row r="227" spans="1:9" x14ac:dyDescent="0.35">
      <c r="A227" s="16" t="s">
        <v>1335</v>
      </c>
      <c r="B227" s="17" t="s">
        <v>1336</v>
      </c>
      <c r="C227" s="17" t="s">
        <v>445</v>
      </c>
      <c r="D227" s="16" t="s">
        <v>273</v>
      </c>
      <c r="E227" s="16" t="s">
        <v>448</v>
      </c>
      <c r="F227" s="16">
        <v>0.35099999999999998</v>
      </c>
      <c r="G227" s="16" t="s">
        <v>449</v>
      </c>
      <c r="H227" s="16" t="s">
        <v>450</v>
      </c>
      <c r="I227" s="16" t="s">
        <v>273</v>
      </c>
    </row>
    <row r="228" spans="1:9" x14ac:dyDescent="0.35">
      <c r="A228" s="16" t="s">
        <v>1337</v>
      </c>
      <c r="B228" s="17" t="s">
        <v>1338</v>
      </c>
      <c r="C228" s="17" t="s">
        <v>1339</v>
      </c>
      <c r="D228" s="16" t="s">
        <v>273</v>
      </c>
      <c r="E228" s="16" t="s">
        <v>1340</v>
      </c>
      <c r="F228" s="16">
        <v>0.36730000000000002</v>
      </c>
      <c r="G228" s="16" t="s">
        <v>1341</v>
      </c>
      <c r="H228" s="16" t="s">
        <v>1342</v>
      </c>
      <c r="I228" s="16" t="s">
        <v>273</v>
      </c>
    </row>
    <row r="229" spans="1:9" x14ac:dyDescent="0.35">
      <c r="A229" s="16" t="s">
        <v>1343</v>
      </c>
      <c r="B229" s="17" t="s">
        <v>1344</v>
      </c>
      <c r="C229" s="17" t="s">
        <v>1344</v>
      </c>
      <c r="D229" s="16" t="s">
        <v>273</v>
      </c>
      <c r="E229" s="16" t="s">
        <v>1258</v>
      </c>
      <c r="F229" s="16">
        <v>0.38919999999999999</v>
      </c>
      <c r="G229" s="16" t="s">
        <v>1345</v>
      </c>
      <c r="H229" s="16" t="s">
        <v>1346</v>
      </c>
      <c r="I229" s="16" t="s">
        <v>273</v>
      </c>
    </row>
    <row r="230" spans="1:9" x14ac:dyDescent="0.35">
      <c r="A230" s="16" t="s">
        <v>1347</v>
      </c>
      <c r="B230" s="17" t="s">
        <v>1348</v>
      </c>
      <c r="C230" s="17" t="s">
        <v>1349</v>
      </c>
      <c r="D230" s="16" t="s">
        <v>273</v>
      </c>
      <c r="E230" s="16" t="s">
        <v>1350</v>
      </c>
      <c r="F230" s="16">
        <v>0.3947</v>
      </c>
      <c r="G230" s="16" t="s">
        <v>1351</v>
      </c>
      <c r="H230" s="16" t="s">
        <v>1352</v>
      </c>
      <c r="I230" s="16" t="s">
        <v>273</v>
      </c>
    </row>
    <row r="231" spans="1:9" ht="28" x14ac:dyDescent="0.35">
      <c r="A231" s="16" t="s">
        <v>1353</v>
      </c>
      <c r="B231" s="17" t="s">
        <v>1354</v>
      </c>
      <c r="C231" s="17" t="s">
        <v>1355</v>
      </c>
      <c r="D231" s="16"/>
      <c r="E231" s="16"/>
      <c r="F231" s="16"/>
      <c r="G231" s="16"/>
      <c r="H231" s="16"/>
      <c r="I231" s="16" t="s">
        <v>633</v>
      </c>
    </row>
    <row r="232" spans="1:9" x14ac:dyDescent="0.35">
      <c r="A232" s="16" t="s">
        <v>1356</v>
      </c>
      <c r="B232" s="17" t="s">
        <v>1357</v>
      </c>
      <c r="C232" s="17" t="s">
        <v>1357</v>
      </c>
      <c r="D232" s="16" t="s">
        <v>273</v>
      </c>
      <c r="E232" s="16" t="s">
        <v>1358</v>
      </c>
      <c r="F232" s="16">
        <v>0.32100000000000001</v>
      </c>
      <c r="G232" s="16" t="s">
        <v>1359</v>
      </c>
      <c r="H232" s="16" t="s">
        <v>1360</v>
      </c>
      <c r="I232" s="16" t="s">
        <v>273</v>
      </c>
    </row>
    <row r="233" spans="1:9" ht="28" x14ac:dyDescent="0.35">
      <c r="A233" s="16" t="s">
        <v>1361</v>
      </c>
      <c r="B233" s="17" t="s">
        <v>1362</v>
      </c>
      <c r="C233" s="17" t="s">
        <v>1363</v>
      </c>
      <c r="D233" s="16" t="s">
        <v>273</v>
      </c>
      <c r="E233" s="16" t="s">
        <v>1364</v>
      </c>
      <c r="F233" s="16">
        <v>0.23469999999999999</v>
      </c>
      <c r="G233" s="16" t="s">
        <v>1365</v>
      </c>
      <c r="H233" s="16"/>
      <c r="I233" s="16" t="s">
        <v>273</v>
      </c>
    </row>
    <row r="234" spans="1:9" x14ac:dyDescent="0.35">
      <c r="A234" s="16" t="s">
        <v>1366</v>
      </c>
      <c r="B234" s="17"/>
      <c r="C234" s="17"/>
      <c r="D234" s="16"/>
      <c r="E234" s="16"/>
      <c r="F234" s="16"/>
      <c r="G234" s="16"/>
      <c r="H234" s="16"/>
      <c r="I234" s="16" t="s">
        <v>698</v>
      </c>
    </row>
    <row r="235" spans="1:9" ht="28" x14ac:dyDescent="0.35">
      <c r="A235" s="16" t="s">
        <v>1367</v>
      </c>
      <c r="B235" s="17" t="s">
        <v>1368</v>
      </c>
      <c r="C235" s="17" t="s">
        <v>1369</v>
      </c>
      <c r="D235" s="16" t="s">
        <v>5</v>
      </c>
      <c r="E235" s="16" t="s">
        <v>152</v>
      </c>
      <c r="F235" s="16">
        <v>0.8</v>
      </c>
      <c r="G235" s="16"/>
      <c r="H235" s="16"/>
      <c r="I235" s="16" t="s">
        <v>5</v>
      </c>
    </row>
    <row r="236" spans="1:9" x14ac:dyDescent="0.35">
      <c r="A236" s="16" t="s">
        <v>1370</v>
      </c>
      <c r="B236" s="17" t="s">
        <v>1371</v>
      </c>
      <c r="C236" s="17"/>
      <c r="D236" s="16"/>
      <c r="E236" s="16"/>
      <c r="F236" s="16"/>
      <c r="G236" s="16"/>
      <c r="H236" s="16"/>
      <c r="I236" s="16" t="s">
        <v>633</v>
      </c>
    </row>
    <row r="237" spans="1:9" x14ac:dyDescent="0.35">
      <c r="A237" s="16" t="s">
        <v>1372</v>
      </c>
      <c r="B237" s="17" t="s">
        <v>1373</v>
      </c>
      <c r="C237" s="17" t="s">
        <v>1373</v>
      </c>
      <c r="D237" s="16" t="s">
        <v>273</v>
      </c>
      <c r="E237" s="16" t="s">
        <v>1374</v>
      </c>
      <c r="F237" s="16">
        <v>0.21729999999999999</v>
      </c>
      <c r="G237" s="16" t="s">
        <v>1375</v>
      </c>
      <c r="H237" s="16"/>
      <c r="I237" s="16" t="s">
        <v>273</v>
      </c>
    </row>
    <row r="238" spans="1:9" ht="28" x14ac:dyDescent="0.35">
      <c r="A238" s="16" t="s">
        <v>345</v>
      </c>
      <c r="B238" s="17" t="s">
        <v>340</v>
      </c>
      <c r="C238" s="17" t="s">
        <v>339</v>
      </c>
      <c r="D238" s="16" t="s">
        <v>273</v>
      </c>
      <c r="E238" s="16" t="s">
        <v>342</v>
      </c>
      <c r="F238" s="16">
        <v>0.2477</v>
      </c>
      <c r="G238" s="16" t="s">
        <v>343</v>
      </c>
      <c r="H238" s="16" t="s">
        <v>344</v>
      </c>
      <c r="I238" s="16" t="s">
        <v>273</v>
      </c>
    </row>
    <row r="239" spans="1:9" x14ac:dyDescent="0.35">
      <c r="A239" s="16" t="s">
        <v>1376</v>
      </c>
      <c r="B239" s="17" t="s">
        <v>1377</v>
      </c>
      <c r="C239" s="17" t="s">
        <v>1378</v>
      </c>
      <c r="D239" s="16"/>
      <c r="E239" s="16"/>
      <c r="F239" s="16"/>
      <c r="G239" s="16"/>
      <c r="H239" s="16"/>
      <c r="I239" s="16" t="s">
        <v>633</v>
      </c>
    </row>
    <row r="240" spans="1:9" ht="28" x14ac:dyDescent="0.35">
      <c r="A240" s="16" t="s">
        <v>1379</v>
      </c>
      <c r="B240" s="17" t="s">
        <v>1380</v>
      </c>
      <c r="C240" s="17" t="s">
        <v>1381</v>
      </c>
      <c r="D240" s="16" t="s">
        <v>273</v>
      </c>
      <c r="E240" s="16" t="s">
        <v>1382</v>
      </c>
      <c r="F240" s="16">
        <v>0.2293</v>
      </c>
      <c r="G240" s="16"/>
      <c r="H240" s="16"/>
      <c r="I240" s="16" t="s">
        <v>273</v>
      </c>
    </row>
    <row r="241" spans="1:9" x14ac:dyDescent="0.35">
      <c r="A241" s="16" t="s">
        <v>1383</v>
      </c>
      <c r="B241" s="17" t="s">
        <v>1384</v>
      </c>
      <c r="C241" s="17" t="s">
        <v>1385</v>
      </c>
      <c r="D241" s="16" t="s">
        <v>273</v>
      </c>
      <c r="E241" s="16" t="s">
        <v>1386</v>
      </c>
      <c r="F241" s="16">
        <v>0.4204</v>
      </c>
      <c r="G241" s="16" t="s">
        <v>1387</v>
      </c>
      <c r="H241" s="16" t="s">
        <v>1388</v>
      </c>
      <c r="I241" s="16" t="s">
        <v>273</v>
      </c>
    </row>
    <row r="242" spans="1:9" x14ac:dyDescent="0.35">
      <c r="A242" s="16" t="s">
        <v>1389</v>
      </c>
      <c r="B242" s="17" t="s">
        <v>710</v>
      </c>
      <c r="C242" s="17"/>
      <c r="D242" s="16"/>
      <c r="E242" s="16"/>
      <c r="F242" s="16"/>
      <c r="G242" s="16"/>
      <c r="H242" s="16"/>
      <c r="I242" s="16" t="s">
        <v>633</v>
      </c>
    </row>
    <row r="243" spans="1:9" x14ac:dyDescent="0.35">
      <c r="A243" s="16" t="s">
        <v>1390</v>
      </c>
      <c r="B243" s="17"/>
      <c r="C243" s="17"/>
      <c r="D243" s="16"/>
      <c r="E243" s="16"/>
      <c r="F243" s="16"/>
      <c r="G243" s="16"/>
      <c r="H243" s="16"/>
      <c r="I243" s="16" t="s">
        <v>698</v>
      </c>
    </row>
    <row r="244" spans="1:9" ht="42" x14ac:dyDescent="0.35">
      <c r="A244" s="16" t="s">
        <v>1391</v>
      </c>
      <c r="B244" s="17" t="s">
        <v>1392</v>
      </c>
      <c r="C244" s="17" t="s">
        <v>1393</v>
      </c>
      <c r="D244" s="16"/>
      <c r="E244" s="16"/>
      <c r="F244" s="16"/>
      <c r="G244" s="16"/>
      <c r="H244" s="16"/>
      <c r="I244" s="16" t="s">
        <v>633</v>
      </c>
    </row>
    <row r="245" spans="1:9" x14ac:dyDescent="0.35">
      <c r="A245" s="16" t="s">
        <v>1394</v>
      </c>
      <c r="B245" s="17" t="s">
        <v>1395</v>
      </c>
      <c r="C245" s="17" t="s">
        <v>1395</v>
      </c>
      <c r="D245" s="16" t="s">
        <v>273</v>
      </c>
      <c r="E245" s="16" t="s">
        <v>1396</v>
      </c>
      <c r="F245" s="16">
        <v>0.31559999999999999</v>
      </c>
      <c r="G245" s="16" t="s">
        <v>302</v>
      </c>
      <c r="H245" s="16" t="s">
        <v>1397</v>
      </c>
      <c r="I245" s="16" t="s">
        <v>273</v>
      </c>
    </row>
    <row r="246" spans="1:9" x14ac:dyDescent="0.35">
      <c r="A246" s="16" t="s">
        <v>1398</v>
      </c>
      <c r="B246" s="17" t="s">
        <v>1399</v>
      </c>
      <c r="C246" s="17" t="s">
        <v>1400</v>
      </c>
      <c r="D246" s="16" t="s">
        <v>273</v>
      </c>
      <c r="E246" s="16" t="s">
        <v>1284</v>
      </c>
      <c r="F246" s="16">
        <v>0.38929999999999998</v>
      </c>
      <c r="G246" s="16" t="s">
        <v>1285</v>
      </c>
      <c r="H246" s="16" t="s">
        <v>578</v>
      </c>
      <c r="I246" s="16" t="s">
        <v>273</v>
      </c>
    </row>
    <row r="247" spans="1:9" x14ac:dyDescent="0.35">
      <c r="A247" s="16" t="s">
        <v>1401</v>
      </c>
      <c r="B247" s="17" t="s">
        <v>1402</v>
      </c>
      <c r="C247" s="17" t="s">
        <v>1403</v>
      </c>
      <c r="D247" s="16" t="s">
        <v>273</v>
      </c>
      <c r="E247" s="16" t="s">
        <v>1404</v>
      </c>
      <c r="F247" s="16">
        <v>0.3044</v>
      </c>
      <c r="G247" s="16" t="s">
        <v>1405</v>
      </c>
      <c r="H247" s="16"/>
      <c r="I247" s="16" t="s">
        <v>273</v>
      </c>
    </row>
    <row r="248" spans="1:9" ht="28" x14ac:dyDescent="0.35">
      <c r="A248" s="16" t="s">
        <v>1406</v>
      </c>
      <c r="B248" s="17" t="s">
        <v>1407</v>
      </c>
      <c r="C248" s="17" t="s">
        <v>1408</v>
      </c>
      <c r="D248" s="16" t="s">
        <v>273</v>
      </c>
      <c r="E248" s="16" t="s">
        <v>611</v>
      </c>
      <c r="F248" s="16">
        <v>0.24410000000000001</v>
      </c>
      <c r="G248" s="16" t="s">
        <v>1409</v>
      </c>
      <c r="H248" s="16" t="s">
        <v>1410</v>
      </c>
      <c r="I248" s="16" t="s">
        <v>273</v>
      </c>
    </row>
    <row r="249" spans="1:9" x14ac:dyDescent="0.35">
      <c r="A249" s="16" t="s">
        <v>1411</v>
      </c>
      <c r="B249" s="17" t="s">
        <v>1384</v>
      </c>
      <c r="C249" s="17" t="s">
        <v>1385</v>
      </c>
      <c r="D249" s="16" t="s">
        <v>273</v>
      </c>
      <c r="E249" s="16" t="s">
        <v>1386</v>
      </c>
      <c r="F249" s="16">
        <v>0.4204</v>
      </c>
      <c r="G249" s="16" t="s">
        <v>1387</v>
      </c>
      <c r="H249" s="16" t="s">
        <v>1388</v>
      </c>
      <c r="I249" s="16" t="s">
        <v>273</v>
      </c>
    </row>
    <row r="250" spans="1:9" x14ac:dyDescent="0.35">
      <c r="A250" s="16" t="s">
        <v>1412</v>
      </c>
      <c r="B250" s="17" t="s">
        <v>1384</v>
      </c>
      <c r="C250" s="17" t="s">
        <v>1385</v>
      </c>
      <c r="D250" s="16" t="s">
        <v>273</v>
      </c>
      <c r="E250" s="16" t="s">
        <v>1386</v>
      </c>
      <c r="F250" s="16">
        <v>0.4204</v>
      </c>
      <c r="G250" s="16" t="s">
        <v>1387</v>
      </c>
      <c r="H250" s="16" t="s">
        <v>1388</v>
      </c>
      <c r="I250" s="16" t="s">
        <v>273</v>
      </c>
    </row>
    <row r="251" spans="1:9" x14ac:dyDescent="0.35">
      <c r="A251" s="16" t="s">
        <v>1413</v>
      </c>
      <c r="B251" s="17" t="s">
        <v>1384</v>
      </c>
      <c r="C251" s="17" t="s">
        <v>1385</v>
      </c>
      <c r="D251" s="16" t="s">
        <v>273</v>
      </c>
      <c r="E251" s="16" t="s">
        <v>1386</v>
      </c>
      <c r="F251" s="16">
        <v>0.4204</v>
      </c>
      <c r="G251" s="16" t="s">
        <v>1387</v>
      </c>
      <c r="H251" s="16" t="s">
        <v>1388</v>
      </c>
      <c r="I251" s="16" t="s">
        <v>273</v>
      </c>
    </row>
    <row r="252" spans="1:9" x14ac:dyDescent="0.35">
      <c r="A252" s="16" t="s">
        <v>1414</v>
      </c>
      <c r="B252" s="17" t="s">
        <v>1415</v>
      </c>
      <c r="C252" s="17" t="s">
        <v>1416</v>
      </c>
      <c r="D252" s="16" t="s">
        <v>273</v>
      </c>
      <c r="E252" s="16" t="s">
        <v>343</v>
      </c>
      <c r="F252" s="16">
        <v>0.35120000000000001</v>
      </c>
      <c r="G252" s="16" t="s">
        <v>1417</v>
      </c>
      <c r="H252" s="16" t="s">
        <v>450</v>
      </c>
      <c r="I252" s="16" t="s">
        <v>273</v>
      </c>
    </row>
    <row r="253" spans="1:9" x14ac:dyDescent="0.35">
      <c r="A253" s="16" t="s">
        <v>1418</v>
      </c>
      <c r="B253" s="17"/>
      <c r="C253" s="17"/>
      <c r="D253" s="16"/>
      <c r="E253" s="16"/>
      <c r="F253" s="16"/>
      <c r="G253" s="16"/>
      <c r="H253" s="16"/>
      <c r="I253" s="16" t="s">
        <v>698</v>
      </c>
    </row>
    <row r="254" spans="1:9" x14ac:dyDescent="0.35">
      <c r="A254" s="16" t="s">
        <v>720</v>
      </c>
      <c r="B254" s="17" t="s">
        <v>719</v>
      </c>
      <c r="C254" s="17"/>
      <c r="D254" s="16"/>
      <c r="E254" s="16"/>
      <c r="F254" s="16"/>
      <c r="G254" s="16"/>
      <c r="H254" s="16"/>
      <c r="I254" s="16" t="s">
        <v>633</v>
      </c>
    </row>
    <row r="255" spans="1:9" x14ac:dyDescent="0.35">
      <c r="A255" s="16" t="s">
        <v>1419</v>
      </c>
      <c r="B255" s="17" t="s">
        <v>1420</v>
      </c>
      <c r="C255" s="17" t="s">
        <v>1421</v>
      </c>
      <c r="D255" s="16" t="s">
        <v>273</v>
      </c>
      <c r="E255" s="16" t="s">
        <v>1227</v>
      </c>
      <c r="F255" s="16">
        <v>0.30759999999999998</v>
      </c>
      <c r="G255" s="16" t="s">
        <v>1228</v>
      </c>
      <c r="H255" s="16" t="s">
        <v>522</v>
      </c>
      <c r="I255" s="16" t="s">
        <v>273</v>
      </c>
    </row>
    <row r="256" spans="1:9" ht="28" x14ac:dyDescent="0.35">
      <c r="A256" s="16" t="s">
        <v>1422</v>
      </c>
      <c r="B256" s="17" t="s">
        <v>1423</v>
      </c>
      <c r="C256" s="17" t="s">
        <v>1424</v>
      </c>
      <c r="D256" s="16" t="s">
        <v>273</v>
      </c>
      <c r="E256" s="16" t="s">
        <v>1425</v>
      </c>
      <c r="F256" s="16">
        <v>0.26939999999999997</v>
      </c>
      <c r="G256" s="16" t="s">
        <v>1075</v>
      </c>
      <c r="H256" s="16" t="s">
        <v>1426</v>
      </c>
      <c r="I256" s="16" t="s">
        <v>273</v>
      </c>
    </row>
    <row r="257" spans="1:9" x14ac:dyDescent="0.35">
      <c r="A257" s="16" t="s">
        <v>1427</v>
      </c>
      <c r="B257" s="17"/>
      <c r="C257" s="17"/>
      <c r="D257" s="16"/>
      <c r="E257" s="16"/>
      <c r="F257" s="16"/>
      <c r="G257" s="16"/>
      <c r="H257" s="16"/>
      <c r="I257" s="16" t="s">
        <v>698</v>
      </c>
    </row>
    <row r="258" spans="1:9" ht="28" x14ac:dyDescent="0.35">
      <c r="A258" s="16" t="s">
        <v>1428</v>
      </c>
      <c r="B258" s="17" t="s">
        <v>1429</v>
      </c>
      <c r="C258" s="17" t="s">
        <v>1430</v>
      </c>
      <c r="D258" s="16" t="s">
        <v>273</v>
      </c>
      <c r="E258" s="16" t="s">
        <v>1431</v>
      </c>
      <c r="F258" s="16">
        <v>0.2097</v>
      </c>
      <c r="G258" s="16"/>
      <c r="H258" s="16"/>
      <c r="I258" s="16" t="s">
        <v>273</v>
      </c>
    </row>
    <row r="259" spans="1:9" x14ac:dyDescent="0.35">
      <c r="A259" s="16" t="s">
        <v>1432</v>
      </c>
      <c r="B259" s="17" t="s">
        <v>1433</v>
      </c>
      <c r="C259" s="17" t="s">
        <v>1434</v>
      </c>
      <c r="D259" s="16" t="s">
        <v>5</v>
      </c>
      <c r="E259" s="16" t="s">
        <v>89</v>
      </c>
      <c r="F259" s="16">
        <v>0.8</v>
      </c>
      <c r="G259" s="16"/>
      <c r="H259" s="16"/>
      <c r="I259" s="16" t="s">
        <v>5</v>
      </c>
    </row>
    <row r="260" spans="1:9" ht="56" x14ac:dyDescent="0.35">
      <c r="A260" s="16" t="s">
        <v>1435</v>
      </c>
      <c r="B260" s="17" t="s">
        <v>1436</v>
      </c>
      <c r="C260" s="17" t="s">
        <v>1437</v>
      </c>
      <c r="D260" s="16"/>
      <c r="E260" s="16"/>
      <c r="F260" s="16"/>
      <c r="G260" s="16"/>
      <c r="H260" s="16"/>
      <c r="I260" s="16" t="s">
        <v>633</v>
      </c>
    </row>
    <row r="261" spans="1:9" x14ac:dyDescent="0.35">
      <c r="A261" s="16" t="s">
        <v>1438</v>
      </c>
      <c r="B261" s="17" t="s">
        <v>1439</v>
      </c>
      <c r="C261" s="17" t="s">
        <v>1439</v>
      </c>
      <c r="D261" s="16" t="s">
        <v>273</v>
      </c>
      <c r="E261" s="16" t="s">
        <v>1440</v>
      </c>
      <c r="F261" s="16">
        <v>0.2399</v>
      </c>
      <c r="G261" s="16" t="s">
        <v>1441</v>
      </c>
      <c r="H261" s="16" t="s">
        <v>1442</v>
      </c>
      <c r="I261" s="16" t="s">
        <v>273</v>
      </c>
    </row>
    <row r="262" spans="1:9" x14ac:dyDescent="0.35">
      <c r="A262" s="16" t="s">
        <v>1443</v>
      </c>
      <c r="B262" s="17" t="s">
        <v>1439</v>
      </c>
      <c r="C262" s="17" t="s">
        <v>1439</v>
      </c>
      <c r="D262" s="16" t="s">
        <v>273</v>
      </c>
      <c r="E262" s="16" t="s">
        <v>1440</v>
      </c>
      <c r="F262" s="16">
        <v>0.2399</v>
      </c>
      <c r="G262" s="16" t="s">
        <v>1441</v>
      </c>
      <c r="H262" s="16" t="s">
        <v>1442</v>
      </c>
      <c r="I262" s="16" t="s">
        <v>273</v>
      </c>
    </row>
    <row r="263" spans="1:9" x14ac:dyDescent="0.35">
      <c r="A263" s="16" t="s">
        <v>1444</v>
      </c>
      <c r="B263" s="17" t="s">
        <v>1445</v>
      </c>
      <c r="C263" s="17" t="s">
        <v>1446</v>
      </c>
      <c r="D263" s="16" t="s">
        <v>22</v>
      </c>
      <c r="E263" s="16" t="s">
        <v>1447</v>
      </c>
      <c r="F263" s="16">
        <v>1</v>
      </c>
      <c r="G263" s="16" t="s">
        <v>599</v>
      </c>
      <c r="H263" s="16" t="s">
        <v>600</v>
      </c>
      <c r="I263" s="16" t="s">
        <v>22</v>
      </c>
    </row>
    <row r="264" spans="1:9" ht="42" x14ac:dyDescent="0.35">
      <c r="A264" s="16" t="s">
        <v>1448</v>
      </c>
      <c r="B264" s="17" t="s">
        <v>1449</v>
      </c>
      <c r="C264" s="17" t="s">
        <v>1450</v>
      </c>
      <c r="D264" s="16" t="s">
        <v>5</v>
      </c>
      <c r="E264" s="16" t="s">
        <v>67</v>
      </c>
      <c r="F264" s="16">
        <v>0.8</v>
      </c>
      <c r="G264" s="16"/>
      <c r="H264" s="16"/>
      <c r="I264" s="16" t="s">
        <v>5</v>
      </c>
    </row>
    <row r="265" spans="1:9" ht="56" x14ac:dyDescent="0.35">
      <c r="A265" s="16" t="s">
        <v>1451</v>
      </c>
      <c r="B265" s="17" t="s">
        <v>1452</v>
      </c>
      <c r="C265" s="17" t="s">
        <v>1453</v>
      </c>
      <c r="D265" s="16" t="s">
        <v>273</v>
      </c>
      <c r="E265" s="16" t="s">
        <v>867</v>
      </c>
      <c r="F265" s="16">
        <v>0.21279999999999999</v>
      </c>
      <c r="G265" s="16" t="s">
        <v>500</v>
      </c>
      <c r="H265" s="16"/>
      <c r="I265" s="16" t="s">
        <v>273</v>
      </c>
    </row>
    <row r="266" spans="1:9" ht="70" x14ac:dyDescent="0.35">
      <c r="A266" s="16" t="s">
        <v>1454</v>
      </c>
      <c r="B266" s="17" t="s">
        <v>1455</v>
      </c>
      <c r="C266" s="17" t="s">
        <v>1456</v>
      </c>
      <c r="D266" s="16"/>
      <c r="E266" s="16"/>
      <c r="F266" s="16"/>
      <c r="G266" s="16"/>
      <c r="H266" s="16"/>
      <c r="I266" s="16" t="s">
        <v>633</v>
      </c>
    </row>
    <row r="267" spans="1:9" ht="42" x14ac:dyDescent="0.35">
      <c r="A267" s="16" t="s">
        <v>1457</v>
      </c>
      <c r="B267" s="17" t="s">
        <v>1458</v>
      </c>
      <c r="C267" s="17" t="s">
        <v>1459</v>
      </c>
      <c r="D267" s="16" t="s">
        <v>273</v>
      </c>
      <c r="E267" s="16" t="s">
        <v>1460</v>
      </c>
      <c r="F267" s="16">
        <v>0.31769999999999998</v>
      </c>
      <c r="G267" s="16" t="s">
        <v>867</v>
      </c>
      <c r="H267" s="16" t="s">
        <v>1461</v>
      </c>
      <c r="I267" s="16" t="s">
        <v>273</v>
      </c>
    </row>
    <row r="268" spans="1:9" ht="56" x14ac:dyDescent="0.35">
      <c r="A268" s="16" t="s">
        <v>1462</v>
      </c>
      <c r="B268" s="17" t="s">
        <v>1463</v>
      </c>
      <c r="C268" s="17" t="s">
        <v>1464</v>
      </c>
      <c r="D268" s="16"/>
      <c r="E268" s="16"/>
      <c r="F268" s="16"/>
      <c r="G268" s="16"/>
      <c r="H268" s="16"/>
      <c r="I268" s="16" t="s">
        <v>633</v>
      </c>
    </row>
    <row r="269" spans="1:9" ht="84" x14ac:dyDescent="0.35">
      <c r="A269" s="16" t="s">
        <v>1465</v>
      </c>
      <c r="B269" s="17" t="s">
        <v>1466</v>
      </c>
      <c r="C269" s="17" t="s">
        <v>1467</v>
      </c>
      <c r="D269" s="16"/>
      <c r="E269" s="16"/>
      <c r="F269" s="16"/>
      <c r="G269" s="16"/>
      <c r="H269" s="16"/>
      <c r="I269" s="16" t="s">
        <v>633</v>
      </c>
    </row>
    <row r="270" spans="1:9" ht="98" x14ac:dyDescent="0.35">
      <c r="A270" s="16" t="s">
        <v>1468</v>
      </c>
      <c r="B270" s="17" t="s">
        <v>1469</v>
      </c>
      <c r="C270" s="17" t="s">
        <v>1470</v>
      </c>
      <c r="D270" s="16"/>
      <c r="E270" s="16"/>
      <c r="F270" s="16"/>
      <c r="G270" s="16"/>
      <c r="H270" s="16"/>
      <c r="I270" s="16" t="s">
        <v>633</v>
      </c>
    </row>
    <row r="271" spans="1:9" x14ac:dyDescent="0.35">
      <c r="A271" s="16" t="s">
        <v>1471</v>
      </c>
      <c r="B271" s="17" t="s">
        <v>1472</v>
      </c>
      <c r="C271" s="17" t="s">
        <v>441</v>
      </c>
      <c r="D271" s="16" t="s">
        <v>273</v>
      </c>
      <c r="E271" s="16" t="s">
        <v>443</v>
      </c>
      <c r="F271" s="16">
        <v>0.35499999999999998</v>
      </c>
      <c r="G271" s="16" t="s">
        <v>302</v>
      </c>
      <c r="H271" s="16" t="s">
        <v>444</v>
      </c>
      <c r="I271" s="16" t="s">
        <v>273</v>
      </c>
    </row>
    <row r="272" spans="1:9" x14ac:dyDescent="0.35">
      <c r="A272" s="16" t="s">
        <v>1473</v>
      </c>
      <c r="B272" s="17" t="s">
        <v>1474</v>
      </c>
      <c r="C272" s="17" t="s">
        <v>1475</v>
      </c>
      <c r="D272" s="16"/>
      <c r="E272" s="16"/>
      <c r="F272" s="16"/>
      <c r="G272" s="16"/>
      <c r="H272" s="16"/>
      <c r="I272" s="16" t="s">
        <v>633</v>
      </c>
    </row>
    <row r="273" spans="1:9" x14ac:dyDescent="0.35">
      <c r="A273" s="16" t="s">
        <v>158</v>
      </c>
      <c r="B273" s="17" t="s">
        <v>156</v>
      </c>
      <c r="C273" s="17" t="s">
        <v>155</v>
      </c>
      <c r="D273" s="16" t="s">
        <v>5</v>
      </c>
      <c r="E273" s="16" t="s">
        <v>67</v>
      </c>
      <c r="F273" s="16">
        <v>0.8</v>
      </c>
      <c r="G273" s="16"/>
      <c r="H273" s="16"/>
      <c r="I273" s="16" t="s">
        <v>5</v>
      </c>
    </row>
    <row r="274" spans="1:9" ht="28" x14ac:dyDescent="0.35">
      <c r="A274" s="16" t="s">
        <v>1476</v>
      </c>
      <c r="B274" s="17" t="s">
        <v>1477</v>
      </c>
      <c r="C274" s="17" t="s">
        <v>1478</v>
      </c>
      <c r="D274" s="16" t="s">
        <v>5</v>
      </c>
      <c r="E274" s="16" t="s">
        <v>67</v>
      </c>
      <c r="F274" s="16">
        <v>0.8</v>
      </c>
      <c r="G274" s="16"/>
      <c r="H274" s="16"/>
      <c r="I274" s="16" t="s">
        <v>5</v>
      </c>
    </row>
    <row r="275" spans="1:9" x14ac:dyDescent="0.35">
      <c r="A275" s="16" t="s">
        <v>1479</v>
      </c>
      <c r="B275" s="17"/>
      <c r="C275" s="17"/>
      <c r="D275" s="16"/>
      <c r="E275" s="16"/>
      <c r="F275" s="16"/>
      <c r="G275" s="16"/>
      <c r="H275" s="16"/>
      <c r="I275" s="16" t="s">
        <v>698</v>
      </c>
    </row>
    <row r="276" spans="1:9" ht="28" x14ac:dyDescent="0.35">
      <c r="A276" s="16" t="s">
        <v>1480</v>
      </c>
      <c r="B276" s="17" t="s">
        <v>1481</v>
      </c>
      <c r="C276" s="17" t="s">
        <v>1482</v>
      </c>
      <c r="D276" s="16" t="s">
        <v>273</v>
      </c>
      <c r="E276" s="16" t="s">
        <v>1075</v>
      </c>
      <c r="F276" s="16">
        <v>0.30330000000000001</v>
      </c>
      <c r="G276" s="16" t="s">
        <v>924</v>
      </c>
      <c r="H276" s="16" t="s">
        <v>1076</v>
      </c>
      <c r="I276" s="16" t="s">
        <v>273</v>
      </c>
    </row>
    <row r="277" spans="1:9" x14ac:dyDescent="0.35">
      <c r="A277" s="16" t="s">
        <v>1483</v>
      </c>
      <c r="B277" s="17" t="s">
        <v>1073</v>
      </c>
      <c r="C277" s="17" t="s">
        <v>1074</v>
      </c>
      <c r="D277" s="16" t="s">
        <v>273</v>
      </c>
      <c r="E277" s="16" t="s">
        <v>1075</v>
      </c>
      <c r="F277" s="16">
        <v>0.31369999999999998</v>
      </c>
      <c r="G277" s="16" t="s">
        <v>1076</v>
      </c>
      <c r="H277" s="16" t="s">
        <v>924</v>
      </c>
      <c r="I277" s="16" t="s">
        <v>273</v>
      </c>
    </row>
    <row r="278" spans="1:9" x14ac:dyDescent="0.35">
      <c r="A278" s="16" t="s">
        <v>1484</v>
      </c>
      <c r="B278" s="17" t="s">
        <v>1485</v>
      </c>
      <c r="C278" s="17" t="s">
        <v>1486</v>
      </c>
      <c r="D278" s="16" t="s">
        <v>273</v>
      </c>
      <c r="E278" s="16" t="s">
        <v>1487</v>
      </c>
      <c r="F278" s="16">
        <v>0.41589999999999999</v>
      </c>
      <c r="G278" s="16" t="s">
        <v>1386</v>
      </c>
      <c r="H278" s="16" t="s">
        <v>1388</v>
      </c>
      <c r="I278" s="16" t="s">
        <v>273</v>
      </c>
    </row>
    <row r="279" spans="1:9" x14ac:dyDescent="0.35">
      <c r="A279" s="16" t="s">
        <v>1488</v>
      </c>
      <c r="B279" s="17" t="s">
        <v>1485</v>
      </c>
      <c r="C279" s="17" t="s">
        <v>1486</v>
      </c>
      <c r="D279" s="16" t="s">
        <v>273</v>
      </c>
      <c r="E279" s="16" t="s">
        <v>1487</v>
      </c>
      <c r="F279" s="16">
        <v>0.41589999999999999</v>
      </c>
      <c r="G279" s="16" t="s">
        <v>1386</v>
      </c>
      <c r="H279" s="16" t="s">
        <v>1388</v>
      </c>
      <c r="I279" s="16" t="s">
        <v>273</v>
      </c>
    </row>
    <row r="280" spans="1:9" x14ac:dyDescent="0.35">
      <c r="A280" s="16" t="s">
        <v>1489</v>
      </c>
      <c r="B280" s="17" t="s">
        <v>1384</v>
      </c>
      <c r="C280" s="17" t="s">
        <v>1385</v>
      </c>
      <c r="D280" s="16" t="s">
        <v>273</v>
      </c>
      <c r="E280" s="16" t="s">
        <v>1386</v>
      </c>
      <c r="F280" s="16">
        <v>0.4204</v>
      </c>
      <c r="G280" s="16" t="s">
        <v>1387</v>
      </c>
      <c r="H280" s="16" t="s">
        <v>1388</v>
      </c>
      <c r="I280" s="16" t="s">
        <v>273</v>
      </c>
    </row>
    <row r="281" spans="1:9" x14ac:dyDescent="0.35">
      <c r="A281" s="16" t="s">
        <v>1490</v>
      </c>
      <c r="B281" s="17" t="s">
        <v>1384</v>
      </c>
      <c r="C281" s="17" t="s">
        <v>1385</v>
      </c>
      <c r="D281" s="16" t="s">
        <v>273</v>
      </c>
      <c r="E281" s="16" t="s">
        <v>1386</v>
      </c>
      <c r="F281" s="16">
        <v>0.4204</v>
      </c>
      <c r="G281" s="16" t="s">
        <v>1387</v>
      </c>
      <c r="H281" s="16" t="s">
        <v>1388</v>
      </c>
      <c r="I281" s="16" t="s">
        <v>273</v>
      </c>
    </row>
    <row r="282" spans="1:9" x14ac:dyDescent="0.35">
      <c r="A282" s="16" t="s">
        <v>1491</v>
      </c>
      <c r="B282" s="17" t="s">
        <v>1384</v>
      </c>
      <c r="C282" s="17" t="s">
        <v>1385</v>
      </c>
      <c r="D282" s="16" t="s">
        <v>273</v>
      </c>
      <c r="E282" s="16" t="s">
        <v>1386</v>
      </c>
      <c r="F282" s="16">
        <v>0.4204</v>
      </c>
      <c r="G282" s="16" t="s">
        <v>1387</v>
      </c>
      <c r="H282" s="16" t="s">
        <v>1388</v>
      </c>
      <c r="I282" s="16" t="s">
        <v>273</v>
      </c>
    </row>
    <row r="283" spans="1:9" ht="42" x14ac:dyDescent="0.35">
      <c r="A283" s="16" t="s">
        <v>1492</v>
      </c>
      <c r="B283" s="17" t="s">
        <v>1493</v>
      </c>
      <c r="C283" s="17" t="s">
        <v>1494</v>
      </c>
      <c r="D283" s="16" t="s">
        <v>273</v>
      </c>
      <c r="E283" s="16" t="s">
        <v>1495</v>
      </c>
      <c r="F283" s="16">
        <v>0.23369999999999999</v>
      </c>
      <c r="G283" s="16" t="s">
        <v>327</v>
      </c>
      <c r="H283" s="16" t="s">
        <v>1496</v>
      </c>
      <c r="I283" s="16" t="s">
        <v>273</v>
      </c>
    </row>
    <row r="284" spans="1:9" ht="70" x14ac:dyDescent="0.35">
      <c r="A284" s="16" t="s">
        <v>1497</v>
      </c>
      <c r="B284" s="17" t="s">
        <v>1498</v>
      </c>
      <c r="C284" s="17" t="s">
        <v>1499</v>
      </c>
      <c r="D284" s="16"/>
      <c r="E284" s="16"/>
      <c r="F284" s="16"/>
      <c r="G284" s="16"/>
      <c r="H284" s="16"/>
      <c r="I284" s="16" t="s">
        <v>633</v>
      </c>
    </row>
    <row r="285" spans="1:9" ht="28" x14ac:dyDescent="0.35">
      <c r="A285" s="16" t="s">
        <v>424</v>
      </c>
      <c r="B285" s="17" t="s">
        <v>418</v>
      </c>
      <c r="C285" s="17" t="s">
        <v>1500</v>
      </c>
      <c r="D285" s="16" t="s">
        <v>273</v>
      </c>
      <c r="E285" s="16" t="s">
        <v>1501</v>
      </c>
      <c r="F285" s="16">
        <v>0.47599999999999998</v>
      </c>
      <c r="G285" s="16" t="s">
        <v>1502</v>
      </c>
      <c r="H285" s="16" t="s">
        <v>1503</v>
      </c>
      <c r="I285" s="16" t="s">
        <v>273</v>
      </c>
    </row>
    <row r="286" spans="1:9" x14ac:dyDescent="0.35">
      <c r="A286" s="16" t="s">
        <v>1504</v>
      </c>
      <c r="B286" s="17"/>
      <c r="C286" s="17"/>
      <c r="D286" s="16"/>
      <c r="E286" s="16"/>
      <c r="F286" s="16"/>
      <c r="G286" s="16"/>
      <c r="H286" s="16"/>
      <c r="I286" s="16" t="s">
        <v>698</v>
      </c>
    </row>
    <row r="287" spans="1:9" ht="28" x14ac:dyDescent="0.35">
      <c r="A287" s="16" t="s">
        <v>59</v>
      </c>
      <c r="B287" s="17" t="s">
        <v>58</v>
      </c>
      <c r="C287" s="17" t="s">
        <v>54</v>
      </c>
      <c r="D287" s="16" t="s">
        <v>22</v>
      </c>
      <c r="E287" s="16" t="s">
        <v>55</v>
      </c>
      <c r="F287" s="16">
        <v>1</v>
      </c>
      <c r="G287" s="16"/>
      <c r="H287" s="16"/>
      <c r="I287" s="16" t="s">
        <v>22</v>
      </c>
    </row>
    <row r="288" spans="1:9" x14ac:dyDescent="0.35">
      <c r="A288" s="16" t="s">
        <v>1505</v>
      </c>
      <c r="B288" s="17" t="s">
        <v>1506</v>
      </c>
      <c r="C288" s="17" t="s">
        <v>1507</v>
      </c>
      <c r="D288" s="16" t="s">
        <v>5</v>
      </c>
      <c r="E288" s="16" t="s">
        <v>1508</v>
      </c>
      <c r="F288" s="16">
        <v>0.8</v>
      </c>
      <c r="G288" s="16"/>
      <c r="H288" s="16"/>
      <c r="I288" s="16" t="s">
        <v>5</v>
      </c>
    </row>
    <row r="289" spans="1:9" ht="70" x14ac:dyDescent="0.35">
      <c r="A289" s="16" t="s">
        <v>1509</v>
      </c>
      <c r="B289" s="17" t="s">
        <v>1510</v>
      </c>
      <c r="C289" s="17" t="s">
        <v>1511</v>
      </c>
      <c r="D289" s="16"/>
      <c r="E289" s="16"/>
      <c r="F289" s="16"/>
      <c r="G289" s="16"/>
      <c r="H289" s="16"/>
      <c r="I289" s="16" t="s">
        <v>633</v>
      </c>
    </row>
    <row r="290" spans="1:9" ht="56" x14ac:dyDescent="0.35">
      <c r="A290" s="16" t="s">
        <v>1512</v>
      </c>
      <c r="B290" s="17" t="s">
        <v>1513</v>
      </c>
      <c r="C290" s="17" t="s">
        <v>1514</v>
      </c>
      <c r="D290" s="16" t="s">
        <v>5</v>
      </c>
      <c r="E290" s="16" t="s">
        <v>179</v>
      </c>
      <c r="F290" s="16">
        <v>0.8</v>
      </c>
      <c r="G290" s="16"/>
      <c r="H290" s="16"/>
      <c r="I290" s="16" t="s">
        <v>5</v>
      </c>
    </row>
    <row r="291" spans="1:9" ht="42" x14ac:dyDescent="0.35">
      <c r="A291" s="16" t="s">
        <v>1515</v>
      </c>
      <c r="B291" s="17" t="s">
        <v>1516</v>
      </c>
      <c r="C291" s="17" t="s">
        <v>1517</v>
      </c>
      <c r="D291" s="16" t="s">
        <v>273</v>
      </c>
      <c r="E291" s="16" t="s">
        <v>1518</v>
      </c>
      <c r="F291" s="16">
        <v>0.23960000000000001</v>
      </c>
      <c r="G291" s="16"/>
      <c r="H291" s="16"/>
      <c r="I291" s="16" t="s">
        <v>273</v>
      </c>
    </row>
    <row r="292" spans="1:9" x14ac:dyDescent="0.35">
      <c r="A292" s="16" t="s">
        <v>1519</v>
      </c>
      <c r="B292" s="17" t="s">
        <v>1520</v>
      </c>
      <c r="C292" s="17" t="s">
        <v>1521</v>
      </c>
      <c r="D292" s="16" t="s">
        <v>5</v>
      </c>
      <c r="E292" s="16" t="s">
        <v>930</v>
      </c>
      <c r="F292" s="16">
        <v>0.8</v>
      </c>
      <c r="G292" s="16"/>
      <c r="H292" s="16"/>
      <c r="I292" s="16" t="s">
        <v>5</v>
      </c>
    </row>
    <row r="293" spans="1:9" x14ac:dyDescent="0.35">
      <c r="A293" s="16" t="s">
        <v>1522</v>
      </c>
      <c r="B293" s="17" t="s">
        <v>1523</v>
      </c>
      <c r="C293" s="17" t="s">
        <v>67</v>
      </c>
      <c r="D293" s="16" t="s">
        <v>22</v>
      </c>
      <c r="E293" s="16" t="s">
        <v>67</v>
      </c>
      <c r="F293" s="16">
        <v>1</v>
      </c>
      <c r="G293" s="16"/>
      <c r="H293" s="16"/>
      <c r="I293" s="16" t="s">
        <v>22</v>
      </c>
    </row>
    <row r="294" spans="1:9" ht="42" x14ac:dyDescent="0.35">
      <c r="A294" s="16" t="s">
        <v>1524</v>
      </c>
      <c r="B294" s="17" t="s">
        <v>1525</v>
      </c>
      <c r="C294" s="17" t="s">
        <v>1526</v>
      </c>
      <c r="D294" s="16" t="s">
        <v>273</v>
      </c>
      <c r="E294" s="16" t="s">
        <v>1284</v>
      </c>
      <c r="F294" s="16">
        <v>0.34179999999999999</v>
      </c>
      <c r="G294" s="16"/>
      <c r="H294" s="16"/>
      <c r="I294" s="16" t="s">
        <v>273</v>
      </c>
    </row>
    <row r="295" spans="1:9" x14ac:dyDescent="0.35">
      <c r="A295" s="16" t="s">
        <v>1527</v>
      </c>
      <c r="B295" s="17"/>
      <c r="C295" s="17"/>
      <c r="D295" s="16"/>
      <c r="E295" s="16"/>
      <c r="F295" s="16"/>
      <c r="G295" s="16"/>
      <c r="H295" s="16"/>
      <c r="I295" s="16" t="s">
        <v>698</v>
      </c>
    </row>
    <row r="296" spans="1:9" ht="28" x14ac:dyDescent="0.35">
      <c r="A296" s="16" t="s">
        <v>1528</v>
      </c>
      <c r="B296" s="17" t="s">
        <v>1529</v>
      </c>
      <c r="C296" s="17" t="s">
        <v>1530</v>
      </c>
      <c r="D296" s="16"/>
      <c r="E296" s="16"/>
      <c r="F296" s="16"/>
      <c r="G296" s="16"/>
      <c r="H296" s="16"/>
      <c r="I296" s="16" t="s">
        <v>633</v>
      </c>
    </row>
    <row r="297" spans="1:9" ht="28" x14ac:dyDescent="0.35">
      <c r="A297" s="16" t="s">
        <v>1531</v>
      </c>
      <c r="B297" s="17" t="s">
        <v>1532</v>
      </c>
      <c r="C297" s="17" t="s">
        <v>1533</v>
      </c>
      <c r="D297" s="16" t="s">
        <v>273</v>
      </c>
      <c r="E297" s="16" t="s">
        <v>1284</v>
      </c>
      <c r="F297" s="16">
        <v>0.27500000000000002</v>
      </c>
      <c r="G297" s="16" t="s">
        <v>1285</v>
      </c>
      <c r="H297" s="16" t="s">
        <v>1534</v>
      </c>
      <c r="I297" s="16" t="s">
        <v>273</v>
      </c>
    </row>
    <row r="298" spans="1:9" x14ac:dyDescent="0.35">
      <c r="A298" s="16" t="s">
        <v>1535</v>
      </c>
      <c r="B298" s="17" t="s">
        <v>1536</v>
      </c>
      <c r="C298" s="17" t="s">
        <v>1537</v>
      </c>
      <c r="D298" s="16" t="s">
        <v>273</v>
      </c>
      <c r="E298" s="16" t="s">
        <v>1538</v>
      </c>
      <c r="F298" s="16">
        <v>0.25700000000000001</v>
      </c>
      <c r="G298" s="16" t="s">
        <v>1539</v>
      </c>
      <c r="H298" s="16" t="s">
        <v>43</v>
      </c>
      <c r="I298" s="16" t="s">
        <v>273</v>
      </c>
    </row>
    <row r="299" spans="1:9" ht="28" x14ac:dyDescent="0.35">
      <c r="A299" s="16" t="s">
        <v>1540</v>
      </c>
      <c r="B299" s="17" t="s">
        <v>1541</v>
      </c>
      <c r="C299" s="17" t="s">
        <v>1542</v>
      </c>
      <c r="D299" s="16" t="s">
        <v>273</v>
      </c>
      <c r="E299" s="16" t="s">
        <v>1284</v>
      </c>
      <c r="F299" s="16">
        <v>0.26979999999999998</v>
      </c>
      <c r="G299" s="16" t="s">
        <v>1285</v>
      </c>
      <c r="H299" s="16"/>
      <c r="I299" s="16" t="s">
        <v>273</v>
      </c>
    </row>
    <row r="300" spans="1:9" x14ac:dyDescent="0.35">
      <c r="A300" s="16" t="s">
        <v>1543</v>
      </c>
      <c r="B300" s="17" t="s">
        <v>1141</v>
      </c>
      <c r="C300" s="17" t="s">
        <v>1141</v>
      </c>
      <c r="D300" s="16" t="s">
        <v>273</v>
      </c>
      <c r="E300" s="16" t="s">
        <v>1142</v>
      </c>
      <c r="F300" s="16">
        <v>0.20569999999999999</v>
      </c>
      <c r="G300" s="16" t="s">
        <v>1143</v>
      </c>
      <c r="H300" s="16"/>
      <c r="I300" s="16" t="s">
        <v>273</v>
      </c>
    </row>
    <row r="301" spans="1:9" x14ac:dyDescent="0.35">
      <c r="A301" s="16" t="s">
        <v>1544</v>
      </c>
      <c r="B301" s="17" t="s">
        <v>823</v>
      </c>
      <c r="C301" s="17" t="s">
        <v>823</v>
      </c>
      <c r="D301" s="16" t="s">
        <v>273</v>
      </c>
      <c r="E301" s="16" t="s">
        <v>824</v>
      </c>
      <c r="F301" s="16">
        <v>0.40570000000000001</v>
      </c>
      <c r="G301" s="16" t="s">
        <v>825</v>
      </c>
      <c r="H301" s="16" t="s">
        <v>826</v>
      </c>
      <c r="I301" s="16" t="s">
        <v>273</v>
      </c>
    </row>
    <row r="302" spans="1:9" x14ac:dyDescent="0.35">
      <c r="A302" s="16" t="s">
        <v>1545</v>
      </c>
      <c r="B302" s="17" t="s">
        <v>1546</v>
      </c>
      <c r="C302" s="17" t="s">
        <v>823</v>
      </c>
      <c r="D302" s="16" t="s">
        <v>273</v>
      </c>
      <c r="E302" s="16" t="s">
        <v>824</v>
      </c>
      <c r="F302" s="16">
        <v>0.40570000000000001</v>
      </c>
      <c r="G302" s="16" t="s">
        <v>825</v>
      </c>
      <c r="H302" s="16" t="s">
        <v>826</v>
      </c>
      <c r="I302" s="16" t="s">
        <v>273</v>
      </c>
    </row>
    <row r="303" spans="1:9" x14ac:dyDescent="0.35">
      <c r="A303" s="16" t="s">
        <v>1547</v>
      </c>
      <c r="B303" s="17" t="s">
        <v>823</v>
      </c>
      <c r="C303" s="17" t="s">
        <v>823</v>
      </c>
      <c r="D303" s="16" t="s">
        <v>273</v>
      </c>
      <c r="E303" s="16" t="s">
        <v>824</v>
      </c>
      <c r="F303" s="16">
        <v>0.40570000000000001</v>
      </c>
      <c r="G303" s="16" t="s">
        <v>825</v>
      </c>
      <c r="H303" s="16" t="s">
        <v>826</v>
      </c>
      <c r="I303" s="16" t="s">
        <v>273</v>
      </c>
    </row>
    <row r="304" spans="1:9" x14ac:dyDescent="0.35">
      <c r="A304" s="16" t="s">
        <v>1548</v>
      </c>
      <c r="B304" s="17" t="s">
        <v>441</v>
      </c>
      <c r="C304" s="17" t="s">
        <v>441</v>
      </c>
      <c r="D304" s="16" t="s">
        <v>273</v>
      </c>
      <c r="E304" s="16" t="s">
        <v>443</v>
      </c>
      <c r="F304" s="16">
        <v>0.35499999999999998</v>
      </c>
      <c r="G304" s="16" t="s">
        <v>302</v>
      </c>
      <c r="H304" s="16" t="s">
        <v>444</v>
      </c>
      <c r="I304" s="16" t="s">
        <v>273</v>
      </c>
    </row>
    <row r="305" spans="1:9" x14ac:dyDescent="0.35">
      <c r="A305" s="16" t="s">
        <v>1549</v>
      </c>
      <c r="B305" s="17" t="s">
        <v>1550</v>
      </c>
      <c r="C305" s="17" t="s">
        <v>1550</v>
      </c>
      <c r="D305" s="16" t="s">
        <v>273</v>
      </c>
      <c r="E305" s="16" t="s">
        <v>443</v>
      </c>
      <c r="F305" s="16">
        <v>0.28029999999999999</v>
      </c>
      <c r="G305" s="16" t="s">
        <v>302</v>
      </c>
      <c r="H305" s="16"/>
      <c r="I305" s="16" t="s">
        <v>273</v>
      </c>
    </row>
    <row r="306" spans="1:9" x14ac:dyDescent="0.35">
      <c r="A306" s="16" t="s">
        <v>321</v>
      </c>
      <c r="B306" s="17" t="s">
        <v>316</v>
      </c>
      <c r="C306" s="17" t="s">
        <v>315</v>
      </c>
      <c r="D306" s="16" t="s">
        <v>273</v>
      </c>
      <c r="E306" s="16" t="s">
        <v>318</v>
      </c>
      <c r="F306" s="16">
        <v>0.27360000000000001</v>
      </c>
      <c r="G306" s="16" t="s">
        <v>319</v>
      </c>
      <c r="H306" s="16" t="s">
        <v>320</v>
      </c>
      <c r="I306" s="16" t="s">
        <v>273</v>
      </c>
    </row>
    <row r="307" spans="1:9" x14ac:dyDescent="0.35">
      <c r="A307" s="16" t="s">
        <v>1551</v>
      </c>
      <c r="B307" s="17" t="s">
        <v>1552</v>
      </c>
      <c r="C307" s="17" t="s">
        <v>1552</v>
      </c>
      <c r="D307" s="16" t="s">
        <v>273</v>
      </c>
      <c r="E307" s="16" t="s">
        <v>1553</v>
      </c>
      <c r="F307" s="16">
        <v>0.2399</v>
      </c>
      <c r="G307" s="16" t="s">
        <v>1554</v>
      </c>
      <c r="H307" s="16" t="s">
        <v>1555</v>
      </c>
      <c r="I307" s="16" t="s">
        <v>273</v>
      </c>
    </row>
    <row r="308" spans="1:9" x14ac:dyDescent="0.35">
      <c r="A308" s="16" t="s">
        <v>1556</v>
      </c>
      <c r="B308" s="17" t="s">
        <v>1557</v>
      </c>
      <c r="C308" s="17"/>
      <c r="D308" s="16"/>
      <c r="E308" s="16"/>
      <c r="F308" s="16"/>
      <c r="G308" s="16"/>
      <c r="H308" s="16"/>
      <c r="I308" s="16" t="s">
        <v>633</v>
      </c>
    </row>
    <row r="309" spans="1:9" x14ac:dyDescent="0.35">
      <c r="A309" s="16" t="s">
        <v>289</v>
      </c>
      <c r="B309" s="17" t="s">
        <v>286</v>
      </c>
      <c r="C309" s="17" t="s">
        <v>285</v>
      </c>
      <c r="D309" s="16" t="s">
        <v>273</v>
      </c>
      <c r="E309" s="16" t="s">
        <v>43</v>
      </c>
      <c r="F309" s="16">
        <v>0.29759999999999998</v>
      </c>
      <c r="G309" s="16" t="s">
        <v>288</v>
      </c>
      <c r="H309" s="16" t="s">
        <v>115</v>
      </c>
      <c r="I309" s="16" t="s">
        <v>273</v>
      </c>
    </row>
    <row r="310" spans="1:9" x14ac:dyDescent="0.35">
      <c r="A310" s="16" t="s">
        <v>1558</v>
      </c>
      <c r="B310" s="17" t="s">
        <v>1559</v>
      </c>
      <c r="C310" s="17" t="s">
        <v>1559</v>
      </c>
      <c r="D310" s="16" t="s">
        <v>273</v>
      </c>
      <c r="E310" s="16" t="s">
        <v>1560</v>
      </c>
      <c r="F310" s="16">
        <v>0.39710000000000001</v>
      </c>
      <c r="G310" s="16" t="s">
        <v>1561</v>
      </c>
      <c r="H310" s="16" t="s">
        <v>868</v>
      </c>
      <c r="I310" s="16" t="s">
        <v>273</v>
      </c>
    </row>
    <row r="311" spans="1:9" x14ac:dyDescent="0.35">
      <c r="A311" s="16" t="s">
        <v>1562</v>
      </c>
      <c r="B311" s="17" t="s">
        <v>1563</v>
      </c>
      <c r="C311" s="17" t="s">
        <v>1564</v>
      </c>
      <c r="D311" s="16" t="s">
        <v>22</v>
      </c>
      <c r="E311" s="16" t="s">
        <v>1565</v>
      </c>
      <c r="F311" s="16">
        <v>1</v>
      </c>
      <c r="G311" s="16"/>
      <c r="H311" s="16"/>
      <c r="I311" s="16" t="s">
        <v>22</v>
      </c>
    </row>
    <row r="312" spans="1:9" ht="84" x14ac:dyDescent="0.35">
      <c r="A312" s="16" t="s">
        <v>1566</v>
      </c>
      <c r="B312" s="17" t="s">
        <v>1567</v>
      </c>
      <c r="C312" s="17" t="s">
        <v>1568</v>
      </c>
      <c r="D312" s="16"/>
      <c r="E312" s="16"/>
      <c r="F312" s="16"/>
      <c r="G312" s="16"/>
      <c r="H312" s="16"/>
      <c r="I312" s="16" t="s">
        <v>633</v>
      </c>
    </row>
    <row r="313" spans="1:9" ht="98" x14ac:dyDescent="0.35">
      <c r="A313" s="16" t="s">
        <v>1569</v>
      </c>
      <c r="B313" s="17" t="s">
        <v>1570</v>
      </c>
      <c r="C313" s="17" t="s">
        <v>1571</v>
      </c>
      <c r="D313" s="16"/>
      <c r="E313" s="16"/>
      <c r="F313" s="16"/>
      <c r="G313" s="16"/>
      <c r="H313" s="16"/>
      <c r="I313" s="16" t="s">
        <v>633</v>
      </c>
    </row>
    <row r="314" spans="1:9" ht="42" x14ac:dyDescent="0.35">
      <c r="A314" s="16" t="s">
        <v>1572</v>
      </c>
      <c r="B314" s="17" t="s">
        <v>1573</v>
      </c>
      <c r="C314" s="17" t="s">
        <v>1573</v>
      </c>
      <c r="D314" s="16" t="s">
        <v>273</v>
      </c>
      <c r="E314" s="16" t="s">
        <v>428</v>
      </c>
      <c r="F314" s="16">
        <v>0.27189999999999998</v>
      </c>
      <c r="G314" s="16"/>
      <c r="H314" s="16"/>
      <c r="I314" s="16" t="s">
        <v>273</v>
      </c>
    </row>
    <row r="315" spans="1:9" ht="56" x14ac:dyDescent="0.35">
      <c r="A315" s="16" t="s">
        <v>1574</v>
      </c>
      <c r="B315" s="17" t="s">
        <v>1575</v>
      </c>
      <c r="C315" s="17" t="s">
        <v>1575</v>
      </c>
      <c r="D315" s="16"/>
      <c r="E315" s="16"/>
      <c r="F315" s="16"/>
      <c r="G315" s="16"/>
      <c r="H315" s="16"/>
      <c r="I315" s="16" t="s">
        <v>633</v>
      </c>
    </row>
    <row r="316" spans="1:9" ht="84" x14ac:dyDescent="0.35">
      <c r="A316" s="16" t="s">
        <v>204</v>
      </c>
      <c r="B316" s="17" t="s">
        <v>201</v>
      </c>
      <c r="C316" s="17" t="s">
        <v>200</v>
      </c>
      <c r="D316" s="16" t="s">
        <v>186</v>
      </c>
      <c r="E316" s="16" t="s">
        <v>203</v>
      </c>
      <c r="F316" s="16">
        <v>0.6</v>
      </c>
      <c r="G316" s="16"/>
      <c r="H316" s="16"/>
      <c r="I316" s="16" t="s">
        <v>186</v>
      </c>
    </row>
    <row r="317" spans="1:9" x14ac:dyDescent="0.35">
      <c r="A317" s="16" t="s">
        <v>1576</v>
      </c>
      <c r="B317" s="17"/>
      <c r="C317" s="17"/>
      <c r="D317" s="16"/>
      <c r="E317" s="16"/>
      <c r="F317" s="16"/>
      <c r="G317" s="16"/>
      <c r="H317" s="16"/>
      <c r="I317" s="16" t="s">
        <v>698</v>
      </c>
    </row>
    <row r="318" spans="1:9" ht="42" x14ac:dyDescent="0.35">
      <c r="A318" s="16" t="s">
        <v>1577</v>
      </c>
      <c r="B318" s="17" t="s">
        <v>1578</v>
      </c>
      <c r="C318" s="17" t="s">
        <v>1578</v>
      </c>
      <c r="D318" s="16"/>
      <c r="E318" s="16"/>
      <c r="F318" s="16"/>
      <c r="G318" s="16"/>
      <c r="H318" s="16"/>
      <c r="I318" s="16" t="s">
        <v>633</v>
      </c>
    </row>
    <row r="319" spans="1:9" ht="28" x14ac:dyDescent="0.35">
      <c r="A319" s="16" t="s">
        <v>1579</v>
      </c>
      <c r="B319" s="17" t="s">
        <v>1580</v>
      </c>
      <c r="C319" s="17" t="s">
        <v>1581</v>
      </c>
      <c r="D319" s="16" t="s">
        <v>273</v>
      </c>
      <c r="E319" s="16" t="s">
        <v>303</v>
      </c>
      <c r="F319" s="16">
        <v>0.218</v>
      </c>
      <c r="G319" s="16"/>
      <c r="H319" s="16"/>
      <c r="I319" s="16" t="s">
        <v>273</v>
      </c>
    </row>
    <row r="320" spans="1:9" ht="70" x14ac:dyDescent="0.35">
      <c r="A320" s="16" t="s">
        <v>1582</v>
      </c>
      <c r="B320" s="17" t="s">
        <v>1583</v>
      </c>
      <c r="C320" s="17" t="s">
        <v>1584</v>
      </c>
      <c r="D320" s="16"/>
      <c r="E320" s="16"/>
      <c r="F320" s="16"/>
      <c r="G320" s="16"/>
      <c r="H320" s="16"/>
      <c r="I320" s="16" t="s">
        <v>633</v>
      </c>
    </row>
    <row r="321" spans="1:9" ht="28" x14ac:dyDescent="0.35">
      <c r="A321" s="16" t="s">
        <v>1585</v>
      </c>
      <c r="B321" s="17" t="s">
        <v>1586</v>
      </c>
      <c r="C321" s="17" t="s">
        <v>1587</v>
      </c>
      <c r="D321" s="16"/>
      <c r="E321" s="16"/>
      <c r="F321" s="16"/>
      <c r="G321" s="16"/>
      <c r="H321" s="16"/>
      <c r="I321" s="16" t="s">
        <v>633</v>
      </c>
    </row>
    <row r="322" spans="1:9" ht="28" x14ac:dyDescent="0.35">
      <c r="A322" s="16" t="s">
        <v>1588</v>
      </c>
      <c r="B322" s="17" t="s">
        <v>1589</v>
      </c>
      <c r="C322" s="17" t="s">
        <v>1589</v>
      </c>
      <c r="D322" s="16" t="s">
        <v>5</v>
      </c>
      <c r="E322" s="16" t="s">
        <v>67</v>
      </c>
      <c r="F322" s="16">
        <v>0.8</v>
      </c>
      <c r="G322" s="16"/>
      <c r="H322" s="16"/>
      <c r="I322" s="16" t="s">
        <v>5</v>
      </c>
    </row>
    <row r="323" spans="1:9" ht="28" x14ac:dyDescent="0.35">
      <c r="A323" s="16" t="s">
        <v>1590</v>
      </c>
      <c r="B323" s="17" t="s">
        <v>1591</v>
      </c>
      <c r="C323" s="17" t="s">
        <v>1591</v>
      </c>
      <c r="D323" s="16" t="s">
        <v>273</v>
      </c>
      <c r="E323" s="16" t="s">
        <v>1284</v>
      </c>
      <c r="F323" s="16">
        <v>0.2432</v>
      </c>
      <c r="G323" s="16" t="s">
        <v>1592</v>
      </c>
      <c r="H323" s="16"/>
      <c r="I323" s="16" t="s">
        <v>273</v>
      </c>
    </row>
    <row r="324" spans="1:9" ht="28" x14ac:dyDescent="0.35">
      <c r="A324" s="16" t="s">
        <v>1593</v>
      </c>
      <c r="B324" s="17" t="s">
        <v>125</v>
      </c>
      <c r="C324" s="17" t="s">
        <v>124</v>
      </c>
      <c r="D324" s="16" t="s">
        <v>5</v>
      </c>
      <c r="E324" s="16" t="s">
        <v>67</v>
      </c>
      <c r="F324" s="16">
        <v>0.8</v>
      </c>
      <c r="G324" s="16"/>
      <c r="H324" s="16"/>
      <c r="I324" s="16" t="s">
        <v>5</v>
      </c>
    </row>
    <row r="325" spans="1:9" ht="28" x14ac:dyDescent="0.35">
      <c r="A325" s="16" t="s">
        <v>1594</v>
      </c>
      <c r="B325" s="17" t="s">
        <v>1595</v>
      </c>
      <c r="C325" s="17" t="s">
        <v>1596</v>
      </c>
      <c r="D325" s="16"/>
      <c r="E325" s="16"/>
      <c r="F325" s="16"/>
      <c r="G325" s="16"/>
      <c r="H325" s="16"/>
      <c r="I325" s="16" t="s">
        <v>633</v>
      </c>
    </row>
    <row r="326" spans="1:9" x14ac:dyDescent="0.35">
      <c r="A326" s="16" t="s">
        <v>1597</v>
      </c>
      <c r="B326" s="17" t="s">
        <v>1598</v>
      </c>
      <c r="C326" s="17" t="s">
        <v>1599</v>
      </c>
      <c r="D326" s="16" t="s">
        <v>273</v>
      </c>
      <c r="E326" s="16" t="s">
        <v>1600</v>
      </c>
      <c r="F326" s="16">
        <v>0.25819999999999999</v>
      </c>
      <c r="G326" s="16" t="s">
        <v>1601</v>
      </c>
      <c r="H326" s="16" t="s">
        <v>1602</v>
      </c>
      <c r="I326" s="16" t="s">
        <v>273</v>
      </c>
    </row>
    <row r="327" spans="1:9" x14ac:dyDescent="0.35">
      <c r="A327" s="16" t="s">
        <v>1603</v>
      </c>
      <c r="B327" s="17" t="s">
        <v>1604</v>
      </c>
      <c r="C327" s="17" t="s">
        <v>1032</v>
      </c>
      <c r="D327" s="16" t="s">
        <v>273</v>
      </c>
      <c r="E327" s="16" t="s">
        <v>878</v>
      </c>
      <c r="F327" s="16">
        <v>0.24249999999999999</v>
      </c>
      <c r="G327" s="16"/>
      <c r="H327" s="16"/>
      <c r="I327" s="16" t="s">
        <v>273</v>
      </c>
    </row>
    <row r="328" spans="1:9" x14ac:dyDescent="0.35">
      <c r="A328" s="16" t="s">
        <v>661</v>
      </c>
      <c r="B328" s="17" t="s">
        <v>660</v>
      </c>
      <c r="C328" s="17" t="s">
        <v>1605</v>
      </c>
      <c r="D328" s="16" t="s">
        <v>273</v>
      </c>
      <c r="E328" s="16" t="s">
        <v>413</v>
      </c>
      <c r="F328" s="16">
        <v>0.30280000000000001</v>
      </c>
      <c r="G328" s="16" t="s">
        <v>1606</v>
      </c>
      <c r="H328" s="16" t="s">
        <v>974</v>
      </c>
      <c r="I328" s="16" t="s">
        <v>273</v>
      </c>
    </row>
    <row r="329" spans="1:9" x14ac:dyDescent="0.35">
      <c r="A329" s="16" t="s">
        <v>1607</v>
      </c>
      <c r="B329" s="17" t="s">
        <v>1608</v>
      </c>
      <c r="C329" s="17" t="s">
        <v>1599</v>
      </c>
      <c r="D329" s="16" t="s">
        <v>273</v>
      </c>
      <c r="E329" s="16" t="s">
        <v>1600</v>
      </c>
      <c r="F329" s="16">
        <v>0.25819999999999999</v>
      </c>
      <c r="G329" s="16" t="s">
        <v>1601</v>
      </c>
      <c r="H329" s="16" t="s">
        <v>1602</v>
      </c>
      <c r="I329" s="16" t="s">
        <v>273</v>
      </c>
    </row>
    <row r="330" spans="1:9" x14ac:dyDescent="0.35">
      <c r="A330" s="16" t="s">
        <v>1609</v>
      </c>
      <c r="B330" s="17" t="s">
        <v>1610</v>
      </c>
      <c r="C330" s="17" t="s">
        <v>1446</v>
      </c>
      <c r="D330" s="16" t="s">
        <v>22</v>
      </c>
      <c r="E330" s="16" t="s">
        <v>1447</v>
      </c>
      <c r="F330" s="16">
        <v>1</v>
      </c>
      <c r="G330" s="16" t="s">
        <v>599</v>
      </c>
      <c r="H330" s="16" t="s">
        <v>600</v>
      </c>
      <c r="I330" s="16" t="s">
        <v>22</v>
      </c>
    </row>
    <row r="331" spans="1:9" x14ac:dyDescent="0.35">
      <c r="A331" s="16" t="s">
        <v>1611</v>
      </c>
      <c r="B331" s="17" t="s">
        <v>85</v>
      </c>
      <c r="C331" s="17" t="s">
        <v>84</v>
      </c>
      <c r="D331" s="16" t="s">
        <v>22</v>
      </c>
      <c r="E331" s="16" t="s">
        <v>86</v>
      </c>
      <c r="F331" s="16">
        <v>1</v>
      </c>
      <c r="G331" s="16"/>
      <c r="H331" s="16"/>
      <c r="I331" s="16" t="s">
        <v>22</v>
      </c>
    </row>
    <row r="332" spans="1:9" x14ac:dyDescent="0.35">
      <c r="A332" s="16" t="s">
        <v>1612</v>
      </c>
      <c r="B332" s="17" t="s">
        <v>1598</v>
      </c>
      <c r="C332" s="17" t="s">
        <v>1599</v>
      </c>
      <c r="D332" s="16" t="s">
        <v>273</v>
      </c>
      <c r="E332" s="16" t="s">
        <v>1600</v>
      </c>
      <c r="F332" s="16">
        <v>0.25819999999999999</v>
      </c>
      <c r="G332" s="16" t="s">
        <v>1601</v>
      </c>
      <c r="H332" s="16" t="s">
        <v>1602</v>
      </c>
      <c r="I332" s="16" t="s">
        <v>273</v>
      </c>
    </row>
    <row r="333" spans="1:9" x14ac:dyDescent="0.35">
      <c r="A333" s="16" t="s">
        <v>1613</v>
      </c>
      <c r="B333" s="17" t="s">
        <v>1614</v>
      </c>
      <c r="C333" s="17" t="s">
        <v>1614</v>
      </c>
      <c r="D333" s="16" t="s">
        <v>273</v>
      </c>
      <c r="E333" s="16" t="s">
        <v>1615</v>
      </c>
      <c r="F333" s="16">
        <v>0.2802</v>
      </c>
      <c r="G333" s="16" t="s">
        <v>1616</v>
      </c>
      <c r="H333" s="16" t="s">
        <v>1617</v>
      </c>
      <c r="I333" s="16" t="s">
        <v>273</v>
      </c>
    </row>
    <row r="334" spans="1:9" x14ac:dyDescent="0.35">
      <c r="A334" s="16" t="s">
        <v>337</v>
      </c>
      <c r="B334" s="17" t="s">
        <v>332</v>
      </c>
      <c r="C334" s="17" t="s">
        <v>331</v>
      </c>
      <c r="D334" s="16" t="s">
        <v>273</v>
      </c>
      <c r="E334" s="16" t="s">
        <v>335</v>
      </c>
      <c r="F334" s="16">
        <v>0.26629999999999998</v>
      </c>
      <c r="G334" s="16" t="s">
        <v>336</v>
      </c>
      <c r="H334" s="16" t="s">
        <v>190</v>
      </c>
      <c r="I334" s="16" t="s">
        <v>273</v>
      </c>
    </row>
    <row r="335" spans="1:9" x14ac:dyDescent="0.35">
      <c r="A335" s="16" t="s">
        <v>1618</v>
      </c>
      <c r="B335" s="17" t="s">
        <v>1619</v>
      </c>
      <c r="C335" s="17" t="s">
        <v>115</v>
      </c>
      <c r="D335" s="16" t="s">
        <v>22</v>
      </c>
      <c r="E335" s="16" t="s">
        <v>115</v>
      </c>
      <c r="F335" s="16">
        <v>0.8</v>
      </c>
      <c r="G335" s="16" t="s">
        <v>116</v>
      </c>
      <c r="H335" s="16"/>
      <c r="I335" s="16" t="s">
        <v>22</v>
      </c>
    </row>
    <row r="336" spans="1:9" x14ac:dyDescent="0.35">
      <c r="A336" s="16" t="s">
        <v>1620</v>
      </c>
      <c r="B336" s="17"/>
      <c r="C336" s="17"/>
      <c r="D336" s="16"/>
      <c r="E336" s="16"/>
      <c r="F336" s="16"/>
      <c r="G336" s="16"/>
      <c r="H336" s="16"/>
      <c r="I336" s="16" t="s">
        <v>698</v>
      </c>
    </row>
    <row r="337" spans="1:9" x14ac:dyDescent="0.35">
      <c r="A337" s="16" t="s">
        <v>1621</v>
      </c>
      <c r="B337" s="17"/>
      <c r="C337" s="17"/>
      <c r="D337" s="16"/>
      <c r="E337" s="16"/>
      <c r="F337" s="16"/>
      <c r="G337" s="16"/>
      <c r="H337" s="16"/>
      <c r="I337" s="16" t="s">
        <v>698</v>
      </c>
    </row>
    <row r="338" spans="1:9" x14ac:dyDescent="0.35">
      <c r="A338" s="16" t="s">
        <v>1622</v>
      </c>
      <c r="B338" s="17" t="s">
        <v>713</v>
      </c>
      <c r="C338" s="17"/>
      <c r="D338" s="16"/>
      <c r="E338" s="16"/>
      <c r="F338" s="16"/>
      <c r="G338" s="16"/>
      <c r="H338" s="16"/>
      <c r="I338" s="16" t="s">
        <v>633</v>
      </c>
    </row>
    <row r="339" spans="1:9" ht="42" x14ac:dyDescent="0.35">
      <c r="A339" s="16" t="s">
        <v>1623</v>
      </c>
      <c r="B339" s="17" t="s">
        <v>1624</v>
      </c>
      <c r="C339" s="17" t="s">
        <v>1625</v>
      </c>
      <c r="D339" s="16" t="s">
        <v>273</v>
      </c>
      <c r="E339" s="16" t="s">
        <v>1626</v>
      </c>
      <c r="F339" s="16">
        <v>0.2145</v>
      </c>
      <c r="G339" s="16"/>
      <c r="H339" s="16"/>
      <c r="I339" s="16" t="s">
        <v>273</v>
      </c>
    </row>
    <row r="340" spans="1:9" x14ac:dyDescent="0.35">
      <c r="A340" s="16" t="s">
        <v>1627</v>
      </c>
      <c r="B340" s="17" t="s">
        <v>1628</v>
      </c>
      <c r="C340" s="17" t="s">
        <v>1629</v>
      </c>
      <c r="D340" s="16" t="s">
        <v>273</v>
      </c>
      <c r="E340" s="16" t="s">
        <v>1630</v>
      </c>
      <c r="F340" s="16">
        <v>0.43390000000000001</v>
      </c>
      <c r="G340" s="16" t="s">
        <v>1631</v>
      </c>
      <c r="H340" s="16" t="s">
        <v>1632</v>
      </c>
      <c r="I340" s="16" t="s">
        <v>273</v>
      </c>
    </row>
    <row r="341" spans="1:9" ht="28" x14ac:dyDescent="0.35">
      <c r="A341" s="16" t="s">
        <v>1633</v>
      </c>
      <c r="B341" s="17" t="s">
        <v>1634</v>
      </c>
      <c r="C341" s="17" t="s">
        <v>1635</v>
      </c>
      <c r="D341" s="16" t="s">
        <v>273</v>
      </c>
      <c r="E341" s="16" t="s">
        <v>1636</v>
      </c>
      <c r="F341" s="16">
        <v>0.4</v>
      </c>
      <c r="G341" s="16" t="s">
        <v>1637</v>
      </c>
      <c r="H341" s="16" t="s">
        <v>1638</v>
      </c>
      <c r="I341" s="16" t="s">
        <v>273</v>
      </c>
    </row>
    <row r="342" spans="1:9" ht="28" x14ac:dyDescent="0.35">
      <c r="A342" s="16" t="s">
        <v>1639</v>
      </c>
      <c r="B342" s="17" t="s">
        <v>1640</v>
      </c>
      <c r="C342" s="17" t="s">
        <v>1641</v>
      </c>
      <c r="D342" s="16"/>
      <c r="E342" s="16"/>
      <c r="F342" s="16"/>
      <c r="G342" s="16"/>
      <c r="H342" s="16"/>
      <c r="I342" s="16" t="s">
        <v>633</v>
      </c>
    </row>
    <row r="343" spans="1:9" x14ac:dyDescent="0.35">
      <c r="A343" s="16" t="s">
        <v>138</v>
      </c>
      <c r="B343" s="17" t="s">
        <v>137</v>
      </c>
      <c r="C343" s="17" t="s">
        <v>136</v>
      </c>
      <c r="D343" s="16" t="s">
        <v>5</v>
      </c>
      <c r="E343" s="16" t="s">
        <v>67</v>
      </c>
      <c r="F343" s="16">
        <v>0.8</v>
      </c>
      <c r="G343" s="16"/>
      <c r="H343" s="16"/>
      <c r="I343" s="16" t="s">
        <v>5</v>
      </c>
    </row>
    <row r="344" spans="1:9" ht="28" x14ac:dyDescent="0.35">
      <c r="A344" s="16" t="s">
        <v>1642</v>
      </c>
      <c r="B344" s="17" t="s">
        <v>1643</v>
      </c>
      <c r="C344" s="17" t="s">
        <v>1644</v>
      </c>
      <c r="D344" s="16"/>
      <c r="E344" s="16"/>
      <c r="F344" s="16"/>
      <c r="G344" s="16"/>
      <c r="H344" s="16"/>
      <c r="I344" s="16" t="s">
        <v>633</v>
      </c>
    </row>
    <row r="345" spans="1:9" x14ac:dyDescent="0.35">
      <c r="A345" s="16" t="s">
        <v>1645</v>
      </c>
      <c r="B345" s="17"/>
      <c r="C345" s="17"/>
      <c r="D345" s="16"/>
      <c r="E345" s="16"/>
      <c r="F345" s="16"/>
      <c r="G345" s="16"/>
      <c r="H345" s="16"/>
      <c r="I345" s="16" t="s">
        <v>698</v>
      </c>
    </row>
    <row r="346" spans="1:9" x14ac:dyDescent="0.35">
      <c r="A346" s="16" t="s">
        <v>1646</v>
      </c>
      <c r="B346" s="17" t="s">
        <v>1647</v>
      </c>
      <c r="C346" s="17" t="s">
        <v>1647</v>
      </c>
      <c r="D346" s="16" t="s">
        <v>273</v>
      </c>
      <c r="E346" s="16" t="s">
        <v>1648</v>
      </c>
      <c r="F346" s="16">
        <v>0.34949999999999998</v>
      </c>
      <c r="G346" s="16" t="s">
        <v>1649</v>
      </c>
      <c r="H346" s="16" t="s">
        <v>304</v>
      </c>
      <c r="I346" s="16" t="s">
        <v>273</v>
      </c>
    </row>
    <row r="347" spans="1:9" ht="56" x14ac:dyDescent="0.35">
      <c r="A347" s="16" t="s">
        <v>1650</v>
      </c>
      <c r="B347" s="17" t="s">
        <v>1651</v>
      </c>
      <c r="C347" s="17" t="s">
        <v>1652</v>
      </c>
      <c r="D347" s="16" t="s">
        <v>5</v>
      </c>
      <c r="E347" s="16" t="s">
        <v>67</v>
      </c>
      <c r="F347" s="16">
        <v>0.8</v>
      </c>
      <c r="G347" s="16"/>
      <c r="H347" s="16"/>
      <c r="I347" s="16" t="s">
        <v>5</v>
      </c>
    </row>
    <row r="348" spans="1:9" x14ac:dyDescent="0.35">
      <c r="A348" s="16" t="s">
        <v>1653</v>
      </c>
      <c r="B348" s="17" t="s">
        <v>1654</v>
      </c>
      <c r="C348" s="17" t="s">
        <v>665</v>
      </c>
      <c r="D348" s="16" t="s">
        <v>273</v>
      </c>
      <c r="E348" s="16" t="s">
        <v>1340</v>
      </c>
      <c r="F348" s="16">
        <v>0.45579999999999998</v>
      </c>
      <c r="G348" s="16" t="s">
        <v>1341</v>
      </c>
      <c r="H348" s="16" t="s">
        <v>1655</v>
      </c>
      <c r="I348" s="16" t="s">
        <v>273</v>
      </c>
    </row>
    <row r="349" spans="1:9" x14ac:dyDescent="0.35">
      <c r="A349" s="16" t="s">
        <v>1656</v>
      </c>
      <c r="B349" s="17" t="s">
        <v>1657</v>
      </c>
      <c r="C349" s="17" t="s">
        <v>1012</v>
      </c>
      <c r="D349" s="16" t="s">
        <v>273</v>
      </c>
      <c r="E349" s="16" t="s">
        <v>1013</v>
      </c>
      <c r="F349" s="16">
        <v>0.43909999999999999</v>
      </c>
      <c r="G349" s="16" t="s">
        <v>1014</v>
      </c>
      <c r="H349" s="16" t="s">
        <v>1015</v>
      </c>
      <c r="I349" s="16" t="s">
        <v>273</v>
      </c>
    </row>
    <row r="350" spans="1:9" x14ac:dyDescent="0.35">
      <c r="A350" s="16" t="s">
        <v>1658</v>
      </c>
      <c r="B350" s="17" t="s">
        <v>823</v>
      </c>
      <c r="C350" s="17" t="s">
        <v>823</v>
      </c>
      <c r="D350" s="16" t="s">
        <v>273</v>
      </c>
      <c r="E350" s="16" t="s">
        <v>824</v>
      </c>
      <c r="F350" s="16">
        <v>0.40570000000000001</v>
      </c>
      <c r="G350" s="16" t="s">
        <v>825</v>
      </c>
      <c r="H350" s="16" t="s">
        <v>826</v>
      </c>
      <c r="I350" s="16" t="s">
        <v>273</v>
      </c>
    </row>
    <row r="351" spans="1:9" x14ac:dyDescent="0.35">
      <c r="A351" s="16" t="s">
        <v>1659</v>
      </c>
      <c r="B351" s="17" t="s">
        <v>1660</v>
      </c>
      <c r="C351" s="17" t="s">
        <v>1661</v>
      </c>
      <c r="D351" s="16" t="s">
        <v>273</v>
      </c>
      <c r="E351" s="16" t="s">
        <v>304</v>
      </c>
      <c r="F351" s="16">
        <v>0.37880000000000003</v>
      </c>
      <c r="G351" s="16" t="s">
        <v>1662</v>
      </c>
      <c r="H351" s="16" t="s">
        <v>1663</v>
      </c>
      <c r="I351" s="16" t="s">
        <v>273</v>
      </c>
    </row>
    <row r="352" spans="1:9" x14ac:dyDescent="0.35">
      <c r="A352" s="16" t="s">
        <v>1664</v>
      </c>
      <c r="B352" s="17" t="s">
        <v>1665</v>
      </c>
      <c r="C352" s="17" t="s">
        <v>1018</v>
      </c>
      <c r="D352" s="16" t="s">
        <v>273</v>
      </c>
      <c r="E352" s="16" t="s">
        <v>304</v>
      </c>
      <c r="F352" s="16">
        <v>0.38290000000000002</v>
      </c>
      <c r="G352" s="16"/>
      <c r="H352" s="16"/>
      <c r="I352" s="16" t="s">
        <v>273</v>
      </c>
    </row>
    <row r="353" spans="1:9" x14ac:dyDescent="0.35">
      <c r="A353" s="16" t="s">
        <v>1666</v>
      </c>
      <c r="B353" s="17" t="s">
        <v>1667</v>
      </c>
      <c r="C353" s="17" t="s">
        <v>1668</v>
      </c>
      <c r="D353" s="16" t="s">
        <v>273</v>
      </c>
      <c r="E353" s="16" t="s">
        <v>983</v>
      </c>
      <c r="F353" s="16">
        <v>0.29820000000000002</v>
      </c>
      <c r="G353" s="16" t="s">
        <v>1669</v>
      </c>
      <c r="H353" s="16"/>
      <c r="I353" s="16" t="s">
        <v>273</v>
      </c>
    </row>
    <row r="354" spans="1:9" ht="42" x14ac:dyDescent="0.35">
      <c r="A354" s="16" t="s">
        <v>1670</v>
      </c>
      <c r="B354" s="17" t="s">
        <v>1671</v>
      </c>
      <c r="C354" s="17" t="s">
        <v>1672</v>
      </c>
      <c r="D354" s="16"/>
      <c r="E354" s="16"/>
      <c r="F354" s="16"/>
      <c r="G354" s="16"/>
      <c r="H354" s="16"/>
      <c r="I354" s="16" t="s">
        <v>633</v>
      </c>
    </row>
    <row r="355" spans="1:9" x14ac:dyDescent="0.35">
      <c r="A355" s="16" t="s">
        <v>1673</v>
      </c>
      <c r="B355" s="17" t="s">
        <v>1674</v>
      </c>
      <c r="C355" s="17" t="s">
        <v>1674</v>
      </c>
      <c r="D355" s="16" t="s">
        <v>273</v>
      </c>
      <c r="E355" s="16" t="s">
        <v>1675</v>
      </c>
      <c r="F355" s="16">
        <v>0.29310000000000003</v>
      </c>
      <c r="G355" s="16" t="s">
        <v>1676</v>
      </c>
      <c r="H355" s="16" t="s">
        <v>1677</v>
      </c>
      <c r="I355" s="16" t="s">
        <v>273</v>
      </c>
    </row>
    <row r="356" spans="1:9" x14ac:dyDescent="0.35">
      <c r="A356" s="16" t="s">
        <v>1678</v>
      </c>
      <c r="B356" s="17" t="s">
        <v>1679</v>
      </c>
      <c r="C356" s="17" t="s">
        <v>1679</v>
      </c>
      <c r="D356" s="16" t="s">
        <v>273</v>
      </c>
      <c r="E356" s="16" t="s">
        <v>1680</v>
      </c>
      <c r="F356" s="16">
        <v>0.29559999999999997</v>
      </c>
      <c r="G356" s="16" t="s">
        <v>1676</v>
      </c>
      <c r="H356" s="16" t="s">
        <v>1675</v>
      </c>
      <c r="I356" s="16" t="s">
        <v>273</v>
      </c>
    </row>
    <row r="357" spans="1:9" x14ac:dyDescent="0.35">
      <c r="A357" s="16" t="s">
        <v>1681</v>
      </c>
      <c r="B357" s="17" t="s">
        <v>1682</v>
      </c>
      <c r="C357" s="17"/>
      <c r="D357" s="16"/>
      <c r="E357" s="16"/>
      <c r="F357" s="16"/>
      <c r="G357" s="16"/>
      <c r="H357" s="16"/>
      <c r="I357" s="16" t="s">
        <v>633</v>
      </c>
    </row>
    <row r="358" spans="1:9" x14ac:dyDescent="0.35">
      <c r="A358" s="16" t="s">
        <v>1683</v>
      </c>
      <c r="B358" s="17" t="s">
        <v>1095</v>
      </c>
      <c r="C358" s="17" t="s">
        <v>274</v>
      </c>
      <c r="D358" s="16" t="s">
        <v>273</v>
      </c>
      <c r="E358" s="16" t="s">
        <v>1096</v>
      </c>
      <c r="F358" s="16">
        <v>0.42659999999999998</v>
      </c>
      <c r="G358" s="16" t="s">
        <v>1097</v>
      </c>
      <c r="H358" s="16" t="s">
        <v>1098</v>
      </c>
      <c r="I358" s="16" t="s">
        <v>273</v>
      </c>
    </row>
    <row r="359" spans="1:9" x14ac:dyDescent="0.35">
      <c r="A359" s="16" t="s">
        <v>1684</v>
      </c>
      <c r="B359" s="17" t="s">
        <v>1685</v>
      </c>
      <c r="C359" s="17" t="s">
        <v>1686</v>
      </c>
      <c r="D359" s="16" t="s">
        <v>273</v>
      </c>
      <c r="E359" s="16" t="s">
        <v>430</v>
      </c>
      <c r="F359" s="16">
        <v>0.44669999999999999</v>
      </c>
      <c r="G359" s="16" t="s">
        <v>1687</v>
      </c>
      <c r="H359" s="16" t="s">
        <v>1606</v>
      </c>
      <c r="I359" s="16" t="s">
        <v>273</v>
      </c>
    </row>
    <row r="360" spans="1:9" ht="28" x14ac:dyDescent="0.35">
      <c r="A360" s="16" t="s">
        <v>1688</v>
      </c>
      <c r="B360" s="17" t="s">
        <v>1689</v>
      </c>
      <c r="C360" s="17" t="s">
        <v>1690</v>
      </c>
      <c r="D360" s="16" t="s">
        <v>273</v>
      </c>
      <c r="E360" s="16" t="s">
        <v>1691</v>
      </c>
      <c r="F360" s="16">
        <v>0.46350000000000002</v>
      </c>
      <c r="G360" s="16" t="s">
        <v>1487</v>
      </c>
      <c r="H360" s="16" t="s">
        <v>962</v>
      </c>
      <c r="I360" s="16" t="s">
        <v>273</v>
      </c>
    </row>
    <row r="361" spans="1:9" x14ac:dyDescent="0.35">
      <c r="A361" s="16" t="s">
        <v>1692</v>
      </c>
      <c r="B361" s="17" t="s">
        <v>713</v>
      </c>
      <c r="C361" s="17"/>
      <c r="D361" s="16"/>
      <c r="E361" s="16"/>
      <c r="F361" s="16"/>
      <c r="G361" s="16"/>
      <c r="H361" s="16"/>
      <c r="I361" s="16" t="s">
        <v>633</v>
      </c>
    </row>
    <row r="362" spans="1:9" ht="42" x14ac:dyDescent="0.35">
      <c r="A362" s="16" t="s">
        <v>1693</v>
      </c>
      <c r="B362" s="17" t="s">
        <v>1694</v>
      </c>
      <c r="C362" s="17" t="s">
        <v>1695</v>
      </c>
      <c r="D362" s="16" t="s">
        <v>273</v>
      </c>
      <c r="E362" s="16" t="s">
        <v>1638</v>
      </c>
      <c r="F362" s="16">
        <v>0.2949</v>
      </c>
      <c r="G362" s="16" t="s">
        <v>1648</v>
      </c>
      <c r="H362" s="16" t="s">
        <v>1425</v>
      </c>
      <c r="I362" s="16" t="s">
        <v>273</v>
      </c>
    </row>
    <row r="363" spans="1:9" ht="28" x14ac:dyDescent="0.35">
      <c r="A363" s="16" t="s">
        <v>1696</v>
      </c>
      <c r="B363" s="17" t="s">
        <v>1697</v>
      </c>
      <c r="C363" s="17" t="s">
        <v>877</v>
      </c>
      <c r="D363" s="16" t="s">
        <v>273</v>
      </c>
      <c r="E363" s="16" t="s">
        <v>878</v>
      </c>
      <c r="F363" s="16">
        <v>0.2177</v>
      </c>
      <c r="G363" s="16"/>
      <c r="H363" s="16"/>
      <c r="I363" s="16" t="s">
        <v>273</v>
      </c>
    </row>
    <row r="364" spans="1:9" ht="42" x14ac:dyDescent="0.35">
      <c r="A364" s="16" t="s">
        <v>180</v>
      </c>
      <c r="B364" s="17" t="s">
        <v>177</v>
      </c>
      <c r="C364" s="17" t="s">
        <v>176</v>
      </c>
      <c r="D364" s="16" t="s">
        <v>5</v>
      </c>
      <c r="E364" s="16" t="s">
        <v>179</v>
      </c>
      <c r="F364" s="16">
        <v>0.8</v>
      </c>
      <c r="G364" s="16"/>
      <c r="H364" s="16"/>
      <c r="I364" s="16" t="s">
        <v>5</v>
      </c>
    </row>
    <row r="365" spans="1:9" ht="70" x14ac:dyDescent="0.35">
      <c r="A365" s="16" t="s">
        <v>1698</v>
      </c>
      <c r="B365" s="17" t="s">
        <v>1699</v>
      </c>
      <c r="C365" s="17" t="s">
        <v>1700</v>
      </c>
      <c r="D365" s="16"/>
      <c r="E365" s="16"/>
      <c r="F365" s="16"/>
      <c r="G365" s="16"/>
      <c r="H365" s="16"/>
      <c r="I365" s="16" t="s">
        <v>633</v>
      </c>
    </row>
    <row r="366" spans="1:9" x14ac:dyDescent="0.35">
      <c r="A366" s="16" t="s">
        <v>1701</v>
      </c>
      <c r="B366" s="17" t="s">
        <v>85</v>
      </c>
      <c r="C366" s="17" t="s">
        <v>84</v>
      </c>
      <c r="D366" s="16" t="s">
        <v>22</v>
      </c>
      <c r="E366" s="16" t="s">
        <v>86</v>
      </c>
      <c r="F366" s="16">
        <v>1</v>
      </c>
      <c r="G366" s="16"/>
      <c r="H366" s="16"/>
      <c r="I366" s="16" t="s">
        <v>22</v>
      </c>
    </row>
    <row r="367" spans="1:9" ht="28" x14ac:dyDescent="0.35">
      <c r="A367" s="16" t="s">
        <v>1702</v>
      </c>
      <c r="B367" s="17" t="s">
        <v>1703</v>
      </c>
      <c r="C367" s="17" t="s">
        <v>1704</v>
      </c>
      <c r="D367" s="16" t="s">
        <v>273</v>
      </c>
      <c r="E367" s="16" t="s">
        <v>1214</v>
      </c>
      <c r="F367" s="16">
        <v>0.3891</v>
      </c>
      <c r="G367" s="16" t="s">
        <v>1705</v>
      </c>
      <c r="H367" s="16" t="s">
        <v>1706</v>
      </c>
      <c r="I367" s="16" t="s">
        <v>273</v>
      </c>
    </row>
    <row r="368" spans="1:9" x14ac:dyDescent="0.35">
      <c r="A368" s="16" t="s">
        <v>515</v>
      </c>
      <c r="B368" s="17" t="s">
        <v>510</v>
      </c>
      <c r="C368" s="17" t="s">
        <v>509</v>
      </c>
      <c r="D368" s="16" t="s">
        <v>273</v>
      </c>
      <c r="E368" s="16" t="s">
        <v>512</v>
      </c>
      <c r="F368" s="16">
        <v>0.47089999999999999</v>
      </c>
      <c r="G368" s="16" t="s">
        <v>513</v>
      </c>
      <c r="H368" s="16" t="s">
        <v>514</v>
      </c>
      <c r="I368" s="16" t="s">
        <v>273</v>
      </c>
    </row>
    <row r="369" spans="1:9" x14ac:dyDescent="0.35">
      <c r="A369" s="16" t="s">
        <v>1707</v>
      </c>
      <c r="B369" s="17" t="s">
        <v>85</v>
      </c>
      <c r="C369" s="17" t="s">
        <v>84</v>
      </c>
      <c r="D369" s="16" t="s">
        <v>22</v>
      </c>
      <c r="E369" s="16" t="s">
        <v>86</v>
      </c>
      <c r="F369" s="16">
        <v>1</v>
      </c>
      <c r="G369" s="16"/>
      <c r="H369" s="16"/>
      <c r="I369" s="16" t="s">
        <v>22</v>
      </c>
    </row>
    <row r="370" spans="1:9" ht="28" x14ac:dyDescent="0.35">
      <c r="A370" s="16" t="s">
        <v>1708</v>
      </c>
      <c r="B370" s="17" t="s">
        <v>1709</v>
      </c>
      <c r="C370" s="17" t="s">
        <v>1710</v>
      </c>
      <c r="D370" s="16"/>
      <c r="E370" s="16"/>
      <c r="F370" s="16"/>
      <c r="G370" s="16"/>
      <c r="H370" s="16"/>
      <c r="I370" s="16" t="s">
        <v>633</v>
      </c>
    </row>
    <row r="371" spans="1:9" x14ac:dyDescent="0.35">
      <c r="A371" s="16" t="s">
        <v>1711</v>
      </c>
      <c r="B371" s="17" t="s">
        <v>1712</v>
      </c>
      <c r="C371" s="17" t="s">
        <v>84</v>
      </c>
      <c r="D371" s="16" t="s">
        <v>22</v>
      </c>
      <c r="E371" s="16" t="s">
        <v>86</v>
      </c>
      <c r="F371" s="16">
        <v>1</v>
      </c>
      <c r="G371" s="16"/>
      <c r="H371" s="16"/>
      <c r="I371" s="16" t="s">
        <v>22</v>
      </c>
    </row>
    <row r="372" spans="1:9" x14ac:dyDescent="0.35">
      <c r="A372" s="16" t="s">
        <v>1713</v>
      </c>
      <c r="B372" s="17" t="s">
        <v>1714</v>
      </c>
      <c r="C372" s="17" t="s">
        <v>1715</v>
      </c>
      <c r="D372" s="16" t="s">
        <v>186</v>
      </c>
      <c r="E372" s="16" t="s">
        <v>86</v>
      </c>
      <c r="F372" s="16">
        <v>0.6</v>
      </c>
      <c r="G372" s="16"/>
      <c r="H372" s="16"/>
      <c r="I372" s="16" t="s">
        <v>186</v>
      </c>
    </row>
    <row r="373" spans="1:9" ht="28" x14ac:dyDescent="0.35">
      <c r="A373" s="16" t="s">
        <v>1716</v>
      </c>
      <c r="B373" s="17" t="s">
        <v>1717</v>
      </c>
      <c r="C373" s="17" t="s">
        <v>1718</v>
      </c>
      <c r="D373" s="16"/>
      <c r="E373" s="16"/>
      <c r="F373" s="16"/>
      <c r="G373" s="16"/>
      <c r="H373" s="16"/>
      <c r="I373" s="16" t="s">
        <v>633</v>
      </c>
    </row>
    <row r="374" spans="1:9" x14ac:dyDescent="0.35">
      <c r="A374" s="16" t="s">
        <v>1719</v>
      </c>
      <c r="B374" s="17" t="s">
        <v>1720</v>
      </c>
      <c r="C374" s="17" t="s">
        <v>67</v>
      </c>
      <c r="D374" s="16" t="s">
        <v>22</v>
      </c>
      <c r="E374" s="16" t="s">
        <v>67</v>
      </c>
      <c r="F374" s="16">
        <v>1</v>
      </c>
      <c r="G374" s="16"/>
      <c r="H374" s="16"/>
      <c r="I374" s="16" t="s">
        <v>22</v>
      </c>
    </row>
    <row r="375" spans="1:9" x14ac:dyDescent="0.35">
      <c r="A375" s="16" t="s">
        <v>1721</v>
      </c>
      <c r="B375" s="17" t="s">
        <v>1722</v>
      </c>
      <c r="C375" s="17" t="s">
        <v>1723</v>
      </c>
      <c r="D375" s="16" t="s">
        <v>273</v>
      </c>
      <c r="E375" s="16" t="s">
        <v>1724</v>
      </c>
      <c r="F375" s="16">
        <v>0.35220000000000001</v>
      </c>
      <c r="G375" s="16" t="s">
        <v>1725</v>
      </c>
      <c r="H375" s="16"/>
      <c r="I375" s="16" t="s">
        <v>273</v>
      </c>
    </row>
    <row r="376" spans="1:9" x14ac:dyDescent="0.35">
      <c r="A376" s="16" t="s">
        <v>1726</v>
      </c>
      <c r="B376" s="17" t="s">
        <v>1727</v>
      </c>
      <c r="C376" s="17" t="s">
        <v>1727</v>
      </c>
      <c r="D376" s="16" t="s">
        <v>273</v>
      </c>
      <c r="E376" s="16" t="s">
        <v>1728</v>
      </c>
      <c r="F376" s="16">
        <v>0.37809999999999999</v>
      </c>
      <c r="G376" s="16" t="s">
        <v>1729</v>
      </c>
      <c r="H376" s="16" t="s">
        <v>1730</v>
      </c>
      <c r="I376" s="16" t="s">
        <v>273</v>
      </c>
    </row>
    <row r="377" spans="1:9" x14ac:dyDescent="0.35">
      <c r="A377" s="16" t="s">
        <v>1731</v>
      </c>
      <c r="B377" s="17" t="s">
        <v>1732</v>
      </c>
      <c r="C377" s="17" t="s">
        <v>1733</v>
      </c>
      <c r="D377" s="16" t="s">
        <v>273</v>
      </c>
      <c r="E377" s="16" t="s">
        <v>1729</v>
      </c>
      <c r="F377" s="16">
        <v>0.42</v>
      </c>
      <c r="G377" s="16" t="s">
        <v>1728</v>
      </c>
      <c r="H377" s="16" t="s">
        <v>1734</v>
      </c>
      <c r="I377" s="16" t="s">
        <v>273</v>
      </c>
    </row>
    <row r="378" spans="1:9" x14ac:dyDescent="0.35">
      <c r="A378" s="16" t="s">
        <v>240</v>
      </c>
      <c r="B378" s="17" t="s">
        <v>239</v>
      </c>
      <c r="C378" s="17" t="s">
        <v>238</v>
      </c>
      <c r="D378" s="16" t="s">
        <v>186</v>
      </c>
      <c r="E378" s="16" t="s">
        <v>230</v>
      </c>
      <c r="F378" s="16">
        <v>0.6</v>
      </c>
      <c r="G378" s="16"/>
      <c r="H378" s="16"/>
      <c r="I378" s="16" t="s">
        <v>186</v>
      </c>
    </row>
    <row r="379" spans="1:9" x14ac:dyDescent="0.35">
      <c r="A379" s="16" t="s">
        <v>1735</v>
      </c>
      <c r="B379" s="17" t="s">
        <v>823</v>
      </c>
      <c r="C379" s="17" t="s">
        <v>823</v>
      </c>
      <c r="D379" s="16" t="s">
        <v>273</v>
      </c>
      <c r="E379" s="16" t="s">
        <v>824</v>
      </c>
      <c r="F379" s="16">
        <v>0.40570000000000001</v>
      </c>
      <c r="G379" s="16" t="s">
        <v>825</v>
      </c>
      <c r="H379" s="16" t="s">
        <v>826</v>
      </c>
      <c r="I379" s="16" t="s">
        <v>273</v>
      </c>
    </row>
    <row r="380" spans="1:9" x14ac:dyDescent="0.35">
      <c r="A380" s="16" t="s">
        <v>1736</v>
      </c>
      <c r="B380" s="17" t="s">
        <v>597</v>
      </c>
      <c r="C380" s="17" t="s">
        <v>596</v>
      </c>
      <c r="D380" s="16" t="s">
        <v>273</v>
      </c>
      <c r="E380" s="16" t="s">
        <v>599</v>
      </c>
      <c r="F380" s="16">
        <v>0.4103</v>
      </c>
      <c r="G380" s="16" t="s">
        <v>600</v>
      </c>
      <c r="H380" s="16" t="s">
        <v>601</v>
      </c>
      <c r="I380" s="16" t="s">
        <v>273</v>
      </c>
    </row>
    <row r="381" spans="1:9" x14ac:dyDescent="0.35">
      <c r="A381" s="16" t="s">
        <v>1737</v>
      </c>
      <c r="B381" s="17" t="s">
        <v>1738</v>
      </c>
      <c r="C381" s="17" t="s">
        <v>1739</v>
      </c>
      <c r="D381" s="16" t="s">
        <v>273</v>
      </c>
      <c r="E381" s="16" t="s">
        <v>1680</v>
      </c>
      <c r="F381" s="16">
        <v>0.2762</v>
      </c>
      <c r="G381" s="16" t="s">
        <v>1740</v>
      </c>
      <c r="H381" s="16" t="s">
        <v>1741</v>
      </c>
      <c r="I381" s="16" t="s">
        <v>273</v>
      </c>
    </row>
    <row r="382" spans="1:9" ht="42" x14ac:dyDescent="0.35">
      <c r="A382" s="16" t="s">
        <v>1742</v>
      </c>
      <c r="B382" s="17" t="s">
        <v>1743</v>
      </c>
      <c r="C382" s="17" t="s">
        <v>1744</v>
      </c>
      <c r="D382" s="16" t="s">
        <v>5</v>
      </c>
      <c r="E382" s="16" t="s">
        <v>67</v>
      </c>
      <c r="F382" s="16">
        <v>0.8</v>
      </c>
      <c r="G382" s="16"/>
      <c r="H382" s="16"/>
      <c r="I382" s="16" t="s">
        <v>5</v>
      </c>
    </row>
    <row r="383" spans="1:9" x14ac:dyDescent="0.35">
      <c r="A383" s="16" t="s">
        <v>1745</v>
      </c>
      <c r="B383" s="17" t="s">
        <v>1746</v>
      </c>
      <c r="C383" s="17" t="s">
        <v>1746</v>
      </c>
      <c r="D383" s="16" t="s">
        <v>273</v>
      </c>
      <c r="E383" s="16" t="s">
        <v>1747</v>
      </c>
      <c r="F383" s="16">
        <v>0.23039999999999999</v>
      </c>
      <c r="G383" s="16"/>
      <c r="H383" s="16"/>
      <c r="I383" s="16" t="s">
        <v>273</v>
      </c>
    </row>
    <row r="384" spans="1:9" x14ac:dyDescent="0.35">
      <c r="A384" s="16" t="s">
        <v>1748</v>
      </c>
      <c r="B384" s="17" t="s">
        <v>1749</v>
      </c>
      <c r="C384" s="17" t="s">
        <v>1750</v>
      </c>
      <c r="D384" s="16" t="s">
        <v>273</v>
      </c>
      <c r="E384" s="16" t="s">
        <v>1751</v>
      </c>
      <c r="F384" s="16">
        <v>0.3342</v>
      </c>
      <c r="G384" s="16"/>
      <c r="H384" s="16"/>
      <c r="I384" s="16" t="s">
        <v>273</v>
      </c>
    </row>
    <row r="385" spans="1:9" x14ac:dyDescent="0.35">
      <c r="A385" s="16" t="s">
        <v>1752</v>
      </c>
      <c r="B385" s="17" t="s">
        <v>1753</v>
      </c>
      <c r="C385" s="17" t="s">
        <v>1754</v>
      </c>
      <c r="D385" s="16"/>
      <c r="E385" s="16"/>
      <c r="F385" s="16"/>
      <c r="G385" s="16"/>
      <c r="H385" s="16"/>
      <c r="I385" s="16" t="s">
        <v>633</v>
      </c>
    </row>
    <row r="386" spans="1:9" x14ac:dyDescent="0.35">
      <c r="A386" s="16" t="s">
        <v>1755</v>
      </c>
      <c r="B386" s="17" t="s">
        <v>823</v>
      </c>
      <c r="C386" s="17" t="s">
        <v>823</v>
      </c>
      <c r="D386" s="16" t="s">
        <v>273</v>
      </c>
      <c r="E386" s="16" t="s">
        <v>824</v>
      </c>
      <c r="F386" s="16">
        <v>0.40570000000000001</v>
      </c>
      <c r="G386" s="16" t="s">
        <v>825</v>
      </c>
      <c r="H386" s="16" t="s">
        <v>826</v>
      </c>
      <c r="I386" s="16" t="s">
        <v>273</v>
      </c>
    </row>
    <row r="387" spans="1:9" ht="42" x14ac:dyDescent="0.35">
      <c r="A387" s="16" t="s">
        <v>1756</v>
      </c>
      <c r="B387" s="17" t="s">
        <v>1757</v>
      </c>
      <c r="C387" s="17" t="s">
        <v>1758</v>
      </c>
      <c r="D387" s="16"/>
      <c r="E387" s="16"/>
      <c r="F387" s="16"/>
      <c r="G387" s="16"/>
      <c r="H387" s="16"/>
      <c r="I387" s="16" t="s">
        <v>633</v>
      </c>
    </row>
    <row r="388" spans="1:9" x14ac:dyDescent="0.35">
      <c r="A388" s="16" t="s">
        <v>1759</v>
      </c>
      <c r="B388" s="17" t="s">
        <v>1760</v>
      </c>
      <c r="C388" s="17" t="s">
        <v>341</v>
      </c>
      <c r="D388" s="16" t="s">
        <v>273</v>
      </c>
      <c r="E388" s="16" t="s">
        <v>1761</v>
      </c>
      <c r="F388" s="16">
        <v>0.31569999999999998</v>
      </c>
      <c r="G388" s="16" t="s">
        <v>1762</v>
      </c>
      <c r="H388" s="16" t="s">
        <v>1763</v>
      </c>
      <c r="I388" s="16" t="s">
        <v>273</v>
      </c>
    </row>
    <row r="389" spans="1:9" ht="28" x14ac:dyDescent="0.35">
      <c r="A389" s="16" t="s">
        <v>1764</v>
      </c>
      <c r="B389" s="17" t="s">
        <v>1765</v>
      </c>
      <c r="C389" s="17" t="s">
        <v>1766</v>
      </c>
      <c r="D389" s="16" t="s">
        <v>5</v>
      </c>
      <c r="E389" s="16" t="s">
        <v>152</v>
      </c>
      <c r="F389" s="16">
        <v>0.8</v>
      </c>
      <c r="G389" s="16"/>
      <c r="H389" s="16"/>
      <c r="I389" s="16" t="s">
        <v>5</v>
      </c>
    </row>
    <row r="390" spans="1:9" ht="28" x14ac:dyDescent="0.35">
      <c r="A390" s="16" t="s">
        <v>1767</v>
      </c>
      <c r="B390" s="17" t="s">
        <v>1765</v>
      </c>
      <c r="C390" s="17" t="s">
        <v>1766</v>
      </c>
      <c r="D390" s="16" t="s">
        <v>5</v>
      </c>
      <c r="E390" s="16" t="s">
        <v>152</v>
      </c>
      <c r="F390" s="16">
        <v>0.8</v>
      </c>
      <c r="G390" s="16"/>
      <c r="H390" s="16"/>
      <c r="I390" s="16" t="s">
        <v>5</v>
      </c>
    </row>
    <row r="391" spans="1:9" x14ac:dyDescent="0.35">
      <c r="A391" s="16" t="s">
        <v>1768</v>
      </c>
      <c r="B391" s="17" t="s">
        <v>846</v>
      </c>
      <c r="C391" s="17" t="s">
        <v>1769</v>
      </c>
      <c r="D391" s="16" t="s">
        <v>22</v>
      </c>
      <c r="E391" s="16" t="s">
        <v>67</v>
      </c>
      <c r="F391" s="16">
        <v>1</v>
      </c>
      <c r="G391" s="16" t="s">
        <v>152</v>
      </c>
      <c r="H391" s="16"/>
      <c r="I391" s="16" t="s">
        <v>22</v>
      </c>
    </row>
    <row r="392" spans="1:9" ht="28" x14ac:dyDescent="0.35">
      <c r="A392" s="16" t="s">
        <v>1770</v>
      </c>
      <c r="B392" s="17" t="s">
        <v>1771</v>
      </c>
      <c r="C392" s="17" t="s">
        <v>1772</v>
      </c>
      <c r="D392" s="16" t="s">
        <v>5</v>
      </c>
      <c r="E392" s="16" t="s">
        <v>147</v>
      </c>
      <c r="F392" s="16">
        <v>0.8</v>
      </c>
      <c r="G392" s="16"/>
      <c r="H392" s="16"/>
      <c r="I392" s="16" t="s">
        <v>5</v>
      </c>
    </row>
    <row r="393" spans="1:9" x14ac:dyDescent="0.35">
      <c r="A393" s="16" t="s">
        <v>1773</v>
      </c>
      <c r="B393" s="17" t="s">
        <v>1774</v>
      </c>
      <c r="C393" s="17" t="s">
        <v>954</v>
      </c>
      <c r="D393" s="16" t="s">
        <v>273</v>
      </c>
      <c r="E393" s="16" t="s">
        <v>955</v>
      </c>
      <c r="F393" s="16">
        <v>0.25940000000000002</v>
      </c>
      <c r="G393" s="16"/>
      <c r="H393" s="16"/>
      <c r="I393" s="16" t="s">
        <v>273</v>
      </c>
    </row>
    <row r="394" spans="1:9" x14ac:dyDescent="0.35">
      <c r="A394" s="16" t="s">
        <v>1775</v>
      </c>
      <c r="B394" s="17" t="s">
        <v>1776</v>
      </c>
      <c r="C394" s="17" t="s">
        <v>1776</v>
      </c>
      <c r="D394" s="16" t="s">
        <v>273</v>
      </c>
      <c r="E394" s="16" t="s">
        <v>1777</v>
      </c>
      <c r="F394" s="16">
        <v>0.41930000000000001</v>
      </c>
      <c r="G394" s="16" t="s">
        <v>1778</v>
      </c>
      <c r="H394" s="16" t="s">
        <v>1779</v>
      </c>
      <c r="I394" s="16" t="s">
        <v>273</v>
      </c>
    </row>
    <row r="395" spans="1:9" x14ac:dyDescent="0.35">
      <c r="A395" s="16" t="s">
        <v>1780</v>
      </c>
      <c r="B395" s="17"/>
      <c r="C395" s="17"/>
      <c r="D395" s="16"/>
      <c r="E395" s="16"/>
      <c r="F395" s="16"/>
      <c r="G395" s="16"/>
      <c r="H395" s="16"/>
      <c r="I395" s="16" t="s">
        <v>698</v>
      </c>
    </row>
    <row r="396" spans="1:9" x14ac:dyDescent="0.35">
      <c r="A396" s="16" t="s">
        <v>1781</v>
      </c>
      <c r="B396" s="17" t="s">
        <v>1782</v>
      </c>
      <c r="C396" s="17" t="s">
        <v>1165</v>
      </c>
      <c r="D396" s="16" t="s">
        <v>22</v>
      </c>
      <c r="E396" s="16" t="s">
        <v>86</v>
      </c>
      <c r="F396" s="16">
        <v>1</v>
      </c>
      <c r="G396" s="16"/>
      <c r="H396" s="16"/>
      <c r="I396" s="16" t="s">
        <v>22</v>
      </c>
    </row>
    <row r="397" spans="1:9" ht="28" x14ac:dyDescent="0.35">
      <c r="A397" s="16" t="s">
        <v>1783</v>
      </c>
      <c r="B397" s="17" t="s">
        <v>1784</v>
      </c>
      <c r="C397" s="17" t="s">
        <v>1785</v>
      </c>
      <c r="D397" s="16" t="s">
        <v>273</v>
      </c>
      <c r="E397" s="16" t="s">
        <v>878</v>
      </c>
      <c r="F397" s="16">
        <v>0.26</v>
      </c>
      <c r="G397" s="16"/>
      <c r="H397" s="16"/>
      <c r="I397" s="16" t="s">
        <v>273</v>
      </c>
    </row>
    <row r="398" spans="1:9" x14ac:dyDescent="0.35">
      <c r="A398" s="16" t="s">
        <v>701</v>
      </c>
      <c r="B398" s="17"/>
      <c r="C398" s="17"/>
      <c r="D398" s="16"/>
      <c r="E398" s="16"/>
      <c r="F398" s="16"/>
      <c r="G398" s="16"/>
      <c r="H398" s="16"/>
      <c r="I398" s="16" t="s">
        <v>698</v>
      </c>
    </row>
    <row r="399" spans="1:9" x14ac:dyDescent="0.35">
      <c r="A399" s="16" t="s">
        <v>1786</v>
      </c>
      <c r="B399" s="17" t="s">
        <v>823</v>
      </c>
      <c r="C399" s="17" t="s">
        <v>823</v>
      </c>
      <c r="D399" s="16" t="s">
        <v>273</v>
      </c>
      <c r="E399" s="16" t="s">
        <v>824</v>
      </c>
      <c r="F399" s="16">
        <v>0.40570000000000001</v>
      </c>
      <c r="G399" s="16" t="s">
        <v>825</v>
      </c>
      <c r="H399" s="16" t="s">
        <v>826</v>
      </c>
      <c r="I399" s="16" t="s">
        <v>273</v>
      </c>
    </row>
    <row r="400" spans="1:9" x14ac:dyDescent="0.35">
      <c r="A400" s="16" t="s">
        <v>1787</v>
      </c>
      <c r="B400" s="17" t="s">
        <v>823</v>
      </c>
      <c r="C400" s="17" t="s">
        <v>823</v>
      </c>
      <c r="D400" s="16" t="s">
        <v>273</v>
      </c>
      <c r="E400" s="16" t="s">
        <v>824</v>
      </c>
      <c r="F400" s="16">
        <v>0.40570000000000001</v>
      </c>
      <c r="G400" s="16" t="s">
        <v>825</v>
      </c>
      <c r="H400" s="16" t="s">
        <v>826</v>
      </c>
      <c r="I400" s="16" t="s">
        <v>273</v>
      </c>
    </row>
    <row r="401" spans="1:9" x14ac:dyDescent="0.35">
      <c r="A401" s="16" t="s">
        <v>1788</v>
      </c>
      <c r="B401" s="17" t="s">
        <v>1789</v>
      </c>
      <c r="C401" s="17" t="s">
        <v>1790</v>
      </c>
      <c r="D401" s="16" t="s">
        <v>22</v>
      </c>
      <c r="E401" s="16" t="s">
        <v>67</v>
      </c>
      <c r="F401" s="16">
        <v>1</v>
      </c>
      <c r="G401" s="16" t="s">
        <v>152</v>
      </c>
      <c r="H401" s="16"/>
      <c r="I401" s="16" t="s">
        <v>22</v>
      </c>
    </row>
    <row r="402" spans="1:9" x14ac:dyDescent="0.35">
      <c r="A402" s="16" t="s">
        <v>1791</v>
      </c>
      <c r="B402" s="17" t="s">
        <v>1083</v>
      </c>
      <c r="C402" s="17" t="s">
        <v>1084</v>
      </c>
      <c r="D402" s="16" t="s">
        <v>273</v>
      </c>
      <c r="E402" s="16" t="s">
        <v>1085</v>
      </c>
      <c r="F402" s="16">
        <v>0.26900000000000002</v>
      </c>
      <c r="G402" s="16" t="s">
        <v>1086</v>
      </c>
      <c r="H402" s="16" t="s">
        <v>1087</v>
      </c>
      <c r="I402" s="16" t="s">
        <v>273</v>
      </c>
    </row>
    <row r="403" spans="1:9" x14ac:dyDescent="0.35">
      <c r="A403" s="16" t="s">
        <v>1792</v>
      </c>
      <c r="B403" s="17" t="s">
        <v>1089</v>
      </c>
      <c r="C403" s="17" t="s">
        <v>1084</v>
      </c>
      <c r="D403" s="16" t="s">
        <v>273</v>
      </c>
      <c r="E403" s="16" t="s">
        <v>1085</v>
      </c>
      <c r="F403" s="16">
        <v>0.26900000000000002</v>
      </c>
      <c r="G403" s="16" t="s">
        <v>1086</v>
      </c>
      <c r="H403" s="16" t="s">
        <v>1087</v>
      </c>
      <c r="I403" s="16" t="s">
        <v>273</v>
      </c>
    </row>
    <row r="404" spans="1:9" x14ac:dyDescent="0.35">
      <c r="A404" s="16" t="s">
        <v>1793</v>
      </c>
      <c r="B404" s="17" t="s">
        <v>1794</v>
      </c>
      <c r="C404" s="17" t="s">
        <v>1795</v>
      </c>
      <c r="D404" s="16" t="s">
        <v>273</v>
      </c>
      <c r="E404" s="16" t="s">
        <v>1796</v>
      </c>
      <c r="F404" s="16">
        <v>0.28050000000000003</v>
      </c>
      <c r="G404" s="16" t="s">
        <v>1797</v>
      </c>
      <c r="H404" s="16" t="s">
        <v>1798</v>
      </c>
      <c r="I404" s="16" t="s">
        <v>273</v>
      </c>
    </row>
    <row r="405" spans="1:9" x14ac:dyDescent="0.35">
      <c r="A405" s="16" t="s">
        <v>1799</v>
      </c>
      <c r="B405" s="17" t="s">
        <v>1800</v>
      </c>
      <c r="C405" s="17" t="s">
        <v>1801</v>
      </c>
      <c r="D405" s="16" t="s">
        <v>273</v>
      </c>
      <c r="E405" s="16" t="s">
        <v>1802</v>
      </c>
      <c r="F405" s="16">
        <v>0.26500000000000001</v>
      </c>
      <c r="G405" s="16" t="s">
        <v>1803</v>
      </c>
      <c r="H405" s="16" t="s">
        <v>1804</v>
      </c>
      <c r="I405" s="16" t="s">
        <v>273</v>
      </c>
    </row>
    <row r="406" spans="1:9" x14ac:dyDescent="0.35">
      <c r="A406" s="16" t="s">
        <v>1805</v>
      </c>
      <c r="B406" s="17" t="s">
        <v>1091</v>
      </c>
      <c r="C406" s="17" t="s">
        <v>1092</v>
      </c>
      <c r="D406" s="16" t="s">
        <v>22</v>
      </c>
      <c r="E406" s="16" t="s">
        <v>1092</v>
      </c>
      <c r="F406" s="16">
        <v>1</v>
      </c>
      <c r="G406" s="16"/>
      <c r="H406" s="16"/>
      <c r="I406" s="16" t="s">
        <v>22</v>
      </c>
    </row>
    <row r="407" spans="1:9" x14ac:dyDescent="0.35">
      <c r="A407" s="16" t="s">
        <v>1806</v>
      </c>
      <c r="B407" s="17" t="s">
        <v>1807</v>
      </c>
      <c r="C407" s="17" t="s">
        <v>84</v>
      </c>
      <c r="D407" s="16" t="s">
        <v>22</v>
      </c>
      <c r="E407" s="16" t="s">
        <v>86</v>
      </c>
      <c r="F407" s="16">
        <v>1</v>
      </c>
      <c r="G407" s="16"/>
      <c r="H407" s="16"/>
      <c r="I407" s="16" t="s">
        <v>22</v>
      </c>
    </row>
    <row r="408" spans="1:9" x14ac:dyDescent="0.35">
      <c r="A408" s="16" t="s">
        <v>1808</v>
      </c>
      <c r="B408" s="17" t="s">
        <v>1809</v>
      </c>
      <c r="C408" s="17"/>
      <c r="D408" s="16"/>
      <c r="E408" s="16"/>
      <c r="F408" s="16"/>
      <c r="G408" s="16"/>
      <c r="H408" s="16"/>
      <c r="I408" s="16" t="s">
        <v>633</v>
      </c>
    </row>
    <row r="409" spans="1:9" x14ac:dyDescent="0.35">
      <c r="A409" s="16" t="s">
        <v>1810</v>
      </c>
      <c r="B409" s="17" t="s">
        <v>1811</v>
      </c>
      <c r="C409" s="17" t="s">
        <v>1812</v>
      </c>
      <c r="D409" s="16" t="s">
        <v>273</v>
      </c>
      <c r="E409" s="16" t="s">
        <v>1813</v>
      </c>
      <c r="F409" s="16">
        <v>0.36349999999999999</v>
      </c>
      <c r="G409" s="16" t="s">
        <v>1814</v>
      </c>
      <c r="H409" s="16" t="s">
        <v>1815</v>
      </c>
      <c r="I409" s="16" t="s">
        <v>273</v>
      </c>
    </row>
    <row r="410" spans="1:9" ht="28" x14ac:dyDescent="0.35">
      <c r="A410" s="16" t="s">
        <v>1816</v>
      </c>
      <c r="B410" s="17" t="s">
        <v>1817</v>
      </c>
      <c r="C410" s="17" t="s">
        <v>1817</v>
      </c>
      <c r="D410" s="16" t="s">
        <v>273</v>
      </c>
      <c r="E410" s="16" t="s">
        <v>1818</v>
      </c>
      <c r="F410" s="16">
        <v>0.25719999999999998</v>
      </c>
      <c r="G410" s="16"/>
      <c r="H410" s="16"/>
      <c r="I410" s="16" t="s">
        <v>273</v>
      </c>
    </row>
    <row r="411" spans="1:9" x14ac:dyDescent="0.35">
      <c r="A411" s="16" t="s">
        <v>1819</v>
      </c>
      <c r="B411" s="17"/>
      <c r="C411" s="17"/>
      <c r="D411" s="16"/>
      <c r="E411" s="16"/>
      <c r="F411" s="16"/>
      <c r="G411" s="16"/>
      <c r="H411" s="16"/>
      <c r="I411" s="16" t="s">
        <v>698</v>
      </c>
    </row>
    <row r="412" spans="1:9" x14ac:dyDescent="0.35">
      <c r="A412" s="16" t="s">
        <v>1820</v>
      </c>
      <c r="B412" s="17" t="s">
        <v>1789</v>
      </c>
      <c r="C412" s="17" t="s">
        <v>1790</v>
      </c>
      <c r="D412" s="16" t="s">
        <v>22</v>
      </c>
      <c r="E412" s="16" t="s">
        <v>67</v>
      </c>
      <c r="F412" s="16">
        <v>1</v>
      </c>
      <c r="G412" s="16" t="s">
        <v>152</v>
      </c>
      <c r="H412" s="16"/>
      <c r="I412" s="16" t="s">
        <v>22</v>
      </c>
    </row>
    <row r="413" spans="1:9" x14ac:dyDescent="0.35">
      <c r="A413" s="16" t="s">
        <v>1821</v>
      </c>
      <c r="B413" s="17" t="s">
        <v>239</v>
      </c>
      <c r="C413" s="17" t="s">
        <v>238</v>
      </c>
      <c r="D413" s="16" t="s">
        <v>186</v>
      </c>
      <c r="E413" s="16" t="s">
        <v>230</v>
      </c>
      <c r="F413" s="16">
        <v>0.6</v>
      </c>
      <c r="G413" s="16"/>
      <c r="H413" s="16"/>
      <c r="I413" s="16" t="s">
        <v>186</v>
      </c>
    </row>
    <row r="414" spans="1:9" ht="42" x14ac:dyDescent="0.35">
      <c r="A414" s="16" t="s">
        <v>1822</v>
      </c>
      <c r="B414" s="17" t="s">
        <v>1823</v>
      </c>
      <c r="C414" s="17" t="s">
        <v>1824</v>
      </c>
      <c r="D414" s="16" t="s">
        <v>5</v>
      </c>
      <c r="E414" s="16" t="s">
        <v>1115</v>
      </c>
      <c r="F414" s="16">
        <v>0.8</v>
      </c>
      <c r="G414" s="16"/>
      <c r="H414" s="16"/>
      <c r="I414" s="16" t="s">
        <v>5</v>
      </c>
    </row>
    <row r="415" spans="1:9" x14ac:dyDescent="0.35">
      <c r="A415" s="16" t="s">
        <v>1825</v>
      </c>
      <c r="B415" s="17" t="s">
        <v>1826</v>
      </c>
      <c r="C415" s="17" t="s">
        <v>1827</v>
      </c>
      <c r="D415" s="16" t="s">
        <v>273</v>
      </c>
      <c r="E415" s="16" t="s">
        <v>1828</v>
      </c>
      <c r="F415" s="16">
        <v>0.33329999999999999</v>
      </c>
      <c r="G415" s="16" t="s">
        <v>1829</v>
      </c>
      <c r="H415" s="16" t="s">
        <v>1830</v>
      </c>
      <c r="I415" s="16" t="s">
        <v>273</v>
      </c>
    </row>
    <row r="416" spans="1:9" x14ac:dyDescent="0.35">
      <c r="A416" s="16" t="s">
        <v>90</v>
      </c>
      <c r="B416" s="17" t="s">
        <v>89</v>
      </c>
      <c r="C416" s="17" t="s">
        <v>89</v>
      </c>
      <c r="D416" s="16" t="s">
        <v>22</v>
      </c>
      <c r="E416" s="16" t="s">
        <v>89</v>
      </c>
      <c r="F416" s="16">
        <v>1</v>
      </c>
      <c r="G416" s="16"/>
      <c r="H416" s="16"/>
      <c r="I416" s="16" t="s">
        <v>22</v>
      </c>
    </row>
    <row r="417" spans="1:9" ht="28" x14ac:dyDescent="0.35">
      <c r="A417" s="16" t="s">
        <v>1831</v>
      </c>
      <c r="B417" s="17" t="s">
        <v>1832</v>
      </c>
      <c r="C417" s="17" t="s">
        <v>1833</v>
      </c>
      <c r="D417" s="16"/>
      <c r="E417" s="16"/>
      <c r="F417" s="16"/>
      <c r="G417" s="16"/>
      <c r="H417" s="16"/>
      <c r="I417" s="16" t="s">
        <v>633</v>
      </c>
    </row>
    <row r="418" spans="1:9" x14ac:dyDescent="0.35">
      <c r="A418" s="16" t="s">
        <v>1834</v>
      </c>
      <c r="B418" s="17"/>
      <c r="C418" s="17"/>
      <c r="D418" s="16"/>
      <c r="E418" s="16"/>
      <c r="F418" s="16"/>
      <c r="G418" s="16"/>
      <c r="H418" s="16"/>
      <c r="I418" s="16" t="s">
        <v>698</v>
      </c>
    </row>
    <row r="419" spans="1:9" ht="42" x14ac:dyDescent="0.35">
      <c r="A419" s="16" t="s">
        <v>231</v>
      </c>
      <c r="B419" s="17" t="s">
        <v>228</v>
      </c>
      <c r="C419" s="17" t="s">
        <v>227</v>
      </c>
      <c r="D419" s="16" t="s">
        <v>186</v>
      </c>
      <c r="E419" s="16" t="s">
        <v>230</v>
      </c>
      <c r="F419" s="16">
        <v>0.6</v>
      </c>
      <c r="G419" s="16"/>
      <c r="H419" s="16"/>
      <c r="I419" s="16" t="s">
        <v>186</v>
      </c>
    </row>
    <row r="420" spans="1:9" ht="28" x14ac:dyDescent="0.35">
      <c r="A420" s="16" t="s">
        <v>1835</v>
      </c>
      <c r="B420" s="17" t="s">
        <v>1836</v>
      </c>
      <c r="C420" s="17" t="s">
        <v>1837</v>
      </c>
      <c r="D420" s="16" t="s">
        <v>273</v>
      </c>
      <c r="E420" s="16" t="s">
        <v>423</v>
      </c>
      <c r="F420" s="16">
        <v>0.21329999999999999</v>
      </c>
      <c r="G420" s="16"/>
      <c r="H420" s="16"/>
      <c r="I420" s="16" t="s">
        <v>273</v>
      </c>
    </row>
    <row r="421" spans="1:9" ht="28" x14ac:dyDescent="0.35">
      <c r="A421" s="16" t="s">
        <v>1838</v>
      </c>
      <c r="B421" s="17" t="s">
        <v>1839</v>
      </c>
      <c r="C421" s="17" t="s">
        <v>1840</v>
      </c>
      <c r="D421" s="16" t="s">
        <v>186</v>
      </c>
      <c r="E421" s="16" t="s">
        <v>230</v>
      </c>
      <c r="F421" s="16">
        <v>0.6</v>
      </c>
      <c r="G421" s="16"/>
      <c r="H421" s="16"/>
      <c r="I421" s="16" t="s">
        <v>186</v>
      </c>
    </row>
    <row r="422" spans="1:9" ht="28" x14ac:dyDescent="0.35">
      <c r="A422" s="16" t="s">
        <v>1841</v>
      </c>
      <c r="B422" s="17" t="s">
        <v>1842</v>
      </c>
      <c r="C422" s="17" t="s">
        <v>1843</v>
      </c>
      <c r="D422" s="16"/>
      <c r="E422" s="16"/>
      <c r="F422" s="16"/>
      <c r="G422" s="16"/>
      <c r="H422" s="16"/>
      <c r="I422" s="16" t="s">
        <v>633</v>
      </c>
    </row>
    <row r="423" spans="1:9" x14ac:dyDescent="0.35">
      <c r="A423" s="16" t="s">
        <v>1844</v>
      </c>
      <c r="B423" s="17" t="s">
        <v>1845</v>
      </c>
      <c r="C423" s="17" t="s">
        <v>1846</v>
      </c>
      <c r="D423" s="16" t="s">
        <v>273</v>
      </c>
      <c r="E423" s="16" t="s">
        <v>423</v>
      </c>
      <c r="F423" s="16">
        <v>0.3891</v>
      </c>
      <c r="G423" s="16" t="s">
        <v>1847</v>
      </c>
      <c r="H423" s="16" t="s">
        <v>1848</v>
      </c>
      <c r="I423" s="16" t="s">
        <v>273</v>
      </c>
    </row>
    <row r="424" spans="1:9" x14ac:dyDescent="0.35">
      <c r="A424" s="16" t="s">
        <v>1849</v>
      </c>
      <c r="B424" s="17" t="s">
        <v>713</v>
      </c>
      <c r="C424" s="17"/>
      <c r="D424" s="16"/>
      <c r="E424" s="16"/>
      <c r="F424" s="16"/>
      <c r="G424" s="16"/>
      <c r="H424" s="16"/>
      <c r="I424" s="16" t="s">
        <v>633</v>
      </c>
    </row>
    <row r="425" spans="1:9" x14ac:dyDescent="0.35">
      <c r="A425" s="16" t="s">
        <v>1850</v>
      </c>
      <c r="B425" s="17"/>
      <c r="C425" s="17"/>
      <c r="D425" s="16"/>
      <c r="E425" s="16"/>
      <c r="F425" s="16"/>
      <c r="G425" s="16"/>
      <c r="H425" s="16"/>
      <c r="I425" s="16" t="s">
        <v>698</v>
      </c>
    </row>
    <row r="426" spans="1:9" ht="28" x14ac:dyDescent="0.35">
      <c r="A426" s="16" t="s">
        <v>1851</v>
      </c>
      <c r="B426" s="17" t="s">
        <v>1852</v>
      </c>
      <c r="C426" s="17" t="s">
        <v>1853</v>
      </c>
      <c r="D426" s="16" t="s">
        <v>5</v>
      </c>
      <c r="E426" s="16" t="s">
        <v>1115</v>
      </c>
      <c r="F426" s="16">
        <v>0.8</v>
      </c>
      <c r="G426" s="16"/>
      <c r="H426" s="16"/>
      <c r="I426" s="16" t="s">
        <v>5</v>
      </c>
    </row>
    <row r="427" spans="1:9" x14ac:dyDescent="0.35">
      <c r="A427" s="16" t="s">
        <v>1854</v>
      </c>
      <c r="B427" s="17"/>
      <c r="C427" s="17"/>
      <c r="D427" s="16"/>
      <c r="E427" s="16"/>
      <c r="F427" s="16"/>
      <c r="G427" s="16"/>
      <c r="H427" s="16"/>
      <c r="I427" s="16" t="s">
        <v>698</v>
      </c>
    </row>
    <row r="428" spans="1:9" x14ac:dyDescent="0.35">
      <c r="A428" s="16" t="s">
        <v>1855</v>
      </c>
      <c r="B428" s="17" t="s">
        <v>1856</v>
      </c>
      <c r="C428" s="17" t="s">
        <v>1165</v>
      </c>
      <c r="D428" s="16" t="s">
        <v>22</v>
      </c>
      <c r="E428" s="16" t="s">
        <v>86</v>
      </c>
      <c r="F428" s="16">
        <v>1</v>
      </c>
      <c r="G428" s="16"/>
      <c r="H428" s="16"/>
      <c r="I428" s="16" t="s">
        <v>22</v>
      </c>
    </row>
    <row r="429" spans="1:9" ht="28" x14ac:dyDescent="0.35">
      <c r="A429" s="16" t="s">
        <v>587</v>
      </c>
      <c r="B429" s="17" t="s">
        <v>583</v>
      </c>
      <c r="C429" s="17" t="s">
        <v>1857</v>
      </c>
      <c r="D429" s="16" t="s">
        <v>5</v>
      </c>
      <c r="E429" s="16" t="s">
        <v>1858</v>
      </c>
      <c r="F429" s="16">
        <v>0.8</v>
      </c>
      <c r="G429" s="16" t="s">
        <v>584</v>
      </c>
      <c r="H429" s="16" t="s">
        <v>585</v>
      </c>
      <c r="I429" s="16" t="s">
        <v>5</v>
      </c>
    </row>
    <row r="430" spans="1:9" ht="28" x14ac:dyDescent="0.35">
      <c r="A430" s="16" t="s">
        <v>1859</v>
      </c>
      <c r="B430" s="17" t="s">
        <v>583</v>
      </c>
      <c r="C430" s="17" t="s">
        <v>1857</v>
      </c>
      <c r="D430" s="16" t="s">
        <v>5</v>
      </c>
      <c r="E430" s="16" t="s">
        <v>1858</v>
      </c>
      <c r="F430" s="16">
        <v>0.8</v>
      </c>
      <c r="G430" s="16" t="s">
        <v>584</v>
      </c>
      <c r="H430" s="16" t="s">
        <v>585</v>
      </c>
      <c r="I430" s="16" t="s">
        <v>5</v>
      </c>
    </row>
    <row r="431" spans="1:9" ht="28" x14ac:dyDescent="0.35">
      <c r="A431" s="16" t="s">
        <v>1860</v>
      </c>
      <c r="B431" s="17" t="s">
        <v>1861</v>
      </c>
      <c r="C431" s="17" t="s">
        <v>1862</v>
      </c>
      <c r="D431" s="16" t="s">
        <v>273</v>
      </c>
      <c r="E431" s="16" t="s">
        <v>1333</v>
      </c>
      <c r="F431" s="16">
        <v>0.22689999999999999</v>
      </c>
      <c r="G431" s="16" t="s">
        <v>578</v>
      </c>
      <c r="H431" s="16" t="s">
        <v>1863</v>
      </c>
      <c r="I431" s="16" t="s">
        <v>273</v>
      </c>
    </row>
    <row r="432" spans="1:9" x14ac:dyDescent="0.35">
      <c r="A432" s="16" t="s">
        <v>1864</v>
      </c>
      <c r="B432" s="17" t="s">
        <v>1420</v>
      </c>
      <c r="C432" s="17" t="s">
        <v>1421</v>
      </c>
      <c r="D432" s="16" t="s">
        <v>273</v>
      </c>
      <c r="E432" s="16" t="s">
        <v>1227</v>
      </c>
      <c r="F432" s="16">
        <v>0.30759999999999998</v>
      </c>
      <c r="G432" s="16" t="s">
        <v>1228</v>
      </c>
      <c r="H432" s="16" t="s">
        <v>522</v>
      </c>
      <c r="I432" s="16" t="s">
        <v>273</v>
      </c>
    </row>
    <row r="433" spans="1:9" x14ac:dyDescent="0.35">
      <c r="A433" s="16" t="s">
        <v>1865</v>
      </c>
      <c r="B433" s="17" t="s">
        <v>1866</v>
      </c>
      <c r="C433" s="17" t="s">
        <v>1866</v>
      </c>
      <c r="D433" s="16" t="s">
        <v>273</v>
      </c>
      <c r="E433" s="16" t="s">
        <v>614</v>
      </c>
      <c r="F433" s="16">
        <v>0.36559999999999998</v>
      </c>
      <c r="G433" s="16" t="s">
        <v>1867</v>
      </c>
      <c r="H433" s="16" t="s">
        <v>1868</v>
      </c>
      <c r="I433" s="16" t="s">
        <v>273</v>
      </c>
    </row>
    <row r="434" spans="1:9" x14ac:dyDescent="0.35">
      <c r="A434" s="16" t="s">
        <v>1869</v>
      </c>
      <c r="B434" s="17"/>
      <c r="C434" s="17"/>
      <c r="D434" s="16"/>
      <c r="E434" s="16"/>
      <c r="F434" s="16"/>
      <c r="G434" s="16"/>
      <c r="H434" s="16"/>
      <c r="I434" s="16" t="s">
        <v>698</v>
      </c>
    </row>
    <row r="435" spans="1:9" ht="28" x14ac:dyDescent="0.35">
      <c r="A435" s="16" t="s">
        <v>174</v>
      </c>
      <c r="B435" s="17" t="s">
        <v>171</v>
      </c>
      <c r="C435" s="17" t="s">
        <v>1870</v>
      </c>
      <c r="D435" s="16" t="s">
        <v>22</v>
      </c>
      <c r="E435" s="16" t="s">
        <v>173</v>
      </c>
      <c r="F435" s="16">
        <v>0.8</v>
      </c>
      <c r="G435" s="16" t="s">
        <v>34</v>
      </c>
      <c r="H435" s="16" t="s">
        <v>35</v>
      </c>
      <c r="I435" s="16" t="s">
        <v>22</v>
      </c>
    </row>
    <row r="436" spans="1:9" ht="42" x14ac:dyDescent="0.35">
      <c r="A436" s="16" t="s">
        <v>1871</v>
      </c>
      <c r="B436" s="17" t="s">
        <v>1872</v>
      </c>
      <c r="C436" s="17" t="s">
        <v>1873</v>
      </c>
      <c r="D436" s="16" t="s">
        <v>273</v>
      </c>
      <c r="E436" s="16" t="s">
        <v>448</v>
      </c>
      <c r="F436" s="16">
        <v>0.24060000000000001</v>
      </c>
      <c r="G436" s="16"/>
      <c r="H436" s="16"/>
      <c r="I436" s="16" t="s">
        <v>273</v>
      </c>
    </row>
    <row r="437" spans="1:9" x14ac:dyDescent="0.35">
      <c r="A437" s="16" t="s">
        <v>703</v>
      </c>
      <c r="B437" s="17"/>
      <c r="C437" s="17"/>
      <c r="D437" s="16"/>
      <c r="E437" s="16"/>
      <c r="F437" s="16"/>
      <c r="G437" s="16"/>
      <c r="H437" s="16"/>
      <c r="I437" s="16" t="s">
        <v>698</v>
      </c>
    </row>
    <row r="438" spans="1:9" x14ac:dyDescent="0.35">
      <c r="A438" s="16" t="s">
        <v>1874</v>
      </c>
      <c r="B438" s="17" t="s">
        <v>1875</v>
      </c>
      <c r="C438" s="17" t="s">
        <v>84</v>
      </c>
      <c r="D438" s="16" t="s">
        <v>22</v>
      </c>
      <c r="E438" s="16" t="s">
        <v>86</v>
      </c>
      <c r="F438" s="16">
        <v>1</v>
      </c>
      <c r="G438" s="16"/>
      <c r="H438" s="16"/>
      <c r="I438" s="16" t="s">
        <v>22</v>
      </c>
    </row>
    <row r="439" spans="1:9" ht="28" x14ac:dyDescent="0.35">
      <c r="A439" s="16" t="s">
        <v>1876</v>
      </c>
      <c r="B439" s="17" t="s">
        <v>1877</v>
      </c>
      <c r="C439" s="17" t="s">
        <v>1877</v>
      </c>
      <c r="D439" s="16"/>
      <c r="E439" s="16"/>
      <c r="F439" s="16"/>
      <c r="G439" s="16"/>
      <c r="H439" s="16"/>
      <c r="I439" s="16" t="s">
        <v>633</v>
      </c>
    </row>
    <row r="440" spans="1:9" x14ac:dyDescent="0.35">
      <c r="A440" s="16" t="s">
        <v>1878</v>
      </c>
      <c r="B440" s="17" t="s">
        <v>1879</v>
      </c>
      <c r="C440" s="17" t="s">
        <v>1880</v>
      </c>
      <c r="D440" s="16"/>
      <c r="E440" s="16"/>
      <c r="F440" s="16"/>
      <c r="G440" s="16"/>
      <c r="H440" s="16"/>
      <c r="I440" s="16" t="s">
        <v>633</v>
      </c>
    </row>
    <row r="441" spans="1:9" ht="28" x14ac:dyDescent="0.35">
      <c r="A441" s="16" t="s">
        <v>537</v>
      </c>
      <c r="B441" s="17" t="s">
        <v>532</v>
      </c>
      <c r="C441" s="17" t="s">
        <v>1881</v>
      </c>
      <c r="D441" s="16" t="s">
        <v>22</v>
      </c>
      <c r="E441" s="16" t="s">
        <v>1882</v>
      </c>
      <c r="F441" s="16">
        <v>1</v>
      </c>
      <c r="G441" s="16" t="s">
        <v>534</v>
      </c>
      <c r="H441" s="16" t="s">
        <v>535</v>
      </c>
      <c r="I441" s="16" t="s">
        <v>22</v>
      </c>
    </row>
    <row r="442" spans="1:9" x14ac:dyDescent="0.35">
      <c r="A442" s="16" t="s">
        <v>191</v>
      </c>
      <c r="B442" s="17" t="s">
        <v>188</v>
      </c>
      <c r="C442" s="17" t="s">
        <v>1883</v>
      </c>
      <c r="D442" s="16" t="s">
        <v>22</v>
      </c>
      <c r="E442" s="16" t="s">
        <v>173</v>
      </c>
      <c r="F442" s="16">
        <v>1</v>
      </c>
      <c r="G442" s="16" t="s">
        <v>190</v>
      </c>
      <c r="H442" s="16" t="s">
        <v>605</v>
      </c>
      <c r="I442" s="16" t="s">
        <v>22</v>
      </c>
    </row>
    <row r="443" spans="1:9" ht="42" x14ac:dyDescent="0.35">
      <c r="A443" s="16" t="s">
        <v>1884</v>
      </c>
      <c r="B443" s="17" t="s">
        <v>1885</v>
      </c>
      <c r="C443" s="17" t="s">
        <v>1886</v>
      </c>
      <c r="D443" s="16" t="s">
        <v>5</v>
      </c>
      <c r="E443" s="16" t="s">
        <v>1887</v>
      </c>
      <c r="F443" s="16">
        <v>0.8</v>
      </c>
      <c r="G443" s="16"/>
      <c r="H443" s="16"/>
      <c r="I443" s="16" t="s">
        <v>5</v>
      </c>
    </row>
    <row r="444" spans="1:9" ht="42" x14ac:dyDescent="0.35">
      <c r="A444" s="16" t="s">
        <v>1888</v>
      </c>
      <c r="B444" s="17" t="s">
        <v>1889</v>
      </c>
      <c r="C444" s="17" t="s">
        <v>1890</v>
      </c>
      <c r="D444" s="16" t="s">
        <v>186</v>
      </c>
      <c r="E444" s="16" t="s">
        <v>89</v>
      </c>
      <c r="F444" s="16">
        <v>0.6</v>
      </c>
      <c r="G444" s="16"/>
      <c r="H444" s="16"/>
      <c r="I444" s="16" t="s">
        <v>186</v>
      </c>
    </row>
    <row r="445" spans="1:9" ht="42" x14ac:dyDescent="0.35">
      <c r="A445" s="16" t="s">
        <v>1891</v>
      </c>
      <c r="B445" s="17" t="s">
        <v>1892</v>
      </c>
      <c r="C445" s="17" t="s">
        <v>1892</v>
      </c>
      <c r="D445" s="16" t="s">
        <v>5</v>
      </c>
      <c r="E445" s="16" t="s">
        <v>1115</v>
      </c>
      <c r="F445" s="16">
        <v>0.8</v>
      </c>
      <c r="G445" s="16"/>
      <c r="H445" s="16"/>
      <c r="I445" s="16" t="s">
        <v>5</v>
      </c>
    </row>
    <row r="446" spans="1:9" ht="70" x14ac:dyDescent="0.35">
      <c r="A446" s="16" t="s">
        <v>1893</v>
      </c>
      <c r="B446" s="17" t="s">
        <v>1894</v>
      </c>
      <c r="C446" s="17" t="s">
        <v>1895</v>
      </c>
      <c r="D446" s="16" t="s">
        <v>186</v>
      </c>
      <c r="E446" s="16" t="s">
        <v>89</v>
      </c>
      <c r="F446" s="16">
        <v>0.6</v>
      </c>
      <c r="G446" s="16"/>
      <c r="H446" s="16"/>
      <c r="I446" s="16" t="s">
        <v>186</v>
      </c>
    </row>
    <row r="447" spans="1:9" x14ac:dyDescent="0.35">
      <c r="A447" s="16" t="s">
        <v>1896</v>
      </c>
      <c r="B447" s="17" t="s">
        <v>1897</v>
      </c>
      <c r="C447" s="17" t="s">
        <v>152</v>
      </c>
      <c r="D447" s="16" t="s">
        <v>22</v>
      </c>
      <c r="E447" s="16" t="s">
        <v>152</v>
      </c>
      <c r="F447" s="16">
        <v>1</v>
      </c>
      <c r="G447" s="16"/>
      <c r="H447" s="16"/>
      <c r="I447" s="16" t="s">
        <v>22</v>
      </c>
    </row>
    <row r="448" spans="1:9" x14ac:dyDescent="0.35">
      <c r="A448" s="16" t="s">
        <v>209</v>
      </c>
      <c r="B448" s="17" t="s">
        <v>207</v>
      </c>
      <c r="C448" s="17" t="s">
        <v>206</v>
      </c>
      <c r="D448" s="16" t="s">
        <v>186</v>
      </c>
      <c r="E448" s="16" t="s">
        <v>89</v>
      </c>
      <c r="F448" s="16">
        <v>0.6</v>
      </c>
      <c r="G448" s="16"/>
      <c r="H448" s="16"/>
      <c r="I448" s="16" t="s">
        <v>186</v>
      </c>
    </row>
    <row r="449" spans="1:9" x14ac:dyDescent="0.35">
      <c r="A449" s="16" t="s">
        <v>1898</v>
      </c>
      <c r="B449" s="17"/>
      <c r="C449" s="17"/>
      <c r="D449" s="16"/>
      <c r="E449" s="16"/>
      <c r="F449" s="16"/>
      <c r="G449" s="16"/>
      <c r="H449" s="16"/>
      <c r="I449" s="16" t="s">
        <v>698</v>
      </c>
    </row>
    <row r="450" spans="1:9" x14ac:dyDescent="0.35">
      <c r="A450" s="16" t="s">
        <v>1899</v>
      </c>
      <c r="B450" s="17"/>
      <c r="C450" s="17"/>
      <c r="D450" s="16"/>
      <c r="E450" s="16"/>
      <c r="F450" s="16"/>
      <c r="G450" s="16"/>
      <c r="H450" s="16"/>
      <c r="I450" s="16" t="s">
        <v>698</v>
      </c>
    </row>
    <row r="451" spans="1:9" x14ac:dyDescent="0.35">
      <c r="A451" s="16" t="s">
        <v>1900</v>
      </c>
      <c r="B451" s="17"/>
      <c r="C451" s="17"/>
      <c r="D451" s="16"/>
      <c r="E451" s="16"/>
      <c r="F451" s="16"/>
      <c r="G451" s="16"/>
      <c r="H451" s="16"/>
      <c r="I451" s="16" t="s">
        <v>698</v>
      </c>
    </row>
    <row r="452" spans="1:9" ht="42" x14ac:dyDescent="0.35">
      <c r="A452" s="16" t="s">
        <v>168</v>
      </c>
      <c r="B452" s="17" t="s">
        <v>165</v>
      </c>
      <c r="C452" s="17" t="s">
        <v>1901</v>
      </c>
      <c r="D452" s="16" t="s">
        <v>22</v>
      </c>
      <c r="E452" s="16" t="s">
        <v>167</v>
      </c>
      <c r="F452" s="16">
        <v>0.8</v>
      </c>
      <c r="G452" s="16" t="s">
        <v>1902</v>
      </c>
      <c r="H452" s="16" t="s">
        <v>1903</v>
      </c>
      <c r="I452" s="16" t="s">
        <v>22</v>
      </c>
    </row>
    <row r="453" spans="1:9" ht="28" x14ac:dyDescent="0.35">
      <c r="A453" s="16" t="s">
        <v>1904</v>
      </c>
      <c r="B453" s="17" t="s">
        <v>1905</v>
      </c>
      <c r="C453" s="17" t="s">
        <v>1906</v>
      </c>
      <c r="D453" s="16" t="s">
        <v>273</v>
      </c>
      <c r="E453" s="16" t="s">
        <v>1907</v>
      </c>
      <c r="F453" s="16">
        <v>0.31680000000000003</v>
      </c>
      <c r="G453" s="16" t="s">
        <v>1908</v>
      </c>
      <c r="H453" s="16" t="s">
        <v>455</v>
      </c>
      <c r="I453" s="16" t="s">
        <v>273</v>
      </c>
    </row>
    <row r="454" spans="1:9" x14ac:dyDescent="0.35">
      <c r="A454" s="16" t="s">
        <v>1909</v>
      </c>
      <c r="B454" s="17" t="s">
        <v>1910</v>
      </c>
      <c r="C454" s="17" t="s">
        <v>1911</v>
      </c>
      <c r="D454" s="16" t="s">
        <v>273</v>
      </c>
      <c r="E454" s="16" t="s">
        <v>563</v>
      </c>
      <c r="F454" s="16">
        <v>0.45660000000000001</v>
      </c>
      <c r="G454" s="16" t="s">
        <v>578</v>
      </c>
      <c r="H454" s="16" t="s">
        <v>1912</v>
      </c>
      <c r="I454" s="16" t="s">
        <v>273</v>
      </c>
    </row>
    <row r="455" spans="1:9" x14ac:dyDescent="0.35">
      <c r="A455" s="16" t="s">
        <v>1913</v>
      </c>
      <c r="B455" s="17" t="s">
        <v>1914</v>
      </c>
      <c r="C455" s="17" t="s">
        <v>1915</v>
      </c>
      <c r="D455" s="16" t="s">
        <v>5</v>
      </c>
      <c r="E455" s="16" t="s">
        <v>49</v>
      </c>
      <c r="F455" s="16">
        <v>0.8</v>
      </c>
      <c r="G455" s="16"/>
      <c r="H455" s="16"/>
      <c r="I455" s="16" t="s">
        <v>5</v>
      </c>
    </row>
    <row r="456" spans="1:9" x14ac:dyDescent="0.35">
      <c r="A456" s="16" t="s">
        <v>1916</v>
      </c>
      <c r="B456" s="17"/>
      <c r="C456" s="17"/>
      <c r="D456" s="16"/>
      <c r="E456" s="16"/>
      <c r="F456" s="16"/>
      <c r="G456" s="16"/>
      <c r="H456" s="16"/>
      <c r="I456" s="16" t="s">
        <v>698</v>
      </c>
    </row>
    <row r="457" spans="1:9" ht="56" x14ac:dyDescent="0.35">
      <c r="A457" s="16" t="s">
        <v>1917</v>
      </c>
      <c r="B457" s="17" t="s">
        <v>1918</v>
      </c>
      <c r="C457" s="17" t="s">
        <v>1919</v>
      </c>
      <c r="D457" s="16" t="s">
        <v>5</v>
      </c>
      <c r="E457" s="16" t="s">
        <v>49</v>
      </c>
      <c r="F457" s="16">
        <v>0.8</v>
      </c>
      <c r="G457" s="16"/>
      <c r="H457" s="16"/>
      <c r="I457" s="16" t="s">
        <v>5</v>
      </c>
    </row>
    <row r="458" spans="1:9" x14ac:dyDescent="0.35">
      <c r="A458" s="16" t="s">
        <v>106</v>
      </c>
      <c r="B458" s="17" t="s">
        <v>104</v>
      </c>
      <c r="C458" s="17" t="s">
        <v>103</v>
      </c>
      <c r="D458" s="16" t="s">
        <v>5</v>
      </c>
      <c r="E458" s="16" t="s">
        <v>105</v>
      </c>
      <c r="F458" s="16">
        <v>0.8</v>
      </c>
      <c r="G458" s="16"/>
      <c r="H458" s="16"/>
      <c r="I458" s="16" t="s">
        <v>5</v>
      </c>
    </row>
    <row r="459" spans="1:9" x14ac:dyDescent="0.35">
      <c r="A459" s="16" t="s">
        <v>31</v>
      </c>
      <c r="B459" s="17" t="s">
        <v>27</v>
      </c>
      <c r="C459" s="17" t="s">
        <v>27</v>
      </c>
      <c r="D459" s="16" t="s">
        <v>22</v>
      </c>
      <c r="E459" s="16" t="s">
        <v>30</v>
      </c>
      <c r="F459" s="16">
        <v>1</v>
      </c>
      <c r="G459" s="16"/>
      <c r="H459" s="16"/>
      <c r="I459" s="16" t="s">
        <v>22</v>
      </c>
    </row>
    <row r="460" spans="1:9" x14ac:dyDescent="0.35">
      <c r="A460" s="16" t="s">
        <v>1920</v>
      </c>
      <c r="B460" s="17" t="s">
        <v>1921</v>
      </c>
      <c r="C460" s="17" t="s">
        <v>1921</v>
      </c>
      <c r="D460" s="16" t="s">
        <v>273</v>
      </c>
      <c r="E460" s="16" t="s">
        <v>1922</v>
      </c>
      <c r="F460" s="16">
        <v>0.44819999999999999</v>
      </c>
      <c r="G460" s="16" t="s">
        <v>110</v>
      </c>
      <c r="H460" s="16" t="s">
        <v>1923</v>
      </c>
      <c r="I460" s="16" t="s">
        <v>273</v>
      </c>
    </row>
    <row r="461" spans="1:9" x14ac:dyDescent="0.35">
      <c r="A461" s="16" t="s">
        <v>1924</v>
      </c>
      <c r="B461" s="17" t="s">
        <v>1925</v>
      </c>
      <c r="C461" s="17" t="s">
        <v>1257</v>
      </c>
      <c r="D461" s="16" t="s">
        <v>273</v>
      </c>
      <c r="E461" s="16" t="s">
        <v>1258</v>
      </c>
      <c r="F461" s="16">
        <v>0.43980000000000002</v>
      </c>
      <c r="G461" s="16" t="s">
        <v>1259</v>
      </c>
      <c r="H461" s="16" t="s">
        <v>1260</v>
      </c>
      <c r="I461" s="16" t="s">
        <v>273</v>
      </c>
    </row>
    <row r="462" spans="1:9" x14ac:dyDescent="0.35">
      <c r="A462" s="16" t="s">
        <v>1926</v>
      </c>
      <c r="B462" s="17"/>
      <c r="C462" s="17"/>
      <c r="D462" s="16"/>
      <c r="E462" s="16"/>
      <c r="F462" s="16"/>
      <c r="G462" s="16"/>
      <c r="H462" s="16"/>
      <c r="I462" s="16" t="s">
        <v>698</v>
      </c>
    </row>
    <row r="463" spans="1:9" x14ac:dyDescent="0.35">
      <c r="A463" s="16" t="s">
        <v>1927</v>
      </c>
      <c r="B463" s="17" t="s">
        <v>810</v>
      </c>
      <c r="C463" s="17" t="s">
        <v>810</v>
      </c>
      <c r="D463" s="16" t="s">
        <v>22</v>
      </c>
      <c r="E463" s="16" t="s">
        <v>73</v>
      </c>
      <c r="F463" s="16">
        <v>1</v>
      </c>
      <c r="G463" s="16"/>
      <c r="H463" s="16"/>
      <c r="I463" s="16" t="s">
        <v>22</v>
      </c>
    </row>
    <row r="464" spans="1:9" x14ac:dyDescent="0.35">
      <c r="A464" s="16" t="s">
        <v>1928</v>
      </c>
      <c r="B464" s="17" t="s">
        <v>1929</v>
      </c>
      <c r="C464" s="17" t="s">
        <v>1930</v>
      </c>
      <c r="D464" s="16" t="s">
        <v>5</v>
      </c>
      <c r="E464" s="16" t="s">
        <v>89</v>
      </c>
      <c r="F464" s="16">
        <v>0.8</v>
      </c>
      <c r="G464" s="16"/>
      <c r="H464" s="16"/>
      <c r="I464" s="16" t="s">
        <v>5</v>
      </c>
    </row>
    <row r="465" spans="1:9" x14ac:dyDescent="0.35">
      <c r="A465" s="16" t="s">
        <v>1931</v>
      </c>
      <c r="B465" s="17" t="s">
        <v>1932</v>
      </c>
      <c r="C465" s="17" t="s">
        <v>1933</v>
      </c>
      <c r="D465" s="16" t="s">
        <v>22</v>
      </c>
      <c r="E465" s="16" t="s">
        <v>73</v>
      </c>
      <c r="F465" s="16">
        <v>1</v>
      </c>
      <c r="G465" s="16" t="s">
        <v>147</v>
      </c>
      <c r="H465" s="16"/>
      <c r="I465" s="16" t="s">
        <v>22</v>
      </c>
    </row>
    <row r="466" spans="1:9" x14ac:dyDescent="0.35">
      <c r="A466" s="16" t="s">
        <v>1934</v>
      </c>
      <c r="B466" s="17" t="s">
        <v>1935</v>
      </c>
      <c r="C466" s="17" t="s">
        <v>810</v>
      </c>
      <c r="D466" s="16" t="s">
        <v>22</v>
      </c>
      <c r="E466" s="16" t="s">
        <v>73</v>
      </c>
      <c r="F466" s="16">
        <v>1</v>
      </c>
      <c r="G466" s="16"/>
      <c r="H466" s="16"/>
      <c r="I466" s="16" t="s">
        <v>22</v>
      </c>
    </row>
    <row r="467" spans="1:9" x14ac:dyDescent="0.35">
      <c r="A467" s="16" t="s">
        <v>1936</v>
      </c>
      <c r="B467" s="17" t="s">
        <v>1727</v>
      </c>
      <c r="C467" s="17" t="s">
        <v>1727</v>
      </c>
      <c r="D467" s="16" t="s">
        <v>273</v>
      </c>
      <c r="E467" s="16" t="s">
        <v>1728</v>
      </c>
      <c r="F467" s="16">
        <v>0.37809999999999999</v>
      </c>
      <c r="G467" s="16" t="s">
        <v>1729</v>
      </c>
      <c r="H467" s="16" t="s">
        <v>1730</v>
      </c>
      <c r="I467" s="16" t="s">
        <v>273</v>
      </c>
    </row>
    <row r="468" spans="1:9" x14ac:dyDescent="0.35">
      <c r="A468" s="16" t="s">
        <v>616</v>
      </c>
      <c r="B468" s="17" t="s">
        <v>612</v>
      </c>
      <c r="C468" s="17" t="s">
        <v>612</v>
      </c>
      <c r="D468" s="16" t="s">
        <v>273</v>
      </c>
      <c r="E468" s="16" t="s">
        <v>336</v>
      </c>
      <c r="F468" s="16">
        <v>0.40239999999999998</v>
      </c>
      <c r="G468" s="16" t="s">
        <v>614</v>
      </c>
      <c r="H468" s="16" t="s">
        <v>615</v>
      </c>
      <c r="I468" s="16" t="s">
        <v>273</v>
      </c>
    </row>
    <row r="469" spans="1:9" x14ac:dyDescent="0.35">
      <c r="A469" s="16" t="s">
        <v>1937</v>
      </c>
      <c r="B469" s="17"/>
      <c r="C469" s="17"/>
      <c r="D469" s="16"/>
      <c r="E469" s="16"/>
      <c r="F469" s="16"/>
      <c r="G469" s="16"/>
      <c r="H469" s="16"/>
      <c r="I469" s="16" t="s">
        <v>698</v>
      </c>
    </row>
    <row r="470" spans="1:9" ht="126" x14ac:dyDescent="0.35">
      <c r="A470" s="16" t="s">
        <v>1938</v>
      </c>
      <c r="B470" s="17" t="s">
        <v>1939</v>
      </c>
      <c r="C470" s="17" t="s">
        <v>1940</v>
      </c>
      <c r="D470" s="16" t="s">
        <v>5</v>
      </c>
      <c r="E470" s="16" t="s">
        <v>1941</v>
      </c>
      <c r="F470" s="16">
        <v>0.8</v>
      </c>
      <c r="G470" s="16"/>
      <c r="H470" s="16"/>
      <c r="I470" s="16" t="s">
        <v>5</v>
      </c>
    </row>
    <row r="471" spans="1:9" x14ac:dyDescent="0.35">
      <c r="A471" s="16" t="s">
        <v>1942</v>
      </c>
      <c r="B471" s="17" t="s">
        <v>1943</v>
      </c>
      <c r="C471" s="17" t="s">
        <v>1944</v>
      </c>
      <c r="D471" s="16" t="s">
        <v>273</v>
      </c>
      <c r="E471" s="16" t="s">
        <v>1945</v>
      </c>
      <c r="F471" s="16">
        <v>0.35389999999999999</v>
      </c>
      <c r="G471" s="16" t="s">
        <v>428</v>
      </c>
      <c r="H471" s="16" t="s">
        <v>1946</v>
      </c>
      <c r="I471" s="16" t="s">
        <v>273</v>
      </c>
    </row>
    <row r="472" spans="1:9" x14ac:dyDescent="0.35">
      <c r="A472" s="16" t="s">
        <v>1947</v>
      </c>
      <c r="B472" s="17"/>
      <c r="C472" s="17"/>
      <c r="D472" s="16"/>
      <c r="E472" s="16"/>
      <c r="F472" s="16"/>
      <c r="G472" s="16"/>
      <c r="H472" s="16"/>
      <c r="I472" s="16" t="s">
        <v>698</v>
      </c>
    </row>
    <row r="473" spans="1:9" ht="28" x14ac:dyDescent="0.35">
      <c r="A473" s="16" t="s">
        <v>1948</v>
      </c>
      <c r="B473" s="17" t="s">
        <v>1949</v>
      </c>
      <c r="C473" s="17" t="s">
        <v>1949</v>
      </c>
      <c r="D473" s="16" t="s">
        <v>273</v>
      </c>
      <c r="E473" s="16" t="s">
        <v>512</v>
      </c>
      <c r="F473" s="16">
        <v>0.35820000000000002</v>
      </c>
      <c r="G473" s="16" t="s">
        <v>514</v>
      </c>
      <c r="H473" s="16" t="s">
        <v>513</v>
      </c>
      <c r="I473" s="16" t="s">
        <v>273</v>
      </c>
    </row>
    <row r="474" spans="1:9" x14ac:dyDescent="0.35">
      <c r="A474" s="16" t="s">
        <v>1950</v>
      </c>
      <c r="B474" s="17" t="s">
        <v>1951</v>
      </c>
      <c r="C474" s="17" t="s">
        <v>1951</v>
      </c>
      <c r="D474" s="16" t="s">
        <v>273</v>
      </c>
      <c r="E474" s="16" t="s">
        <v>1952</v>
      </c>
      <c r="F474" s="16">
        <v>0.39410000000000001</v>
      </c>
      <c r="G474" s="16" t="s">
        <v>1953</v>
      </c>
      <c r="H474" s="16" t="s">
        <v>1096</v>
      </c>
      <c r="I474" s="16" t="s">
        <v>273</v>
      </c>
    </row>
    <row r="475" spans="1:9" x14ac:dyDescent="0.35">
      <c r="A475" s="16" t="s">
        <v>1954</v>
      </c>
      <c r="B475" s="17" t="s">
        <v>1955</v>
      </c>
      <c r="C475" s="17" t="s">
        <v>1956</v>
      </c>
      <c r="D475" s="16" t="s">
        <v>273</v>
      </c>
      <c r="E475" s="16" t="s">
        <v>1957</v>
      </c>
      <c r="F475" s="16">
        <v>0.41739999999999999</v>
      </c>
      <c r="G475" s="16" t="s">
        <v>1958</v>
      </c>
      <c r="H475" s="16" t="s">
        <v>1959</v>
      </c>
      <c r="I475" s="16" t="s">
        <v>273</v>
      </c>
    </row>
    <row r="476" spans="1:9" x14ac:dyDescent="0.35">
      <c r="A476" s="16" t="s">
        <v>1960</v>
      </c>
      <c r="B476" s="17" t="s">
        <v>1961</v>
      </c>
      <c r="C476" s="17" t="s">
        <v>1961</v>
      </c>
      <c r="D476" s="16" t="s">
        <v>273</v>
      </c>
      <c r="E476" s="16" t="s">
        <v>1962</v>
      </c>
      <c r="F476" s="16">
        <v>0.27650000000000002</v>
      </c>
      <c r="G476" s="16" t="s">
        <v>1963</v>
      </c>
      <c r="H476" s="16" t="s">
        <v>1964</v>
      </c>
      <c r="I476" s="16" t="s">
        <v>273</v>
      </c>
    </row>
    <row r="477" spans="1:9" ht="42" x14ac:dyDescent="0.35">
      <c r="A477" s="16" t="s">
        <v>1965</v>
      </c>
      <c r="B477" s="17" t="s">
        <v>1966</v>
      </c>
      <c r="C477" s="17" t="s">
        <v>1967</v>
      </c>
      <c r="D477" s="16" t="s">
        <v>273</v>
      </c>
      <c r="E477" s="16" t="s">
        <v>1365</v>
      </c>
      <c r="F477" s="16">
        <v>0.22409999999999999</v>
      </c>
      <c r="G477" s="16" t="s">
        <v>1968</v>
      </c>
      <c r="H477" s="16"/>
      <c r="I477" s="16" t="s">
        <v>273</v>
      </c>
    </row>
    <row r="478" spans="1:9" x14ac:dyDescent="0.35">
      <c r="A478" s="16" t="s">
        <v>1969</v>
      </c>
      <c r="B478" s="17" t="s">
        <v>1970</v>
      </c>
      <c r="C478" s="17" t="s">
        <v>1971</v>
      </c>
      <c r="D478" s="16" t="s">
        <v>273</v>
      </c>
      <c r="E478" s="16" t="s">
        <v>1972</v>
      </c>
      <c r="F478" s="16">
        <v>0.4128</v>
      </c>
      <c r="G478" s="16" t="s">
        <v>1973</v>
      </c>
      <c r="H478" s="16" t="s">
        <v>513</v>
      </c>
      <c r="I478" s="16" t="s">
        <v>273</v>
      </c>
    </row>
    <row r="479" spans="1:9" ht="28" x14ac:dyDescent="0.35">
      <c r="A479" s="16" t="s">
        <v>1974</v>
      </c>
      <c r="B479" s="17" t="s">
        <v>1975</v>
      </c>
      <c r="C479" s="17" t="s">
        <v>1975</v>
      </c>
      <c r="D479" s="16" t="s">
        <v>273</v>
      </c>
      <c r="E479" s="16" t="s">
        <v>512</v>
      </c>
      <c r="F479" s="16">
        <v>0.31230000000000002</v>
      </c>
      <c r="G479" s="16" t="s">
        <v>513</v>
      </c>
      <c r="H479" s="16" t="s">
        <v>1972</v>
      </c>
      <c r="I479" s="16" t="s">
        <v>273</v>
      </c>
    </row>
    <row r="480" spans="1:9" x14ac:dyDescent="0.35">
      <c r="A480" s="16" t="s">
        <v>1976</v>
      </c>
      <c r="B480" s="17" t="s">
        <v>1977</v>
      </c>
      <c r="C480" s="17" t="s">
        <v>1978</v>
      </c>
      <c r="D480" s="16" t="s">
        <v>273</v>
      </c>
      <c r="E480" s="16" t="s">
        <v>115</v>
      </c>
      <c r="F480" s="16">
        <v>0.37219999999999998</v>
      </c>
      <c r="G480" s="16" t="s">
        <v>43</v>
      </c>
      <c r="H480" s="16" t="s">
        <v>506</v>
      </c>
      <c r="I480" s="16" t="s">
        <v>273</v>
      </c>
    </row>
    <row r="481" spans="1:9" ht="28" x14ac:dyDescent="0.35">
      <c r="A481" s="16" t="s">
        <v>1979</v>
      </c>
      <c r="B481" s="17" t="s">
        <v>1980</v>
      </c>
      <c r="C481" s="17" t="s">
        <v>1981</v>
      </c>
      <c r="D481" s="16" t="s">
        <v>273</v>
      </c>
      <c r="E481" s="16" t="s">
        <v>512</v>
      </c>
      <c r="F481" s="16">
        <v>0.24199999999999999</v>
      </c>
      <c r="G481" s="16"/>
      <c r="H481" s="16"/>
      <c r="I481" s="16" t="s">
        <v>273</v>
      </c>
    </row>
    <row r="482" spans="1:9" ht="42" x14ac:dyDescent="0.35">
      <c r="A482" s="16" t="s">
        <v>1982</v>
      </c>
      <c r="B482" s="17" t="s">
        <v>1983</v>
      </c>
      <c r="C482" s="17" t="s">
        <v>1984</v>
      </c>
      <c r="D482" s="16" t="s">
        <v>273</v>
      </c>
      <c r="E482" s="16" t="s">
        <v>512</v>
      </c>
      <c r="F482" s="16">
        <v>0.20780000000000001</v>
      </c>
      <c r="G482" s="16" t="s">
        <v>1959</v>
      </c>
      <c r="H482" s="16"/>
      <c r="I482" s="16" t="s">
        <v>273</v>
      </c>
    </row>
    <row r="483" spans="1:9" ht="56" x14ac:dyDescent="0.35">
      <c r="A483" s="16" t="s">
        <v>695</v>
      </c>
      <c r="B483" s="17" t="s">
        <v>693</v>
      </c>
      <c r="C483" s="17" t="s">
        <v>1985</v>
      </c>
      <c r="D483" s="16" t="s">
        <v>273</v>
      </c>
      <c r="E483" s="16" t="s">
        <v>1986</v>
      </c>
      <c r="F483" s="16">
        <v>0.2268</v>
      </c>
      <c r="G483" s="16" t="s">
        <v>1987</v>
      </c>
      <c r="H483" s="16" t="s">
        <v>1804</v>
      </c>
      <c r="I483" s="16" t="s">
        <v>273</v>
      </c>
    </row>
    <row r="484" spans="1:9" ht="56" x14ac:dyDescent="0.35">
      <c r="A484" s="16" t="s">
        <v>148</v>
      </c>
      <c r="B484" s="17" t="s">
        <v>145</v>
      </c>
      <c r="C484" s="17" t="s">
        <v>144</v>
      </c>
      <c r="D484" s="16" t="s">
        <v>5</v>
      </c>
      <c r="E484" s="16" t="s">
        <v>147</v>
      </c>
      <c r="F484" s="16">
        <v>0.8</v>
      </c>
      <c r="G484" s="16"/>
      <c r="H484" s="16"/>
      <c r="I484" s="16" t="s">
        <v>5</v>
      </c>
    </row>
    <row r="485" spans="1:9" ht="28" x14ac:dyDescent="0.35">
      <c r="A485" s="16" t="s">
        <v>1988</v>
      </c>
      <c r="B485" s="17" t="s">
        <v>1989</v>
      </c>
      <c r="C485" s="17" t="s">
        <v>1990</v>
      </c>
      <c r="D485" s="16"/>
      <c r="E485" s="16"/>
      <c r="F485" s="16"/>
      <c r="G485" s="16"/>
      <c r="H485" s="16"/>
      <c r="I485" s="16" t="s">
        <v>633</v>
      </c>
    </row>
    <row r="486" spans="1:9" ht="28" x14ac:dyDescent="0.35">
      <c r="A486" s="16" t="s">
        <v>1991</v>
      </c>
      <c r="B486" s="17" t="s">
        <v>1989</v>
      </c>
      <c r="C486" s="17" t="s">
        <v>1990</v>
      </c>
      <c r="D486" s="16"/>
      <c r="E486" s="16"/>
      <c r="F486" s="16"/>
      <c r="G486" s="16"/>
      <c r="H486" s="16"/>
      <c r="I486" s="16" t="s">
        <v>633</v>
      </c>
    </row>
    <row r="487" spans="1:9" x14ac:dyDescent="0.35">
      <c r="A487" s="16" t="s">
        <v>1992</v>
      </c>
      <c r="B487" s="17" t="s">
        <v>1993</v>
      </c>
      <c r="C487" s="17" t="s">
        <v>1993</v>
      </c>
      <c r="D487" s="16" t="s">
        <v>22</v>
      </c>
      <c r="E487" s="16" t="s">
        <v>1994</v>
      </c>
      <c r="F487" s="16">
        <v>1</v>
      </c>
      <c r="G487" s="16"/>
      <c r="H487" s="16"/>
      <c r="I487" s="16" t="s">
        <v>22</v>
      </c>
    </row>
    <row r="488" spans="1:9" x14ac:dyDescent="0.35">
      <c r="A488" s="16" t="s">
        <v>1995</v>
      </c>
      <c r="B488" s="17"/>
      <c r="C488" s="17"/>
      <c r="D488" s="16"/>
      <c r="E488" s="16"/>
      <c r="F488" s="16"/>
      <c r="G488" s="16"/>
      <c r="H488" s="16"/>
      <c r="I488" s="16" t="s">
        <v>698</v>
      </c>
    </row>
    <row r="489" spans="1:9" ht="42" x14ac:dyDescent="0.35">
      <c r="A489" s="16" t="s">
        <v>415</v>
      </c>
      <c r="B489" s="17" t="s">
        <v>410</v>
      </c>
      <c r="C489" s="17" t="s">
        <v>1996</v>
      </c>
      <c r="D489" s="16" t="s">
        <v>273</v>
      </c>
      <c r="E489" s="16" t="s">
        <v>1997</v>
      </c>
      <c r="F489" s="16">
        <v>0.42899999999999999</v>
      </c>
      <c r="G489" s="16" t="s">
        <v>412</v>
      </c>
      <c r="H489" s="16" t="s">
        <v>413</v>
      </c>
      <c r="I489" s="16" t="s">
        <v>273</v>
      </c>
    </row>
    <row r="490" spans="1:9" x14ac:dyDescent="0.35">
      <c r="A490" s="16" t="s">
        <v>1998</v>
      </c>
      <c r="B490" s="17" t="s">
        <v>105</v>
      </c>
      <c r="C490" s="17" t="s">
        <v>105</v>
      </c>
      <c r="D490" s="16" t="s">
        <v>22</v>
      </c>
      <c r="E490" s="16" t="s">
        <v>105</v>
      </c>
      <c r="F490" s="16">
        <v>1</v>
      </c>
      <c r="G490" s="16"/>
      <c r="H490" s="16"/>
      <c r="I490" s="16" t="s">
        <v>22</v>
      </c>
    </row>
    <row r="491" spans="1:9" ht="28" x14ac:dyDescent="0.35">
      <c r="A491" s="16" t="s">
        <v>1999</v>
      </c>
      <c r="B491" s="17" t="s">
        <v>2000</v>
      </c>
      <c r="C491" s="17" t="s">
        <v>2000</v>
      </c>
      <c r="D491" s="16" t="s">
        <v>186</v>
      </c>
      <c r="E491" s="16" t="s">
        <v>244</v>
      </c>
      <c r="F491" s="16">
        <v>0.6</v>
      </c>
      <c r="G491" s="16"/>
      <c r="H491" s="16"/>
      <c r="I491" s="16" t="s">
        <v>186</v>
      </c>
    </row>
    <row r="492" spans="1:9" x14ac:dyDescent="0.35">
      <c r="A492" s="16" t="s">
        <v>2001</v>
      </c>
      <c r="B492" s="17" t="s">
        <v>2002</v>
      </c>
      <c r="C492" s="17" t="s">
        <v>2003</v>
      </c>
      <c r="D492" s="16" t="s">
        <v>186</v>
      </c>
      <c r="E492" s="16" t="s">
        <v>244</v>
      </c>
      <c r="F492" s="16">
        <v>0.6</v>
      </c>
      <c r="G492" s="16"/>
      <c r="H492" s="16"/>
      <c r="I492" s="16" t="s">
        <v>186</v>
      </c>
    </row>
    <row r="493" spans="1:9" x14ac:dyDescent="0.35">
      <c r="A493" s="16" t="s">
        <v>2004</v>
      </c>
      <c r="B493" s="17" t="s">
        <v>2002</v>
      </c>
      <c r="C493" s="17" t="s">
        <v>2003</v>
      </c>
      <c r="D493" s="16" t="s">
        <v>186</v>
      </c>
      <c r="E493" s="16" t="s">
        <v>244</v>
      </c>
      <c r="F493" s="16">
        <v>0.6</v>
      </c>
      <c r="G493" s="16"/>
      <c r="H493" s="16"/>
      <c r="I493" s="16" t="s">
        <v>186</v>
      </c>
    </row>
    <row r="494" spans="1:9" x14ac:dyDescent="0.35">
      <c r="A494" s="16" t="s">
        <v>2005</v>
      </c>
      <c r="B494" s="17" t="s">
        <v>2006</v>
      </c>
      <c r="C494" s="17" t="s">
        <v>2007</v>
      </c>
      <c r="D494" s="16" t="s">
        <v>273</v>
      </c>
      <c r="E494" s="16" t="s">
        <v>2008</v>
      </c>
      <c r="F494" s="16">
        <v>0.2853</v>
      </c>
      <c r="G494" s="16" t="s">
        <v>2009</v>
      </c>
      <c r="H494" s="16" t="s">
        <v>2010</v>
      </c>
      <c r="I494" s="16" t="s">
        <v>273</v>
      </c>
    </row>
    <row r="495" spans="1:9" ht="42" x14ac:dyDescent="0.35">
      <c r="A495" s="16" t="s">
        <v>2011</v>
      </c>
      <c r="B495" s="17" t="s">
        <v>2012</v>
      </c>
      <c r="C495" s="17" t="s">
        <v>2013</v>
      </c>
      <c r="D495" s="16"/>
      <c r="E495" s="16"/>
      <c r="F495" s="16"/>
      <c r="G495" s="16"/>
      <c r="H495" s="16"/>
      <c r="I495" s="16" t="s">
        <v>633</v>
      </c>
    </row>
    <row r="496" spans="1:9" x14ac:dyDescent="0.35">
      <c r="A496" s="16" t="s">
        <v>2014</v>
      </c>
      <c r="B496" s="17" t="s">
        <v>2015</v>
      </c>
      <c r="C496" s="17" t="s">
        <v>2016</v>
      </c>
      <c r="D496" s="16" t="s">
        <v>273</v>
      </c>
      <c r="E496" s="16" t="s">
        <v>80</v>
      </c>
      <c r="F496" s="16">
        <v>0.48849999999999999</v>
      </c>
      <c r="G496" s="16" t="s">
        <v>2017</v>
      </c>
      <c r="H496" s="16" t="s">
        <v>2018</v>
      </c>
      <c r="I496" s="16" t="s">
        <v>273</v>
      </c>
    </row>
    <row r="497" spans="1:9" x14ac:dyDescent="0.35">
      <c r="A497" s="16" t="s">
        <v>2019</v>
      </c>
      <c r="B497" s="17" t="s">
        <v>2020</v>
      </c>
      <c r="C497" s="17" t="s">
        <v>2021</v>
      </c>
      <c r="D497" s="16" t="s">
        <v>273</v>
      </c>
      <c r="E497" s="16" t="s">
        <v>2022</v>
      </c>
      <c r="F497" s="16">
        <v>0.39710000000000001</v>
      </c>
      <c r="G497" s="16" t="s">
        <v>2023</v>
      </c>
      <c r="H497" s="16" t="s">
        <v>2024</v>
      </c>
      <c r="I497" s="16" t="s">
        <v>273</v>
      </c>
    </row>
    <row r="498" spans="1:9" x14ac:dyDescent="0.35">
      <c r="A498" s="16" t="s">
        <v>2025</v>
      </c>
      <c r="B498" s="17" t="s">
        <v>2026</v>
      </c>
      <c r="C498" s="17" t="s">
        <v>2026</v>
      </c>
      <c r="D498" s="16"/>
      <c r="E498" s="16"/>
      <c r="F498" s="16"/>
      <c r="G498" s="16"/>
      <c r="H498" s="16"/>
      <c r="I498" s="16" t="s">
        <v>633</v>
      </c>
    </row>
    <row r="499" spans="1:9" x14ac:dyDescent="0.35">
      <c r="A499" s="16" t="s">
        <v>2027</v>
      </c>
      <c r="B499" s="17" t="s">
        <v>2028</v>
      </c>
      <c r="C499" s="17" t="s">
        <v>2029</v>
      </c>
      <c r="D499" s="16" t="s">
        <v>273</v>
      </c>
      <c r="E499" s="16" t="s">
        <v>2030</v>
      </c>
      <c r="F499" s="16">
        <v>0.3261</v>
      </c>
      <c r="G499" s="16" t="s">
        <v>2031</v>
      </c>
      <c r="H499" s="16" t="s">
        <v>2032</v>
      </c>
      <c r="I499" s="16" t="s">
        <v>273</v>
      </c>
    </row>
    <row r="500" spans="1:9" ht="28" x14ac:dyDescent="0.35">
      <c r="A500" s="16" t="s">
        <v>134</v>
      </c>
      <c r="B500" s="17" t="s">
        <v>133</v>
      </c>
      <c r="C500" s="17" t="s">
        <v>133</v>
      </c>
      <c r="D500" s="16" t="s">
        <v>5</v>
      </c>
      <c r="E500" s="16" t="s">
        <v>67</v>
      </c>
      <c r="F500" s="16">
        <v>0.8</v>
      </c>
      <c r="G500" s="16"/>
      <c r="H500" s="16"/>
      <c r="I500" s="16" t="s">
        <v>5</v>
      </c>
    </row>
    <row r="501" spans="1:9" x14ac:dyDescent="0.35">
      <c r="A501" s="16" t="s">
        <v>2033</v>
      </c>
      <c r="B501" s="17" t="s">
        <v>2034</v>
      </c>
      <c r="C501" s="17" t="s">
        <v>2034</v>
      </c>
      <c r="D501" s="16" t="s">
        <v>5</v>
      </c>
      <c r="E501" s="16" t="s">
        <v>2035</v>
      </c>
      <c r="F501" s="16">
        <v>0.8</v>
      </c>
      <c r="G501" s="16"/>
      <c r="H501" s="16"/>
      <c r="I501" s="16" t="s">
        <v>5</v>
      </c>
    </row>
    <row r="502" spans="1:9" x14ac:dyDescent="0.35">
      <c r="A502" s="16" t="s">
        <v>2036</v>
      </c>
      <c r="B502" s="17" t="s">
        <v>2037</v>
      </c>
      <c r="C502" s="17" t="s">
        <v>2038</v>
      </c>
      <c r="D502" s="16" t="s">
        <v>273</v>
      </c>
      <c r="E502" s="16" t="s">
        <v>2039</v>
      </c>
      <c r="F502" s="16">
        <v>0.27529999999999999</v>
      </c>
      <c r="G502" s="16" t="s">
        <v>421</v>
      </c>
      <c r="H502" s="16"/>
      <c r="I502" s="16" t="s">
        <v>273</v>
      </c>
    </row>
    <row r="503" spans="1:9" ht="28" x14ac:dyDescent="0.35">
      <c r="A503" s="16" t="s">
        <v>685</v>
      </c>
      <c r="B503" s="17" t="s">
        <v>684</v>
      </c>
      <c r="C503" s="17" t="s">
        <v>2040</v>
      </c>
      <c r="D503" s="16" t="s">
        <v>22</v>
      </c>
      <c r="E503" s="16" t="s">
        <v>86</v>
      </c>
      <c r="F503" s="16">
        <v>1</v>
      </c>
      <c r="G503" s="16"/>
      <c r="H503" s="16"/>
      <c r="I503" s="16" t="s">
        <v>22</v>
      </c>
    </row>
    <row r="504" spans="1:9" x14ac:dyDescent="0.35">
      <c r="A504" s="16" t="s">
        <v>2041</v>
      </c>
      <c r="B504" s="17" t="s">
        <v>2042</v>
      </c>
      <c r="C504" s="17" t="s">
        <v>2043</v>
      </c>
      <c r="D504" s="16" t="s">
        <v>273</v>
      </c>
      <c r="E504" s="16" t="s">
        <v>2044</v>
      </c>
      <c r="F504" s="16">
        <v>0.41839999999999999</v>
      </c>
      <c r="G504" s="16" t="s">
        <v>46</v>
      </c>
      <c r="H504" s="16" t="s">
        <v>2045</v>
      </c>
      <c r="I504" s="16" t="s">
        <v>273</v>
      </c>
    </row>
    <row r="505" spans="1:9" x14ac:dyDescent="0.35">
      <c r="A505" s="16" t="s">
        <v>2046</v>
      </c>
      <c r="B505" s="17" t="s">
        <v>2047</v>
      </c>
      <c r="C505" s="17" t="s">
        <v>2048</v>
      </c>
      <c r="D505" s="16"/>
      <c r="E505" s="16"/>
      <c r="F505" s="16"/>
      <c r="G505" s="16"/>
      <c r="H505" s="16"/>
      <c r="I505" s="16" t="s">
        <v>633</v>
      </c>
    </row>
    <row r="506" spans="1:9" x14ac:dyDescent="0.35">
      <c r="A506" s="16" t="s">
        <v>2049</v>
      </c>
      <c r="B506" s="17" t="s">
        <v>2050</v>
      </c>
      <c r="C506" s="17" t="s">
        <v>2051</v>
      </c>
      <c r="D506" s="16" t="s">
        <v>22</v>
      </c>
      <c r="E506" s="16" t="s">
        <v>2052</v>
      </c>
      <c r="F506" s="16">
        <v>1</v>
      </c>
      <c r="G506" s="16"/>
      <c r="H506" s="16"/>
      <c r="I506" s="16" t="s">
        <v>22</v>
      </c>
    </row>
    <row r="507" spans="1:9" x14ac:dyDescent="0.35">
      <c r="A507" s="16" t="s">
        <v>2053</v>
      </c>
      <c r="B507" s="17" t="s">
        <v>2054</v>
      </c>
      <c r="C507" s="17" t="s">
        <v>2055</v>
      </c>
      <c r="D507" s="16" t="s">
        <v>5</v>
      </c>
      <c r="E507" s="16" t="s">
        <v>100</v>
      </c>
      <c r="F507" s="16">
        <v>0.8</v>
      </c>
      <c r="G507" s="16"/>
      <c r="H507" s="16"/>
      <c r="I507" s="16" t="s">
        <v>5</v>
      </c>
    </row>
    <row r="508" spans="1:9" x14ac:dyDescent="0.35">
      <c r="A508" s="16" t="s">
        <v>2056</v>
      </c>
      <c r="B508" s="17" t="s">
        <v>307</v>
      </c>
      <c r="C508" s="17" t="s">
        <v>307</v>
      </c>
      <c r="D508" s="16" t="s">
        <v>273</v>
      </c>
      <c r="E508" s="16" t="s">
        <v>310</v>
      </c>
      <c r="F508" s="16">
        <v>0.27950000000000003</v>
      </c>
      <c r="G508" s="16" t="s">
        <v>311</v>
      </c>
      <c r="H508" s="16" t="s">
        <v>312</v>
      </c>
      <c r="I508" s="16" t="s">
        <v>273</v>
      </c>
    </row>
    <row r="509" spans="1:9" x14ac:dyDescent="0.35">
      <c r="A509" s="16" t="s">
        <v>2057</v>
      </c>
      <c r="B509" s="17" t="s">
        <v>2058</v>
      </c>
      <c r="C509" s="17" t="s">
        <v>2058</v>
      </c>
      <c r="D509" s="16" t="s">
        <v>273</v>
      </c>
      <c r="E509" s="16" t="s">
        <v>2059</v>
      </c>
      <c r="F509" s="16">
        <v>0.25019999999999998</v>
      </c>
      <c r="G509" s="16" t="s">
        <v>2060</v>
      </c>
      <c r="H509" s="16" t="s">
        <v>2061</v>
      </c>
      <c r="I509" s="16" t="s">
        <v>273</v>
      </c>
    </row>
    <row r="510" spans="1:9" ht="42" x14ac:dyDescent="0.35">
      <c r="A510" s="16" t="s">
        <v>2062</v>
      </c>
      <c r="B510" s="17" t="s">
        <v>2063</v>
      </c>
      <c r="C510" s="17" t="s">
        <v>2064</v>
      </c>
      <c r="D510" s="16" t="s">
        <v>273</v>
      </c>
      <c r="E510" s="16" t="s">
        <v>2065</v>
      </c>
      <c r="F510" s="16">
        <v>0.21929999999999999</v>
      </c>
      <c r="G510" s="16" t="s">
        <v>2066</v>
      </c>
      <c r="H510" s="16" t="s">
        <v>2067</v>
      </c>
      <c r="I510" s="16" t="s">
        <v>273</v>
      </c>
    </row>
    <row r="511" spans="1:9" x14ac:dyDescent="0.35">
      <c r="A511" s="16" t="s">
        <v>2068</v>
      </c>
      <c r="B511" s="17" t="s">
        <v>2069</v>
      </c>
      <c r="C511" s="17" t="s">
        <v>2070</v>
      </c>
      <c r="D511" s="16" t="s">
        <v>273</v>
      </c>
      <c r="E511" s="16" t="s">
        <v>2061</v>
      </c>
      <c r="F511" s="16">
        <v>0.22020000000000001</v>
      </c>
      <c r="G511" s="16" t="s">
        <v>2071</v>
      </c>
      <c r="H511" s="16"/>
      <c r="I511" s="16" t="s">
        <v>273</v>
      </c>
    </row>
    <row r="512" spans="1:9" x14ac:dyDescent="0.35">
      <c r="A512" s="16" t="s">
        <v>2072</v>
      </c>
      <c r="B512" s="17"/>
      <c r="C512" s="17"/>
      <c r="D512" s="16"/>
      <c r="E512" s="16"/>
      <c r="F512" s="16"/>
      <c r="G512" s="16"/>
      <c r="H512" s="16"/>
      <c r="I512" s="16" t="s">
        <v>698</v>
      </c>
    </row>
    <row r="513" spans="1:9" x14ac:dyDescent="0.35">
      <c r="A513" s="16" t="s">
        <v>2073</v>
      </c>
      <c r="B513" s="17" t="s">
        <v>2074</v>
      </c>
      <c r="C513" s="17" t="s">
        <v>2075</v>
      </c>
      <c r="D513" s="16" t="s">
        <v>273</v>
      </c>
      <c r="E513" s="16" t="s">
        <v>2076</v>
      </c>
      <c r="F513" s="16">
        <v>0.40339999999999998</v>
      </c>
      <c r="G513" s="16" t="s">
        <v>2077</v>
      </c>
      <c r="H513" s="16" t="s">
        <v>2078</v>
      </c>
      <c r="I513" s="16" t="s">
        <v>273</v>
      </c>
    </row>
    <row r="514" spans="1:9" x14ac:dyDescent="0.35">
      <c r="A514" s="16" t="s">
        <v>2079</v>
      </c>
      <c r="B514" s="17" t="s">
        <v>2080</v>
      </c>
      <c r="C514" s="17" t="s">
        <v>2081</v>
      </c>
      <c r="D514" s="16" t="s">
        <v>273</v>
      </c>
      <c r="E514" s="16" t="s">
        <v>2082</v>
      </c>
      <c r="F514" s="16">
        <v>0.29170000000000001</v>
      </c>
      <c r="G514" s="16" t="s">
        <v>2083</v>
      </c>
      <c r="H514" s="16" t="s">
        <v>2084</v>
      </c>
      <c r="I514" s="16" t="s">
        <v>273</v>
      </c>
    </row>
    <row r="515" spans="1:9" x14ac:dyDescent="0.35">
      <c r="A515" s="16" t="s">
        <v>2085</v>
      </c>
      <c r="B515" s="17" t="s">
        <v>2086</v>
      </c>
      <c r="C515" s="17" t="s">
        <v>2087</v>
      </c>
      <c r="D515" s="16" t="s">
        <v>22</v>
      </c>
      <c r="E515" s="16" t="s">
        <v>2087</v>
      </c>
      <c r="F515" s="16">
        <v>1</v>
      </c>
      <c r="G515" s="16"/>
      <c r="H515" s="16"/>
      <c r="I515" s="16" t="s">
        <v>22</v>
      </c>
    </row>
    <row r="516" spans="1:9" x14ac:dyDescent="0.35">
      <c r="A516" s="16" t="s">
        <v>2088</v>
      </c>
      <c r="B516" s="17" t="s">
        <v>2089</v>
      </c>
      <c r="C516" s="17" t="s">
        <v>2090</v>
      </c>
      <c r="D516" s="16" t="s">
        <v>273</v>
      </c>
      <c r="E516" s="16" t="s">
        <v>2091</v>
      </c>
      <c r="F516" s="16">
        <v>0.29480000000000001</v>
      </c>
      <c r="G516" s="16" t="s">
        <v>34</v>
      </c>
      <c r="H516" s="16" t="s">
        <v>2092</v>
      </c>
      <c r="I516" s="16" t="s">
        <v>273</v>
      </c>
    </row>
    <row r="517" spans="1:9" x14ac:dyDescent="0.35">
      <c r="A517" s="16" t="s">
        <v>2093</v>
      </c>
      <c r="B517" s="17" t="s">
        <v>2094</v>
      </c>
      <c r="C517" s="17" t="s">
        <v>2094</v>
      </c>
      <c r="D517" s="16" t="s">
        <v>273</v>
      </c>
      <c r="E517" s="16" t="s">
        <v>2095</v>
      </c>
      <c r="F517" s="16">
        <v>0.36870000000000003</v>
      </c>
      <c r="G517" s="16" t="s">
        <v>2096</v>
      </c>
      <c r="H517" s="16" t="s">
        <v>2097</v>
      </c>
      <c r="I517" s="16" t="s">
        <v>273</v>
      </c>
    </row>
    <row r="518" spans="1:9" x14ac:dyDescent="0.35">
      <c r="A518" s="16" t="s">
        <v>2098</v>
      </c>
      <c r="B518" s="17"/>
      <c r="C518" s="17"/>
      <c r="D518" s="16"/>
      <c r="E518" s="16"/>
      <c r="F518" s="16"/>
      <c r="G518" s="16"/>
      <c r="H518" s="16"/>
      <c r="I518" s="16" t="s">
        <v>698</v>
      </c>
    </row>
    <row r="519" spans="1:9" x14ac:dyDescent="0.35">
      <c r="A519" s="16" t="s">
        <v>2099</v>
      </c>
      <c r="B519" s="17" t="s">
        <v>2100</v>
      </c>
      <c r="C519" s="17" t="s">
        <v>130</v>
      </c>
      <c r="D519" s="16" t="s">
        <v>22</v>
      </c>
      <c r="E519" s="16" t="s">
        <v>100</v>
      </c>
      <c r="F519" s="16">
        <v>1</v>
      </c>
      <c r="G519" s="16"/>
      <c r="H519" s="16"/>
      <c r="I519" s="16" t="s">
        <v>22</v>
      </c>
    </row>
    <row r="520" spans="1:9" x14ac:dyDescent="0.35">
      <c r="A520" s="16" t="s">
        <v>2101</v>
      </c>
      <c r="B520" s="17" t="s">
        <v>2094</v>
      </c>
      <c r="C520" s="17" t="s">
        <v>2094</v>
      </c>
      <c r="D520" s="16" t="s">
        <v>273</v>
      </c>
      <c r="E520" s="16" t="s">
        <v>2095</v>
      </c>
      <c r="F520" s="16">
        <v>0.36870000000000003</v>
      </c>
      <c r="G520" s="16" t="s">
        <v>2096</v>
      </c>
      <c r="H520" s="16" t="s">
        <v>2097</v>
      </c>
      <c r="I520" s="16" t="s">
        <v>273</v>
      </c>
    </row>
    <row r="521" spans="1:9" x14ac:dyDescent="0.35">
      <c r="A521" s="16" t="s">
        <v>2102</v>
      </c>
      <c r="B521" s="17" t="s">
        <v>2103</v>
      </c>
      <c r="C521" s="17" t="s">
        <v>2103</v>
      </c>
      <c r="D521" s="16"/>
      <c r="E521" s="16"/>
      <c r="F521" s="16"/>
      <c r="G521" s="16"/>
      <c r="H521" s="16"/>
      <c r="I521" s="16" t="s">
        <v>633</v>
      </c>
    </row>
    <row r="522" spans="1:9" x14ac:dyDescent="0.35">
      <c r="A522" s="16" t="s">
        <v>2104</v>
      </c>
      <c r="B522" s="17"/>
      <c r="C522" s="17"/>
      <c r="D522" s="16"/>
      <c r="E522" s="16"/>
      <c r="F522" s="16"/>
      <c r="G522" s="16"/>
      <c r="H522" s="16"/>
      <c r="I522" s="16" t="s">
        <v>698</v>
      </c>
    </row>
    <row r="523" spans="1:9" x14ac:dyDescent="0.35">
      <c r="A523" s="16" t="s">
        <v>2105</v>
      </c>
      <c r="B523" s="17" t="s">
        <v>2106</v>
      </c>
      <c r="C523" s="17" t="s">
        <v>2107</v>
      </c>
      <c r="D523" s="16" t="s">
        <v>273</v>
      </c>
      <c r="E523" s="16" t="s">
        <v>2077</v>
      </c>
      <c r="F523" s="16">
        <v>0.44369999999999998</v>
      </c>
      <c r="G523" s="16" t="s">
        <v>2108</v>
      </c>
      <c r="H523" s="16" t="s">
        <v>2076</v>
      </c>
      <c r="I523" s="16" t="s">
        <v>273</v>
      </c>
    </row>
    <row r="524" spans="1:9" x14ac:dyDescent="0.35">
      <c r="A524" s="16" t="s">
        <v>2109</v>
      </c>
      <c r="B524" s="17" t="s">
        <v>2110</v>
      </c>
      <c r="C524" s="17"/>
      <c r="D524" s="16"/>
      <c r="E524" s="16"/>
      <c r="F524" s="16"/>
      <c r="G524" s="16"/>
      <c r="H524" s="16"/>
      <c r="I524" s="16" t="s">
        <v>633</v>
      </c>
    </row>
    <row r="525" spans="1:9" ht="28" x14ac:dyDescent="0.35">
      <c r="A525" s="16" t="s">
        <v>407</v>
      </c>
      <c r="B525" s="17" t="s">
        <v>402</v>
      </c>
      <c r="C525" s="17" t="s">
        <v>2111</v>
      </c>
      <c r="D525" s="16" t="s">
        <v>22</v>
      </c>
      <c r="E525" s="16" t="s">
        <v>34</v>
      </c>
      <c r="F525" s="16">
        <v>0.8</v>
      </c>
      <c r="G525" s="16" t="s">
        <v>35</v>
      </c>
      <c r="H525" s="16" t="s">
        <v>1388</v>
      </c>
      <c r="I525" s="16" t="s">
        <v>22</v>
      </c>
    </row>
    <row r="526" spans="1:9" x14ac:dyDescent="0.35">
      <c r="A526" s="16" t="s">
        <v>2112</v>
      </c>
      <c r="B526" s="17" t="s">
        <v>2070</v>
      </c>
      <c r="C526" s="17" t="s">
        <v>2070</v>
      </c>
      <c r="D526" s="16" t="s">
        <v>273</v>
      </c>
      <c r="E526" s="16" t="s">
        <v>2061</v>
      </c>
      <c r="F526" s="16">
        <v>0.22020000000000001</v>
      </c>
      <c r="G526" s="16" t="s">
        <v>2071</v>
      </c>
      <c r="H526" s="16"/>
      <c r="I526" s="16" t="s">
        <v>273</v>
      </c>
    </row>
    <row r="527" spans="1:9" x14ac:dyDescent="0.35">
      <c r="A527" s="16" t="s">
        <v>2113</v>
      </c>
      <c r="B527" s="17" t="s">
        <v>2114</v>
      </c>
      <c r="C527" s="17" t="s">
        <v>2115</v>
      </c>
      <c r="D527" s="16" t="s">
        <v>5</v>
      </c>
      <c r="E527" s="16" t="s">
        <v>73</v>
      </c>
      <c r="F527" s="16">
        <v>0.8</v>
      </c>
      <c r="G527" s="16"/>
      <c r="H527" s="16"/>
      <c r="I527" s="16" t="s">
        <v>5</v>
      </c>
    </row>
    <row r="528" spans="1:9" x14ac:dyDescent="0.35">
      <c r="A528" s="16" t="s">
        <v>2116</v>
      </c>
      <c r="B528" s="17" t="s">
        <v>2117</v>
      </c>
      <c r="C528" s="17" t="s">
        <v>89</v>
      </c>
      <c r="D528" s="16" t="s">
        <v>22</v>
      </c>
      <c r="E528" s="16" t="s">
        <v>89</v>
      </c>
      <c r="F528" s="16">
        <v>1</v>
      </c>
      <c r="G528" s="16"/>
      <c r="H528" s="16"/>
      <c r="I528" s="16" t="s">
        <v>22</v>
      </c>
    </row>
    <row r="529" spans="1:9" x14ac:dyDescent="0.35">
      <c r="A529" s="16" t="s">
        <v>2118</v>
      </c>
      <c r="B529" s="17" t="s">
        <v>2119</v>
      </c>
      <c r="C529" s="17" t="s">
        <v>673</v>
      </c>
      <c r="D529" s="16"/>
      <c r="E529" s="16"/>
      <c r="F529" s="16"/>
      <c r="G529" s="16"/>
      <c r="H529" s="16"/>
      <c r="I529" s="16" t="s">
        <v>633</v>
      </c>
    </row>
    <row r="530" spans="1:9" ht="42" x14ac:dyDescent="0.35">
      <c r="A530" s="16" t="s">
        <v>2120</v>
      </c>
      <c r="B530" s="17" t="s">
        <v>2121</v>
      </c>
      <c r="C530" s="17" t="s">
        <v>2122</v>
      </c>
      <c r="D530" s="16" t="s">
        <v>5</v>
      </c>
      <c r="E530" s="16" t="s">
        <v>94</v>
      </c>
      <c r="F530" s="16">
        <v>0.8</v>
      </c>
      <c r="G530" s="16"/>
      <c r="H530" s="16"/>
      <c r="I530" s="16" t="s">
        <v>5</v>
      </c>
    </row>
    <row r="531" spans="1:9" x14ac:dyDescent="0.35">
      <c r="A531" s="16" t="s">
        <v>2123</v>
      </c>
      <c r="B531" s="17" t="s">
        <v>2124</v>
      </c>
      <c r="C531" s="17" t="s">
        <v>2124</v>
      </c>
      <c r="D531" s="16" t="s">
        <v>273</v>
      </c>
      <c r="E531" s="16" t="s">
        <v>1388</v>
      </c>
      <c r="F531" s="16">
        <v>0.216</v>
      </c>
      <c r="G531" s="16"/>
      <c r="H531" s="16"/>
      <c r="I531" s="16" t="s">
        <v>273</v>
      </c>
    </row>
    <row r="532" spans="1:9" x14ac:dyDescent="0.35">
      <c r="A532" s="16" t="s">
        <v>2125</v>
      </c>
      <c r="B532" s="17" t="s">
        <v>2126</v>
      </c>
      <c r="C532" s="17" t="s">
        <v>2127</v>
      </c>
      <c r="D532" s="16" t="s">
        <v>273</v>
      </c>
      <c r="E532" s="16" t="s">
        <v>2128</v>
      </c>
      <c r="F532" s="16">
        <v>0.3639</v>
      </c>
      <c r="G532" s="16" t="s">
        <v>2129</v>
      </c>
      <c r="H532" s="16" t="s">
        <v>2130</v>
      </c>
      <c r="I532" s="16" t="s">
        <v>273</v>
      </c>
    </row>
    <row r="533" spans="1:9" ht="42" x14ac:dyDescent="0.35">
      <c r="A533" s="16" t="s">
        <v>276</v>
      </c>
      <c r="B533" s="17" t="s">
        <v>272</v>
      </c>
      <c r="C533" s="17" t="s">
        <v>2131</v>
      </c>
      <c r="D533" s="16" t="s">
        <v>273</v>
      </c>
      <c r="E533" s="16" t="s">
        <v>275</v>
      </c>
      <c r="F533" s="16">
        <v>0.29949999999999999</v>
      </c>
      <c r="G533" s="16" t="s">
        <v>310</v>
      </c>
      <c r="H533" s="16" t="s">
        <v>311</v>
      </c>
      <c r="I533" s="16" t="s">
        <v>273</v>
      </c>
    </row>
    <row r="534" spans="1:9" ht="28" x14ac:dyDescent="0.35">
      <c r="A534" s="16" t="s">
        <v>2132</v>
      </c>
      <c r="B534" s="17" t="s">
        <v>2133</v>
      </c>
      <c r="C534" s="17" t="s">
        <v>2134</v>
      </c>
      <c r="D534" s="16" t="s">
        <v>273</v>
      </c>
      <c r="E534" s="16" t="s">
        <v>2135</v>
      </c>
      <c r="F534" s="16">
        <v>0.35249999999999998</v>
      </c>
      <c r="G534" s="16" t="s">
        <v>2136</v>
      </c>
      <c r="H534" s="16" t="s">
        <v>2137</v>
      </c>
      <c r="I534" s="16" t="s">
        <v>273</v>
      </c>
    </row>
    <row r="535" spans="1:9" x14ac:dyDescent="0.35">
      <c r="A535" s="16" t="s">
        <v>82</v>
      </c>
      <c r="B535" s="17" t="s">
        <v>81</v>
      </c>
      <c r="C535" s="17" t="s">
        <v>80</v>
      </c>
      <c r="D535" s="16" t="s">
        <v>22</v>
      </c>
      <c r="E535" s="16" t="s">
        <v>80</v>
      </c>
      <c r="F535" s="16">
        <v>1</v>
      </c>
      <c r="G535" s="16"/>
      <c r="H535" s="16"/>
      <c r="I535" s="16" t="s">
        <v>22</v>
      </c>
    </row>
    <row r="536" spans="1:9" ht="42" x14ac:dyDescent="0.35">
      <c r="A536" s="16" t="s">
        <v>2138</v>
      </c>
      <c r="B536" s="17" t="s">
        <v>2139</v>
      </c>
      <c r="C536" s="17" t="s">
        <v>2140</v>
      </c>
      <c r="D536" s="16" t="s">
        <v>273</v>
      </c>
      <c r="E536" s="16" t="s">
        <v>2141</v>
      </c>
      <c r="F536" s="16">
        <v>0.39150000000000001</v>
      </c>
      <c r="G536" s="16" t="s">
        <v>2142</v>
      </c>
      <c r="H536" s="16" t="s">
        <v>2143</v>
      </c>
      <c r="I536" s="16" t="s">
        <v>273</v>
      </c>
    </row>
    <row r="537" spans="1:9" ht="28" x14ac:dyDescent="0.35">
      <c r="A537" s="16" t="s">
        <v>2144</v>
      </c>
      <c r="B537" s="17" t="s">
        <v>2145</v>
      </c>
      <c r="C537" s="17" t="s">
        <v>2146</v>
      </c>
      <c r="D537" s="16" t="s">
        <v>273</v>
      </c>
      <c r="E537" s="16" t="s">
        <v>2147</v>
      </c>
      <c r="F537" s="16">
        <v>0.24460000000000001</v>
      </c>
      <c r="G537" s="16" t="s">
        <v>2148</v>
      </c>
      <c r="H537" s="16" t="s">
        <v>2149</v>
      </c>
      <c r="I537" s="16" t="s">
        <v>273</v>
      </c>
    </row>
    <row r="538" spans="1:9" ht="56" x14ac:dyDescent="0.35">
      <c r="A538" s="16" t="s">
        <v>2150</v>
      </c>
      <c r="B538" s="17" t="s">
        <v>2151</v>
      </c>
      <c r="C538" s="17" t="s">
        <v>2152</v>
      </c>
      <c r="D538" s="16" t="s">
        <v>273</v>
      </c>
      <c r="E538" s="16" t="s">
        <v>2153</v>
      </c>
      <c r="F538" s="16">
        <v>0.24779999999999999</v>
      </c>
      <c r="G538" s="16" t="s">
        <v>2154</v>
      </c>
      <c r="H538" s="16"/>
      <c r="I538" s="16" t="s">
        <v>273</v>
      </c>
    </row>
    <row r="539" spans="1:9" x14ac:dyDescent="0.35">
      <c r="A539" s="16" t="s">
        <v>2155</v>
      </c>
      <c r="B539" s="17" t="s">
        <v>67</v>
      </c>
      <c r="C539" s="17" t="s">
        <v>67</v>
      </c>
      <c r="D539" s="16" t="s">
        <v>22</v>
      </c>
      <c r="E539" s="16" t="s">
        <v>67</v>
      </c>
      <c r="F539" s="16">
        <v>1</v>
      </c>
      <c r="G539" s="16"/>
      <c r="H539" s="16"/>
      <c r="I539" s="16" t="s">
        <v>22</v>
      </c>
    </row>
    <row r="540" spans="1:9" x14ac:dyDescent="0.35">
      <c r="A540" s="16" t="s">
        <v>2156</v>
      </c>
      <c r="B540" s="17" t="s">
        <v>67</v>
      </c>
      <c r="C540" s="17" t="s">
        <v>67</v>
      </c>
      <c r="D540" s="16" t="s">
        <v>22</v>
      </c>
      <c r="E540" s="16" t="s">
        <v>67</v>
      </c>
      <c r="F540" s="16">
        <v>1</v>
      </c>
      <c r="G540" s="16"/>
      <c r="H540" s="16"/>
      <c r="I540" s="16" t="s">
        <v>22</v>
      </c>
    </row>
    <row r="541" spans="1:9" x14ac:dyDescent="0.35">
      <c r="A541" s="16" t="s">
        <v>2157</v>
      </c>
      <c r="B541" s="17" t="s">
        <v>2158</v>
      </c>
      <c r="C541" s="17" t="s">
        <v>1233</v>
      </c>
      <c r="D541" s="16" t="s">
        <v>273</v>
      </c>
      <c r="E541" s="16" t="s">
        <v>605</v>
      </c>
      <c r="F541" s="16">
        <v>0.45369999999999999</v>
      </c>
      <c r="G541" s="16" t="s">
        <v>606</v>
      </c>
      <c r="H541" s="16" t="s">
        <v>1183</v>
      </c>
      <c r="I541" s="16" t="s">
        <v>273</v>
      </c>
    </row>
    <row r="542" spans="1:9" x14ac:dyDescent="0.35">
      <c r="A542" s="16" t="s">
        <v>2159</v>
      </c>
      <c r="B542" s="17" t="s">
        <v>597</v>
      </c>
      <c r="C542" s="17" t="s">
        <v>596</v>
      </c>
      <c r="D542" s="16" t="s">
        <v>273</v>
      </c>
      <c r="E542" s="16" t="s">
        <v>599</v>
      </c>
      <c r="F542" s="16">
        <v>0.4103</v>
      </c>
      <c r="G542" s="16" t="s">
        <v>600</v>
      </c>
      <c r="H542" s="16" t="s">
        <v>601</v>
      </c>
      <c r="I542" s="16" t="s">
        <v>273</v>
      </c>
    </row>
    <row r="543" spans="1:9" x14ac:dyDescent="0.35">
      <c r="A543" s="16" t="s">
        <v>2160</v>
      </c>
      <c r="B543" s="17" t="s">
        <v>2161</v>
      </c>
      <c r="C543" s="17" t="s">
        <v>2162</v>
      </c>
      <c r="D543" s="16"/>
      <c r="E543" s="16"/>
      <c r="F543" s="16"/>
      <c r="G543" s="16"/>
      <c r="H543" s="16"/>
      <c r="I543" s="16" t="s">
        <v>633</v>
      </c>
    </row>
    <row r="544" spans="1:9" ht="56" x14ac:dyDescent="0.35">
      <c r="A544" s="16" t="s">
        <v>2163</v>
      </c>
      <c r="B544" s="17" t="s">
        <v>2164</v>
      </c>
      <c r="C544" s="17" t="s">
        <v>2165</v>
      </c>
      <c r="D544" s="16" t="s">
        <v>273</v>
      </c>
      <c r="E544" s="16" t="s">
        <v>448</v>
      </c>
      <c r="F544" s="16">
        <v>0.38340000000000002</v>
      </c>
      <c r="G544" s="16" t="s">
        <v>46</v>
      </c>
      <c r="H544" s="16" t="s">
        <v>2166</v>
      </c>
      <c r="I544" s="16" t="s">
        <v>273</v>
      </c>
    </row>
    <row r="545" spans="1:9" ht="28" x14ac:dyDescent="0.35">
      <c r="A545" s="16" t="s">
        <v>2167</v>
      </c>
      <c r="B545" s="17" t="s">
        <v>2168</v>
      </c>
      <c r="C545" s="17" t="s">
        <v>2168</v>
      </c>
      <c r="D545" s="16" t="s">
        <v>5</v>
      </c>
      <c r="E545" s="16" t="s">
        <v>1328</v>
      </c>
      <c r="F545" s="16">
        <v>0.8</v>
      </c>
      <c r="G545" s="16"/>
      <c r="H545" s="16"/>
      <c r="I545" s="16" t="s">
        <v>5</v>
      </c>
    </row>
    <row r="546" spans="1:9" ht="28" x14ac:dyDescent="0.35">
      <c r="A546" s="16" t="s">
        <v>2169</v>
      </c>
      <c r="B546" s="17" t="s">
        <v>2170</v>
      </c>
      <c r="C546" s="17" t="s">
        <v>2171</v>
      </c>
      <c r="D546" s="16" t="s">
        <v>273</v>
      </c>
      <c r="E546" s="16" t="s">
        <v>2172</v>
      </c>
      <c r="F546" s="16">
        <v>0.41499999999999998</v>
      </c>
      <c r="G546" s="16" t="s">
        <v>464</v>
      </c>
      <c r="H546" s="16" t="s">
        <v>2173</v>
      </c>
      <c r="I546" s="16" t="s">
        <v>273</v>
      </c>
    </row>
    <row r="547" spans="1:9" ht="28" x14ac:dyDescent="0.35">
      <c r="A547" s="16" t="s">
        <v>2174</v>
      </c>
      <c r="B547" s="17" t="s">
        <v>2175</v>
      </c>
      <c r="C547" s="17" t="s">
        <v>2176</v>
      </c>
      <c r="D547" s="16" t="s">
        <v>186</v>
      </c>
      <c r="E547" s="16" t="s">
        <v>86</v>
      </c>
      <c r="F547" s="16">
        <v>0.6</v>
      </c>
      <c r="G547" s="16"/>
      <c r="H547" s="16"/>
      <c r="I547" s="16" t="s">
        <v>186</v>
      </c>
    </row>
    <row r="548" spans="1:9" x14ac:dyDescent="0.35">
      <c r="A548" s="16" t="s">
        <v>2177</v>
      </c>
      <c r="B548" s="17" t="s">
        <v>89</v>
      </c>
      <c r="C548" s="17" t="s">
        <v>89</v>
      </c>
      <c r="D548" s="16" t="s">
        <v>22</v>
      </c>
      <c r="E548" s="16" t="s">
        <v>89</v>
      </c>
      <c r="F548" s="16">
        <v>1</v>
      </c>
      <c r="G548" s="16"/>
      <c r="H548" s="16"/>
      <c r="I548" s="16" t="s">
        <v>22</v>
      </c>
    </row>
    <row r="549" spans="1:9" x14ac:dyDescent="0.35">
      <c r="A549" s="16" t="s">
        <v>2178</v>
      </c>
      <c r="B549" s="17" t="s">
        <v>1523</v>
      </c>
      <c r="C549" s="17" t="s">
        <v>67</v>
      </c>
      <c r="D549" s="16" t="s">
        <v>22</v>
      </c>
      <c r="E549" s="16" t="s">
        <v>67</v>
      </c>
      <c r="F549" s="16">
        <v>1</v>
      </c>
      <c r="G549" s="16"/>
      <c r="H549" s="16"/>
      <c r="I549" s="16" t="s">
        <v>22</v>
      </c>
    </row>
    <row r="550" spans="1:9" x14ac:dyDescent="0.35">
      <c r="A550" s="16" t="s">
        <v>2179</v>
      </c>
      <c r="B550" s="17" t="s">
        <v>2180</v>
      </c>
      <c r="C550" s="17" t="s">
        <v>2181</v>
      </c>
      <c r="D550" s="16" t="s">
        <v>273</v>
      </c>
      <c r="E550" s="16" t="s">
        <v>1501</v>
      </c>
      <c r="F550" s="16">
        <v>0.44740000000000002</v>
      </c>
      <c r="G550" s="16" t="s">
        <v>2182</v>
      </c>
      <c r="H550" s="16" t="s">
        <v>1502</v>
      </c>
      <c r="I550" s="16" t="s">
        <v>273</v>
      </c>
    </row>
    <row r="551" spans="1:9" ht="28" x14ac:dyDescent="0.35">
      <c r="A551" s="16" t="s">
        <v>2183</v>
      </c>
      <c r="B551" s="17" t="s">
        <v>2184</v>
      </c>
      <c r="C551" s="17" t="s">
        <v>2185</v>
      </c>
      <c r="D551" s="16" t="s">
        <v>5</v>
      </c>
      <c r="E551" s="16" t="s">
        <v>34</v>
      </c>
      <c r="F551" s="16">
        <v>0.64</v>
      </c>
      <c r="G551" s="16" t="s">
        <v>35</v>
      </c>
      <c r="H551" s="16" t="s">
        <v>190</v>
      </c>
      <c r="I551" s="16" t="s">
        <v>5</v>
      </c>
    </row>
    <row r="552" spans="1:9" x14ac:dyDescent="0.35">
      <c r="A552" s="16" t="s">
        <v>2186</v>
      </c>
      <c r="B552" s="17"/>
      <c r="C552" s="17"/>
      <c r="D552" s="16"/>
      <c r="E552" s="16"/>
      <c r="F552" s="16"/>
      <c r="G552" s="16"/>
      <c r="H552" s="16"/>
      <c r="I552" s="16" t="s">
        <v>698</v>
      </c>
    </row>
    <row r="553" spans="1:9" x14ac:dyDescent="0.35">
      <c r="A553" s="16" t="s">
        <v>2187</v>
      </c>
      <c r="B553" s="17"/>
      <c r="C553" s="17"/>
      <c r="D553" s="16"/>
      <c r="E553" s="16"/>
      <c r="F553" s="16"/>
      <c r="G553" s="16"/>
      <c r="H553" s="16"/>
      <c r="I553" s="16" t="s">
        <v>698</v>
      </c>
    </row>
    <row r="554" spans="1:9" x14ac:dyDescent="0.35">
      <c r="A554" s="16" t="s">
        <v>2188</v>
      </c>
      <c r="B554" s="17" t="s">
        <v>2189</v>
      </c>
      <c r="C554" s="17" t="s">
        <v>2190</v>
      </c>
      <c r="D554" s="16" t="s">
        <v>273</v>
      </c>
      <c r="E554" s="16" t="s">
        <v>2191</v>
      </c>
      <c r="F554" s="16">
        <v>0.3659</v>
      </c>
      <c r="G554" s="16" t="s">
        <v>2192</v>
      </c>
      <c r="H554" s="16" t="s">
        <v>2193</v>
      </c>
      <c r="I554" s="16" t="s">
        <v>273</v>
      </c>
    </row>
    <row r="555" spans="1:9" x14ac:dyDescent="0.35">
      <c r="A555" s="16" t="s">
        <v>2194</v>
      </c>
      <c r="B555" s="17" t="s">
        <v>2195</v>
      </c>
      <c r="C555" s="17" t="s">
        <v>2196</v>
      </c>
      <c r="D555" s="16" t="s">
        <v>273</v>
      </c>
      <c r="E555" s="16" t="s">
        <v>2197</v>
      </c>
      <c r="F555" s="16">
        <v>0.21290000000000001</v>
      </c>
      <c r="G555" s="16"/>
      <c r="H555" s="16"/>
      <c r="I555" s="16" t="s">
        <v>273</v>
      </c>
    </row>
    <row r="556" spans="1:9" ht="126" x14ac:dyDescent="0.35">
      <c r="A556" s="16" t="s">
        <v>2198</v>
      </c>
      <c r="B556" s="17" t="s">
        <v>2199</v>
      </c>
      <c r="C556" s="17" t="s">
        <v>2200</v>
      </c>
      <c r="D556" s="16" t="s">
        <v>186</v>
      </c>
      <c r="E556" s="16" t="s">
        <v>2201</v>
      </c>
      <c r="F556" s="16">
        <v>0.6</v>
      </c>
      <c r="G556" s="16"/>
      <c r="H556" s="16"/>
      <c r="I556" s="16" t="s">
        <v>186</v>
      </c>
    </row>
    <row r="557" spans="1:9" ht="28" x14ac:dyDescent="0.35">
      <c r="A557" s="16" t="s">
        <v>2202</v>
      </c>
      <c r="B557" s="17" t="s">
        <v>2203</v>
      </c>
      <c r="C557" s="17" t="s">
        <v>2204</v>
      </c>
      <c r="D557" s="16" t="s">
        <v>273</v>
      </c>
      <c r="E557" s="16" t="s">
        <v>513</v>
      </c>
      <c r="F557" s="16">
        <v>0.4289</v>
      </c>
      <c r="G557" s="16" t="s">
        <v>67</v>
      </c>
      <c r="H557" s="16" t="s">
        <v>2205</v>
      </c>
      <c r="I557" s="16" t="s">
        <v>273</v>
      </c>
    </row>
    <row r="558" spans="1:9" x14ac:dyDescent="0.35">
      <c r="A558" s="16" t="s">
        <v>2206</v>
      </c>
      <c r="B558" s="17" t="s">
        <v>2207</v>
      </c>
      <c r="C558" s="17" t="s">
        <v>2204</v>
      </c>
      <c r="D558" s="16" t="s">
        <v>273</v>
      </c>
      <c r="E558" s="16" t="s">
        <v>513</v>
      </c>
      <c r="F558" s="16">
        <v>0.4289</v>
      </c>
      <c r="G558" s="16" t="s">
        <v>67</v>
      </c>
      <c r="H558" s="16" t="s">
        <v>2205</v>
      </c>
      <c r="I558" s="16" t="s">
        <v>273</v>
      </c>
    </row>
    <row r="559" spans="1:9" ht="28" x14ac:dyDescent="0.35">
      <c r="A559" s="16" t="s">
        <v>2208</v>
      </c>
      <c r="B559" s="17" t="s">
        <v>2209</v>
      </c>
      <c r="C559" s="17" t="s">
        <v>2209</v>
      </c>
      <c r="D559" s="16" t="s">
        <v>5</v>
      </c>
      <c r="E559" s="16" t="s">
        <v>173</v>
      </c>
      <c r="F559" s="16">
        <v>0.8</v>
      </c>
      <c r="G559" s="16"/>
      <c r="H559" s="16"/>
      <c r="I559" s="16" t="s">
        <v>5</v>
      </c>
    </row>
    <row r="560" spans="1:9" x14ac:dyDescent="0.35">
      <c r="A560" s="16" t="s">
        <v>2210</v>
      </c>
      <c r="B560" s="17" t="s">
        <v>1722</v>
      </c>
      <c r="C560" s="17" t="s">
        <v>1723</v>
      </c>
      <c r="D560" s="16" t="s">
        <v>273</v>
      </c>
      <c r="E560" s="16" t="s">
        <v>1724</v>
      </c>
      <c r="F560" s="16">
        <v>0.35220000000000001</v>
      </c>
      <c r="G560" s="16" t="s">
        <v>1725</v>
      </c>
      <c r="H560" s="16"/>
      <c r="I560" s="16" t="s">
        <v>273</v>
      </c>
    </row>
    <row r="561" spans="1:9" x14ac:dyDescent="0.35">
      <c r="A561" s="16" t="s">
        <v>2211</v>
      </c>
      <c r="B561" s="17" t="s">
        <v>2212</v>
      </c>
      <c r="C561" s="17" t="s">
        <v>2213</v>
      </c>
      <c r="D561" s="16" t="s">
        <v>273</v>
      </c>
      <c r="E561" s="16" t="s">
        <v>2214</v>
      </c>
      <c r="F561" s="16">
        <v>0.24840000000000001</v>
      </c>
      <c r="G561" s="16" t="s">
        <v>1959</v>
      </c>
      <c r="H561" s="16" t="s">
        <v>2215</v>
      </c>
      <c r="I561" s="16" t="s">
        <v>273</v>
      </c>
    </row>
    <row r="562" spans="1:9" ht="28" x14ac:dyDescent="0.35">
      <c r="A562" s="16" t="s">
        <v>2216</v>
      </c>
      <c r="B562" s="17" t="s">
        <v>2217</v>
      </c>
      <c r="C562" s="17" t="s">
        <v>2218</v>
      </c>
      <c r="D562" s="16"/>
      <c r="E562" s="16"/>
      <c r="F562" s="16"/>
      <c r="G562" s="16"/>
      <c r="H562" s="16"/>
      <c r="I562" s="16" t="s">
        <v>633</v>
      </c>
    </row>
    <row r="563" spans="1:9" x14ac:dyDescent="0.35">
      <c r="A563" s="16" t="s">
        <v>2219</v>
      </c>
      <c r="B563" s="17" t="s">
        <v>2220</v>
      </c>
      <c r="C563" s="17" t="s">
        <v>929</v>
      </c>
      <c r="D563" s="16" t="s">
        <v>22</v>
      </c>
      <c r="E563" s="16" t="s">
        <v>152</v>
      </c>
      <c r="F563" s="16">
        <v>1</v>
      </c>
      <c r="G563" s="16"/>
      <c r="H563" s="16"/>
      <c r="I563" s="16" t="s">
        <v>22</v>
      </c>
    </row>
    <row r="564" spans="1:9" x14ac:dyDescent="0.35">
      <c r="A564" s="16" t="s">
        <v>2221</v>
      </c>
      <c r="B564" s="17" t="s">
        <v>1732</v>
      </c>
      <c r="C564" s="17" t="s">
        <v>1733</v>
      </c>
      <c r="D564" s="16" t="s">
        <v>273</v>
      </c>
      <c r="E564" s="16" t="s">
        <v>1729</v>
      </c>
      <c r="F564" s="16">
        <v>0.42</v>
      </c>
      <c r="G564" s="16" t="s">
        <v>1728</v>
      </c>
      <c r="H564" s="16" t="s">
        <v>1734</v>
      </c>
      <c r="I564" s="16" t="s">
        <v>273</v>
      </c>
    </row>
    <row r="565" spans="1:9" ht="28" x14ac:dyDescent="0.35">
      <c r="A565" s="16" t="s">
        <v>2222</v>
      </c>
      <c r="B565" s="17" t="s">
        <v>2223</v>
      </c>
      <c r="C565" s="17" t="s">
        <v>2224</v>
      </c>
      <c r="D565" s="16" t="s">
        <v>273</v>
      </c>
      <c r="E565" s="16" t="s">
        <v>2225</v>
      </c>
      <c r="F565" s="16">
        <v>0.25409999999999999</v>
      </c>
      <c r="G565" s="16"/>
      <c r="H565" s="16"/>
      <c r="I565" s="16" t="s">
        <v>273</v>
      </c>
    </row>
    <row r="566" spans="1:9" x14ac:dyDescent="0.35">
      <c r="A566" s="16" t="s">
        <v>2226</v>
      </c>
      <c r="B566" s="17" t="s">
        <v>2227</v>
      </c>
      <c r="C566" s="17" t="s">
        <v>1733</v>
      </c>
      <c r="D566" s="16" t="s">
        <v>273</v>
      </c>
      <c r="E566" s="16" t="s">
        <v>1729</v>
      </c>
      <c r="F566" s="16">
        <v>0.42</v>
      </c>
      <c r="G566" s="16" t="s">
        <v>1728</v>
      </c>
      <c r="H566" s="16" t="s">
        <v>1734</v>
      </c>
      <c r="I566" s="16" t="s">
        <v>273</v>
      </c>
    </row>
    <row r="567" spans="1:9" ht="28" x14ac:dyDescent="0.35">
      <c r="A567" s="16" t="s">
        <v>2228</v>
      </c>
      <c r="B567" s="17" t="s">
        <v>2229</v>
      </c>
      <c r="C567" s="17" t="s">
        <v>2230</v>
      </c>
      <c r="D567" s="16"/>
      <c r="E567" s="16"/>
      <c r="F567" s="16"/>
      <c r="G567" s="16"/>
      <c r="H567" s="16"/>
      <c r="I567" s="16" t="s">
        <v>633</v>
      </c>
    </row>
    <row r="568" spans="1:9" x14ac:dyDescent="0.35">
      <c r="A568" s="16" t="s">
        <v>2231</v>
      </c>
      <c r="B568" s="17" t="s">
        <v>2232</v>
      </c>
      <c r="C568" s="17" t="s">
        <v>2232</v>
      </c>
      <c r="D568" s="16" t="s">
        <v>273</v>
      </c>
      <c r="E568" s="16" t="s">
        <v>2233</v>
      </c>
      <c r="F568" s="16">
        <v>0.30880000000000002</v>
      </c>
      <c r="G568" s="16" t="s">
        <v>492</v>
      </c>
      <c r="H568" s="16" t="s">
        <v>2234</v>
      </c>
      <c r="I568" s="16" t="s">
        <v>273</v>
      </c>
    </row>
    <row r="569" spans="1:9" x14ac:dyDescent="0.35">
      <c r="A569" s="16" t="s">
        <v>2235</v>
      </c>
      <c r="B569" s="17" t="s">
        <v>2236</v>
      </c>
      <c r="C569" s="17" t="s">
        <v>750</v>
      </c>
      <c r="D569" s="16" t="s">
        <v>273</v>
      </c>
      <c r="E569" s="16" t="s">
        <v>2237</v>
      </c>
      <c r="F569" s="16">
        <v>0.2427</v>
      </c>
      <c r="G569" s="16"/>
      <c r="H569" s="16"/>
      <c r="I569" s="16" t="s">
        <v>273</v>
      </c>
    </row>
    <row r="570" spans="1:9" x14ac:dyDescent="0.35">
      <c r="A570" s="16" t="s">
        <v>2238</v>
      </c>
      <c r="B570" s="17"/>
      <c r="C570" s="17"/>
      <c r="D570" s="16"/>
      <c r="E570" s="16"/>
      <c r="F570" s="16"/>
      <c r="G570" s="16"/>
      <c r="H570" s="16"/>
      <c r="I570" s="16" t="s">
        <v>698</v>
      </c>
    </row>
    <row r="571" spans="1:9" x14ac:dyDescent="0.35">
      <c r="A571" s="16" t="s">
        <v>2239</v>
      </c>
      <c r="B571" s="17" t="s">
        <v>2240</v>
      </c>
      <c r="C571" s="17" t="s">
        <v>2241</v>
      </c>
      <c r="D571" s="16" t="s">
        <v>273</v>
      </c>
      <c r="E571" s="16" t="s">
        <v>2242</v>
      </c>
      <c r="F571" s="16">
        <v>0.26729999999999998</v>
      </c>
      <c r="G571" s="16" t="s">
        <v>2243</v>
      </c>
      <c r="H571" s="16" t="s">
        <v>2244</v>
      </c>
      <c r="I571" s="16" t="s">
        <v>273</v>
      </c>
    </row>
    <row r="572" spans="1:9" ht="28" x14ac:dyDescent="0.35">
      <c r="A572" s="16" t="s">
        <v>2245</v>
      </c>
      <c r="B572" s="17" t="s">
        <v>2246</v>
      </c>
      <c r="C572" s="17" t="s">
        <v>2247</v>
      </c>
      <c r="D572" s="16" t="s">
        <v>273</v>
      </c>
      <c r="E572" s="16" t="s">
        <v>1254</v>
      </c>
      <c r="F572" s="16">
        <v>0.35920000000000002</v>
      </c>
      <c r="G572" s="16" t="s">
        <v>385</v>
      </c>
      <c r="H572" s="16" t="s">
        <v>2248</v>
      </c>
      <c r="I572" s="16" t="s">
        <v>273</v>
      </c>
    </row>
    <row r="573" spans="1:9" x14ac:dyDescent="0.35">
      <c r="A573" s="16" t="s">
        <v>2249</v>
      </c>
      <c r="B573" s="17" t="s">
        <v>2250</v>
      </c>
      <c r="C573" s="17" t="s">
        <v>2250</v>
      </c>
      <c r="D573" s="16"/>
      <c r="E573" s="16"/>
      <c r="F573" s="16"/>
      <c r="G573" s="16"/>
      <c r="H573" s="16"/>
      <c r="I573" s="16" t="s">
        <v>633</v>
      </c>
    </row>
    <row r="574" spans="1:9" x14ac:dyDescent="0.35">
      <c r="A574" s="16" t="s">
        <v>2251</v>
      </c>
      <c r="B574" s="17" t="s">
        <v>2252</v>
      </c>
      <c r="C574" s="17" t="s">
        <v>820</v>
      </c>
      <c r="D574" s="16" t="s">
        <v>273</v>
      </c>
      <c r="E574" s="16" t="s">
        <v>821</v>
      </c>
      <c r="F574" s="16">
        <v>0.2049</v>
      </c>
      <c r="G574" s="16"/>
      <c r="H574" s="16"/>
      <c r="I574" s="16" t="s">
        <v>273</v>
      </c>
    </row>
    <row r="575" spans="1:9" x14ac:dyDescent="0.35">
      <c r="A575" s="16" t="s">
        <v>2253</v>
      </c>
      <c r="B575" s="17"/>
      <c r="C575" s="17"/>
      <c r="D575" s="16"/>
      <c r="E575" s="16"/>
      <c r="F575" s="16"/>
      <c r="G575" s="16"/>
      <c r="H575" s="16"/>
      <c r="I575" s="16" t="s">
        <v>698</v>
      </c>
    </row>
    <row r="576" spans="1:9" x14ac:dyDescent="0.35">
      <c r="A576" s="16" t="s">
        <v>2254</v>
      </c>
      <c r="B576" s="17" t="s">
        <v>2255</v>
      </c>
      <c r="C576" s="17" t="s">
        <v>2255</v>
      </c>
      <c r="D576" s="16" t="s">
        <v>273</v>
      </c>
      <c r="E576" s="16" t="s">
        <v>378</v>
      </c>
      <c r="F576" s="16">
        <v>0.27429999999999999</v>
      </c>
      <c r="G576" s="16" t="s">
        <v>2256</v>
      </c>
      <c r="H576" s="16" t="s">
        <v>2257</v>
      </c>
      <c r="I576" s="16" t="s">
        <v>273</v>
      </c>
    </row>
    <row r="577" spans="1:9" x14ac:dyDescent="0.35">
      <c r="A577" s="16" t="s">
        <v>2258</v>
      </c>
      <c r="B577" s="17" t="s">
        <v>2259</v>
      </c>
      <c r="C577" s="17" t="s">
        <v>2260</v>
      </c>
      <c r="D577" s="16" t="s">
        <v>273</v>
      </c>
      <c r="E577" s="16" t="s">
        <v>1534</v>
      </c>
      <c r="F577" s="16">
        <v>0.37730000000000002</v>
      </c>
      <c r="G577" s="16" t="s">
        <v>2261</v>
      </c>
      <c r="H577" s="16" t="s">
        <v>1308</v>
      </c>
      <c r="I577" s="16" t="s">
        <v>273</v>
      </c>
    </row>
    <row r="578" spans="1:9" x14ac:dyDescent="0.35">
      <c r="A578" s="16" t="s">
        <v>2262</v>
      </c>
      <c r="B578" s="17" t="s">
        <v>2263</v>
      </c>
      <c r="C578" s="17" t="s">
        <v>2264</v>
      </c>
      <c r="D578" s="16" t="s">
        <v>273</v>
      </c>
      <c r="E578" s="16" t="s">
        <v>2233</v>
      </c>
      <c r="F578" s="16">
        <v>0.24479999999999999</v>
      </c>
      <c r="G578" s="16" t="s">
        <v>2265</v>
      </c>
      <c r="H578" s="16"/>
      <c r="I578" s="16" t="s">
        <v>273</v>
      </c>
    </row>
    <row r="579" spans="1:9" x14ac:dyDescent="0.35">
      <c r="A579" s="16" t="s">
        <v>2266</v>
      </c>
      <c r="B579" s="17" t="s">
        <v>2263</v>
      </c>
      <c r="C579" s="17" t="s">
        <v>2264</v>
      </c>
      <c r="D579" s="16" t="s">
        <v>273</v>
      </c>
      <c r="E579" s="16" t="s">
        <v>2233</v>
      </c>
      <c r="F579" s="16">
        <v>0.24479999999999999</v>
      </c>
      <c r="G579" s="16" t="s">
        <v>2265</v>
      </c>
      <c r="H579" s="16"/>
      <c r="I579" s="16" t="s">
        <v>273</v>
      </c>
    </row>
    <row r="580" spans="1:9" x14ac:dyDescent="0.35">
      <c r="A580" s="16" t="s">
        <v>2267</v>
      </c>
      <c r="B580" s="17" t="s">
        <v>2268</v>
      </c>
      <c r="C580" s="17" t="s">
        <v>1193</v>
      </c>
      <c r="D580" s="16" t="s">
        <v>273</v>
      </c>
      <c r="E580" s="16" t="s">
        <v>1194</v>
      </c>
      <c r="F580" s="16">
        <v>0.36049999999999999</v>
      </c>
      <c r="G580" s="16"/>
      <c r="H580" s="16"/>
      <c r="I580" s="16" t="s">
        <v>273</v>
      </c>
    </row>
    <row r="581" spans="1:9" x14ac:dyDescent="0.35">
      <c r="A581" s="16" t="s">
        <v>2269</v>
      </c>
      <c r="B581" s="17" t="s">
        <v>2270</v>
      </c>
      <c r="C581" s="17" t="s">
        <v>2271</v>
      </c>
      <c r="D581" s="16" t="s">
        <v>273</v>
      </c>
      <c r="E581" s="16" t="s">
        <v>2233</v>
      </c>
      <c r="F581" s="16">
        <v>0.33289999999999997</v>
      </c>
      <c r="G581" s="16" t="s">
        <v>2272</v>
      </c>
      <c r="H581" s="16" t="s">
        <v>492</v>
      </c>
      <c r="I581" s="16" t="s">
        <v>273</v>
      </c>
    </row>
    <row r="582" spans="1:9" x14ac:dyDescent="0.35">
      <c r="A582" s="16" t="s">
        <v>2273</v>
      </c>
      <c r="B582" s="17" t="s">
        <v>2274</v>
      </c>
      <c r="C582" s="17" t="s">
        <v>2275</v>
      </c>
      <c r="D582" s="16" t="s">
        <v>273</v>
      </c>
      <c r="E582" s="16" t="s">
        <v>448</v>
      </c>
      <c r="F582" s="16">
        <v>0.3876</v>
      </c>
      <c r="G582" s="16" t="s">
        <v>2276</v>
      </c>
      <c r="H582" s="16" t="s">
        <v>48</v>
      </c>
      <c r="I582" s="16" t="s">
        <v>273</v>
      </c>
    </row>
    <row r="583" spans="1:9" ht="28" x14ac:dyDescent="0.35">
      <c r="A583" s="16" t="s">
        <v>2277</v>
      </c>
      <c r="B583" s="17" t="s">
        <v>2278</v>
      </c>
      <c r="C583" s="17" t="s">
        <v>307</v>
      </c>
      <c r="D583" s="16" t="s">
        <v>273</v>
      </c>
      <c r="E583" s="16" t="s">
        <v>310</v>
      </c>
      <c r="F583" s="16">
        <v>0.27950000000000003</v>
      </c>
      <c r="G583" s="16" t="s">
        <v>311</v>
      </c>
      <c r="H583" s="16" t="s">
        <v>312</v>
      </c>
      <c r="I583" s="16" t="s">
        <v>273</v>
      </c>
    </row>
    <row r="584" spans="1:9" x14ac:dyDescent="0.35">
      <c r="A584" s="16" t="s">
        <v>2279</v>
      </c>
      <c r="B584" s="17" t="s">
        <v>2280</v>
      </c>
      <c r="C584" s="17" t="s">
        <v>2281</v>
      </c>
      <c r="D584" s="16"/>
      <c r="E584" s="16"/>
      <c r="F584" s="16"/>
      <c r="G584" s="16"/>
      <c r="H584" s="16"/>
      <c r="I584" s="16" t="s">
        <v>633</v>
      </c>
    </row>
    <row r="585" spans="1:9" ht="28" x14ac:dyDescent="0.35">
      <c r="A585" s="16" t="s">
        <v>50</v>
      </c>
      <c r="B585" s="17" t="s">
        <v>47</v>
      </c>
      <c r="C585" s="17" t="s">
        <v>46</v>
      </c>
      <c r="D585" s="16" t="s">
        <v>22</v>
      </c>
      <c r="E585" s="16" t="s">
        <v>49</v>
      </c>
      <c r="F585" s="16">
        <v>1</v>
      </c>
      <c r="G585" s="16"/>
      <c r="H585" s="16"/>
      <c r="I585" s="16" t="s">
        <v>22</v>
      </c>
    </row>
    <row r="586" spans="1:9" x14ac:dyDescent="0.35">
      <c r="A586" s="16" t="s">
        <v>2282</v>
      </c>
      <c r="B586" s="17" t="s">
        <v>1232</v>
      </c>
      <c r="C586" s="17" t="s">
        <v>1233</v>
      </c>
      <c r="D586" s="16" t="s">
        <v>273</v>
      </c>
      <c r="E586" s="16" t="s">
        <v>605</v>
      </c>
      <c r="F586" s="16">
        <v>0.45369999999999999</v>
      </c>
      <c r="G586" s="16" t="s">
        <v>606</v>
      </c>
      <c r="H586" s="16" t="s">
        <v>1183</v>
      </c>
      <c r="I586" s="16" t="s">
        <v>273</v>
      </c>
    </row>
    <row r="587" spans="1:9" x14ac:dyDescent="0.35">
      <c r="A587" s="16" t="s">
        <v>2283</v>
      </c>
      <c r="B587" s="17" t="s">
        <v>2274</v>
      </c>
      <c r="C587" s="17" t="s">
        <v>2275</v>
      </c>
      <c r="D587" s="16" t="s">
        <v>273</v>
      </c>
      <c r="E587" s="16" t="s">
        <v>448</v>
      </c>
      <c r="F587" s="16">
        <v>0.3876</v>
      </c>
      <c r="G587" s="16" t="s">
        <v>2276</v>
      </c>
      <c r="H587" s="16" t="s">
        <v>48</v>
      </c>
      <c r="I587" s="16" t="s">
        <v>273</v>
      </c>
    </row>
    <row r="588" spans="1:9" x14ac:dyDescent="0.35">
      <c r="A588" s="16" t="s">
        <v>2284</v>
      </c>
      <c r="B588" s="17" t="s">
        <v>2285</v>
      </c>
      <c r="C588" s="17" t="s">
        <v>67</v>
      </c>
      <c r="D588" s="16" t="s">
        <v>22</v>
      </c>
      <c r="E588" s="16" t="s">
        <v>67</v>
      </c>
      <c r="F588" s="16">
        <v>1</v>
      </c>
      <c r="G588" s="16"/>
      <c r="H588" s="16"/>
      <c r="I588" s="16" t="s">
        <v>22</v>
      </c>
    </row>
    <row r="589" spans="1:9" x14ac:dyDescent="0.35">
      <c r="A589" s="16" t="s">
        <v>2286</v>
      </c>
      <c r="B589" s="17" t="s">
        <v>2287</v>
      </c>
      <c r="C589" s="17" t="s">
        <v>2288</v>
      </c>
      <c r="D589" s="16" t="s">
        <v>273</v>
      </c>
      <c r="E589" s="16" t="s">
        <v>1496</v>
      </c>
      <c r="F589" s="16">
        <v>0.35799999999999998</v>
      </c>
      <c r="G589" s="16" t="s">
        <v>2289</v>
      </c>
      <c r="H589" s="16" t="s">
        <v>2290</v>
      </c>
      <c r="I589" s="16" t="s">
        <v>273</v>
      </c>
    </row>
    <row r="590" spans="1:9" ht="28" x14ac:dyDescent="0.35">
      <c r="A590" s="16" t="s">
        <v>2291</v>
      </c>
      <c r="B590" s="17" t="s">
        <v>2292</v>
      </c>
      <c r="C590" s="17" t="s">
        <v>2292</v>
      </c>
      <c r="D590" s="16" t="s">
        <v>273</v>
      </c>
      <c r="E590" s="16" t="s">
        <v>2293</v>
      </c>
      <c r="F590" s="16">
        <v>0.31590000000000001</v>
      </c>
      <c r="G590" s="16" t="s">
        <v>848</v>
      </c>
      <c r="H590" s="16" t="s">
        <v>2294</v>
      </c>
      <c r="I590" s="16" t="s">
        <v>273</v>
      </c>
    </row>
    <row r="591" spans="1:9" ht="28" x14ac:dyDescent="0.35">
      <c r="A591" s="16" t="s">
        <v>2295</v>
      </c>
      <c r="B591" s="17" t="s">
        <v>2296</v>
      </c>
      <c r="C591" s="17" t="s">
        <v>2296</v>
      </c>
      <c r="D591" s="16" t="s">
        <v>5</v>
      </c>
      <c r="E591" s="16" t="s">
        <v>173</v>
      </c>
      <c r="F591" s="16">
        <v>0.8</v>
      </c>
      <c r="G591" s="16"/>
      <c r="H591" s="16"/>
      <c r="I591" s="16" t="s">
        <v>5</v>
      </c>
    </row>
    <row r="592" spans="1:9" ht="70" x14ac:dyDescent="0.35">
      <c r="A592" s="16" t="s">
        <v>2297</v>
      </c>
      <c r="B592" s="17" t="s">
        <v>2298</v>
      </c>
      <c r="C592" s="17" t="s">
        <v>2298</v>
      </c>
      <c r="D592" s="16"/>
      <c r="E592" s="16"/>
      <c r="F592" s="16"/>
      <c r="G592" s="16"/>
      <c r="H592" s="16"/>
      <c r="I592" s="16" t="s">
        <v>633</v>
      </c>
    </row>
    <row r="593" spans="1:9" ht="28" x14ac:dyDescent="0.35">
      <c r="A593" s="16" t="s">
        <v>2299</v>
      </c>
      <c r="B593" s="17" t="s">
        <v>2300</v>
      </c>
      <c r="C593" s="17" t="s">
        <v>2300</v>
      </c>
      <c r="D593" s="16"/>
      <c r="E593" s="16"/>
      <c r="F593" s="16"/>
      <c r="G593" s="16"/>
      <c r="H593" s="16"/>
      <c r="I593" s="16" t="s">
        <v>633</v>
      </c>
    </row>
    <row r="594" spans="1:9" x14ac:dyDescent="0.35">
      <c r="A594" s="16" t="s">
        <v>2301</v>
      </c>
      <c r="B594" s="17"/>
      <c r="C594" s="17"/>
      <c r="D594" s="16"/>
      <c r="E594" s="16"/>
      <c r="F594" s="16"/>
      <c r="G594" s="16"/>
      <c r="H594" s="16"/>
      <c r="I594" s="16" t="s">
        <v>698</v>
      </c>
    </row>
    <row r="595" spans="1:9" x14ac:dyDescent="0.35">
      <c r="A595" s="16" t="s">
        <v>2302</v>
      </c>
      <c r="B595" s="17" t="s">
        <v>2303</v>
      </c>
      <c r="C595" s="17" t="s">
        <v>2304</v>
      </c>
      <c r="D595" s="16" t="s">
        <v>273</v>
      </c>
      <c r="E595" s="16" t="s">
        <v>1747</v>
      </c>
      <c r="F595" s="16">
        <v>0.47489999999999999</v>
      </c>
      <c r="G595" s="16" t="s">
        <v>2305</v>
      </c>
      <c r="H595" s="16" t="s">
        <v>611</v>
      </c>
      <c r="I595" s="16" t="s">
        <v>273</v>
      </c>
    </row>
    <row r="596" spans="1:9" x14ac:dyDescent="0.35">
      <c r="A596" s="16" t="s">
        <v>2306</v>
      </c>
      <c r="B596" s="17" t="s">
        <v>2307</v>
      </c>
      <c r="C596" s="17" t="s">
        <v>2308</v>
      </c>
      <c r="D596" s="16" t="s">
        <v>273</v>
      </c>
      <c r="E596" s="16" t="s">
        <v>2149</v>
      </c>
      <c r="F596" s="16">
        <v>0.47</v>
      </c>
      <c r="G596" s="16" t="s">
        <v>1638</v>
      </c>
      <c r="H596" s="16" t="s">
        <v>2309</v>
      </c>
      <c r="I596" s="16" t="s">
        <v>273</v>
      </c>
    </row>
    <row r="597" spans="1:9" ht="42" x14ac:dyDescent="0.35">
      <c r="A597" s="16" t="s">
        <v>2310</v>
      </c>
      <c r="B597" s="17" t="s">
        <v>2311</v>
      </c>
      <c r="C597" s="17" t="s">
        <v>2312</v>
      </c>
      <c r="D597" s="16" t="s">
        <v>5</v>
      </c>
      <c r="E597" s="16" t="s">
        <v>67</v>
      </c>
      <c r="F597" s="16">
        <v>0.8</v>
      </c>
      <c r="G597" s="16"/>
      <c r="H597" s="16"/>
      <c r="I597" s="16" t="s">
        <v>5</v>
      </c>
    </row>
    <row r="598" spans="1:9" ht="42" x14ac:dyDescent="0.35">
      <c r="A598" s="16" t="s">
        <v>2313</v>
      </c>
      <c r="B598" s="17" t="s">
        <v>2314</v>
      </c>
      <c r="C598" s="17" t="s">
        <v>124</v>
      </c>
      <c r="D598" s="16" t="s">
        <v>5</v>
      </c>
      <c r="E598" s="16" t="s">
        <v>67</v>
      </c>
      <c r="F598" s="16">
        <v>0.8</v>
      </c>
      <c r="G598" s="16"/>
      <c r="H598" s="16"/>
      <c r="I598" s="16" t="s">
        <v>5</v>
      </c>
    </row>
    <row r="599" spans="1:9" ht="28" x14ac:dyDescent="0.35">
      <c r="A599" s="16" t="s">
        <v>2315</v>
      </c>
      <c r="B599" s="17" t="s">
        <v>2316</v>
      </c>
      <c r="C599" s="17" t="s">
        <v>309</v>
      </c>
      <c r="D599" s="16" t="s">
        <v>273</v>
      </c>
      <c r="E599" s="16" t="s">
        <v>310</v>
      </c>
      <c r="F599" s="16">
        <v>0.33779999999999999</v>
      </c>
      <c r="G599" s="16" t="s">
        <v>549</v>
      </c>
      <c r="H599" s="16" t="s">
        <v>311</v>
      </c>
      <c r="I599" s="16" t="s">
        <v>273</v>
      </c>
    </row>
    <row r="600" spans="1:9" x14ac:dyDescent="0.35">
      <c r="A600" s="16" t="s">
        <v>2317</v>
      </c>
      <c r="B600" s="17" t="s">
        <v>2318</v>
      </c>
      <c r="C600" s="17"/>
      <c r="D600" s="16"/>
      <c r="E600" s="16"/>
      <c r="F600" s="16"/>
      <c r="G600" s="16"/>
      <c r="H600" s="16"/>
      <c r="I600" s="16" t="s">
        <v>633</v>
      </c>
    </row>
    <row r="601" spans="1:9" ht="42" x14ac:dyDescent="0.35">
      <c r="A601" s="16" t="s">
        <v>2319</v>
      </c>
      <c r="B601" s="17" t="s">
        <v>2320</v>
      </c>
      <c r="C601" s="17" t="s">
        <v>2321</v>
      </c>
      <c r="D601" s="16" t="s">
        <v>5</v>
      </c>
      <c r="E601" s="16" t="s">
        <v>1994</v>
      </c>
      <c r="F601" s="16">
        <v>0.8</v>
      </c>
      <c r="G601" s="16"/>
      <c r="H601" s="16"/>
      <c r="I601" s="16" t="s">
        <v>5</v>
      </c>
    </row>
    <row r="602" spans="1:9" x14ac:dyDescent="0.35">
      <c r="A602" s="16" t="s">
        <v>2322</v>
      </c>
      <c r="B602" s="17" t="s">
        <v>2323</v>
      </c>
      <c r="C602" s="17" t="s">
        <v>2324</v>
      </c>
      <c r="D602" s="16" t="s">
        <v>5</v>
      </c>
      <c r="E602" s="16" t="s">
        <v>116</v>
      </c>
      <c r="F602" s="16">
        <v>0.64</v>
      </c>
      <c r="G602" s="16" t="s">
        <v>115</v>
      </c>
      <c r="H602" s="16"/>
      <c r="I602" s="16" t="s">
        <v>5</v>
      </c>
    </row>
    <row r="603" spans="1:9" x14ac:dyDescent="0.35">
      <c r="A603" s="16" t="s">
        <v>2325</v>
      </c>
      <c r="B603" s="17" t="s">
        <v>2326</v>
      </c>
      <c r="C603" s="17" t="s">
        <v>2327</v>
      </c>
      <c r="D603" s="16" t="s">
        <v>5</v>
      </c>
      <c r="E603" s="16" t="s">
        <v>1994</v>
      </c>
      <c r="F603" s="16">
        <v>0.8</v>
      </c>
      <c r="G603" s="16"/>
      <c r="H603" s="16"/>
      <c r="I603" s="16" t="s">
        <v>5</v>
      </c>
    </row>
    <row r="604" spans="1:9" x14ac:dyDescent="0.35">
      <c r="A604" s="16" t="s">
        <v>2328</v>
      </c>
      <c r="B604" s="17" t="s">
        <v>2326</v>
      </c>
      <c r="C604" s="17" t="s">
        <v>2327</v>
      </c>
      <c r="D604" s="16" t="s">
        <v>5</v>
      </c>
      <c r="E604" s="16" t="s">
        <v>1994</v>
      </c>
      <c r="F604" s="16">
        <v>0.8</v>
      </c>
      <c r="G604" s="16"/>
      <c r="H604" s="16"/>
      <c r="I604" s="16" t="s">
        <v>5</v>
      </c>
    </row>
    <row r="605" spans="1:9" ht="28" x14ac:dyDescent="0.35">
      <c r="A605" s="16" t="s">
        <v>2329</v>
      </c>
      <c r="B605" s="17" t="s">
        <v>2330</v>
      </c>
      <c r="C605" s="17" t="s">
        <v>2331</v>
      </c>
      <c r="D605" s="16"/>
      <c r="E605" s="16"/>
      <c r="F605" s="16"/>
      <c r="G605" s="16"/>
      <c r="H605" s="16"/>
      <c r="I605" s="16" t="s">
        <v>633</v>
      </c>
    </row>
    <row r="606" spans="1:9" ht="56" x14ac:dyDescent="0.35">
      <c r="A606" s="16" t="s">
        <v>2332</v>
      </c>
      <c r="B606" s="17" t="s">
        <v>2333</v>
      </c>
      <c r="C606" s="17" t="s">
        <v>2334</v>
      </c>
      <c r="D606" s="16"/>
      <c r="E606" s="16"/>
      <c r="F606" s="16"/>
      <c r="G606" s="16"/>
      <c r="H606" s="16"/>
      <c r="I606" s="16" t="s">
        <v>633</v>
      </c>
    </row>
    <row r="607" spans="1:9" x14ac:dyDescent="0.35">
      <c r="A607" s="16" t="s">
        <v>2335</v>
      </c>
      <c r="B607" s="17" t="s">
        <v>1800</v>
      </c>
      <c r="C607" s="17" t="s">
        <v>1801</v>
      </c>
      <c r="D607" s="16" t="s">
        <v>273</v>
      </c>
      <c r="E607" s="16" t="s">
        <v>1802</v>
      </c>
      <c r="F607" s="16">
        <v>0.26500000000000001</v>
      </c>
      <c r="G607" s="16" t="s">
        <v>1803</v>
      </c>
      <c r="H607" s="16" t="s">
        <v>1804</v>
      </c>
      <c r="I607" s="16" t="s">
        <v>273</v>
      </c>
    </row>
    <row r="608" spans="1:9" ht="42" x14ac:dyDescent="0.35">
      <c r="A608" s="16" t="s">
        <v>2336</v>
      </c>
      <c r="B608" s="17" t="s">
        <v>2337</v>
      </c>
      <c r="C608" s="17" t="s">
        <v>2337</v>
      </c>
      <c r="D608" s="16" t="s">
        <v>5</v>
      </c>
      <c r="E608" s="16" t="s">
        <v>2338</v>
      </c>
      <c r="F608" s="16">
        <v>0.64</v>
      </c>
      <c r="G608" s="16" t="s">
        <v>100</v>
      </c>
      <c r="H608" s="16"/>
      <c r="I608" s="16" t="s">
        <v>5</v>
      </c>
    </row>
    <row r="609" spans="1:9" x14ac:dyDescent="0.35">
      <c r="A609" s="16" t="s">
        <v>2339</v>
      </c>
      <c r="B609" s="17"/>
      <c r="C609" s="17"/>
      <c r="D609" s="16"/>
      <c r="E609" s="16"/>
      <c r="F609" s="16"/>
      <c r="G609" s="16"/>
      <c r="H609" s="16"/>
      <c r="I609" s="16" t="s">
        <v>698</v>
      </c>
    </row>
    <row r="610" spans="1:9" x14ac:dyDescent="0.35">
      <c r="A610" s="16" t="s">
        <v>2340</v>
      </c>
      <c r="B610" s="17" t="s">
        <v>2341</v>
      </c>
      <c r="C610" s="17" t="s">
        <v>2342</v>
      </c>
      <c r="D610" s="16" t="s">
        <v>273</v>
      </c>
      <c r="E610" s="16" t="s">
        <v>385</v>
      </c>
      <c r="F610" s="16">
        <v>0.25309999999999999</v>
      </c>
      <c r="G610" s="16" t="s">
        <v>2343</v>
      </c>
      <c r="H610" s="16" t="s">
        <v>2344</v>
      </c>
      <c r="I610" s="16" t="s">
        <v>273</v>
      </c>
    </row>
    <row r="611" spans="1:9" x14ac:dyDescent="0.35">
      <c r="A611" s="16" t="s">
        <v>2345</v>
      </c>
      <c r="B611" s="17" t="s">
        <v>2346</v>
      </c>
      <c r="C611" s="17" t="s">
        <v>341</v>
      </c>
      <c r="D611" s="16" t="s">
        <v>273</v>
      </c>
      <c r="E611" s="16" t="s">
        <v>1761</v>
      </c>
      <c r="F611" s="16">
        <v>0.31569999999999998</v>
      </c>
      <c r="G611" s="16" t="s">
        <v>1762</v>
      </c>
      <c r="H611" s="16" t="s">
        <v>1763</v>
      </c>
      <c r="I611" s="16" t="s">
        <v>273</v>
      </c>
    </row>
    <row r="612" spans="1:9" x14ac:dyDescent="0.35">
      <c r="A612" s="16" t="s">
        <v>2347</v>
      </c>
      <c r="B612" s="17" t="s">
        <v>1610</v>
      </c>
      <c r="C612" s="17" t="s">
        <v>1446</v>
      </c>
      <c r="D612" s="16" t="s">
        <v>22</v>
      </c>
      <c r="E612" s="16" t="s">
        <v>1447</v>
      </c>
      <c r="F612" s="16">
        <v>1</v>
      </c>
      <c r="G612" s="16" t="s">
        <v>599</v>
      </c>
      <c r="H612" s="16" t="s">
        <v>600</v>
      </c>
      <c r="I612" s="16" t="s">
        <v>22</v>
      </c>
    </row>
    <row r="613" spans="1:9" x14ac:dyDescent="0.35">
      <c r="A613" s="16" t="s">
        <v>2348</v>
      </c>
      <c r="B613" s="17" t="s">
        <v>2346</v>
      </c>
      <c r="C613" s="17" t="s">
        <v>341</v>
      </c>
      <c r="D613" s="16" t="s">
        <v>273</v>
      </c>
      <c r="E613" s="16" t="s">
        <v>1761</v>
      </c>
      <c r="F613" s="16">
        <v>0.31569999999999998</v>
      </c>
      <c r="G613" s="16" t="s">
        <v>1762</v>
      </c>
      <c r="H613" s="16" t="s">
        <v>1763</v>
      </c>
      <c r="I613" s="16" t="s">
        <v>273</v>
      </c>
    </row>
    <row r="614" spans="1:9" x14ac:dyDescent="0.35">
      <c r="A614" s="16" t="s">
        <v>458</v>
      </c>
      <c r="B614" s="17" t="s">
        <v>454</v>
      </c>
      <c r="C614" s="17" t="s">
        <v>453</v>
      </c>
      <c r="D614" s="16" t="s">
        <v>273</v>
      </c>
      <c r="E614" s="16" t="s">
        <v>455</v>
      </c>
      <c r="F614" s="16">
        <v>0.34129999999999999</v>
      </c>
      <c r="G614" s="16" t="s">
        <v>456</v>
      </c>
      <c r="H614" s="16" t="s">
        <v>457</v>
      </c>
      <c r="I614" s="16" t="s">
        <v>273</v>
      </c>
    </row>
    <row r="615" spans="1:9" x14ac:dyDescent="0.35">
      <c r="A615" s="16" t="s">
        <v>2349</v>
      </c>
      <c r="B615" s="17" t="s">
        <v>2303</v>
      </c>
      <c r="C615" s="17" t="s">
        <v>2304</v>
      </c>
      <c r="D615" s="16" t="s">
        <v>273</v>
      </c>
      <c r="E615" s="16" t="s">
        <v>1747</v>
      </c>
      <c r="F615" s="16">
        <v>0.47489999999999999</v>
      </c>
      <c r="G615" s="16" t="s">
        <v>2305</v>
      </c>
      <c r="H615" s="16" t="s">
        <v>611</v>
      </c>
      <c r="I615" s="16" t="s">
        <v>273</v>
      </c>
    </row>
    <row r="616" spans="1:9" x14ac:dyDescent="0.35">
      <c r="A616" s="16" t="s">
        <v>2350</v>
      </c>
      <c r="B616" s="17" t="s">
        <v>1031</v>
      </c>
      <c r="C616" s="17" t="s">
        <v>1032</v>
      </c>
      <c r="D616" s="16" t="s">
        <v>273</v>
      </c>
      <c r="E616" s="16" t="s">
        <v>878</v>
      </c>
      <c r="F616" s="16">
        <v>0.24249999999999999</v>
      </c>
      <c r="G616" s="16"/>
      <c r="H616" s="16"/>
      <c r="I616" s="16" t="s">
        <v>273</v>
      </c>
    </row>
    <row r="617" spans="1:9" ht="42" x14ac:dyDescent="0.35">
      <c r="A617" s="16" t="s">
        <v>2351</v>
      </c>
      <c r="B617" s="17" t="s">
        <v>2352</v>
      </c>
      <c r="C617" s="17" t="s">
        <v>2353</v>
      </c>
      <c r="D617" s="16" t="s">
        <v>5</v>
      </c>
      <c r="E617" s="16" t="s">
        <v>67</v>
      </c>
      <c r="F617" s="16">
        <v>0.8</v>
      </c>
      <c r="G617" s="16"/>
      <c r="H617" s="16"/>
      <c r="I617" s="16" t="s">
        <v>5</v>
      </c>
    </row>
    <row r="618" spans="1:9" ht="56" x14ac:dyDescent="0.35">
      <c r="A618" s="16" t="s">
        <v>2354</v>
      </c>
      <c r="B618" s="17" t="s">
        <v>2355</v>
      </c>
      <c r="C618" s="17" t="s">
        <v>2356</v>
      </c>
      <c r="D618" s="16" t="s">
        <v>273</v>
      </c>
      <c r="E618" s="16" t="s">
        <v>92</v>
      </c>
      <c r="F618" s="16">
        <v>0.41710000000000003</v>
      </c>
      <c r="G618" s="16" t="s">
        <v>2357</v>
      </c>
      <c r="H618" s="16" t="s">
        <v>512</v>
      </c>
      <c r="I618" s="16" t="s">
        <v>273</v>
      </c>
    </row>
    <row r="619" spans="1:9" x14ac:dyDescent="0.35">
      <c r="A619" s="16" t="s">
        <v>2358</v>
      </c>
      <c r="B619" s="17" t="s">
        <v>2204</v>
      </c>
      <c r="C619" s="17" t="s">
        <v>2204</v>
      </c>
      <c r="D619" s="16" t="s">
        <v>273</v>
      </c>
      <c r="E619" s="16" t="s">
        <v>513</v>
      </c>
      <c r="F619" s="16">
        <v>0.4289</v>
      </c>
      <c r="G619" s="16" t="s">
        <v>67</v>
      </c>
      <c r="H619" s="16" t="s">
        <v>2205</v>
      </c>
      <c r="I619" s="16" t="s">
        <v>273</v>
      </c>
    </row>
    <row r="620" spans="1:9" ht="28" x14ac:dyDescent="0.35">
      <c r="A620" s="16" t="s">
        <v>2359</v>
      </c>
      <c r="B620" s="17" t="s">
        <v>2360</v>
      </c>
      <c r="C620" s="17" t="s">
        <v>2360</v>
      </c>
      <c r="D620" s="16" t="s">
        <v>273</v>
      </c>
      <c r="E620" s="16" t="s">
        <v>2361</v>
      </c>
      <c r="F620" s="16">
        <v>0.40050000000000002</v>
      </c>
      <c r="G620" s="16" t="s">
        <v>2362</v>
      </c>
      <c r="H620" s="16" t="s">
        <v>1495</v>
      </c>
      <c r="I620" s="16" t="s">
        <v>273</v>
      </c>
    </row>
    <row r="621" spans="1:9" x14ac:dyDescent="0.35">
      <c r="A621" s="16" t="s">
        <v>2363</v>
      </c>
      <c r="B621" s="17" t="s">
        <v>2364</v>
      </c>
      <c r="C621" s="17" t="s">
        <v>2365</v>
      </c>
      <c r="D621" s="16" t="s">
        <v>273</v>
      </c>
      <c r="E621" s="16" t="s">
        <v>1972</v>
      </c>
      <c r="F621" s="16">
        <v>0.4773</v>
      </c>
      <c r="G621" s="16" t="s">
        <v>1973</v>
      </c>
      <c r="H621" s="16" t="s">
        <v>513</v>
      </c>
      <c r="I621" s="16" t="s">
        <v>273</v>
      </c>
    </row>
    <row r="622" spans="1:9" x14ac:dyDescent="0.35">
      <c r="A622" s="16" t="s">
        <v>95</v>
      </c>
      <c r="B622" s="17" t="s">
        <v>92</v>
      </c>
      <c r="C622" s="17" t="s">
        <v>92</v>
      </c>
      <c r="D622" s="16" t="s">
        <v>22</v>
      </c>
      <c r="E622" s="16" t="s">
        <v>94</v>
      </c>
      <c r="F622" s="16">
        <v>1</v>
      </c>
      <c r="G622" s="16"/>
      <c r="H622" s="16"/>
      <c r="I622" s="16" t="s">
        <v>22</v>
      </c>
    </row>
    <row r="623" spans="1:9" ht="42" x14ac:dyDescent="0.35">
      <c r="A623" s="16" t="s">
        <v>671</v>
      </c>
      <c r="B623" s="17" t="s">
        <v>669</v>
      </c>
      <c r="C623" s="17" t="s">
        <v>668</v>
      </c>
      <c r="D623" s="16"/>
      <c r="E623" s="16"/>
      <c r="F623" s="16"/>
      <c r="G623" s="16"/>
      <c r="H623" s="16"/>
      <c r="I623" s="16" t="s">
        <v>633</v>
      </c>
    </row>
    <row r="624" spans="1:9" x14ac:dyDescent="0.35">
      <c r="A624" s="16" t="s">
        <v>2366</v>
      </c>
      <c r="B624" s="17" t="s">
        <v>2367</v>
      </c>
      <c r="C624" s="17" t="s">
        <v>1951</v>
      </c>
      <c r="D624" s="16" t="s">
        <v>273</v>
      </c>
      <c r="E624" s="16" t="s">
        <v>1952</v>
      </c>
      <c r="F624" s="16">
        <v>0.39410000000000001</v>
      </c>
      <c r="G624" s="16" t="s">
        <v>1953</v>
      </c>
      <c r="H624" s="16" t="s">
        <v>1096</v>
      </c>
      <c r="I624" s="16" t="s">
        <v>273</v>
      </c>
    </row>
    <row r="625" spans="1:9" x14ac:dyDescent="0.35">
      <c r="A625" s="16" t="s">
        <v>2368</v>
      </c>
      <c r="B625" s="17" t="s">
        <v>2369</v>
      </c>
      <c r="C625" s="17" t="s">
        <v>2370</v>
      </c>
      <c r="D625" s="16" t="s">
        <v>273</v>
      </c>
      <c r="E625" s="16" t="s">
        <v>2371</v>
      </c>
      <c r="F625" s="16">
        <v>0.40789999999999998</v>
      </c>
      <c r="G625" s="16" t="s">
        <v>2372</v>
      </c>
      <c r="H625" s="16" t="s">
        <v>2373</v>
      </c>
      <c r="I625" s="16" t="s">
        <v>273</v>
      </c>
    </row>
    <row r="626" spans="1:9" x14ac:dyDescent="0.35">
      <c r="A626" s="16" t="s">
        <v>2374</v>
      </c>
      <c r="B626" s="17"/>
      <c r="C626" s="17"/>
      <c r="D626" s="16"/>
      <c r="E626" s="16"/>
      <c r="F626" s="16"/>
      <c r="G626" s="16"/>
      <c r="H626" s="16"/>
      <c r="I626" s="16" t="s">
        <v>698</v>
      </c>
    </row>
    <row r="627" spans="1:9" x14ac:dyDescent="0.35">
      <c r="A627" s="16" t="s">
        <v>2375</v>
      </c>
      <c r="B627" s="17" t="s">
        <v>1610</v>
      </c>
      <c r="C627" s="17" t="s">
        <v>1446</v>
      </c>
      <c r="D627" s="16" t="s">
        <v>22</v>
      </c>
      <c r="E627" s="16" t="s">
        <v>1447</v>
      </c>
      <c r="F627" s="16">
        <v>1</v>
      </c>
      <c r="G627" s="16" t="s">
        <v>599</v>
      </c>
      <c r="H627" s="16" t="s">
        <v>600</v>
      </c>
      <c r="I627" s="16" t="s">
        <v>22</v>
      </c>
    </row>
    <row r="628" spans="1:9" ht="42" x14ac:dyDescent="0.35">
      <c r="A628" s="16" t="s">
        <v>2376</v>
      </c>
      <c r="B628" s="17" t="s">
        <v>2377</v>
      </c>
      <c r="C628" s="17" t="s">
        <v>2377</v>
      </c>
      <c r="D628" s="16" t="s">
        <v>5</v>
      </c>
      <c r="E628" s="16" t="s">
        <v>67</v>
      </c>
      <c r="F628" s="16">
        <v>0.8</v>
      </c>
      <c r="G628" s="16"/>
      <c r="H628" s="16"/>
      <c r="I628" s="16" t="s">
        <v>5</v>
      </c>
    </row>
    <row r="629" spans="1:9" x14ac:dyDescent="0.35">
      <c r="A629" s="16" t="s">
        <v>2378</v>
      </c>
      <c r="B629" s="17" t="s">
        <v>2379</v>
      </c>
      <c r="C629" s="17" t="s">
        <v>2380</v>
      </c>
      <c r="D629" s="16" t="s">
        <v>273</v>
      </c>
      <c r="E629" s="16" t="s">
        <v>2381</v>
      </c>
      <c r="F629" s="16">
        <v>0.35239999999999999</v>
      </c>
      <c r="G629" s="16" t="s">
        <v>2382</v>
      </c>
      <c r="H629" s="16" t="s">
        <v>2383</v>
      </c>
      <c r="I629" s="16" t="s">
        <v>273</v>
      </c>
    </row>
    <row r="630" spans="1:9" x14ac:dyDescent="0.35">
      <c r="A630" s="16" t="s">
        <v>2384</v>
      </c>
      <c r="B630" s="17" t="s">
        <v>2385</v>
      </c>
      <c r="C630" s="17" t="s">
        <v>2386</v>
      </c>
      <c r="D630" s="16" t="s">
        <v>273</v>
      </c>
      <c r="E630" s="16" t="s">
        <v>1648</v>
      </c>
      <c r="F630" s="16">
        <v>0.39889999999999998</v>
      </c>
      <c r="G630" s="16" t="s">
        <v>2387</v>
      </c>
      <c r="H630" s="16" t="s">
        <v>1075</v>
      </c>
      <c r="I630" s="16" t="s">
        <v>273</v>
      </c>
    </row>
    <row r="631" spans="1:9" x14ac:dyDescent="0.35">
      <c r="A631" s="16" t="s">
        <v>2388</v>
      </c>
      <c r="B631" s="17" t="s">
        <v>2389</v>
      </c>
      <c r="C631" s="17" t="s">
        <v>2390</v>
      </c>
      <c r="D631" s="16" t="s">
        <v>273</v>
      </c>
      <c r="E631" s="16" t="s">
        <v>2391</v>
      </c>
      <c r="F631" s="16">
        <v>0.38979999999999998</v>
      </c>
      <c r="G631" s="16" t="s">
        <v>1096</v>
      </c>
      <c r="H631" s="16" t="s">
        <v>2392</v>
      </c>
      <c r="I631" s="16" t="s">
        <v>273</v>
      </c>
    </row>
    <row r="632" spans="1:9" x14ac:dyDescent="0.35">
      <c r="A632" s="16" t="s">
        <v>2393</v>
      </c>
      <c r="B632" s="17" t="s">
        <v>2394</v>
      </c>
      <c r="C632" s="17" t="s">
        <v>1226</v>
      </c>
      <c r="D632" s="16" t="s">
        <v>273</v>
      </c>
      <c r="E632" s="16" t="s">
        <v>522</v>
      </c>
      <c r="F632" s="16">
        <v>0.35449999999999998</v>
      </c>
      <c r="G632" s="16" t="s">
        <v>1227</v>
      </c>
      <c r="H632" s="16" t="s">
        <v>1228</v>
      </c>
      <c r="I632" s="16" t="s">
        <v>273</v>
      </c>
    </row>
    <row r="633" spans="1:9" x14ac:dyDescent="0.35">
      <c r="A633" s="16" t="s">
        <v>2395</v>
      </c>
      <c r="B633" s="17" t="s">
        <v>2396</v>
      </c>
      <c r="C633" s="17" t="s">
        <v>2396</v>
      </c>
      <c r="D633" s="16" t="s">
        <v>273</v>
      </c>
      <c r="E633" s="16" t="s">
        <v>378</v>
      </c>
      <c r="F633" s="16">
        <v>0.22939999999999999</v>
      </c>
      <c r="G633" s="16" t="s">
        <v>1075</v>
      </c>
      <c r="H633" s="16"/>
      <c r="I633" s="16" t="s">
        <v>273</v>
      </c>
    </row>
    <row r="634" spans="1:9" ht="42" x14ac:dyDescent="0.35">
      <c r="A634" s="16" t="s">
        <v>2397</v>
      </c>
      <c r="B634" s="17" t="s">
        <v>2398</v>
      </c>
      <c r="C634" s="17" t="s">
        <v>2399</v>
      </c>
      <c r="D634" s="16"/>
      <c r="E634" s="16"/>
      <c r="F634" s="16"/>
      <c r="G634" s="16"/>
      <c r="H634" s="16"/>
      <c r="I634" s="16" t="s">
        <v>633</v>
      </c>
    </row>
    <row r="635" spans="1:9" ht="28" x14ac:dyDescent="0.35">
      <c r="A635" s="16" t="s">
        <v>2400</v>
      </c>
      <c r="B635" s="17" t="s">
        <v>2401</v>
      </c>
      <c r="C635" s="17" t="s">
        <v>2402</v>
      </c>
      <c r="D635" s="16"/>
      <c r="E635" s="16"/>
      <c r="F635" s="16"/>
      <c r="G635" s="16"/>
      <c r="H635" s="16"/>
      <c r="I635" s="16" t="s">
        <v>633</v>
      </c>
    </row>
    <row r="636" spans="1:9" x14ac:dyDescent="0.35">
      <c r="A636" s="16" t="s">
        <v>2403</v>
      </c>
      <c r="B636" s="17" t="s">
        <v>2404</v>
      </c>
      <c r="C636" s="17" t="s">
        <v>2404</v>
      </c>
      <c r="D636" s="16" t="s">
        <v>273</v>
      </c>
      <c r="E636" s="16" t="s">
        <v>378</v>
      </c>
      <c r="F636" s="16">
        <v>0.22919999999999999</v>
      </c>
      <c r="G636" s="16"/>
      <c r="H636" s="16"/>
      <c r="I636" s="16" t="s">
        <v>273</v>
      </c>
    </row>
    <row r="637" spans="1:9" x14ac:dyDescent="0.35">
      <c r="A637" s="16" t="s">
        <v>2405</v>
      </c>
      <c r="B637" s="17" t="s">
        <v>2406</v>
      </c>
      <c r="C637" s="17" t="s">
        <v>2406</v>
      </c>
      <c r="D637" s="16" t="s">
        <v>22</v>
      </c>
      <c r="E637" s="16" t="s">
        <v>110</v>
      </c>
      <c r="F637" s="16">
        <v>1</v>
      </c>
      <c r="G637" s="16"/>
      <c r="H637" s="16"/>
      <c r="I637" s="16" t="s">
        <v>22</v>
      </c>
    </row>
    <row r="638" spans="1:9" x14ac:dyDescent="0.35">
      <c r="A638" s="16" t="s">
        <v>2407</v>
      </c>
      <c r="B638" s="17" t="s">
        <v>2408</v>
      </c>
      <c r="C638" s="17" t="s">
        <v>2408</v>
      </c>
      <c r="D638" s="16" t="s">
        <v>273</v>
      </c>
      <c r="E638" s="16" t="s">
        <v>2409</v>
      </c>
      <c r="F638" s="16">
        <v>0.30430000000000001</v>
      </c>
      <c r="G638" s="16" t="s">
        <v>1284</v>
      </c>
      <c r="H638" s="16" t="s">
        <v>2410</v>
      </c>
      <c r="I638" s="16" t="s">
        <v>273</v>
      </c>
    </row>
    <row r="639" spans="1:9" x14ac:dyDescent="0.35">
      <c r="A639" s="16" t="s">
        <v>2411</v>
      </c>
      <c r="B639" s="17" t="s">
        <v>2412</v>
      </c>
      <c r="C639" s="17" t="s">
        <v>2413</v>
      </c>
      <c r="D639" s="16" t="s">
        <v>273</v>
      </c>
      <c r="E639" s="16" t="s">
        <v>2414</v>
      </c>
      <c r="F639" s="16">
        <v>0.46450000000000002</v>
      </c>
      <c r="G639" s="16" t="s">
        <v>536</v>
      </c>
      <c r="H639" s="16" t="s">
        <v>2415</v>
      </c>
      <c r="I639" s="16" t="s">
        <v>273</v>
      </c>
    </row>
    <row r="640" spans="1:9" x14ac:dyDescent="0.35">
      <c r="A640" s="16" t="s">
        <v>2416</v>
      </c>
      <c r="B640" s="17"/>
      <c r="C640" s="17"/>
      <c r="D640" s="16"/>
      <c r="E640" s="16"/>
      <c r="F640" s="16"/>
      <c r="G640" s="16"/>
      <c r="H640" s="16"/>
      <c r="I640" s="16" t="s">
        <v>698</v>
      </c>
    </row>
    <row r="641" spans="1:9" ht="28" x14ac:dyDescent="0.35">
      <c r="A641" s="16" t="s">
        <v>2417</v>
      </c>
      <c r="B641" s="17" t="s">
        <v>2418</v>
      </c>
      <c r="C641" s="17" t="s">
        <v>2418</v>
      </c>
      <c r="D641" s="16" t="s">
        <v>273</v>
      </c>
      <c r="E641" s="16" t="s">
        <v>2414</v>
      </c>
      <c r="F641" s="16">
        <v>0.33600000000000002</v>
      </c>
      <c r="G641" s="16" t="s">
        <v>2419</v>
      </c>
      <c r="H641" s="16" t="s">
        <v>2420</v>
      </c>
      <c r="I641" s="16" t="s">
        <v>273</v>
      </c>
    </row>
    <row r="642" spans="1:9" x14ac:dyDescent="0.35">
      <c r="A642" s="16" t="s">
        <v>2421</v>
      </c>
      <c r="B642" s="17" t="s">
        <v>1619</v>
      </c>
      <c r="C642" s="17" t="s">
        <v>115</v>
      </c>
      <c r="D642" s="16" t="s">
        <v>22</v>
      </c>
      <c r="E642" s="16" t="s">
        <v>115</v>
      </c>
      <c r="F642" s="16">
        <v>0.8</v>
      </c>
      <c r="G642" s="16" t="s">
        <v>116</v>
      </c>
      <c r="H642" s="16"/>
      <c r="I642" s="16" t="s">
        <v>22</v>
      </c>
    </row>
    <row r="643" spans="1:9" x14ac:dyDescent="0.35">
      <c r="A643" s="16" t="s">
        <v>2422</v>
      </c>
      <c r="B643" s="17" t="s">
        <v>2423</v>
      </c>
      <c r="C643" s="17" t="s">
        <v>2424</v>
      </c>
      <c r="D643" s="16" t="s">
        <v>273</v>
      </c>
      <c r="E643" s="16" t="s">
        <v>605</v>
      </c>
      <c r="F643" s="16">
        <v>0.45760000000000001</v>
      </c>
      <c r="G643" s="16" t="s">
        <v>606</v>
      </c>
      <c r="H643" s="16" t="s">
        <v>565</v>
      </c>
      <c r="I643" s="16" t="s">
        <v>273</v>
      </c>
    </row>
    <row r="644" spans="1:9" ht="28" x14ac:dyDescent="0.35">
      <c r="A644" s="16" t="s">
        <v>2425</v>
      </c>
      <c r="B644" s="17" t="s">
        <v>2426</v>
      </c>
      <c r="C644" s="17" t="s">
        <v>2426</v>
      </c>
      <c r="D644" s="16" t="s">
        <v>273</v>
      </c>
      <c r="E644" s="16" t="s">
        <v>1648</v>
      </c>
      <c r="F644" s="16">
        <v>0.25430000000000003</v>
      </c>
      <c r="G644" s="16"/>
      <c r="H644" s="16"/>
      <c r="I644" s="16" t="s">
        <v>273</v>
      </c>
    </row>
    <row r="645" spans="1:9" x14ac:dyDescent="0.35">
      <c r="A645" s="16" t="s">
        <v>2427</v>
      </c>
      <c r="B645" s="17" t="s">
        <v>2428</v>
      </c>
      <c r="C645" s="17" t="s">
        <v>498</v>
      </c>
      <c r="D645" s="16" t="s">
        <v>273</v>
      </c>
      <c r="E645" s="16" t="s">
        <v>2429</v>
      </c>
      <c r="F645" s="16">
        <v>0.38700000000000001</v>
      </c>
      <c r="G645" s="16" t="s">
        <v>499</v>
      </c>
      <c r="H645" s="16" t="s">
        <v>2430</v>
      </c>
      <c r="I645" s="16" t="s">
        <v>273</v>
      </c>
    </row>
    <row r="646" spans="1:9" x14ac:dyDescent="0.35">
      <c r="A646" s="16" t="s">
        <v>2431</v>
      </c>
      <c r="B646" s="17"/>
      <c r="C646" s="17"/>
      <c r="D646" s="16"/>
      <c r="E646" s="16"/>
      <c r="F646" s="16"/>
      <c r="G646" s="16"/>
      <c r="H646" s="16"/>
      <c r="I646" s="16" t="s">
        <v>698</v>
      </c>
    </row>
    <row r="647" spans="1:9" ht="28" x14ac:dyDescent="0.35">
      <c r="A647" s="16" t="s">
        <v>2432</v>
      </c>
      <c r="B647" s="17" t="s">
        <v>2433</v>
      </c>
      <c r="C647" s="17" t="s">
        <v>309</v>
      </c>
      <c r="D647" s="16" t="s">
        <v>273</v>
      </c>
      <c r="E647" s="16" t="s">
        <v>310</v>
      </c>
      <c r="F647" s="16">
        <v>0.33779999999999999</v>
      </c>
      <c r="G647" s="16" t="s">
        <v>549</v>
      </c>
      <c r="H647" s="16" t="s">
        <v>311</v>
      </c>
      <c r="I647" s="16" t="s">
        <v>273</v>
      </c>
    </row>
    <row r="648" spans="1:9" x14ac:dyDescent="0.35">
      <c r="A648" s="16" t="s">
        <v>2434</v>
      </c>
      <c r="B648" s="17" t="s">
        <v>2435</v>
      </c>
      <c r="C648" s="17" t="s">
        <v>2255</v>
      </c>
      <c r="D648" s="16" t="s">
        <v>273</v>
      </c>
      <c r="E648" s="16" t="s">
        <v>378</v>
      </c>
      <c r="F648" s="16">
        <v>0.27429999999999999</v>
      </c>
      <c r="G648" s="16" t="s">
        <v>2256</v>
      </c>
      <c r="H648" s="16" t="s">
        <v>2257</v>
      </c>
      <c r="I648" s="16" t="s">
        <v>273</v>
      </c>
    </row>
    <row r="649" spans="1:9" x14ac:dyDescent="0.35">
      <c r="A649" s="16" t="s">
        <v>2436</v>
      </c>
      <c r="B649" s="17" t="s">
        <v>1128</v>
      </c>
      <c r="C649" s="17" t="s">
        <v>1128</v>
      </c>
      <c r="D649" s="16" t="s">
        <v>273</v>
      </c>
      <c r="E649" s="16" t="s">
        <v>1129</v>
      </c>
      <c r="F649" s="16">
        <v>0.21840000000000001</v>
      </c>
      <c r="G649" s="16"/>
      <c r="H649" s="16"/>
      <c r="I649" s="16" t="s">
        <v>273</v>
      </c>
    </row>
    <row r="650" spans="1:9" x14ac:dyDescent="0.35">
      <c r="A650" s="16" t="s">
        <v>2437</v>
      </c>
      <c r="B650" s="17" t="s">
        <v>2438</v>
      </c>
      <c r="C650" s="17" t="s">
        <v>2438</v>
      </c>
      <c r="D650" s="16" t="s">
        <v>273</v>
      </c>
      <c r="E650" s="16" t="s">
        <v>2439</v>
      </c>
      <c r="F650" s="16">
        <v>0.22059999999999999</v>
      </c>
      <c r="G650" s="16" t="s">
        <v>2440</v>
      </c>
      <c r="H650" s="16" t="s">
        <v>2257</v>
      </c>
      <c r="I650" s="16" t="s">
        <v>273</v>
      </c>
    </row>
    <row r="651" spans="1:9" x14ac:dyDescent="0.35">
      <c r="A651" s="16" t="s">
        <v>2441</v>
      </c>
      <c r="B651" s="17" t="s">
        <v>2442</v>
      </c>
      <c r="C651" s="17" t="s">
        <v>2443</v>
      </c>
      <c r="D651" s="16" t="s">
        <v>273</v>
      </c>
      <c r="E651" s="16" t="s">
        <v>2414</v>
      </c>
      <c r="F651" s="16">
        <v>0.42099999999999999</v>
      </c>
      <c r="G651" s="16" t="s">
        <v>2444</v>
      </c>
      <c r="H651" s="16" t="s">
        <v>866</v>
      </c>
      <c r="I651" s="16" t="s">
        <v>273</v>
      </c>
    </row>
    <row r="652" spans="1:9" x14ac:dyDescent="0.35">
      <c r="A652" s="16" t="s">
        <v>2445</v>
      </c>
      <c r="B652" s="17"/>
      <c r="C652" s="17"/>
      <c r="D652" s="16"/>
      <c r="E652" s="16"/>
      <c r="F652" s="16"/>
      <c r="G652" s="16"/>
      <c r="H652" s="16"/>
      <c r="I652" s="16" t="s">
        <v>698</v>
      </c>
    </row>
    <row r="653" spans="1:9" x14ac:dyDescent="0.35">
      <c r="A653" s="16" t="s">
        <v>2446</v>
      </c>
      <c r="B653" s="17" t="s">
        <v>2447</v>
      </c>
      <c r="C653" s="17" t="s">
        <v>2255</v>
      </c>
      <c r="D653" s="16" t="s">
        <v>273</v>
      </c>
      <c r="E653" s="16" t="s">
        <v>378</v>
      </c>
      <c r="F653" s="16">
        <v>0.27429999999999999</v>
      </c>
      <c r="G653" s="16" t="s">
        <v>2256</v>
      </c>
      <c r="H653" s="16" t="s">
        <v>2257</v>
      </c>
      <c r="I653" s="16" t="s">
        <v>273</v>
      </c>
    </row>
    <row r="654" spans="1:9" x14ac:dyDescent="0.35">
      <c r="A654" s="16" t="s">
        <v>2448</v>
      </c>
      <c r="B654" s="17" t="s">
        <v>1619</v>
      </c>
      <c r="C654" s="17" t="s">
        <v>115</v>
      </c>
      <c r="D654" s="16" t="s">
        <v>22</v>
      </c>
      <c r="E654" s="16" t="s">
        <v>115</v>
      </c>
      <c r="F654" s="16">
        <v>0.8</v>
      </c>
      <c r="G654" s="16" t="s">
        <v>116</v>
      </c>
      <c r="H654" s="16"/>
      <c r="I654" s="16" t="s">
        <v>22</v>
      </c>
    </row>
    <row r="655" spans="1:9" x14ac:dyDescent="0.35">
      <c r="A655" s="16" t="s">
        <v>2449</v>
      </c>
      <c r="B655" s="17" t="s">
        <v>2450</v>
      </c>
      <c r="C655" s="17" t="s">
        <v>2451</v>
      </c>
      <c r="D655" s="16" t="s">
        <v>22</v>
      </c>
      <c r="E655" s="16" t="s">
        <v>1447</v>
      </c>
      <c r="F655" s="16">
        <v>1</v>
      </c>
      <c r="G655" s="16"/>
      <c r="H655" s="16"/>
      <c r="I655" s="16" t="s">
        <v>22</v>
      </c>
    </row>
    <row r="656" spans="1:9" x14ac:dyDescent="0.35">
      <c r="A656" s="16" t="s">
        <v>2452</v>
      </c>
      <c r="B656" s="17" t="s">
        <v>2453</v>
      </c>
      <c r="C656" s="17" t="s">
        <v>2454</v>
      </c>
      <c r="D656" s="16" t="s">
        <v>273</v>
      </c>
      <c r="E656" s="16" t="s">
        <v>1119</v>
      </c>
      <c r="F656" s="16">
        <v>0.39639999999999997</v>
      </c>
      <c r="G656" s="16" t="s">
        <v>1120</v>
      </c>
      <c r="H656" s="16" t="s">
        <v>1121</v>
      </c>
      <c r="I656" s="16" t="s">
        <v>273</v>
      </c>
    </row>
    <row r="657" spans="1:9" x14ac:dyDescent="0.35">
      <c r="A657" s="16" t="s">
        <v>2455</v>
      </c>
      <c r="B657" s="17" t="s">
        <v>2456</v>
      </c>
      <c r="C657" s="17" t="s">
        <v>2457</v>
      </c>
      <c r="D657" s="16" t="s">
        <v>273</v>
      </c>
      <c r="E657" s="16" t="s">
        <v>2458</v>
      </c>
      <c r="F657" s="16">
        <v>0.33400000000000002</v>
      </c>
      <c r="G657" s="16" t="s">
        <v>1425</v>
      </c>
      <c r="H657" s="16" t="s">
        <v>2459</v>
      </c>
      <c r="I657" s="16" t="s">
        <v>273</v>
      </c>
    </row>
    <row r="658" spans="1:9" ht="28" x14ac:dyDescent="0.35">
      <c r="A658" s="16" t="s">
        <v>2460</v>
      </c>
      <c r="B658" s="17" t="s">
        <v>2461</v>
      </c>
      <c r="C658" s="17" t="s">
        <v>2462</v>
      </c>
      <c r="D658" s="16"/>
      <c r="E658" s="16"/>
      <c r="F658" s="16"/>
      <c r="G658" s="16"/>
      <c r="H658" s="16"/>
      <c r="I658" s="16" t="s">
        <v>633</v>
      </c>
    </row>
    <row r="659" spans="1:9" ht="28" x14ac:dyDescent="0.35">
      <c r="A659" s="16" t="s">
        <v>2463</v>
      </c>
      <c r="B659" s="17" t="s">
        <v>2464</v>
      </c>
      <c r="C659" s="17" t="s">
        <v>2464</v>
      </c>
      <c r="D659" s="16" t="s">
        <v>5</v>
      </c>
      <c r="E659" s="16" t="s">
        <v>34</v>
      </c>
      <c r="F659" s="16">
        <v>0.64</v>
      </c>
      <c r="G659" s="16" t="s">
        <v>35</v>
      </c>
      <c r="H659" s="16"/>
      <c r="I659" s="16" t="s">
        <v>5</v>
      </c>
    </row>
    <row r="660" spans="1:9" x14ac:dyDescent="0.35">
      <c r="A660" s="16" t="s">
        <v>2465</v>
      </c>
      <c r="B660" s="17" t="s">
        <v>2466</v>
      </c>
      <c r="C660" s="17" t="s">
        <v>2467</v>
      </c>
      <c r="D660" s="16" t="s">
        <v>273</v>
      </c>
      <c r="E660" s="16" t="s">
        <v>391</v>
      </c>
      <c r="F660" s="16">
        <v>0.36620000000000003</v>
      </c>
      <c r="G660" s="16" t="s">
        <v>2468</v>
      </c>
      <c r="H660" s="16" t="s">
        <v>392</v>
      </c>
      <c r="I660" s="16" t="s">
        <v>273</v>
      </c>
    </row>
    <row r="661" spans="1:9" x14ac:dyDescent="0.35">
      <c r="A661" s="16" t="s">
        <v>2469</v>
      </c>
      <c r="B661" s="17" t="s">
        <v>2470</v>
      </c>
      <c r="C661" s="17"/>
      <c r="D661" s="16"/>
      <c r="E661" s="16"/>
      <c r="F661" s="16"/>
      <c r="G661" s="16"/>
      <c r="H661" s="16"/>
      <c r="I661" s="16" t="s">
        <v>633</v>
      </c>
    </row>
    <row r="662" spans="1:9" x14ac:dyDescent="0.35">
      <c r="A662" s="16" t="s">
        <v>2471</v>
      </c>
      <c r="B662" s="17" t="s">
        <v>2467</v>
      </c>
      <c r="C662" s="17" t="s">
        <v>2467</v>
      </c>
      <c r="D662" s="16" t="s">
        <v>273</v>
      </c>
      <c r="E662" s="16" t="s">
        <v>391</v>
      </c>
      <c r="F662" s="16">
        <v>0.36620000000000003</v>
      </c>
      <c r="G662" s="16" t="s">
        <v>2468</v>
      </c>
      <c r="H662" s="16" t="s">
        <v>392</v>
      </c>
      <c r="I662" s="16" t="s">
        <v>273</v>
      </c>
    </row>
    <row r="663" spans="1:9" x14ac:dyDescent="0.35">
      <c r="A663" s="16" t="s">
        <v>2472</v>
      </c>
      <c r="B663" s="17" t="s">
        <v>2473</v>
      </c>
      <c r="C663" s="17" t="s">
        <v>2473</v>
      </c>
      <c r="D663" s="16" t="s">
        <v>273</v>
      </c>
      <c r="E663" s="16" t="s">
        <v>1630</v>
      </c>
      <c r="F663" s="16">
        <v>0.27579999999999999</v>
      </c>
      <c r="G663" s="16" t="s">
        <v>1631</v>
      </c>
      <c r="H663" s="16" t="s">
        <v>846</v>
      </c>
      <c r="I663" s="16" t="s">
        <v>273</v>
      </c>
    </row>
    <row r="664" spans="1:9" x14ac:dyDescent="0.35">
      <c r="A664" s="16" t="s">
        <v>2474</v>
      </c>
      <c r="B664" s="17" t="s">
        <v>2475</v>
      </c>
      <c r="C664" s="17"/>
      <c r="D664" s="16"/>
      <c r="E664" s="16"/>
      <c r="F664" s="16"/>
      <c r="G664" s="16"/>
      <c r="H664" s="16"/>
      <c r="I664" s="16" t="s">
        <v>633</v>
      </c>
    </row>
    <row r="665" spans="1:9" ht="28" x14ac:dyDescent="0.35">
      <c r="A665" s="16" t="s">
        <v>2476</v>
      </c>
      <c r="B665" s="17" t="s">
        <v>2477</v>
      </c>
      <c r="C665" s="17" t="s">
        <v>2478</v>
      </c>
      <c r="D665" s="16" t="s">
        <v>5</v>
      </c>
      <c r="E665" s="16" t="s">
        <v>49</v>
      </c>
      <c r="F665" s="16">
        <v>0.8</v>
      </c>
      <c r="G665" s="16"/>
      <c r="H665" s="16"/>
      <c r="I665" s="16" t="s">
        <v>5</v>
      </c>
    </row>
    <row r="666" spans="1:9" ht="28" x14ac:dyDescent="0.35">
      <c r="A666" s="16" t="s">
        <v>2479</v>
      </c>
      <c r="B666" s="17" t="s">
        <v>2480</v>
      </c>
      <c r="C666" s="17" t="s">
        <v>2481</v>
      </c>
      <c r="D666" s="16" t="s">
        <v>273</v>
      </c>
      <c r="E666" s="16" t="s">
        <v>2482</v>
      </c>
      <c r="F666" s="16">
        <v>0.22600000000000001</v>
      </c>
      <c r="G666" s="16" t="s">
        <v>2483</v>
      </c>
      <c r="H666" s="16" t="s">
        <v>2154</v>
      </c>
      <c r="I666" s="16" t="s">
        <v>273</v>
      </c>
    </row>
    <row r="667" spans="1:9" x14ac:dyDescent="0.35">
      <c r="A667" s="16" t="s">
        <v>2484</v>
      </c>
      <c r="B667" s="17" t="s">
        <v>597</v>
      </c>
      <c r="C667" s="17" t="s">
        <v>596</v>
      </c>
      <c r="D667" s="16" t="s">
        <v>273</v>
      </c>
      <c r="E667" s="16" t="s">
        <v>599</v>
      </c>
      <c r="F667" s="16">
        <v>0.4103</v>
      </c>
      <c r="G667" s="16" t="s">
        <v>600</v>
      </c>
      <c r="H667" s="16" t="s">
        <v>601</v>
      </c>
      <c r="I667" s="16" t="s">
        <v>273</v>
      </c>
    </row>
    <row r="668" spans="1:9" x14ac:dyDescent="0.35">
      <c r="A668" s="16" t="s">
        <v>2485</v>
      </c>
      <c r="B668" s="17" t="s">
        <v>1225</v>
      </c>
      <c r="C668" s="17" t="s">
        <v>1226</v>
      </c>
      <c r="D668" s="16" t="s">
        <v>273</v>
      </c>
      <c r="E668" s="16" t="s">
        <v>522</v>
      </c>
      <c r="F668" s="16">
        <v>0.35449999999999998</v>
      </c>
      <c r="G668" s="16" t="s">
        <v>1227</v>
      </c>
      <c r="H668" s="16" t="s">
        <v>1228</v>
      </c>
      <c r="I668" s="16" t="s">
        <v>273</v>
      </c>
    </row>
    <row r="669" spans="1:9" x14ac:dyDescent="0.35">
      <c r="A669" s="16" t="s">
        <v>394</v>
      </c>
      <c r="B669" s="17" t="s">
        <v>390</v>
      </c>
      <c r="C669" s="17" t="s">
        <v>389</v>
      </c>
      <c r="D669" s="16" t="s">
        <v>273</v>
      </c>
      <c r="E669" s="16" t="s">
        <v>391</v>
      </c>
      <c r="F669" s="16">
        <v>0.38979999999999998</v>
      </c>
      <c r="G669" s="16" t="s">
        <v>392</v>
      </c>
      <c r="H669" s="16" t="s">
        <v>393</v>
      </c>
      <c r="I669" s="16" t="s">
        <v>273</v>
      </c>
    </row>
    <row r="670" spans="1:9" x14ac:dyDescent="0.35">
      <c r="A670" s="16" t="s">
        <v>717</v>
      </c>
      <c r="B670" s="17" t="s">
        <v>716</v>
      </c>
      <c r="C670" s="17"/>
      <c r="D670" s="16"/>
      <c r="E670" s="16"/>
      <c r="F670" s="16"/>
      <c r="G670" s="16"/>
      <c r="H670" s="16"/>
      <c r="I670" s="16" t="s">
        <v>633</v>
      </c>
    </row>
    <row r="671" spans="1:9" x14ac:dyDescent="0.35">
      <c r="A671" s="16" t="s">
        <v>2486</v>
      </c>
      <c r="B671" s="17"/>
      <c r="C671" s="17"/>
      <c r="D671" s="16"/>
      <c r="E671" s="16"/>
      <c r="F671" s="16"/>
      <c r="G671" s="16"/>
      <c r="H671" s="16"/>
      <c r="I671" s="16" t="s">
        <v>698</v>
      </c>
    </row>
    <row r="672" spans="1:9" x14ac:dyDescent="0.35">
      <c r="A672" s="16" t="s">
        <v>2487</v>
      </c>
      <c r="B672" s="17" t="s">
        <v>2488</v>
      </c>
      <c r="C672" s="17" t="s">
        <v>2489</v>
      </c>
      <c r="D672" s="16" t="s">
        <v>273</v>
      </c>
      <c r="E672" s="16" t="s">
        <v>2490</v>
      </c>
      <c r="F672" s="16">
        <v>0.34539999999999998</v>
      </c>
      <c r="G672" s="16" t="s">
        <v>2491</v>
      </c>
      <c r="H672" s="16" t="s">
        <v>2492</v>
      </c>
      <c r="I672" s="16" t="s">
        <v>273</v>
      </c>
    </row>
    <row r="673" spans="1:9" x14ac:dyDescent="0.35">
      <c r="A673" s="16" t="s">
        <v>2493</v>
      </c>
      <c r="B673" s="17" t="s">
        <v>2494</v>
      </c>
      <c r="C673" s="17" t="s">
        <v>2495</v>
      </c>
      <c r="D673" s="16" t="s">
        <v>5</v>
      </c>
      <c r="E673" s="16" t="s">
        <v>49</v>
      </c>
      <c r="F673" s="16">
        <v>0.8</v>
      </c>
      <c r="G673" s="16"/>
      <c r="H673" s="16"/>
      <c r="I673" s="16" t="s">
        <v>5</v>
      </c>
    </row>
    <row r="674" spans="1:9" x14ac:dyDescent="0.35">
      <c r="A674" s="16" t="s">
        <v>2496</v>
      </c>
      <c r="B674" s="17"/>
      <c r="C674" s="17"/>
      <c r="D674" s="16"/>
      <c r="E674" s="16"/>
      <c r="F674" s="16"/>
      <c r="G674" s="16"/>
      <c r="H674" s="16"/>
      <c r="I674" s="16" t="s">
        <v>698</v>
      </c>
    </row>
    <row r="675" spans="1:9" x14ac:dyDescent="0.35">
      <c r="A675" s="16" t="s">
        <v>2497</v>
      </c>
      <c r="B675" s="17" t="s">
        <v>716</v>
      </c>
      <c r="C675" s="17"/>
      <c r="D675" s="16"/>
      <c r="E675" s="16"/>
      <c r="F675" s="16"/>
      <c r="G675" s="16"/>
      <c r="H675" s="16"/>
      <c r="I675" s="16" t="s">
        <v>633</v>
      </c>
    </row>
    <row r="676" spans="1:9" x14ac:dyDescent="0.35">
      <c r="A676" s="16" t="s">
        <v>2498</v>
      </c>
      <c r="B676" s="17"/>
      <c r="C676" s="17"/>
      <c r="D676" s="16"/>
      <c r="E676" s="16"/>
      <c r="F676" s="16"/>
      <c r="G676" s="16"/>
      <c r="H676" s="16"/>
      <c r="I676" s="16" t="s">
        <v>698</v>
      </c>
    </row>
    <row r="677" spans="1:9" ht="42" x14ac:dyDescent="0.35">
      <c r="A677" s="16" t="s">
        <v>2499</v>
      </c>
      <c r="B677" s="17" t="s">
        <v>2500</v>
      </c>
      <c r="C677" s="17" t="s">
        <v>2501</v>
      </c>
      <c r="D677" s="16" t="s">
        <v>5</v>
      </c>
      <c r="E677" s="16" t="s">
        <v>152</v>
      </c>
      <c r="F677" s="16">
        <v>0.8</v>
      </c>
      <c r="G677" s="16"/>
      <c r="H677" s="16"/>
      <c r="I677" s="16" t="s">
        <v>5</v>
      </c>
    </row>
    <row r="678" spans="1:9" x14ac:dyDescent="0.35">
      <c r="A678" s="16" t="s">
        <v>2502</v>
      </c>
      <c r="B678" s="17" t="s">
        <v>2503</v>
      </c>
      <c r="C678" s="17" t="s">
        <v>2504</v>
      </c>
      <c r="D678" s="16" t="s">
        <v>273</v>
      </c>
      <c r="E678" s="16" t="s">
        <v>2505</v>
      </c>
      <c r="F678" s="16">
        <v>0.27650000000000002</v>
      </c>
      <c r="G678" s="16" t="s">
        <v>2506</v>
      </c>
      <c r="H678" s="16" t="s">
        <v>2507</v>
      </c>
      <c r="I678" s="16" t="s">
        <v>273</v>
      </c>
    </row>
    <row r="679" spans="1:9" x14ac:dyDescent="0.35">
      <c r="A679" s="16" t="s">
        <v>523</v>
      </c>
      <c r="B679" s="17" t="s">
        <v>518</v>
      </c>
      <c r="C679" s="17" t="s">
        <v>517</v>
      </c>
      <c r="D679" s="16" t="s">
        <v>273</v>
      </c>
      <c r="E679" s="16" t="s">
        <v>520</v>
      </c>
      <c r="F679" s="16">
        <v>0.46700000000000003</v>
      </c>
      <c r="G679" s="16" t="s">
        <v>521</v>
      </c>
      <c r="H679" s="16" t="s">
        <v>522</v>
      </c>
      <c r="I679" s="16" t="s">
        <v>273</v>
      </c>
    </row>
    <row r="680" spans="1:9" x14ac:dyDescent="0.35">
      <c r="A680" s="16" t="s">
        <v>2508</v>
      </c>
      <c r="B680" s="17" t="s">
        <v>2509</v>
      </c>
      <c r="C680" s="17" t="s">
        <v>2510</v>
      </c>
      <c r="D680" s="16" t="s">
        <v>5</v>
      </c>
      <c r="E680" s="16" t="s">
        <v>67</v>
      </c>
      <c r="F680" s="16">
        <v>0.8</v>
      </c>
      <c r="G680" s="16"/>
      <c r="H680" s="16"/>
      <c r="I680" s="16" t="s">
        <v>5</v>
      </c>
    </row>
    <row r="681" spans="1:9" x14ac:dyDescent="0.35">
      <c r="A681" s="16" t="s">
        <v>2511</v>
      </c>
      <c r="B681" s="17" t="s">
        <v>2512</v>
      </c>
      <c r="C681" s="17" t="s">
        <v>67</v>
      </c>
      <c r="D681" s="16" t="s">
        <v>22</v>
      </c>
      <c r="E681" s="16" t="s">
        <v>67</v>
      </c>
      <c r="F681" s="16">
        <v>1</v>
      </c>
      <c r="G681" s="16"/>
      <c r="H681" s="16"/>
      <c r="I681" s="16" t="s">
        <v>22</v>
      </c>
    </row>
    <row r="682" spans="1:9" x14ac:dyDescent="0.35">
      <c r="A682" s="16" t="s">
        <v>2513</v>
      </c>
      <c r="B682" s="17"/>
      <c r="C682" s="17"/>
      <c r="D682" s="16"/>
      <c r="E682" s="16"/>
      <c r="F682" s="16"/>
      <c r="G682" s="16"/>
      <c r="H682" s="16"/>
      <c r="I682" s="16" t="s">
        <v>698</v>
      </c>
    </row>
    <row r="683" spans="1:9" ht="28" x14ac:dyDescent="0.35">
      <c r="A683" s="16" t="s">
        <v>2514</v>
      </c>
      <c r="B683" s="17" t="s">
        <v>2515</v>
      </c>
      <c r="C683" s="17" t="s">
        <v>2515</v>
      </c>
      <c r="D683" s="16" t="s">
        <v>5</v>
      </c>
      <c r="E683" s="16" t="s">
        <v>1858</v>
      </c>
      <c r="F683" s="16">
        <v>0.8</v>
      </c>
      <c r="G683" s="16"/>
      <c r="H683" s="16"/>
      <c r="I683" s="16" t="s">
        <v>5</v>
      </c>
    </row>
    <row r="684" spans="1:9" x14ac:dyDescent="0.35">
      <c r="A684" s="16" t="s">
        <v>2516</v>
      </c>
      <c r="B684" s="17" t="s">
        <v>2517</v>
      </c>
      <c r="C684" s="17"/>
      <c r="D684" s="16"/>
      <c r="E684" s="16"/>
      <c r="F684" s="16"/>
      <c r="G684" s="16"/>
      <c r="H684" s="16"/>
      <c r="I684" s="16" t="s">
        <v>633</v>
      </c>
    </row>
    <row r="685" spans="1:9" x14ac:dyDescent="0.35">
      <c r="A685" s="16" t="s">
        <v>2518</v>
      </c>
      <c r="B685" s="17" t="s">
        <v>2519</v>
      </c>
      <c r="C685" s="17" t="s">
        <v>642</v>
      </c>
      <c r="D685" s="16"/>
      <c r="E685" s="16"/>
      <c r="F685" s="16"/>
      <c r="G685" s="16"/>
      <c r="H685" s="16"/>
      <c r="I685" s="16" t="s">
        <v>633</v>
      </c>
    </row>
    <row r="686" spans="1:9" ht="28" x14ac:dyDescent="0.35">
      <c r="A686" s="16" t="s">
        <v>2520</v>
      </c>
      <c r="B686" s="17" t="s">
        <v>2521</v>
      </c>
      <c r="C686" s="17" t="s">
        <v>2521</v>
      </c>
      <c r="D686" s="16" t="s">
        <v>273</v>
      </c>
      <c r="E686" s="16" t="s">
        <v>2522</v>
      </c>
      <c r="F686" s="16">
        <v>0.22509999999999999</v>
      </c>
      <c r="G686" s="16"/>
      <c r="H686" s="16"/>
      <c r="I686" s="16" t="s">
        <v>273</v>
      </c>
    </row>
    <row r="687" spans="1:9" ht="70" x14ac:dyDescent="0.35">
      <c r="A687" s="16" t="s">
        <v>2523</v>
      </c>
      <c r="B687" s="17" t="s">
        <v>2524</v>
      </c>
      <c r="C687" s="17" t="s">
        <v>2525</v>
      </c>
      <c r="D687" s="16" t="s">
        <v>273</v>
      </c>
      <c r="E687" s="16" t="s">
        <v>1160</v>
      </c>
      <c r="F687" s="16">
        <v>0.20180000000000001</v>
      </c>
      <c r="G687" s="16"/>
      <c r="H687" s="16"/>
      <c r="I687" s="16" t="s">
        <v>273</v>
      </c>
    </row>
    <row r="688" spans="1:9" x14ac:dyDescent="0.35">
      <c r="A688" s="16" t="s">
        <v>2526</v>
      </c>
      <c r="B688" s="17" t="s">
        <v>2509</v>
      </c>
      <c r="C688" s="17" t="s">
        <v>2510</v>
      </c>
      <c r="D688" s="16" t="s">
        <v>5</v>
      </c>
      <c r="E688" s="16" t="s">
        <v>67</v>
      </c>
      <c r="F688" s="16">
        <v>0.8</v>
      </c>
      <c r="G688" s="16"/>
      <c r="H688" s="16"/>
      <c r="I688" s="16" t="s">
        <v>5</v>
      </c>
    </row>
    <row r="689" spans="1:9" x14ac:dyDescent="0.35">
      <c r="A689" s="16" t="s">
        <v>2527</v>
      </c>
      <c r="B689" s="17" t="s">
        <v>2528</v>
      </c>
      <c r="C689" s="17" t="s">
        <v>2529</v>
      </c>
      <c r="D689" s="16" t="s">
        <v>273</v>
      </c>
      <c r="E689" s="16" t="s">
        <v>2530</v>
      </c>
      <c r="F689" s="16">
        <v>0.43580000000000002</v>
      </c>
      <c r="G689" s="16" t="s">
        <v>2309</v>
      </c>
      <c r="H689" s="16" t="s">
        <v>889</v>
      </c>
      <c r="I689" s="16" t="s">
        <v>273</v>
      </c>
    </row>
    <row r="690" spans="1:9" x14ac:dyDescent="0.35">
      <c r="A690" s="16" t="s">
        <v>2531</v>
      </c>
      <c r="B690" s="17" t="s">
        <v>1727</v>
      </c>
      <c r="C690" s="17" t="s">
        <v>1727</v>
      </c>
      <c r="D690" s="16" t="s">
        <v>273</v>
      </c>
      <c r="E690" s="16" t="s">
        <v>1728</v>
      </c>
      <c r="F690" s="16">
        <v>0.37809999999999999</v>
      </c>
      <c r="G690" s="16" t="s">
        <v>1729</v>
      </c>
      <c r="H690" s="16" t="s">
        <v>1730</v>
      </c>
      <c r="I690" s="16" t="s">
        <v>273</v>
      </c>
    </row>
    <row r="691" spans="1:9" x14ac:dyDescent="0.35">
      <c r="A691" s="16" t="s">
        <v>2532</v>
      </c>
      <c r="B691" s="17" t="s">
        <v>2533</v>
      </c>
      <c r="C691" s="17" t="s">
        <v>1727</v>
      </c>
      <c r="D691" s="16" t="s">
        <v>273</v>
      </c>
      <c r="E691" s="16" t="s">
        <v>1728</v>
      </c>
      <c r="F691" s="16">
        <v>0.37809999999999999</v>
      </c>
      <c r="G691" s="16" t="s">
        <v>1729</v>
      </c>
      <c r="H691" s="16" t="s">
        <v>1730</v>
      </c>
      <c r="I691" s="16" t="s">
        <v>273</v>
      </c>
    </row>
    <row r="692" spans="1:9" x14ac:dyDescent="0.35">
      <c r="A692" s="16" t="s">
        <v>2534</v>
      </c>
      <c r="B692" s="17" t="s">
        <v>2503</v>
      </c>
      <c r="C692" s="17" t="s">
        <v>2504</v>
      </c>
      <c r="D692" s="16" t="s">
        <v>273</v>
      </c>
      <c r="E692" s="16" t="s">
        <v>2505</v>
      </c>
      <c r="F692" s="16">
        <v>0.27650000000000002</v>
      </c>
      <c r="G692" s="16" t="s">
        <v>2506</v>
      </c>
      <c r="H692" s="16" t="s">
        <v>2507</v>
      </c>
      <c r="I692" s="16" t="s">
        <v>273</v>
      </c>
    </row>
    <row r="693" spans="1:9" x14ac:dyDescent="0.35">
      <c r="A693" s="16" t="s">
        <v>2535</v>
      </c>
      <c r="B693" s="17" t="s">
        <v>2255</v>
      </c>
      <c r="C693" s="17" t="s">
        <v>2255</v>
      </c>
      <c r="D693" s="16" t="s">
        <v>273</v>
      </c>
      <c r="E693" s="16" t="s">
        <v>378</v>
      </c>
      <c r="F693" s="16">
        <v>0.27429999999999999</v>
      </c>
      <c r="G693" s="16" t="s">
        <v>2256</v>
      </c>
      <c r="H693" s="16" t="s">
        <v>2257</v>
      </c>
      <c r="I693" s="16" t="s">
        <v>273</v>
      </c>
    </row>
    <row r="694" spans="1:9" x14ac:dyDescent="0.35">
      <c r="A694" s="16" t="s">
        <v>2536</v>
      </c>
      <c r="B694" s="17" t="s">
        <v>2537</v>
      </c>
      <c r="C694" s="17" t="s">
        <v>2537</v>
      </c>
      <c r="D694" s="16" t="s">
        <v>273</v>
      </c>
      <c r="E694" s="16" t="s">
        <v>837</v>
      </c>
      <c r="F694" s="16">
        <v>0.27710000000000001</v>
      </c>
      <c r="G694" s="16" t="s">
        <v>2538</v>
      </c>
      <c r="H694" s="16" t="s">
        <v>867</v>
      </c>
      <c r="I694" s="16" t="s">
        <v>273</v>
      </c>
    </row>
    <row r="695" spans="1:9" x14ac:dyDescent="0.35">
      <c r="A695" s="16" t="s">
        <v>2539</v>
      </c>
      <c r="B695" s="17" t="s">
        <v>2540</v>
      </c>
      <c r="C695" s="17" t="s">
        <v>2541</v>
      </c>
      <c r="D695" s="16" t="s">
        <v>5</v>
      </c>
      <c r="E695" s="16" t="s">
        <v>2542</v>
      </c>
      <c r="F695" s="16">
        <v>0.8</v>
      </c>
      <c r="G695" s="16"/>
      <c r="H695" s="16"/>
      <c r="I695" s="16" t="s">
        <v>5</v>
      </c>
    </row>
    <row r="696" spans="1:9" x14ac:dyDescent="0.35">
      <c r="A696" s="16" t="s">
        <v>2543</v>
      </c>
      <c r="B696" s="17" t="s">
        <v>2544</v>
      </c>
      <c r="C696" s="17" t="s">
        <v>1739</v>
      </c>
      <c r="D696" s="16" t="s">
        <v>273</v>
      </c>
      <c r="E696" s="16" t="s">
        <v>1680</v>
      </c>
      <c r="F696" s="16">
        <v>0.2762</v>
      </c>
      <c r="G696" s="16" t="s">
        <v>1740</v>
      </c>
      <c r="H696" s="16" t="s">
        <v>1741</v>
      </c>
      <c r="I696" s="16" t="s">
        <v>273</v>
      </c>
    </row>
    <row r="697" spans="1:9" x14ac:dyDescent="0.35">
      <c r="A697" s="16" t="s">
        <v>2545</v>
      </c>
      <c r="B697" s="17" t="s">
        <v>2544</v>
      </c>
      <c r="C697" s="17" t="s">
        <v>1739</v>
      </c>
      <c r="D697" s="16" t="s">
        <v>273</v>
      </c>
      <c r="E697" s="16" t="s">
        <v>1680</v>
      </c>
      <c r="F697" s="16">
        <v>0.2762</v>
      </c>
      <c r="G697" s="16" t="s">
        <v>1740</v>
      </c>
      <c r="H697" s="16" t="s">
        <v>1741</v>
      </c>
      <c r="I697" s="16" t="s">
        <v>273</v>
      </c>
    </row>
    <row r="698" spans="1:9" x14ac:dyDescent="0.35">
      <c r="A698" s="16" t="s">
        <v>2546</v>
      </c>
      <c r="B698" s="17"/>
      <c r="C698" s="17"/>
      <c r="D698" s="16"/>
      <c r="E698" s="16"/>
      <c r="F698" s="16"/>
      <c r="G698" s="16"/>
      <c r="H698" s="16"/>
      <c r="I698" s="16" t="s">
        <v>698</v>
      </c>
    </row>
    <row r="699" spans="1:9" x14ac:dyDescent="0.35">
      <c r="A699" s="16" t="s">
        <v>2547</v>
      </c>
      <c r="B699" s="17" t="s">
        <v>2503</v>
      </c>
      <c r="C699" s="17" t="s">
        <v>2504</v>
      </c>
      <c r="D699" s="16" t="s">
        <v>273</v>
      </c>
      <c r="E699" s="16" t="s">
        <v>2505</v>
      </c>
      <c r="F699" s="16">
        <v>0.27650000000000002</v>
      </c>
      <c r="G699" s="16" t="s">
        <v>2506</v>
      </c>
      <c r="H699" s="16" t="s">
        <v>2507</v>
      </c>
      <c r="I699" s="16" t="s">
        <v>273</v>
      </c>
    </row>
    <row r="700" spans="1:9" x14ac:dyDescent="0.35">
      <c r="A700" s="16" t="s">
        <v>2548</v>
      </c>
      <c r="B700" s="17" t="s">
        <v>2549</v>
      </c>
      <c r="C700" s="17" t="s">
        <v>2550</v>
      </c>
      <c r="D700" s="16"/>
      <c r="E700" s="16"/>
      <c r="F700" s="16"/>
      <c r="G700" s="16"/>
      <c r="H700" s="16"/>
      <c r="I700" s="16" t="s">
        <v>633</v>
      </c>
    </row>
    <row r="701" spans="1:9" ht="28" x14ac:dyDescent="0.35">
      <c r="A701" s="16" t="s">
        <v>2551</v>
      </c>
      <c r="B701" s="17" t="s">
        <v>2552</v>
      </c>
      <c r="C701" s="17" t="s">
        <v>2553</v>
      </c>
      <c r="D701" s="16"/>
      <c r="E701" s="16"/>
      <c r="F701" s="16"/>
      <c r="G701" s="16"/>
      <c r="H701" s="16"/>
      <c r="I701" s="16" t="s">
        <v>633</v>
      </c>
    </row>
    <row r="702" spans="1:9" x14ac:dyDescent="0.35">
      <c r="A702" s="16" t="s">
        <v>2554</v>
      </c>
      <c r="B702" s="17" t="s">
        <v>2555</v>
      </c>
      <c r="C702" s="17" t="s">
        <v>2555</v>
      </c>
      <c r="D702" s="16" t="s">
        <v>273</v>
      </c>
      <c r="E702" s="16" t="s">
        <v>1847</v>
      </c>
      <c r="F702" s="16">
        <v>0.35539999999999999</v>
      </c>
      <c r="G702" s="16"/>
      <c r="H702" s="16"/>
      <c r="I702" s="16" t="s">
        <v>273</v>
      </c>
    </row>
    <row r="703" spans="1:9" x14ac:dyDescent="0.35">
      <c r="A703" s="16" t="s">
        <v>2556</v>
      </c>
      <c r="B703" s="17" t="s">
        <v>2557</v>
      </c>
      <c r="C703" s="17" t="s">
        <v>2558</v>
      </c>
      <c r="D703" s="16" t="s">
        <v>273</v>
      </c>
      <c r="E703" s="16" t="s">
        <v>2458</v>
      </c>
      <c r="F703" s="16">
        <v>0.23880000000000001</v>
      </c>
      <c r="G703" s="16" t="s">
        <v>1417</v>
      </c>
      <c r="H703" s="16" t="s">
        <v>2559</v>
      </c>
      <c r="I703" s="16" t="s">
        <v>273</v>
      </c>
    </row>
    <row r="704" spans="1:9" ht="28" x14ac:dyDescent="0.35">
      <c r="A704" s="16" t="s">
        <v>2560</v>
      </c>
      <c r="B704" s="17" t="s">
        <v>2561</v>
      </c>
      <c r="C704" s="17" t="s">
        <v>2562</v>
      </c>
      <c r="D704" s="16"/>
      <c r="E704" s="16"/>
      <c r="F704" s="16"/>
      <c r="G704" s="16"/>
      <c r="H704" s="16"/>
      <c r="I704" s="16" t="s">
        <v>633</v>
      </c>
    </row>
    <row r="705" spans="1:9" x14ac:dyDescent="0.35">
      <c r="A705" s="16" t="s">
        <v>2563</v>
      </c>
      <c r="B705" s="17" t="s">
        <v>820</v>
      </c>
      <c r="C705" s="17" t="s">
        <v>820</v>
      </c>
      <c r="D705" s="16" t="s">
        <v>273</v>
      </c>
      <c r="E705" s="16" t="s">
        <v>821</v>
      </c>
      <c r="F705" s="16">
        <v>0.2049</v>
      </c>
      <c r="G705" s="16"/>
      <c r="H705" s="16"/>
      <c r="I705" s="16" t="s">
        <v>273</v>
      </c>
    </row>
    <row r="706" spans="1:9" x14ac:dyDescent="0.35">
      <c r="A706" s="16" t="s">
        <v>2564</v>
      </c>
      <c r="B706" s="17" t="s">
        <v>2565</v>
      </c>
      <c r="C706" s="17" t="s">
        <v>2565</v>
      </c>
      <c r="D706" s="16" t="s">
        <v>273</v>
      </c>
      <c r="E706" s="16" t="s">
        <v>2566</v>
      </c>
      <c r="F706" s="16">
        <v>0.34589999999999999</v>
      </c>
      <c r="G706" s="16" t="s">
        <v>2567</v>
      </c>
      <c r="H706" s="16" t="s">
        <v>2568</v>
      </c>
      <c r="I706" s="16" t="s">
        <v>273</v>
      </c>
    </row>
    <row r="707" spans="1:9" ht="126" x14ac:dyDescent="0.35">
      <c r="A707" s="16" t="s">
        <v>2569</v>
      </c>
      <c r="B707" s="17" t="s">
        <v>2570</v>
      </c>
      <c r="C707" s="17" t="s">
        <v>2571</v>
      </c>
      <c r="D707" s="16"/>
      <c r="E707" s="16"/>
      <c r="F707" s="16"/>
      <c r="G707" s="16"/>
      <c r="H707" s="16"/>
      <c r="I707" s="16" t="s">
        <v>633</v>
      </c>
    </row>
    <row r="708" spans="1:9" x14ac:dyDescent="0.35">
      <c r="A708" s="16" t="s">
        <v>2572</v>
      </c>
      <c r="B708" s="17" t="s">
        <v>2573</v>
      </c>
      <c r="C708" s="17" t="s">
        <v>2573</v>
      </c>
      <c r="D708" s="16"/>
      <c r="E708" s="16"/>
      <c r="F708" s="16"/>
      <c r="G708" s="16"/>
      <c r="H708" s="16"/>
      <c r="I708" s="16" t="s">
        <v>633</v>
      </c>
    </row>
    <row r="709" spans="1:9" ht="28" x14ac:dyDescent="0.35">
      <c r="A709" s="16" t="s">
        <v>2574</v>
      </c>
      <c r="B709" s="17" t="s">
        <v>2575</v>
      </c>
      <c r="C709" s="17" t="s">
        <v>2576</v>
      </c>
      <c r="D709" s="16" t="s">
        <v>5</v>
      </c>
      <c r="E709" s="16" t="s">
        <v>49</v>
      </c>
      <c r="F709" s="16">
        <v>0.8</v>
      </c>
      <c r="G709" s="16"/>
      <c r="H709" s="16"/>
      <c r="I709" s="16" t="s">
        <v>5</v>
      </c>
    </row>
    <row r="710" spans="1:9" ht="56" x14ac:dyDescent="0.35">
      <c r="A710" s="16" t="s">
        <v>2577</v>
      </c>
      <c r="B710" s="17" t="s">
        <v>2578</v>
      </c>
      <c r="C710" s="17" t="s">
        <v>2579</v>
      </c>
      <c r="D710" s="16" t="s">
        <v>273</v>
      </c>
      <c r="E710" s="16" t="s">
        <v>2580</v>
      </c>
      <c r="F710" s="16">
        <v>0.45029999999999998</v>
      </c>
      <c r="G710" s="16" t="s">
        <v>48</v>
      </c>
      <c r="H710" s="16" t="s">
        <v>2581</v>
      </c>
      <c r="I710" s="16" t="s">
        <v>273</v>
      </c>
    </row>
    <row r="711" spans="1:9" ht="28" x14ac:dyDescent="0.35">
      <c r="A711" s="16" t="s">
        <v>2582</v>
      </c>
      <c r="B711" s="17" t="s">
        <v>2583</v>
      </c>
      <c r="C711" s="17" t="s">
        <v>2584</v>
      </c>
      <c r="D711" s="16" t="s">
        <v>273</v>
      </c>
      <c r="E711" s="16" t="s">
        <v>2580</v>
      </c>
      <c r="F711" s="16">
        <v>0.42880000000000001</v>
      </c>
      <c r="G711" s="16" t="s">
        <v>2585</v>
      </c>
      <c r="H711" s="16" t="s">
        <v>2586</v>
      </c>
      <c r="I711" s="16" t="s">
        <v>273</v>
      </c>
    </row>
    <row r="712" spans="1:9" x14ac:dyDescent="0.35">
      <c r="A712" s="16" t="s">
        <v>705</v>
      </c>
      <c r="B712" s="17"/>
      <c r="C712" s="17"/>
      <c r="D712" s="16"/>
      <c r="E712" s="16"/>
      <c r="F712" s="16"/>
      <c r="G712" s="16"/>
      <c r="H712" s="16"/>
      <c r="I712" s="16" t="s">
        <v>698</v>
      </c>
    </row>
    <row r="713" spans="1:9" ht="28" x14ac:dyDescent="0.35">
      <c r="A713" s="16" t="s">
        <v>2587</v>
      </c>
      <c r="B713" s="17" t="s">
        <v>2588</v>
      </c>
      <c r="C713" s="17" t="s">
        <v>2589</v>
      </c>
      <c r="D713" s="16" t="s">
        <v>273</v>
      </c>
      <c r="E713" s="16" t="s">
        <v>2590</v>
      </c>
      <c r="F713" s="16">
        <v>0.25259999999999999</v>
      </c>
      <c r="G713" s="16" t="s">
        <v>825</v>
      </c>
      <c r="H713" s="16"/>
      <c r="I713" s="16" t="s">
        <v>273</v>
      </c>
    </row>
    <row r="714" spans="1:9" ht="28" x14ac:dyDescent="0.35">
      <c r="A714" s="16" t="s">
        <v>2591</v>
      </c>
      <c r="B714" s="17" t="s">
        <v>2592</v>
      </c>
      <c r="C714" s="17" t="s">
        <v>2593</v>
      </c>
      <c r="D714" s="16" t="s">
        <v>5</v>
      </c>
      <c r="E714" s="16" t="s">
        <v>1447</v>
      </c>
      <c r="F714" s="16">
        <v>0.8</v>
      </c>
      <c r="G714" s="16"/>
      <c r="H714" s="16"/>
      <c r="I714" s="16" t="s">
        <v>5</v>
      </c>
    </row>
    <row r="715" spans="1:9" x14ac:dyDescent="0.35">
      <c r="A715" s="16" t="s">
        <v>711</v>
      </c>
      <c r="B715" s="17" t="s">
        <v>710</v>
      </c>
      <c r="C715" s="17"/>
      <c r="D715" s="16"/>
      <c r="E715" s="16"/>
      <c r="F715" s="16"/>
      <c r="G715" s="16"/>
      <c r="H715" s="16"/>
      <c r="I715" s="16" t="s">
        <v>633</v>
      </c>
    </row>
    <row r="716" spans="1:9" x14ac:dyDescent="0.35">
      <c r="A716" s="16" t="s">
        <v>101</v>
      </c>
      <c r="B716" s="17" t="s">
        <v>98</v>
      </c>
      <c r="C716" s="17" t="s">
        <v>97</v>
      </c>
      <c r="D716" s="16" t="s">
        <v>22</v>
      </c>
      <c r="E716" s="16" t="s">
        <v>100</v>
      </c>
      <c r="F716" s="16">
        <v>1</v>
      </c>
      <c r="G716" s="16"/>
      <c r="H716" s="16"/>
      <c r="I716" s="16" t="s">
        <v>22</v>
      </c>
    </row>
    <row r="717" spans="1:9" x14ac:dyDescent="0.35">
      <c r="A717" s="16" t="s">
        <v>2594</v>
      </c>
      <c r="B717" s="17" t="s">
        <v>2394</v>
      </c>
      <c r="C717" s="17" t="s">
        <v>1226</v>
      </c>
      <c r="D717" s="16" t="s">
        <v>273</v>
      </c>
      <c r="E717" s="16" t="s">
        <v>522</v>
      </c>
      <c r="F717" s="16">
        <v>0.35449999999999998</v>
      </c>
      <c r="G717" s="16" t="s">
        <v>1227</v>
      </c>
      <c r="H717" s="16" t="s">
        <v>1228</v>
      </c>
      <c r="I717" s="16" t="s">
        <v>273</v>
      </c>
    </row>
    <row r="718" spans="1:9" x14ac:dyDescent="0.35">
      <c r="A718" s="16" t="s">
        <v>2595</v>
      </c>
      <c r="B718" s="17"/>
      <c r="C718" s="17"/>
      <c r="D718" s="16"/>
      <c r="E718" s="16"/>
      <c r="F718" s="16"/>
      <c r="G718" s="16"/>
      <c r="H718" s="16"/>
      <c r="I718" s="16" t="s">
        <v>698</v>
      </c>
    </row>
    <row r="719" spans="1:9" ht="42" x14ac:dyDescent="0.35">
      <c r="A719" s="16" t="s">
        <v>627</v>
      </c>
      <c r="B719" s="17" t="s">
        <v>625</v>
      </c>
      <c r="C719" s="17" t="s">
        <v>2596</v>
      </c>
      <c r="D719" s="16" t="s">
        <v>273</v>
      </c>
      <c r="E719" s="16" t="s">
        <v>2597</v>
      </c>
      <c r="F719" s="16">
        <v>0.40789999999999998</v>
      </c>
      <c r="G719" s="16" t="s">
        <v>2598</v>
      </c>
      <c r="H719" s="16" t="s">
        <v>2599</v>
      </c>
      <c r="I719" s="16" t="s">
        <v>273</v>
      </c>
    </row>
    <row r="720" spans="1:9" ht="28" x14ac:dyDescent="0.35">
      <c r="A720" s="16" t="s">
        <v>2600</v>
      </c>
      <c r="B720" s="17" t="s">
        <v>2601</v>
      </c>
      <c r="C720" s="17" t="s">
        <v>2602</v>
      </c>
      <c r="D720" s="16" t="s">
        <v>5</v>
      </c>
      <c r="E720" s="16" t="s">
        <v>100</v>
      </c>
      <c r="F720" s="16">
        <v>0.8</v>
      </c>
      <c r="G720" s="16"/>
      <c r="H720" s="16"/>
      <c r="I720" s="16" t="s">
        <v>5</v>
      </c>
    </row>
    <row r="721" spans="1:9" x14ac:dyDescent="0.35">
      <c r="A721" s="16" t="s">
        <v>2603</v>
      </c>
      <c r="B721" s="17" t="s">
        <v>2604</v>
      </c>
      <c r="C721" s="17" t="s">
        <v>2605</v>
      </c>
      <c r="D721" s="16"/>
      <c r="E721" s="16"/>
      <c r="F721" s="16"/>
      <c r="G721" s="16"/>
      <c r="H721" s="16"/>
      <c r="I721" s="16" t="s">
        <v>633</v>
      </c>
    </row>
    <row r="722" spans="1:9" x14ac:dyDescent="0.35">
      <c r="A722" s="16" t="s">
        <v>2606</v>
      </c>
      <c r="B722" s="17" t="s">
        <v>2607</v>
      </c>
      <c r="C722" s="17" t="s">
        <v>2607</v>
      </c>
      <c r="D722" s="16" t="s">
        <v>5</v>
      </c>
      <c r="E722" s="16" t="s">
        <v>110</v>
      </c>
      <c r="F722" s="16">
        <v>0.8</v>
      </c>
      <c r="G722" s="16"/>
      <c r="H722" s="16"/>
      <c r="I722" s="16" t="s">
        <v>5</v>
      </c>
    </row>
    <row r="723" spans="1:9" x14ac:dyDescent="0.35">
      <c r="A723" s="16" t="s">
        <v>2608</v>
      </c>
      <c r="B723" s="17" t="s">
        <v>2607</v>
      </c>
      <c r="C723" s="17" t="s">
        <v>2607</v>
      </c>
      <c r="D723" s="16" t="s">
        <v>5</v>
      </c>
      <c r="E723" s="16" t="s">
        <v>110</v>
      </c>
      <c r="F723" s="16">
        <v>0.8</v>
      </c>
      <c r="G723" s="16"/>
      <c r="H723" s="16"/>
      <c r="I723" s="16" t="s">
        <v>5</v>
      </c>
    </row>
    <row r="724" spans="1:9" x14ac:dyDescent="0.35">
      <c r="A724" s="16" t="s">
        <v>2609</v>
      </c>
      <c r="B724" s="17" t="s">
        <v>2607</v>
      </c>
      <c r="C724" s="17" t="s">
        <v>2607</v>
      </c>
      <c r="D724" s="16" t="s">
        <v>5</v>
      </c>
      <c r="E724" s="16" t="s">
        <v>110</v>
      </c>
      <c r="F724" s="16">
        <v>0.8</v>
      </c>
      <c r="G724" s="16"/>
      <c r="H724" s="16"/>
      <c r="I724" s="16" t="s">
        <v>5</v>
      </c>
    </row>
    <row r="725" spans="1:9" x14ac:dyDescent="0.35">
      <c r="A725" s="16" t="s">
        <v>2610</v>
      </c>
      <c r="B725" s="17" t="s">
        <v>2611</v>
      </c>
      <c r="C725" s="17" t="s">
        <v>28</v>
      </c>
      <c r="D725" s="16" t="s">
        <v>273</v>
      </c>
      <c r="E725" s="16" t="s">
        <v>2612</v>
      </c>
      <c r="F725" s="16">
        <v>0.307</v>
      </c>
      <c r="G725" s="16" t="s">
        <v>1922</v>
      </c>
      <c r="H725" s="16" t="s">
        <v>110</v>
      </c>
      <c r="I725" s="16" t="s">
        <v>273</v>
      </c>
    </row>
    <row r="726" spans="1:9" ht="28" x14ac:dyDescent="0.35">
      <c r="A726" s="16" t="s">
        <v>2613</v>
      </c>
      <c r="B726" s="17" t="s">
        <v>2614</v>
      </c>
      <c r="C726" s="17" t="s">
        <v>2615</v>
      </c>
      <c r="D726" s="16" t="s">
        <v>273</v>
      </c>
      <c r="E726" s="16" t="s">
        <v>492</v>
      </c>
      <c r="F726" s="16">
        <v>0.32679999999999998</v>
      </c>
      <c r="G726" s="16" t="s">
        <v>493</v>
      </c>
      <c r="H726" s="16" t="s">
        <v>494</v>
      </c>
      <c r="I726" s="16" t="s">
        <v>273</v>
      </c>
    </row>
    <row r="727" spans="1:9" x14ac:dyDescent="0.35">
      <c r="A727" s="16" t="s">
        <v>2616</v>
      </c>
      <c r="B727" s="17" t="s">
        <v>716</v>
      </c>
      <c r="C727" s="17"/>
      <c r="D727" s="16"/>
      <c r="E727" s="16"/>
      <c r="F727" s="16"/>
      <c r="G727" s="16"/>
      <c r="H727" s="16"/>
      <c r="I727" s="16" t="s">
        <v>633</v>
      </c>
    </row>
    <row r="728" spans="1:9" x14ac:dyDescent="0.35">
      <c r="A728" s="16" t="s">
        <v>2617</v>
      </c>
      <c r="B728" s="17" t="s">
        <v>2618</v>
      </c>
      <c r="C728" s="17" t="s">
        <v>2618</v>
      </c>
      <c r="D728" s="16" t="s">
        <v>273</v>
      </c>
      <c r="E728" s="16" t="s">
        <v>130</v>
      </c>
      <c r="F728" s="16">
        <v>0.37119999999999997</v>
      </c>
      <c r="G728" s="16" t="s">
        <v>437</v>
      </c>
      <c r="H728" s="16" t="s">
        <v>377</v>
      </c>
      <c r="I728" s="16" t="s">
        <v>273</v>
      </c>
    </row>
    <row r="729" spans="1:9" x14ac:dyDescent="0.35">
      <c r="A729" s="16" t="s">
        <v>2619</v>
      </c>
      <c r="B729" s="17" t="s">
        <v>2607</v>
      </c>
      <c r="C729" s="17" t="s">
        <v>2607</v>
      </c>
      <c r="D729" s="16" t="s">
        <v>5</v>
      </c>
      <c r="E729" s="16" t="s">
        <v>110</v>
      </c>
      <c r="F729" s="16">
        <v>0.8</v>
      </c>
      <c r="G729" s="16"/>
      <c r="H729" s="16"/>
      <c r="I729" s="16" t="s">
        <v>5</v>
      </c>
    </row>
    <row r="730" spans="1:9" x14ac:dyDescent="0.35">
      <c r="A730" s="16" t="s">
        <v>2620</v>
      </c>
      <c r="B730" s="17" t="s">
        <v>2607</v>
      </c>
      <c r="C730" s="17" t="s">
        <v>2607</v>
      </c>
      <c r="D730" s="16" t="s">
        <v>5</v>
      </c>
      <c r="E730" s="16" t="s">
        <v>110</v>
      </c>
      <c r="F730" s="16">
        <v>0.8</v>
      </c>
      <c r="G730" s="16"/>
      <c r="H730" s="16"/>
      <c r="I730" s="16" t="s">
        <v>5</v>
      </c>
    </row>
    <row r="731" spans="1:9" x14ac:dyDescent="0.35">
      <c r="A731" s="16" t="s">
        <v>2621</v>
      </c>
      <c r="B731" s="17" t="s">
        <v>2607</v>
      </c>
      <c r="C731" s="17" t="s">
        <v>2607</v>
      </c>
      <c r="D731" s="16" t="s">
        <v>5</v>
      </c>
      <c r="E731" s="16" t="s">
        <v>110</v>
      </c>
      <c r="F731" s="16">
        <v>0.8</v>
      </c>
      <c r="G731" s="16"/>
      <c r="H731" s="16"/>
      <c r="I731" s="16" t="s">
        <v>5</v>
      </c>
    </row>
    <row r="732" spans="1:9" ht="42" x14ac:dyDescent="0.35">
      <c r="A732" s="16" t="s">
        <v>2622</v>
      </c>
      <c r="B732" s="17" t="s">
        <v>2623</v>
      </c>
      <c r="C732" s="17" t="s">
        <v>2624</v>
      </c>
      <c r="D732" s="16" t="s">
        <v>186</v>
      </c>
      <c r="E732" s="16" t="s">
        <v>230</v>
      </c>
      <c r="F732" s="16">
        <v>0.6</v>
      </c>
      <c r="G732" s="16"/>
      <c r="H732" s="16"/>
      <c r="I732" s="16" t="s">
        <v>186</v>
      </c>
    </row>
    <row r="733" spans="1:9" x14ac:dyDescent="0.35">
      <c r="A733" s="16" t="s">
        <v>507</v>
      </c>
      <c r="B733" s="17" t="s">
        <v>505</v>
      </c>
      <c r="C733" s="17" t="s">
        <v>504</v>
      </c>
      <c r="D733" s="16" t="s">
        <v>273</v>
      </c>
      <c r="E733" s="16" t="s">
        <v>115</v>
      </c>
      <c r="F733" s="16">
        <v>0.48149999999999998</v>
      </c>
      <c r="G733" s="16" t="s">
        <v>43</v>
      </c>
      <c r="H733" s="16" t="s">
        <v>506</v>
      </c>
      <c r="I733" s="16" t="s">
        <v>273</v>
      </c>
    </row>
    <row r="734" spans="1:9" x14ac:dyDescent="0.35">
      <c r="A734" s="16" t="s">
        <v>2625</v>
      </c>
      <c r="B734" s="17"/>
      <c r="C734" s="17"/>
      <c r="D734" s="16"/>
      <c r="E734" s="16"/>
      <c r="F734" s="16"/>
      <c r="G734" s="16"/>
      <c r="H734" s="16"/>
      <c r="I734" s="16" t="s">
        <v>698</v>
      </c>
    </row>
    <row r="735" spans="1:9" x14ac:dyDescent="0.35">
      <c r="A735" s="16" t="s">
        <v>2626</v>
      </c>
      <c r="B735" s="17" t="s">
        <v>2627</v>
      </c>
      <c r="C735" s="17" t="s">
        <v>2628</v>
      </c>
      <c r="D735" s="16" t="s">
        <v>273</v>
      </c>
      <c r="E735" s="16" t="s">
        <v>2629</v>
      </c>
      <c r="F735" s="16">
        <v>0.3392</v>
      </c>
      <c r="G735" s="16" t="s">
        <v>121</v>
      </c>
      <c r="H735" s="16"/>
      <c r="I735" s="16" t="s">
        <v>273</v>
      </c>
    </row>
    <row r="736" spans="1:9" x14ac:dyDescent="0.35">
      <c r="A736" s="16" t="s">
        <v>2630</v>
      </c>
      <c r="B736" s="17" t="s">
        <v>2631</v>
      </c>
      <c r="C736" s="17" t="s">
        <v>2632</v>
      </c>
      <c r="D736" s="16" t="s">
        <v>5</v>
      </c>
      <c r="E736" s="16" t="s">
        <v>2633</v>
      </c>
      <c r="F736" s="16">
        <v>0.8</v>
      </c>
      <c r="G736" s="16"/>
      <c r="H736" s="16"/>
      <c r="I736" s="16" t="s">
        <v>5</v>
      </c>
    </row>
    <row r="737" spans="1:9" x14ac:dyDescent="0.35">
      <c r="A737" s="16" t="s">
        <v>2634</v>
      </c>
      <c r="B737" s="17" t="s">
        <v>2635</v>
      </c>
      <c r="C737" s="17" t="s">
        <v>2607</v>
      </c>
      <c r="D737" s="16" t="s">
        <v>5</v>
      </c>
      <c r="E737" s="16" t="s">
        <v>110</v>
      </c>
      <c r="F737" s="16">
        <v>0.8</v>
      </c>
      <c r="G737" s="16"/>
      <c r="H737" s="16"/>
      <c r="I737" s="16" t="s">
        <v>5</v>
      </c>
    </row>
    <row r="738" spans="1:9" x14ac:dyDescent="0.35">
      <c r="A738" s="16" t="s">
        <v>2636</v>
      </c>
      <c r="B738" s="17" t="s">
        <v>2637</v>
      </c>
      <c r="C738" s="17" t="s">
        <v>2638</v>
      </c>
      <c r="D738" s="16" t="s">
        <v>273</v>
      </c>
      <c r="E738" s="16" t="s">
        <v>2639</v>
      </c>
      <c r="F738" s="16">
        <v>0.34429999999999999</v>
      </c>
      <c r="G738" s="16" t="s">
        <v>2640</v>
      </c>
      <c r="H738" s="16" t="s">
        <v>2641</v>
      </c>
      <c r="I738" s="16" t="s">
        <v>273</v>
      </c>
    </row>
    <row r="739" spans="1:9" x14ac:dyDescent="0.35">
      <c r="A739" s="16" t="s">
        <v>2642</v>
      </c>
      <c r="B739" s="17" t="s">
        <v>2406</v>
      </c>
      <c r="C739" s="17" t="s">
        <v>2406</v>
      </c>
      <c r="D739" s="16" t="s">
        <v>22</v>
      </c>
      <c r="E739" s="16" t="s">
        <v>110</v>
      </c>
      <c r="F739" s="16">
        <v>1</v>
      </c>
      <c r="G739" s="16"/>
      <c r="H739" s="16"/>
      <c r="I739" s="16" t="s">
        <v>22</v>
      </c>
    </row>
    <row r="740" spans="1:9" x14ac:dyDescent="0.35">
      <c r="A740" s="16" t="s">
        <v>2643</v>
      </c>
      <c r="B740" s="17" t="s">
        <v>2644</v>
      </c>
      <c r="C740" s="17" t="s">
        <v>2644</v>
      </c>
      <c r="D740" s="16" t="s">
        <v>273</v>
      </c>
      <c r="E740" s="16" t="s">
        <v>2645</v>
      </c>
      <c r="F740" s="16">
        <v>0.41539999999999999</v>
      </c>
      <c r="G740" s="16" t="s">
        <v>2646</v>
      </c>
      <c r="H740" s="16" t="s">
        <v>1751</v>
      </c>
      <c r="I740" s="16" t="s">
        <v>273</v>
      </c>
    </row>
    <row r="741" spans="1:9" x14ac:dyDescent="0.35">
      <c r="A741" s="16" t="s">
        <v>2647</v>
      </c>
      <c r="B741" s="17"/>
      <c r="C741" s="17"/>
      <c r="D741" s="16"/>
      <c r="E741" s="16"/>
      <c r="F741" s="16"/>
      <c r="G741" s="16"/>
      <c r="H741" s="16"/>
      <c r="I741" s="16" t="s">
        <v>698</v>
      </c>
    </row>
    <row r="742" spans="1:9" x14ac:dyDescent="0.35">
      <c r="A742" s="16" t="s">
        <v>2648</v>
      </c>
      <c r="B742" s="17" t="s">
        <v>2649</v>
      </c>
      <c r="C742" s="17" t="s">
        <v>2650</v>
      </c>
      <c r="D742" s="16" t="s">
        <v>273</v>
      </c>
      <c r="E742" s="16" t="s">
        <v>2371</v>
      </c>
      <c r="F742" s="16">
        <v>0.40749999999999997</v>
      </c>
      <c r="G742" s="16" t="s">
        <v>2372</v>
      </c>
      <c r="H742" s="16" t="s">
        <v>413</v>
      </c>
      <c r="I742" s="16" t="s">
        <v>273</v>
      </c>
    </row>
    <row r="743" spans="1:9" x14ac:dyDescent="0.35">
      <c r="A743" s="16" t="s">
        <v>2651</v>
      </c>
      <c r="B743" s="17" t="s">
        <v>2652</v>
      </c>
      <c r="C743" s="17"/>
      <c r="D743" s="16"/>
      <c r="E743" s="16"/>
      <c r="F743" s="16"/>
      <c r="G743" s="16"/>
      <c r="H743" s="16"/>
      <c r="I743" s="16" t="s">
        <v>633</v>
      </c>
    </row>
    <row r="744" spans="1:9" x14ac:dyDescent="0.35">
      <c r="A744" s="16" t="s">
        <v>2653</v>
      </c>
      <c r="B744" s="17" t="s">
        <v>2654</v>
      </c>
      <c r="C744" s="17"/>
      <c r="D744" s="16"/>
      <c r="E744" s="16"/>
      <c r="F744" s="16"/>
      <c r="G744" s="16"/>
      <c r="H744" s="16"/>
      <c r="I744" s="16" t="s">
        <v>633</v>
      </c>
    </row>
    <row r="745" spans="1:9" ht="28" x14ac:dyDescent="0.35">
      <c r="A745" s="16" t="s">
        <v>2655</v>
      </c>
      <c r="B745" s="17" t="s">
        <v>2656</v>
      </c>
      <c r="C745" s="17" t="s">
        <v>2657</v>
      </c>
      <c r="D745" s="16" t="s">
        <v>5</v>
      </c>
      <c r="E745" s="16" t="s">
        <v>67</v>
      </c>
      <c r="F745" s="16">
        <v>0.8</v>
      </c>
      <c r="G745" s="16"/>
      <c r="H745" s="16"/>
      <c r="I745" s="16" t="s">
        <v>5</v>
      </c>
    </row>
    <row r="746" spans="1:9" x14ac:dyDescent="0.35">
      <c r="A746" s="16" t="s">
        <v>2658</v>
      </c>
      <c r="B746" s="17" t="s">
        <v>2659</v>
      </c>
      <c r="C746" s="17" t="s">
        <v>2660</v>
      </c>
      <c r="D746" s="16" t="s">
        <v>273</v>
      </c>
      <c r="E746" s="16" t="s">
        <v>110</v>
      </c>
      <c r="F746" s="16">
        <v>0.45960000000000001</v>
      </c>
      <c r="G746" s="16" t="s">
        <v>2661</v>
      </c>
      <c r="H746" s="16" t="s">
        <v>2662</v>
      </c>
      <c r="I746" s="16" t="s">
        <v>273</v>
      </c>
    </row>
    <row r="747" spans="1:9" x14ac:dyDescent="0.35">
      <c r="A747" s="16" t="s">
        <v>2663</v>
      </c>
      <c r="B747" s="17" t="s">
        <v>2659</v>
      </c>
      <c r="C747" s="17" t="s">
        <v>2660</v>
      </c>
      <c r="D747" s="16" t="s">
        <v>273</v>
      </c>
      <c r="E747" s="16" t="s">
        <v>110</v>
      </c>
      <c r="F747" s="16">
        <v>0.45960000000000001</v>
      </c>
      <c r="G747" s="16" t="s">
        <v>2661</v>
      </c>
      <c r="H747" s="16" t="s">
        <v>2662</v>
      </c>
      <c r="I747" s="16" t="s">
        <v>273</v>
      </c>
    </row>
    <row r="748" spans="1:9" x14ac:dyDescent="0.35">
      <c r="A748" s="16" t="s">
        <v>2664</v>
      </c>
      <c r="B748" s="17" t="s">
        <v>2659</v>
      </c>
      <c r="C748" s="17" t="s">
        <v>2660</v>
      </c>
      <c r="D748" s="16" t="s">
        <v>273</v>
      </c>
      <c r="E748" s="16" t="s">
        <v>110</v>
      </c>
      <c r="F748" s="16">
        <v>0.45960000000000001</v>
      </c>
      <c r="G748" s="16" t="s">
        <v>2661</v>
      </c>
      <c r="H748" s="16" t="s">
        <v>2662</v>
      </c>
      <c r="I748" s="16" t="s">
        <v>273</v>
      </c>
    </row>
    <row r="749" spans="1:9" x14ac:dyDescent="0.35">
      <c r="A749" s="16" t="s">
        <v>2665</v>
      </c>
      <c r="B749" s="17" t="s">
        <v>1420</v>
      </c>
      <c r="C749" s="17" t="s">
        <v>1421</v>
      </c>
      <c r="D749" s="16" t="s">
        <v>273</v>
      </c>
      <c r="E749" s="16" t="s">
        <v>1227</v>
      </c>
      <c r="F749" s="16">
        <v>0.30759999999999998</v>
      </c>
      <c r="G749" s="16" t="s">
        <v>1228</v>
      </c>
      <c r="H749" s="16" t="s">
        <v>522</v>
      </c>
      <c r="I749" s="16" t="s">
        <v>273</v>
      </c>
    </row>
    <row r="750" spans="1:9" x14ac:dyDescent="0.35">
      <c r="A750" s="16" t="s">
        <v>2666</v>
      </c>
      <c r="B750" s="17" t="s">
        <v>1420</v>
      </c>
      <c r="C750" s="17" t="s">
        <v>1421</v>
      </c>
      <c r="D750" s="16" t="s">
        <v>273</v>
      </c>
      <c r="E750" s="16" t="s">
        <v>1227</v>
      </c>
      <c r="F750" s="16">
        <v>0.30759999999999998</v>
      </c>
      <c r="G750" s="16" t="s">
        <v>1228</v>
      </c>
      <c r="H750" s="16" t="s">
        <v>522</v>
      </c>
      <c r="I750" s="16" t="s">
        <v>273</v>
      </c>
    </row>
    <row r="751" spans="1:9" ht="28" x14ac:dyDescent="0.35">
      <c r="A751" s="16" t="s">
        <v>2667</v>
      </c>
      <c r="B751" s="17" t="s">
        <v>2668</v>
      </c>
      <c r="C751" s="17" t="s">
        <v>2669</v>
      </c>
      <c r="D751" s="16"/>
      <c r="E751" s="16"/>
      <c r="F751" s="16"/>
      <c r="G751" s="16"/>
      <c r="H751" s="16"/>
      <c r="I751" s="16" t="s">
        <v>633</v>
      </c>
    </row>
    <row r="752" spans="1:9" x14ac:dyDescent="0.35">
      <c r="A752" s="16" t="s">
        <v>2670</v>
      </c>
      <c r="B752" s="17" t="s">
        <v>2671</v>
      </c>
      <c r="C752" s="17" t="s">
        <v>2672</v>
      </c>
      <c r="D752" s="16" t="s">
        <v>273</v>
      </c>
      <c r="E752" s="16" t="s">
        <v>343</v>
      </c>
      <c r="F752" s="16">
        <v>0.3775</v>
      </c>
      <c r="G752" s="16" t="s">
        <v>2673</v>
      </c>
      <c r="H752" s="16" t="s">
        <v>1301</v>
      </c>
      <c r="I752" s="16" t="s">
        <v>273</v>
      </c>
    </row>
    <row r="753" spans="1:9" x14ac:dyDescent="0.35">
      <c r="A753" s="16" t="s">
        <v>2674</v>
      </c>
      <c r="B753" s="17" t="s">
        <v>2675</v>
      </c>
      <c r="C753" s="17" t="s">
        <v>2676</v>
      </c>
      <c r="D753" s="16" t="s">
        <v>22</v>
      </c>
      <c r="E753" s="16" t="s">
        <v>1858</v>
      </c>
      <c r="F753" s="16">
        <v>1</v>
      </c>
      <c r="G753" s="16"/>
      <c r="H753" s="16"/>
      <c r="I753" s="16" t="s">
        <v>22</v>
      </c>
    </row>
    <row r="754" spans="1:9" x14ac:dyDescent="0.35">
      <c r="A754" s="16" t="s">
        <v>2677</v>
      </c>
      <c r="B754" s="17" t="s">
        <v>89</v>
      </c>
      <c r="C754" s="17" t="s">
        <v>89</v>
      </c>
      <c r="D754" s="16" t="s">
        <v>22</v>
      </c>
      <c r="E754" s="16" t="s">
        <v>89</v>
      </c>
      <c r="F754" s="16">
        <v>1</v>
      </c>
      <c r="G754" s="16"/>
      <c r="H754" s="16"/>
      <c r="I754" s="16" t="s">
        <v>22</v>
      </c>
    </row>
    <row r="755" spans="1:9" x14ac:dyDescent="0.35">
      <c r="A755" s="16" t="s">
        <v>2678</v>
      </c>
      <c r="B755" s="17" t="s">
        <v>2679</v>
      </c>
      <c r="C755" s="17" t="s">
        <v>89</v>
      </c>
      <c r="D755" s="16" t="s">
        <v>22</v>
      </c>
      <c r="E755" s="16" t="s">
        <v>89</v>
      </c>
      <c r="F755" s="16">
        <v>1</v>
      </c>
      <c r="G755" s="16"/>
      <c r="H755" s="16"/>
      <c r="I755" s="16" t="s">
        <v>22</v>
      </c>
    </row>
    <row r="756" spans="1:9" ht="70" x14ac:dyDescent="0.35">
      <c r="A756" s="16" t="s">
        <v>2680</v>
      </c>
      <c r="B756" s="17" t="s">
        <v>2681</v>
      </c>
      <c r="C756" s="17" t="s">
        <v>2682</v>
      </c>
      <c r="D756" s="16"/>
      <c r="E756" s="16"/>
      <c r="F756" s="16"/>
      <c r="G756" s="16"/>
      <c r="H756" s="16"/>
      <c r="I756" s="16" t="s">
        <v>633</v>
      </c>
    </row>
    <row r="757" spans="1:9" x14ac:dyDescent="0.35">
      <c r="A757" s="16" t="s">
        <v>2683</v>
      </c>
      <c r="B757" s="17" t="s">
        <v>2684</v>
      </c>
      <c r="C757" s="17" t="s">
        <v>2685</v>
      </c>
      <c r="D757" s="16" t="s">
        <v>5</v>
      </c>
      <c r="E757" s="16" t="s">
        <v>2686</v>
      </c>
      <c r="F757" s="16">
        <v>0.8</v>
      </c>
      <c r="G757" s="16"/>
      <c r="H757" s="16"/>
      <c r="I757" s="16" t="s">
        <v>5</v>
      </c>
    </row>
    <row r="758" spans="1:9" x14ac:dyDescent="0.35">
      <c r="A758" s="16" t="s">
        <v>2687</v>
      </c>
      <c r="B758" s="17"/>
      <c r="C758" s="17"/>
      <c r="D758" s="16"/>
      <c r="E758" s="16"/>
      <c r="F758" s="16"/>
      <c r="G758" s="16"/>
      <c r="H758" s="16"/>
      <c r="I758" s="16" t="s">
        <v>698</v>
      </c>
    </row>
    <row r="759" spans="1:9" ht="126" x14ac:dyDescent="0.35">
      <c r="A759" s="16" t="s">
        <v>2688</v>
      </c>
      <c r="B759" s="17" t="s">
        <v>2689</v>
      </c>
      <c r="C759" s="17" t="s">
        <v>2690</v>
      </c>
      <c r="D759" s="16"/>
      <c r="E759" s="16"/>
      <c r="F759" s="16"/>
      <c r="G759" s="16"/>
      <c r="H759" s="16"/>
      <c r="I759" s="16" t="s">
        <v>633</v>
      </c>
    </row>
    <row r="760" spans="1:9" x14ac:dyDescent="0.35">
      <c r="A760" s="16" t="s">
        <v>213</v>
      </c>
      <c r="B760" s="17" t="s">
        <v>212</v>
      </c>
      <c r="C760" s="17" t="s">
        <v>211</v>
      </c>
      <c r="D760" s="16" t="s">
        <v>186</v>
      </c>
      <c r="E760" s="16" t="s">
        <v>89</v>
      </c>
      <c r="F760" s="16">
        <v>0.6</v>
      </c>
      <c r="G760" s="16"/>
      <c r="H760" s="16"/>
      <c r="I760" s="16" t="s">
        <v>186</v>
      </c>
    </row>
    <row r="761" spans="1:9" x14ac:dyDescent="0.35">
      <c r="A761" s="16" t="s">
        <v>2691</v>
      </c>
      <c r="B761" s="17" t="s">
        <v>2679</v>
      </c>
      <c r="C761" s="17" t="s">
        <v>89</v>
      </c>
      <c r="D761" s="16" t="s">
        <v>22</v>
      </c>
      <c r="E761" s="16" t="s">
        <v>89</v>
      </c>
      <c r="F761" s="16">
        <v>1</v>
      </c>
      <c r="G761" s="16"/>
      <c r="H761" s="16"/>
      <c r="I761" s="16" t="s">
        <v>22</v>
      </c>
    </row>
    <row r="762" spans="1:9" ht="28" x14ac:dyDescent="0.35">
      <c r="A762" s="16" t="s">
        <v>2692</v>
      </c>
      <c r="B762" s="17" t="s">
        <v>2693</v>
      </c>
      <c r="C762" s="17" t="s">
        <v>2693</v>
      </c>
      <c r="D762" s="16"/>
      <c r="E762" s="16"/>
      <c r="F762" s="16"/>
      <c r="G762" s="16"/>
      <c r="H762" s="16"/>
      <c r="I762" s="16" t="s">
        <v>633</v>
      </c>
    </row>
    <row r="763" spans="1:9" x14ac:dyDescent="0.35">
      <c r="A763" s="16" t="s">
        <v>2694</v>
      </c>
      <c r="B763" s="17" t="s">
        <v>2695</v>
      </c>
      <c r="C763" s="17" t="s">
        <v>89</v>
      </c>
      <c r="D763" s="16" t="s">
        <v>22</v>
      </c>
      <c r="E763" s="16" t="s">
        <v>89</v>
      </c>
      <c r="F763" s="16">
        <v>1</v>
      </c>
      <c r="G763" s="16"/>
      <c r="H763" s="16"/>
      <c r="I763" s="16" t="s">
        <v>22</v>
      </c>
    </row>
    <row r="764" spans="1:9" x14ac:dyDescent="0.35">
      <c r="A764" s="16" t="s">
        <v>2696</v>
      </c>
      <c r="B764" s="17" t="s">
        <v>2695</v>
      </c>
      <c r="C764" s="17" t="s">
        <v>89</v>
      </c>
      <c r="D764" s="16" t="s">
        <v>22</v>
      </c>
      <c r="E764" s="16" t="s">
        <v>89</v>
      </c>
      <c r="F764" s="16">
        <v>1</v>
      </c>
      <c r="G764" s="16"/>
      <c r="H764" s="16"/>
      <c r="I764" s="16" t="s">
        <v>22</v>
      </c>
    </row>
    <row r="765" spans="1:9" ht="28" x14ac:dyDescent="0.35">
      <c r="A765" s="16" t="s">
        <v>2697</v>
      </c>
      <c r="B765" s="17" t="s">
        <v>2698</v>
      </c>
      <c r="C765" s="17" t="s">
        <v>2699</v>
      </c>
      <c r="D765" s="16"/>
      <c r="E765" s="16"/>
      <c r="F765" s="16"/>
      <c r="G765" s="16"/>
      <c r="H765" s="16"/>
      <c r="I765" s="16" t="s">
        <v>633</v>
      </c>
    </row>
    <row r="766" spans="1:9" x14ac:dyDescent="0.35">
      <c r="A766" s="16" t="s">
        <v>2700</v>
      </c>
      <c r="B766" s="17" t="s">
        <v>67</v>
      </c>
      <c r="C766" s="17" t="s">
        <v>67</v>
      </c>
      <c r="D766" s="16" t="s">
        <v>22</v>
      </c>
      <c r="E766" s="16" t="s">
        <v>67</v>
      </c>
      <c r="F766" s="16">
        <v>1</v>
      </c>
      <c r="G766" s="16"/>
      <c r="H766" s="16"/>
      <c r="I766" s="16" t="s">
        <v>22</v>
      </c>
    </row>
    <row r="767" spans="1:9" ht="56" x14ac:dyDescent="0.35">
      <c r="A767" s="16" t="s">
        <v>65</v>
      </c>
      <c r="B767" s="17" t="s">
        <v>62</v>
      </c>
      <c r="C767" s="17" t="s">
        <v>2701</v>
      </c>
      <c r="D767" s="16" t="s">
        <v>22</v>
      </c>
      <c r="E767" s="16" t="s">
        <v>61</v>
      </c>
      <c r="F767" s="16">
        <v>1</v>
      </c>
      <c r="G767" s="16" t="s">
        <v>467</v>
      </c>
      <c r="H767" s="16" t="s">
        <v>335</v>
      </c>
      <c r="I767" s="16" t="s">
        <v>22</v>
      </c>
    </row>
    <row r="768" spans="1:9" x14ac:dyDescent="0.35">
      <c r="A768" s="16" t="s">
        <v>2702</v>
      </c>
      <c r="B768" s="17" t="s">
        <v>2703</v>
      </c>
      <c r="C768" s="17" t="s">
        <v>2703</v>
      </c>
      <c r="D768" s="16" t="s">
        <v>5</v>
      </c>
      <c r="E768" s="16" t="s">
        <v>2686</v>
      </c>
      <c r="F768" s="16">
        <v>0.8</v>
      </c>
      <c r="G768" s="16"/>
      <c r="H768" s="16"/>
      <c r="I768" s="16" t="s">
        <v>5</v>
      </c>
    </row>
    <row r="769" spans="1:9" ht="28" x14ac:dyDescent="0.35">
      <c r="A769" s="16" t="s">
        <v>2704</v>
      </c>
      <c r="B769" s="17" t="s">
        <v>2705</v>
      </c>
      <c r="C769" s="17" t="s">
        <v>2706</v>
      </c>
      <c r="D769" s="16" t="s">
        <v>5</v>
      </c>
      <c r="E769" s="16" t="s">
        <v>2707</v>
      </c>
      <c r="F769" s="16">
        <v>0.8</v>
      </c>
      <c r="G769" s="16"/>
      <c r="H769" s="16"/>
      <c r="I769" s="16" t="s">
        <v>5</v>
      </c>
    </row>
    <row r="770" spans="1:9" ht="84" x14ac:dyDescent="0.35">
      <c r="A770" s="16" t="s">
        <v>2708</v>
      </c>
      <c r="B770" s="17" t="s">
        <v>2709</v>
      </c>
      <c r="C770" s="17" t="s">
        <v>2710</v>
      </c>
      <c r="D770" s="16" t="s">
        <v>186</v>
      </c>
      <c r="E770" s="16" t="s">
        <v>930</v>
      </c>
      <c r="F770" s="16">
        <v>0.6</v>
      </c>
      <c r="G770" s="16"/>
      <c r="H770" s="16"/>
      <c r="I770" s="16" t="s">
        <v>186</v>
      </c>
    </row>
    <row r="771" spans="1:9" x14ac:dyDescent="0.35">
      <c r="A771" s="16" t="s">
        <v>2711</v>
      </c>
      <c r="B771" s="17" t="s">
        <v>2712</v>
      </c>
      <c r="C771" s="17" t="s">
        <v>575</v>
      </c>
      <c r="D771" s="16" t="s">
        <v>273</v>
      </c>
      <c r="E771" s="16" t="s">
        <v>577</v>
      </c>
      <c r="F771" s="16">
        <v>0.43280000000000002</v>
      </c>
      <c r="G771" s="16" t="s">
        <v>578</v>
      </c>
      <c r="H771" s="16" t="s">
        <v>579</v>
      </c>
      <c r="I771" s="16" t="s">
        <v>273</v>
      </c>
    </row>
    <row r="772" spans="1:9" x14ac:dyDescent="0.35">
      <c r="A772" s="16" t="s">
        <v>2713</v>
      </c>
      <c r="B772" s="17" t="s">
        <v>89</v>
      </c>
      <c r="C772" s="17" t="s">
        <v>89</v>
      </c>
      <c r="D772" s="16" t="s">
        <v>22</v>
      </c>
      <c r="E772" s="16" t="s">
        <v>89</v>
      </c>
      <c r="F772" s="16">
        <v>1</v>
      </c>
      <c r="G772" s="16"/>
      <c r="H772" s="16"/>
      <c r="I772" s="16" t="s">
        <v>22</v>
      </c>
    </row>
    <row r="773" spans="1:9" x14ac:dyDescent="0.35">
      <c r="A773" s="16" t="s">
        <v>2714</v>
      </c>
      <c r="B773" s="17" t="s">
        <v>2715</v>
      </c>
      <c r="C773" s="17" t="s">
        <v>89</v>
      </c>
      <c r="D773" s="16" t="s">
        <v>22</v>
      </c>
      <c r="E773" s="16" t="s">
        <v>89</v>
      </c>
      <c r="F773" s="16">
        <v>1</v>
      </c>
      <c r="G773" s="16"/>
      <c r="H773" s="16"/>
      <c r="I773" s="16" t="s">
        <v>22</v>
      </c>
    </row>
    <row r="774" spans="1:9" x14ac:dyDescent="0.35">
      <c r="A774" s="16" t="s">
        <v>2716</v>
      </c>
      <c r="B774" s="17" t="s">
        <v>2717</v>
      </c>
      <c r="C774" s="17" t="s">
        <v>2718</v>
      </c>
      <c r="D774" s="16" t="s">
        <v>273</v>
      </c>
      <c r="E774" s="16" t="s">
        <v>2719</v>
      </c>
      <c r="F774" s="16">
        <v>0.2046</v>
      </c>
      <c r="G774" s="16" t="s">
        <v>2720</v>
      </c>
      <c r="H774" s="16" t="s">
        <v>2721</v>
      </c>
      <c r="I774" s="16" t="s">
        <v>273</v>
      </c>
    </row>
    <row r="775" spans="1:9" x14ac:dyDescent="0.35">
      <c r="A775" s="16" t="s">
        <v>2722</v>
      </c>
      <c r="B775" s="17" t="s">
        <v>713</v>
      </c>
      <c r="C775" s="17"/>
      <c r="D775" s="16"/>
      <c r="E775" s="16"/>
      <c r="F775" s="16"/>
      <c r="G775" s="16"/>
      <c r="H775" s="16"/>
      <c r="I775" s="16" t="s">
        <v>633</v>
      </c>
    </row>
    <row r="776" spans="1:9" ht="28" x14ac:dyDescent="0.35">
      <c r="A776" s="16" t="s">
        <v>2723</v>
      </c>
      <c r="B776" s="17" t="s">
        <v>2724</v>
      </c>
      <c r="C776" s="17" t="s">
        <v>2725</v>
      </c>
      <c r="D776" s="16" t="s">
        <v>273</v>
      </c>
      <c r="E776" s="16" t="s">
        <v>1959</v>
      </c>
      <c r="F776" s="16">
        <v>0.27810000000000001</v>
      </c>
      <c r="G776" s="16" t="s">
        <v>2726</v>
      </c>
      <c r="H776" s="16" t="s">
        <v>2215</v>
      </c>
      <c r="I776" s="16" t="s">
        <v>273</v>
      </c>
    </row>
    <row r="777" spans="1:9" x14ac:dyDescent="0.35">
      <c r="A777" s="16" t="s">
        <v>2727</v>
      </c>
      <c r="B777" s="17" t="s">
        <v>2728</v>
      </c>
      <c r="C777" s="17" t="s">
        <v>2729</v>
      </c>
      <c r="D777" s="16" t="s">
        <v>273</v>
      </c>
      <c r="E777" s="16" t="s">
        <v>1959</v>
      </c>
      <c r="F777" s="16">
        <v>0.3327</v>
      </c>
      <c r="G777" s="16" t="s">
        <v>2214</v>
      </c>
      <c r="H777" s="16" t="s">
        <v>2215</v>
      </c>
      <c r="I777" s="16" t="s">
        <v>273</v>
      </c>
    </row>
    <row r="778" spans="1:9" x14ac:dyDescent="0.35">
      <c r="A778" s="16" t="s">
        <v>2730</v>
      </c>
      <c r="B778" s="17" t="s">
        <v>2731</v>
      </c>
      <c r="C778" s="17" t="s">
        <v>2732</v>
      </c>
      <c r="D778" s="16" t="s">
        <v>186</v>
      </c>
      <c r="E778" s="16" t="s">
        <v>230</v>
      </c>
      <c r="F778" s="16">
        <v>0.6</v>
      </c>
      <c r="G778" s="16"/>
      <c r="H778" s="16"/>
      <c r="I778" s="16" t="s">
        <v>186</v>
      </c>
    </row>
    <row r="779" spans="1:9" x14ac:dyDescent="0.35">
      <c r="A779" s="16" t="s">
        <v>2733</v>
      </c>
      <c r="B779" s="17" t="s">
        <v>2734</v>
      </c>
      <c r="C779" s="17" t="s">
        <v>2734</v>
      </c>
      <c r="D779" s="16" t="s">
        <v>273</v>
      </c>
      <c r="E779" s="16" t="s">
        <v>2735</v>
      </c>
      <c r="F779" s="16">
        <v>0.248</v>
      </c>
      <c r="G779" s="16"/>
      <c r="H779" s="16"/>
      <c r="I779" s="16" t="s">
        <v>273</v>
      </c>
    </row>
    <row r="780" spans="1:9" x14ac:dyDescent="0.35">
      <c r="A780" s="16" t="s">
        <v>2736</v>
      </c>
      <c r="B780" s="17" t="s">
        <v>2737</v>
      </c>
      <c r="C780" s="17" t="s">
        <v>2737</v>
      </c>
      <c r="D780" s="16" t="s">
        <v>273</v>
      </c>
      <c r="E780" s="16" t="s">
        <v>592</v>
      </c>
      <c r="F780" s="16">
        <v>0.37069999999999997</v>
      </c>
      <c r="G780" s="16" t="s">
        <v>591</v>
      </c>
      <c r="H780" s="16" t="s">
        <v>2738</v>
      </c>
      <c r="I780" s="16" t="s">
        <v>273</v>
      </c>
    </row>
    <row r="781" spans="1:9" x14ac:dyDescent="0.35">
      <c r="A781" s="16" t="s">
        <v>2739</v>
      </c>
      <c r="B781" s="17"/>
      <c r="C781" s="17"/>
      <c r="D781" s="16"/>
      <c r="E781" s="16"/>
      <c r="F781" s="16"/>
      <c r="G781" s="16"/>
      <c r="H781" s="16"/>
      <c r="I781" s="16" t="s">
        <v>698</v>
      </c>
    </row>
    <row r="782" spans="1:9" ht="42" x14ac:dyDescent="0.35">
      <c r="A782" s="16" t="s">
        <v>2740</v>
      </c>
      <c r="B782" s="17" t="s">
        <v>2741</v>
      </c>
      <c r="C782" s="17" t="s">
        <v>2742</v>
      </c>
      <c r="D782" s="16" t="s">
        <v>186</v>
      </c>
      <c r="E782" s="16" t="s">
        <v>244</v>
      </c>
      <c r="F782" s="16">
        <v>0.6</v>
      </c>
      <c r="G782" s="16"/>
      <c r="H782" s="16"/>
      <c r="I782" s="16" t="s">
        <v>186</v>
      </c>
    </row>
    <row r="783" spans="1:9" x14ac:dyDescent="0.35">
      <c r="A783" s="16" t="s">
        <v>256</v>
      </c>
      <c r="B783" s="17" t="s">
        <v>255</v>
      </c>
      <c r="C783" s="17" t="s">
        <v>252</v>
      </c>
      <c r="D783" s="16" t="s">
        <v>186</v>
      </c>
      <c r="E783" s="16" t="s">
        <v>244</v>
      </c>
      <c r="F783" s="16">
        <v>0.6</v>
      </c>
      <c r="G783" s="16"/>
      <c r="H783" s="16"/>
      <c r="I783" s="16" t="s">
        <v>186</v>
      </c>
    </row>
    <row r="784" spans="1:9" x14ac:dyDescent="0.35">
      <c r="A784" s="16" t="s">
        <v>2743</v>
      </c>
      <c r="B784" s="17" t="s">
        <v>2744</v>
      </c>
      <c r="C784" s="17"/>
      <c r="D784" s="16"/>
      <c r="E784" s="16"/>
      <c r="F784" s="16"/>
      <c r="G784" s="16"/>
      <c r="H784" s="16"/>
      <c r="I784" s="16" t="s">
        <v>633</v>
      </c>
    </row>
    <row r="785" spans="1:9" x14ac:dyDescent="0.35">
      <c r="A785" s="16" t="s">
        <v>2745</v>
      </c>
      <c r="B785" s="17" t="s">
        <v>2746</v>
      </c>
      <c r="C785" s="17"/>
      <c r="D785" s="16"/>
      <c r="E785" s="16"/>
      <c r="F785" s="16"/>
      <c r="G785" s="16"/>
      <c r="H785" s="16"/>
      <c r="I785" s="16" t="s">
        <v>633</v>
      </c>
    </row>
    <row r="786" spans="1:9" ht="28" x14ac:dyDescent="0.35">
      <c r="A786" s="16" t="s">
        <v>475</v>
      </c>
      <c r="B786" s="17" t="s">
        <v>471</v>
      </c>
      <c r="C786" s="17" t="s">
        <v>2747</v>
      </c>
      <c r="D786" s="16" t="s">
        <v>186</v>
      </c>
      <c r="E786" s="16" t="s">
        <v>244</v>
      </c>
      <c r="F786" s="16">
        <v>0.6</v>
      </c>
      <c r="G786" s="16" t="s">
        <v>472</v>
      </c>
      <c r="H786" s="16" t="s">
        <v>473</v>
      </c>
      <c r="I786" s="16" t="s">
        <v>186</v>
      </c>
    </row>
    <row r="787" spans="1:9" x14ac:dyDescent="0.35">
      <c r="A787" s="16" t="s">
        <v>2748</v>
      </c>
      <c r="B787" s="17" t="s">
        <v>2749</v>
      </c>
      <c r="C787" s="17" t="s">
        <v>2750</v>
      </c>
      <c r="D787" s="16" t="s">
        <v>273</v>
      </c>
      <c r="E787" s="16" t="s">
        <v>2751</v>
      </c>
      <c r="F787" s="16">
        <v>0.3836</v>
      </c>
      <c r="G787" s="16" t="s">
        <v>2752</v>
      </c>
      <c r="H787" s="16" t="s">
        <v>2096</v>
      </c>
      <c r="I787" s="16" t="s">
        <v>273</v>
      </c>
    </row>
    <row r="788" spans="1:9" x14ac:dyDescent="0.35">
      <c r="A788" s="16" t="s">
        <v>2753</v>
      </c>
      <c r="B788" s="17" t="s">
        <v>2754</v>
      </c>
      <c r="C788" s="17" t="s">
        <v>2755</v>
      </c>
      <c r="D788" s="16" t="s">
        <v>273</v>
      </c>
      <c r="E788" s="16" t="s">
        <v>2096</v>
      </c>
      <c r="F788" s="16">
        <v>0.28470000000000001</v>
      </c>
      <c r="G788" s="16" t="s">
        <v>2095</v>
      </c>
      <c r="H788" s="16" t="s">
        <v>2756</v>
      </c>
      <c r="I788" s="16" t="s">
        <v>273</v>
      </c>
    </row>
    <row r="789" spans="1:9" x14ac:dyDescent="0.35">
      <c r="A789" s="16" t="s">
        <v>2757</v>
      </c>
      <c r="B789" s="17" t="s">
        <v>2758</v>
      </c>
      <c r="C789" s="17" t="s">
        <v>2758</v>
      </c>
      <c r="D789" s="16"/>
      <c r="E789" s="16"/>
      <c r="F789" s="16"/>
      <c r="G789" s="16"/>
      <c r="H789" s="16"/>
      <c r="I789" s="16" t="s">
        <v>633</v>
      </c>
    </row>
    <row r="790" spans="1:9" ht="182" x14ac:dyDescent="0.35">
      <c r="A790" s="16" t="s">
        <v>690</v>
      </c>
      <c r="B790" s="17" t="s">
        <v>688</v>
      </c>
      <c r="C790" s="17" t="s">
        <v>2759</v>
      </c>
      <c r="D790" s="16" t="s">
        <v>273</v>
      </c>
      <c r="E790" s="16" t="s">
        <v>2205</v>
      </c>
      <c r="F790" s="16">
        <v>0.4325</v>
      </c>
      <c r="G790" s="16" t="s">
        <v>513</v>
      </c>
      <c r="H790" s="16" t="s">
        <v>2760</v>
      </c>
      <c r="I790" s="16" t="s">
        <v>273</v>
      </c>
    </row>
    <row r="791" spans="1:9" x14ac:dyDescent="0.35">
      <c r="A791" s="16" t="s">
        <v>2761</v>
      </c>
      <c r="B791" s="17" t="s">
        <v>2475</v>
      </c>
      <c r="C791" s="17"/>
      <c r="D791" s="16"/>
      <c r="E791" s="16"/>
      <c r="F791" s="16"/>
      <c r="G791" s="16"/>
      <c r="H791" s="16"/>
      <c r="I791" s="16" t="s">
        <v>633</v>
      </c>
    </row>
    <row r="792" spans="1:9" x14ac:dyDescent="0.35">
      <c r="A792" s="16" t="s">
        <v>2762</v>
      </c>
      <c r="B792" s="17" t="s">
        <v>2763</v>
      </c>
      <c r="C792" s="17" t="s">
        <v>509</v>
      </c>
      <c r="D792" s="16" t="s">
        <v>273</v>
      </c>
      <c r="E792" s="16" t="s">
        <v>512</v>
      </c>
      <c r="F792" s="16">
        <v>0.47089999999999999</v>
      </c>
      <c r="G792" s="16" t="s">
        <v>513</v>
      </c>
      <c r="H792" s="16" t="s">
        <v>514</v>
      </c>
      <c r="I792" s="16" t="s">
        <v>273</v>
      </c>
    </row>
    <row r="793" spans="1:9" ht="28" x14ac:dyDescent="0.35">
      <c r="A793" s="16" t="s">
        <v>2764</v>
      </c>
      <c r="B793" s="17" t="s">
        <v>2765</v>
      </c>
      <c r="C793" s="17" t="s">
        <v>2765</v>
      </c>
      <c r="D793" s="16" t="s">
        <v>273</v>
      </c>
      <c r="E793" s="16" t="s">
        <v>2766</v>
      </c>
      <c r="F793" s="16">
        <v>0.36099999999999999</v>
      </c>
      <c r="G793" s="16" t="s">
        <v>2767</v>
      </c>
      <c r="H793" s="16" t="s">
        <v>868</v>
      </c>
      <c r="I793" s="16" t="s">
        <v>273</v>
      </c>
    </row>
    <row r="794" spans="1:9" ht="56" x14ac:dyDescent="0.35">
      <c r="A794" s="16" t="s">
        <v>297</v>
      </c>
      <c r="B794" s="17" t="s">
        <v>292</v>
      </c>
      <c r="C794" s="17" t="s">
        <v>2768</v>
      </c>
      <c r="D794" s="16" t="s">
        <v>5</v>
      </c>
      <c r="E794" s="16" t="s">
        <v>2769</v>
      </c>
      <c r="F794" s="16">
        <v>0.8</v>
      </c>
      <c r="G794" s="16" t="s">
        <v>398</v>
      </c>
      <c r="H794" s="16" t="s">
        <v>399</v>
      </c>
      <c r="I794" s="16" t="s">
        <v>5</v>
      </c>
    </row>
    <row r="795" spans="1:9" ht="28" x14ac:dyDescent="0.35">
      <c r="A795" s="16" t="s">
        <v>351</v>
      </c>
      <c r="B795" s="17" t="s">
        <v>347</v>
      </c>
      <c r="C795" s="17" t="s">
        <v>347</v>
      </c>
      <c r="D795" s="16" t="s">
        <v>273</v>
      </c>
      <c r="E795" s="16" t="s">
        <v>349</v>
      </c>
      <c r="F795" s="16">
        <v>0.24479999999999999</v>
      </c>
      <c r="G795" s="16" t="s">
        <v>350</v>
      </c>
      <c r="H795" s="16"/>
      <c r="I795" s="16" t="s">
        <v>273</v>
      </c>
    </row>
    <row r="796" spans="1:9" ht="42" x14ac:dyDescent="0.35">
      <c r="A796" s="16" t="s">
        <v>2770</v>
      </c>
      <c r="B796" s="17" t="s">
        <v>2771</v>
      </c>
      <c r="C796" s="17" t="s">
        <v>2771</v>
      </c>
      <c r="D796" s="16" t="s">
        <v>273</v>
      </c>
      <c r="E796" s="16" t="s">
        <v>512</v>
      </c>
      <c r="F796" s="16">
        <v>0.23480000000000001</v>
      </c>
      <c r="G796" s="16" t="s">
        <v>1972</v>
      </c>
      <c r="H796" s="16" t="s">
        <v>1973</v>
      </c>
      <c r="I796" s="16" t="s">
        <v>273</v>
      </c>
    </row>
    <row r="797" spans="1:9" x14ac:dyDescent="0.35">
      <c r="A797" s="16" t="s">
        <v>2772</v>
      </c>
      <c r="B797" s="17" t="s">
        <v>2773</v>
      </c>
      <c r="C797" s="17" t="s">
        <v>2774</v>
      </c>
      <c r="D797" s="16" t="s">
        <v>273</v>
      </c>
      <c r="E797" s="16" t="s">
        <v>2775</v>
      </c>
      <c r="F797" s="16">
        <v>0.34239999999999998</v>
      </c>
      <c r="G797" s="16" t="s">
        <v>2776</v>
      </c>
      <c r="H797" s="16" t="s">
        <v>2777</v>
      </c>
      <c r="I797" s="16" t="s">
        <v>273</v>
      </c>
    </row>
    <row r="798" spans="1:9" x14ac:dyDescent="0.35">
      <c r="A798" s="16" t="s">
        <v>2778</v>
      </c>
      <c r="B798" s="17"/>
      <c r="C798" s="17"/>
      <c r="D798" s="16"/>
      <c r="E798" s="16"/>
      <c r="F798" s="16"/>
      <c r="G798" s="16"/>
      <c r="H798" s="16"/>
      <c r="I798" s="16" t="s">
        <v>698</v>
      </c>
    </row>
    <row r="799" spans="1:9" ht="42" x14ac:dyDescent="0.35">
      <c r="A799" s="16" t="s">
        <v>2779</v>
      </c>
      <c r="B799" s="17" t="s">
        <v>2780</v>
      </c>
      <c r="C799" s="17" t="s">
        <v>2781</v>
      </c>
      <c r="D799" s="16" t="s">
        <v>273</v>
      </c>
      <c r="E799" s="16" t="s">
        <v>450</v>
      </c>
      <c r="F799" s="16">
        <v>0.23780000000000001</v>
      </c>
      <c r="G799" s="16" t="s">
        <v>611</v>
      </c>
      <c r="H799" s="16" t="s">
        <v>2782</v>
      </c>
      <c r="I799" s="16" t="s">
        <v>273</v>
      </c>
    </row>
    <row r="800" spans="1:9" ht="28" x14ac:dyDescent="0.35">
      <c r="A800" s="16" t="s">
        <v>2783</v>
      </c>
      <c r="B800" s="17" t="s">
        <v>2784</v>
      </c>
      <c r="C800" s="17" t="s">
        <v>2785</v>
      </c>
      <c r="D800" s="16" t="s">
        <v>273</v>
      </c>
      <c r="E800" s="16" t="s">
        <v>2786</v>
      </c>
      <c r="F800" s="16">
        <v>0.32969999999999999</v>
      </c>
      <c r="G800" s="16" t="s">
        <v>2787</v>
      </c>
      <c r="H800" s="16" t="s">
        <v>2788</v>
      </c>
      <c r="I800" s="16" t="s">
        <v>273</v>
      </c>
    </row>
    <row r="801" spans="1:9" ht="28" x14ac:dyDescent="0.35">
      <c r="A801" s="16" t="s">
        <v>2789</v>
      </c>
      <c r="B801" s="17" t="s">
        <v>2790</v>
      </c>
      <c r="C801" s="17" t="s">
        <v>2790</v>
      </c>
      <c r="D801" s="16" t="s">
        <v>5</v>
      </c>
      <c r="E801" s="16" t="s">
        <v>67</v>
      </c>
      <c r="F801" s="16">
        <v>0.8</v>
      </c>
      <c r="G801" s="16"/>
      <c r="H801" s="16"/>
      <c r="I801" s="16" t="s">
        <v>5</v>
      </c>
    </row>
    <row r="802" spans="1:9" x14ac:dyDescent="0.35">
      <c r="A802" s="16" t="s">
        <v>2791</v>
      </c>
      <c r="B802" s="17" t="s">
        <v>2773</v>
      </c>
      <c r="C802" s="17" t="s">
        <v>2774</v>
      </c>
      <c r="D802" s="16" t="s">
        <v>273</v>
      </c>
      <c r="E802" s="16" t="s">
        <v>2775</v>
      </c>
      <c r="F802" s="16">
        <v>0.34239999999999998</v>
      </c>
      <c r="G802" s="16" t="s">
        <v>2776</v>
      </c>
      <c r="H802" s="16" t="s">
        <v>2777</v>
      </c>
      <c r="I802" s="16" t="s">
        <v>273</v>
      </c>
    </row>
    <row r="803" spans="1:9" x14ac:dyDescent="0.35">
      <c r="A803" s="16" t="s">
        <v>2792</v>
      </c>
      <c r="B803" s="17" t="s">
        <v>2793</v>
      </c>
      <c r="C803" s="17" t="s">
        <v>67</v>
      </c>
      <c r="D803" s="16" t="s">
        <v>22</v>
      </c>
      <c r="E803" s="16" t="s">
        <v>67</v>
      </c>
      <c r="F803" s="16">
        <v>1</v>
      </c>
      <c r="G803" s="16"/>
      <c r="H803" s="16"/>
      <c r="I803" s="16" t="s">
        <v>22</v>
      </c>
    </row>
    <row r="804" spans="1:9" x14ac:dyDescent="0.35">
      <c r="A804" s="16" t="s">
        <v>2794</v>
      </c>
      <c r="B804" s="17" t="s">
        <v>2795</v>
      </c>
      <c r="C804" s="17" t="s">
        <v>2796</v>
      </c>
      <c r="D804" s="16" t="s">
        <v>273</v>
      </c>
      <c r="E804" s="16" t="s">
        <v>2797</v>
      </c>
      <c r="F804" s="16">
        <v>0.42670000000000002</v>
      </c>
      <c r="G804" s="16" t="s">
        <v>1829</v>
      </c>
      <c r="H804" s="16" t="s">
        <v>2798</v>
      </c>
      <c r="I804" s="16" t="s">
        <v>273</v>
      </c>
    </row>
    <row r="805" spans="1:9" ht="28" x14ac:dyDescent="0.35">
      <c r="A805" s="16" t="s">
        <v>2799</v>
      </c>
      <c r="B805" s="17" t="s">
        <v>2800</v>
      </c>
      <c r="C805" s="17" t="s">
        <v>2800</v>
      </c>
      <c r="D805" s="16"/>
      <c r="E805" s="16"/>
      <c r="F805" s="16"/>
      <c r="G805" s="16"/>
      <c r="H805" s="16"/>
      <c r="I805" s="16" t="s">
        <v>633</v>
      </c>
    </row>
    <row r="806" spans="1:9" ht="42" x14ac:dyDescent="0.35">
      <c r="A806" s="16" t="s">
        <v>2801</v>
      </c>
      <c r="B806" s="17" t="s">
        <v>2802</v>
      </c>
      <c r="C806" s="17" t="s">
        <v>2803</v>
      </c>
      <c r="D806" s="16" t="s">
        <v>273</v>
      </c>
      <c r="E806" s="16" t="s">
        <v>2804</v>
      </c>
      <c r="F806" s="16">
        <v>0.25419999999999998</v>
      </c>
      <c r="G806" s="16" t="s">
        <v>392</v>
      </c>
      <c r="H806" s="16" t="s">
        <v>563</v>
      </c>
      <c r="I806" s="16" t="s">
        <v>273</v>
      </c>
    </row>
    <row r="807" spans="1:9" x14ac:dyDescent="0.35">
      <c r="A807" s="16" t="s">
        <v>2805</v>
      </c>
      <c r="B807" s="17" t="s">
        <v>2806</v>
      </c>
      <c r="C807" s="17" t="s">
        <v>2807</v>
      </c>
      <c r="D807" s="16" t="s">
        <v>5</v>
      </c>
      <c r="E807" s="16" t="s">
        <v>80</v>
      </c>
      <c r="F807" s="16">
        <v>0.8</v>
      </c>
      <c r="G807" s="16"/>
      <c r="H807" s="16"/>
      <c r="I807" s="16" t="s">
        <v>5</v>
      </c>
    </row>
    <row r="808" spans="1:9" x14ac:dyDescent="0.35">
      <c r="A808" s="16" t="s">
        <v>2808</v>
      </c>
      <c r="B808" s="17" t="s">
        <v>2809</v>
      </c>
      <c r="C808" s="17" t="s">
        <v>2809</v>
      </c>
      <c r="D808" s="16" t="s">
        <v>273</v>
      </c>
      <c r="E808" s="16" t="s">
        <v>521</v>
      </c>
      <c r="F808" s="16">
        <v>0.35549999999999998</v>
      </c>
      <c r="G808" s="16" t="s">
        <v>611</v>
      </c>
      <c r="H808" s="16" t="s">
        <v>2810</v>
      </c>
      <c r="I808" s="16" t="s">
        <v>273</v>
      </c>
    </row>
    <row r="809" spans="1:9" ht="28" x14ac:dyDescent="0.35">
      <c r="A809" s="16" t="s">
        <v>2811</v>
      </c>
      <c r="B809" s="17" t="s">
        <v>2812</v>
      </c>
      <c r="C809" s="17" t="s">
        <v>2813</v>
      </c>
      <c r="D809" s="16" t="s">
        <v>273</v>
      </c>
      <c r="E809" s="16" t="s">
        <v>2814</v>
      </c>
      <c r="F809" s="16">
        <v>0.2702</v>
      </c>
      <c r="G809" s="16" t="s">
        <v>2815</v>
      </c>
      <c r="H809" s="16" t="s">
        <v>2816</v>
      </c>
      <c r="I809" s="16" t="s">
        <v>273</v>
      </c>
    </row>
    <row r="810" spans="1:9" ht="56" x14ac:dyDescent="0.35">
      <c r="A810" s="16" t="s">
        <v>2817</v>
      </c>
      <c r="B810" s="17" t="s">
        <v>2818</v>
      </c>
      <c r="C810" s="17" t="s">
        <v>2819</v>
      </c>
      <c r="D810" s="16" t="s">
        <v>5</v>
      </c>
      <c r="E810" s="16" t="s">
        <v>67</v>
      </c>
      <c r="F810" s="16">
        <v>0.8</v>
      </c>
      <c r="G810" s="16"/>
      <c r="H810" s="16"/>
      <c r="I810" s="16" t="s">
        <v>5</v>
      </c>
    </row>
    <row r="811" spans="1:9" x14ac:dyDescent="0.35">
      <c r="A811" s="16" t="s">
        <v>2820</v>
      </c>
      <c r="B811" s="17" t="s">
        <v>2821</v>
      </c>
      <c r="C811" s="17" t="s">
        <v>2821</v>
      </c>
      <c r="D811" s="16" t="s">
        <v>5</v>
      </c>
      <c r="E811" s="16" t="s">
        <v>67</v>
      </c>
      <c r="F811" s="16">
        <v>0.8</v>
      </c>
      <c r="G811" s="16"/>
      <c r="H811" s="16"/>
      <c r="I811" s="16" t="s">
        <v>5</v>
      </c>
    </row>
    <row r="812" spans="1:9" x14ac:dyDescent="0.35">
      <c r="A812" s="16" t="s">
        <v>2822</v>
      </c>
      <c r="B812" s="17" t="s">
        <v>2823</v>
      </c>
      <c r="C812" s="17" t="s">
        <v>2823</v>
      </c>
      <c r="D812" s="16" t="s">
        <v>273</v>
      </c>
      <c r="E812" s="16" t="s">
        <v>791</v>
      </c>
      <c r="F812" s="16">
        <v>0.44979999999999998</v>
      </c>
      <c r="G812" s="16" t="s">
        <v>2824</v>
      </c>
      <c r="H812" s="16" t="s">
        <v>2825</v>
      </c>
      <c r="I812" s="16" t="s">
        <v>273</v>
      </c>
    </row>
    <row r="813" spans="1:9" ht="28" x14ac:dyDescent="0.35">
      <c r="A813" s="16" t="s">
        <v>2826</v>
      </c>
      <c r="B813" s="17" t="s">
        <v>2827</v>
      </c>
      <c r="C813" s="17" t="s">
        <v>2828</v>
      </c>
      <c r="D813" s="16" t="s">
        <v>5</v>
      </c>
      <c r="E813" s="16" t="s">
        <v>67</v>
      </c>
      <c r="F813" s="16">
        <v>0.8</v>
      </c>
      <c r="G813" s="16"/>
      <c r="H813" s="16"/>
      <c r="I813" s="16" t="s">
        <v>5</v>
      </c>
    </row>
    <row r="814" spans="1:9" x14ac:dyDescent="0.35">
      <c r="A814" s="16" t="s">
        <v>2829</v>
      </c>
      <c r="B814" s="17" t="s">
        <v>823</v>
      </c>
      <c r="C814" s="17" t="s">
        <v>823</v>
      </c>
      <c r="D814" s="16" t="s">
        <v>273</v>
      </c>
      <c r="E814" s="16" t="s">
        <v>824</v>
      </c>
      <c r="F814" s="16">
        <v>0.40570000000000001</v>
      </c>
      <c r="G814" s="16" t="s">
        <v>825</v>
      </c>
      <c r="H814" s="16" t="s">
        <v>826</v>
      </c>
      <c r="I814" s="16" t="s">
        <v>273</v>
      </c>
    </row>
    <row r="815" spans="1:9" x14ac:dyDescent="0.35">
      <c r="A815" s="16" t="s">
        <v>2830</v>
      </c>
      <c r="B815" s="17" t="s">
        <v>2831</v>
      </c>
      <c r="C815" s="17" t="s">
        <v>67</v>
      </c>
      <c r="D815" s="16" t="s">
        <v>22</v>
      </c>
      <c r="E815" s="16" t="s">
        <v>67</v>
      </c>
      <c r="F815" s="16">
        <v>1</v>
      </c>
      <c r="G815" s="16"/>
      <c r="H815" s="16"/>
      <c r="I815" s="16" t="s">
        <v>22</v>
      </c>
    </row>
    <row r="816" spans="1:9" ht="70" x14ac:dyDescent="0.35">
      <c r="A816" s="16" t="s">
        <v>365</v>
      </c>
      <c r="B816" s="17" t="s">
        <v>361</v>
      </c>
      <c r="C816" s="17" t="s">
        <v>2832</v>
      </c>
      <c r="D816" s="16" t="s">
        <v>273</v>
      </c>
      <c r="E816" s="16" t="s">
        <v>2833</v>
      </c>
      <c r="F816" s="16">
        <v>0.45629999999999998</v>
      </c>
      <c r="G816" s="16" t="s">
        <v>370</v>
      </c>
      <c r="H816" s="16" t="s">
        <v>2834</v>
      </c>
      <c r="I816" s="16" t="s">
        <v>273</v>
      </c>
    </row>
    <row r="817" spans="1:9" ht="28" x14ac:dyDescent="0.35">
      <c r="A817" s="16" t="s">
        <v>2835</v>
      </c>
      <c r="B817" s="17" t="s">
        <v>2836</v>
      </c>
      <c r="C817" s="17" t="s">
        <v>2837</v>
      </c>
      <c r="D817" s="16" t="s">
        <v>273</v>
      </c>
      <c r="E817" s="16" t="s">
        <v>512</v>
      </c>
      <c r="F817" s="16">
        <v>0.37840000000000001</v>
      </c>
      <c r="G817" s="16" t="s">
        <v>513</v>
      </c>
      <c r="H817" s="16" t="s">
        <v>2838</v>
      </c>
      <c r="I817" s="16" t="s">
        <v>273</v>
      </c>
    </row>
    <row r="818" spans="1:9" ht="56" x14ac:dyDescent="0.35">
      <c r="A818" s="16" t="s">
        <v>2839</v>
      </c>
      <c r="B818" s="17" t="s">
        <v>2840</v>
      </c>
      <c r="C818" s="17" t="s">
        <v>2841</v>
      </c>
      <c r="D818" s="16" t="s">
        <v>273</v>
      </c>
      <c r="E818" s="16" t="s">
        <v>1959</v>
      </c>
      <c r="F818" s="16">
        <v>0.30059999999999998</v>
      </c>
      <c r="G818" s="16" t="s">
        <v>512</v>
      </c>
      <c r="H818" s="16" t="s">
        <v>514</v>
      </c>
      <c r="I818" s="16" t="s">
        <v>273</v>
      </c>
    </row>
    <row r="819" spans="1:9" ht="42" x14ac:dyDescent="0.35">
      <c r="A819" s="16" t="s">
        <v>2842</v>
      </c>
      <c r="B819" s="17" t="s">
        <v>2843</v>
      </c>
      <c r="C819" s="17" t="s">
        <v>2844</v>
      </c>
      <c r="D819" s="16" t="s">
        <v>273</v>
      </c>
      <c r="E819" s="16" t="s">
        <v>2845</v>
      </c>
      <c r="F819" s="16">
        <v>0.20030000000000001</v>
      </c>
      <c r="G819" s="16"/>
      <c r="H819" s="16"/>
      <c r="I819" s="16" t="s">
        <v>273</v>
      </c>
    </row>
    <row r="820" spans="1:9" ht="28" x14ac:dyDescent="0.35">
      <c r="A820" s="16" t="s">
        <v>2846</v>
      </c>
      <c r="B820" s="17" t="s">
        <v>2847</v>
      </c>
      <c r="C820" s="17" t="s">
        <v>2848</v>
      </c>
      <c r="D820" s="16" t="s">
        <v>273</v>
      </c>
      <c r="E820" s="16" t="s">
        <v>2849</v>
      </c>
      <c r="F820" s="16">
        <v>0.48880000000000001</v>
      </c>
      <c r="G820" s="16" t="s">
        <v>2850</v>
      </c>
      <c r="H820" s="16" t="s">
        <v>512</v>
      </c>
      <c r="I820" s="16" t="s">
        <v>273</v>
      </c>
    </row>
    <row r="821" spans="1:9" ht="182" x14ac:dyDescent="0.35">
      <c r="A821" s="16" t="s">
        <v>2851</v>
      </c>
      <c r="B821" s="17" t="s">
        <v>2852</v>
      </c>
      <c r="C821" s="17" t="s">
        <v>2853</v>
      </c>
      <c r="D821" s="16" t="s">
        <v>186</v>
      </c>
      <c r="E821" s="16" t="s">
        <v>262</v>
      </c>
      <c r="F821" s="16">
        <v>0.48</v>
      </c>
      <c r="G821" s="16" t="s">
        <v>263</v>
      </c>
      <c r="H821" s="16"/>
      <c r="I821" s="16" t="s">
        <v>186</v>
      </c>
    </row>
    <row r="822" spans="1:9" ht="28" x14ac:dyDescent="0.35">
      <c r="A822" s="16" t="s">
        <v>2854</v>
      </c>
      <c r="B822" s="17" t="s">
        <v>2855</v>
      </c>
      <c r="C822" s="17" t="s">
        <v>2856</v>
      </c>
      <c r="D822" s="16" t="s">
        <v>5</v>
      </c>
      <c r="E822" s="16" t="s">
        <v>67</v>
      </c>
      <c r="F822" s="16">
        <v>0.8</v>
      </c>
      <c r="G822" s="16"/>
      <c r="H822" s="16"/>
      <c r="I822" s="16" t="s">
        <v>5</v>
      </c>
    </row>
    <row r="823" spans="1:9" x14ac:dyDescent="0.35">
      <c r="A823" s="16" t="s">
        <v>2857</v>
      </c>
      <c r="B823" s="17" t="s">
        <v>2858</v>
      </c>
      <c r="C823" s="17"/>
      <c r="D823" s="16"/>
      <c r="E823" s="16"/>
      <c r="F823" s="16"/>
      <c r="G823" s="16"/>
      <c r="H823" s="16"/>
      <c r="I823" s="16" t="s">
        <v>633</v>
      </c>
    </row>
    <row r="824" spans="1:9" x14ac:dyDescent="0.35">
      <c r="A824" s="16" t="s">
        <v>2859</v>
      </c>
      <c r="B824" s="17" t="s">
        <v>2831</v>
      </c>
      <c r="C824" s="17" t="s">
        <v>67</v>
      </c>
      <c r="D824" s="16" t="s">
        <v>22</v>
      </c>
      <c r="E824" s="16" t="s">
        <v>67</v>
      </c>
      <c r="F824" s="16">
        <v>1</v>
      </c>
      <c r="G824" s="16"/>
      <c r="H824" s="16"/>
      <c r="I824" s="16" t="s">
        <v>22</v>
      </c>
    </row>
    <row r="825" spans="1:9" ht="70" x14ac:dyDescent="0.35">
      <c r="A825" s="16" t="s">
        <v>2860</v>
      </c>
      <c r="B825" s="17" t="s">
        <v>361</v>
      </c>
      <c r="C825" s="17" t="s">
        <v>2832</v>
      </c>
      <c r="D825" s="16" t="s">
        <v>273</v>
      </c>
      <c r="E825" s="16" t="s">
        <v>2833</v>
      </c>
      <c r="F825" s="16">
        <v>0.45629999999999998</v>
      </c>
      <c r="G825" s="16" t="s">
        <v>370</v>
      </c>
      <c r="H825" s="16" t="s">
        <v>2834</v>
      </c>
      <c r="I825" s="16" t="s">
        <v>273</v>
      </c>
    </row>
    <row r="826" spans="1:9" ht="28" x14ac:dyDescent="0.35">
      <c r="A826" s="16" t="s">
        <v>2861</v>
      </c>
      <c r="B826" s="17" t="s">
        <v>2836</v>
      </c>
      <c r="C826" s="17" t="s">
        <v>2837</v>
      </c>
      <c r="D826" s="16" t="s">
        <v>273</v>
      </c>
      <c r="E826" s="16" t="s">
        <v>512</v>
      </c>
      <c r="F826" s="16">
        <v>0.37840000000000001</v>
      </c>
      <c r="G826" s="16" t="s">
        <v>513</v>
      </c>
      <c r="H826" s="16" t="s">
        <v>2838</v>
      </c>
      <c r="I826" s="16" t="s">
        <v>273</v>
      </c>
    </row>
    <row r="827" spans="1:9" ht="42" x14ac:dyDescent="0.35">
      <c r="A827" s="16" t="s">
        <v>2862</v>
      </c>
      <c r="B827" s="17" t="s">
        <v>2863</v>
      </c>
      <c r="C827" s="17" t="s">
        <v>2864</v>
      </c>
      <c r="D827" s="16" t="s">
        <v>273</v>
      </c>
      <c r="E827" s="16" t="s">
        <v>1959</v>
      </c>
      <c r="F827" s="16">
        <v>0.30230000000000001</v>
      </c>
      <c r="G827" s="16" t="s">
        <v>512</v>
      </c>
      <c r="H827" s="16" t="s">
        <v>514</v>
      </c>
      <c r="I827" s="16" t="s">
        <v>273</v>
      </c>
    </row>
    <row r="828" spans="1:9" x14ac:dyDescent="0.35">
      <c r="A828" s="16" t="s">
        <v>2865</v>
      </c>
      <c r="B828" s="17" t="s">
        <v>2866</v>
      </c>
      <c r="C828" s="17" t="s">
        <v>2867</v>
      </c>
      <c r="D828" s="16" t="s">
        <v>273</v>
      </c>
      <c r="E828" s="16" t="s">
        <v>512</v>
      </c>
      <c r="F828" s="16">
        <v>0.41120000000000001</v>
      </c>
      <c r="G828" s="16" t="s">
        <v>513</v>
      </c>
      <c r="H828" s="16" t="s">
        <v>1972</v>
      </c>
      <c r="I828" s="16" t="s">
        <v>273</v>
      </c>
    </row>
    <row r="829" spans="1:9" ht="28" x14ac:dyDescent="0.35">
      <c r="A829" s="16" t="s">
        <v>2868</v>
      </c>
      <c r="B829" s="17" t="s">
        <v>2847</v>
      </c>
      <c r="C829" s="17" t="s">
        <v>2848</v>
      </c>
      <c r="D829" s="16" t="s">
        <v>273</v>
      </c>
      <c r="E829" s="16" t="s">
        <v>2849</v>
      </c>
      <c r="F829" s="16">
        <v>0.48880000000000001</v>
      </c>
      <c r="G829" s="16" t="s">
        <v>2850</v>
      </c>
      <c r="H829" s="16" t="s">
        <v>512</v>
      </c>
      <c r="I829" s="16" t="s">
        <v>273</v>
      </c>
    </row>
    <row r="830" spans="1:9" ht="168" x14ac:dyDescent="0.35">
      <c r="A830" s="16" t="s">
        <v>264</v>
      </c>
      <c r="B830" s="17" t="s">
        <v>259</v>
      </c>
      <c r="C830" s="17" t="s">
        <v>258</v>
      </c>
      <c r="D830" s="16" t="s">
        <v>186</v>
      </c>
      <c r="E830" s="16" t="s">
        <v>262</v>
      </c>
      <c r="F830" s="16">
        <v>0.48</v>
      </c>
      <c r="G830" s="16" t="s">
        <v>263</v>
      </c>
      <c r="H830" s="16"/>
      <c r="I830" s="16" t="s">
        <v>186</v>
      </c>
    </row>
    <row r="831" spans="1:9" x14ac:dyDescent="0.35">
      <c r="A831" s="16" t="s">
        <v>2869</v>
      </c>
      <c r="B831" s="17" t="s">
        <v>2831</v>
      </c>
      <c r="C831" s="17" t="s">
        <v>67</v>
      </c>
      <c r="D831" s="16" t="s">
        <v>22</v>
      </c>
      <c r="E831" s="16" t="s">
        <v>67</v>
      </c>
      <c r="F831" s="16">
        <v>1</v>
      </c>
      <c r="G831" s="16"/>
      <c r="H831" s="16"/>
      <c r="I831" s="16" t="s">
        <v>22</v>
      </c>
    </row>
    <row r="832" spans="1:9" x14ac:dyDescent="0.35">
      <c r="A832" s="16" t="s">
        <v>2870</v>
      </c>
      <c r="B832" s="17" t="s">
        <v>2871</v>
      </c>
      <c r="C832" s="17" t="s">
        <v>67</v>
      </c>
      <c r="D832" s="16" t="s">
        <v>22</v>
      </c>
      <c r="E832" s="16" t="s">
        <v>67</v>
      </c>
      <c r="F832" s="16">
        <v>1</v>
      </c>
      <c r="G832" s="16"/>
      <c r="H832" s="16"/>
      <c r="I832" s="16" t="s">
        <v>22</v>
      </c>
    </row>
    <row r="833" spans="1:9" ht="28" x14ac:dyDescent="0.35">
      <c r="A833" s="16" t="s">
        <v>2872</v>
      </c>
      <c r="B833" s="17" t="s">
        <v>2855</v>
      </c>
      <c r="C833" s="17" t="s">
        <v>2856</v>
      </c>
      <c r="D833" s="16" t="s">
        <v>5</v>
      </c>
      <c r="E833" s="16" t="s">
        <v>67</v>
      </c>
      <c r="F833" s="16">
        <v>0.8</v>
      </c>
      <c r="G833" s="16"/>
      <c r="H833" s="16"/>
      <c r="I833" s="16" t="s">
        <v>5</v>
      </c>
    </row>
    <row r="834" spans="1:9" x14ac:dyDescent="0.35">
      <c r="A834" s="16" t="s">
        <v>2873</v>
      </c>
      <c r="B834" s="17" t="s">
        <v>2793</v>
      </c>
      <c r="C834" s="17" t="s">
        <v>67</v>
      </c>
      <c r="D834" s="16" t="s">
        <v>22</v>
      </c>
      <c r="E834" s="16" t="s">
        <v>67</v>
      </c>
      <c r="F834" s="16">
        <v>1</v>
      </c>
      <c r="G834" s="16"/>
      <c r="H834" s="16"/>
      <c r="I834" s="16" t="s">
        <v>22</v>
      </c>
    </row>
    <row r="835" spans="1:9" x14ac:dyDescent="0.35">
      <c r="A835" s="16" t="s">
        <v>2874</v>
      </c>
      <c r="B835" s="17" t="s">
        <v>2875</v>
      </c>
      <c r="C835" s="17" t="s">
        <v>67</v>
      </c>
      <c r="D835" s="16" t="s">
        <v>22</v>
      </c>
      <c r="E835" s="16" t="s">
        <v>67</v>
      </c>
      <c r="F835" s="16">
        <v>1</v>
      </c>
      <c r="G835" s="16"/>
      <c r="H835" s="16"/>
      <c r="I835" s="16" t="s">
        <v>22</v>
      </c>
    </row>
    <row r="836" spans="1:9" x14ac:dyDescent="0.35">
      <c r="A836" s="16" t="s">
        <v>2876</v>
      </c>
      <c r="B836" s="17" t="s">
        <v>2255</v>
      </c>
      <c r="C836" s="17" t="s">
        <v>2255</v>
      </c>
      <c r="D836" s="16" t="s">
        <v>273</v>
      </c>
      <c r="E836" s="16" t="s">
        <v>378</v>
      </c>
      <c r="F836" s="16">
        <v>0.27429999999999999</v>
      </c>
      <c r="G836" s="16" t="s">
        <v>2256</v>
      </c>
      <c r="H836" s="16" t="s">
        <v>2257</v>
      </c>
      <c r="I836" s="16" t="s">
        <v>273</v>
      </c>
    </row>
    <row r="837" spans="1:9" ht="28" x14ac:dyDescent="0.35">
      <c r="A837" s="16" t="s">
        <v>2877</v>
      </c>
      <c r="B837" s="17" t="s">
        <v>2878</v>
      </c>
      <c r="C837" s="17" t="s">
        <v>2879</v>
      </c>
      <c r="D837" s="16" t="s">
        <v>273</v>
      </c>
      <c r="E837" s="16" t="s">
        <v>520</v>
      </c>
      <c r="F837" s="16">
        <v>0.40450000000000003</v>
      </c>
      <c r="G837" s="16" t="s">
        <v>2880</v>
      </c>
      <c r="H837" s="16" t="s">
        <v>1958</v>
      </c>
      <c r="I837" s="16" t="s">
        <v>273</v>
      </c>
    </row>
    <row r="838" spans="1:9" x14ac:dyDescent="0.35">
      <c r="A838" s="16" t="s">
        <v>2881</v>
      </c>
      <c r="B838" s="17"/>
      <c r="C838" s="17"/>
      <c r="D838" s="16"/>
      <c r="E838" s="16"/>
      <c r="F838" s="16"/>
      <c r="G838" s="16"/>
      <c r="H838" s="16"/>
      <c r="I838" s="16" t="s">
        <v>698</v>
      </c>
    </row>
    <row r="839" spans="1:9" x14ac:dyDescent="0.35">
      <c r="A839" s="16" t="s">
        <v>2882</v>
      </c>
      <c r="B839" s="17" t="s">
        <v>2883</v>
      </c>
      <c r="C839" s="17" t="s">
        <v>2883</v>
      </c>
      <c r="D839" s="16" t="s">
        <v>273</v>
      </c>
      <c r="E839" s="16" t="s">
        <v>2884</v>
      </c>
      <c r="F839" s="16">
        <v>0.45550000000000002</v>
      </c>
      <c r="G839" s="16" t="s">
        <v>1630</v>
      </c>
      <c r="H839" s="16" t="s">
        <v>2885</v>
      </c>
      <c r="I839" s="16" t="s">
        <v>273</v>
      </c>
    </row>
    <row r="840" spans="1:9" ht="28" x14ac:dyDescent="0.35">
      <c r="A840" s="16" t="s">
        <v>2886</v>
      </c>
      <c r="B840" s="17" t="s">
        <v>2887</v>
      </c>
      <c r="C840" s="17" t="s">
        <v>2888</v>
      </c>
      <c r="D840" s="16" t="s">
        <v>5</v>
      </c>
      <c r="E840" s="16" t="s">
        <v>67</v>
      </c>
      <c r="F840" s="16">
        <v>0.8</v>
      </c>
      <c r="G840" s="16" t="s">
        <v>512</v>
      </c>
      <c r="H840" s="16" t="s">
        <v>513</v>
      </c>
      <c r="I840" s="16" t="s">
        <v>5</v>
      </c>
    </row>
    <row r="841" spans="1:9" x14ac:dyDescent="0.35">
      <c r="A841" s="16" t="s">
        <v>2889</v>
      </c>
      <c r="B841" s="17" t="s">
        <v>2890</v>
      </c>
      <c r="C841" s="17" t="s">
        <v>2891</v>
      </c>
      <c r="D841" s="16" t="s">
        <v>5</v>
      </c>
      <c r="E841" s="16" t="s">
        <v>774</v>
      </c>
      <c r="F841" s="16">
        <v>0.8</v>
      </c>
      <c r="G841" s="16"/>
      <c r="H841" s="16"/>
      <c r="I841" s="16" t="s">
        <v>5</v>
      </c>
    </row>
    <row r="842" spans="1:9" ht="28" x14ac:dyDescent="0.35">
      <c r="A842" s="16" t="s">
        <v>2892</v>
      </c>
      <c r="B842" s="17" t="s">
        <v>2893</v>
      </c>
      <c r="C842" s="17" t="s">
        <v>2894</v>
      </c>
      <c r="D842" s="16" t="s">
        <v>273</v>
      </c>
      <c r="E842" s="16" t="s">
        <v>512</v>
      </c>
      <c r="F842" s="16">
        <v>0.39029999999999998</v>
      </c>
      <c r="G842" s="16" t="s">
        <v>513</v>
      </c>
      <c r="H842" s="16" t="s">
        <v>1972</v>
      </c>
      <c r="I842" s="16" t="s">
        <v>273</v>
      </c>
    </row>
    <row r="843" spans="1:9" x14ac:dyDescent="0.35">
      <c r="A843" s="16" t="s">
        <v>2895</v>
      </c>
      <c r="B843" s="17" t="s">
        <v>2806</v>
      </c>
      <c r="C843" s="17" t="s">
        <v>2807</v>
      </c>
      <c r="D843" s="16" t="s">
        <v>5</v>
      </c>
      <c r="E843" s="16" t="s">
        <v>80</v>
      </c>
      <c r="F843" s="16">
        <v>0.8</v>
      </c>
      <c r="G843" s="16"/>
      <c r="H843" s="16"/>
      <c r="I843" s="16" t="s">
        <v>5</v>
      </c>
    </row>
    <row r="844" spans="1:9" x14ac:dyDescent="0.35">
      <c r="A844" s="16" t="s">
        <v>2896</v>
      </c>
      <c r="B844" s="17"/>
      <c r="C844" s="17"/>
      <c r="D844" s="16"/>
      <c r="E844" s="16"/>
      <c r="F844" s="16"/>
      <c r="G844" s="16"/>
      <c r="H844" s="16"/>
      <c r="I844" s="16" t="s">
        <v>698</v>
      </c>
    </row>
    <row r="845" spans="1:9" ht="28" x14ac:dyDescent="0.35">
      <c r="A845" s="16" t="s">
        <v>2897</v>
      </c>
      <c r="B845" s="17" t="s">
        <v>2898</v>
      </c>
      <c r="C845" s="17" t="s">
        <v>2898</v>
      </c>
      <c r="D845" s="16" t="s">
        <v>273</v>
      </c>
      <c r="E845" s="16" t="s">
        <v>2899</v>
      </c>
      <c r="F845" s="16">
        <v>0.26500000000000001</v>
      </c>
      <c r="G845" s="16" t="s">
        <v>514</v>
      </c>
      <c r="H845" s="16" t="s">
        <v>2244</v>
      </c>
      <c r="I845" s="16" t="s">
        <v>273</v>
      </c>
    </row>
    <row r="846" spans="1:9" ht="28" x14ac:dyDescent="0.35">
      <c r="A846" s="16" t="s">
        <v>2900</v>
      </c>
      <c r="B846" s="17" t="s">
        <v>2901</v>
      </c>
      <c r="C846" s="17" t="s">
        <v>2901</v>
      </c>
      <c r="D846" s="16" t="s">
        <v>273</v>
      </c>
      <c r="E846" s="16" t="s">
        <v>2902</v>
      </c>
      <c r="F846" s="16">
        <v>0.29170000000000001</v>
      </c>
      <c r="G846" s="16" t="s">
        <v>2903</v>
      </c>
      <c r="H846" s="16" t="s">
        <v>2904</v>
      </c>
      <c r="I846" s="16" t="s">
        <v>273</v>
      </c>
    </row>
    <row r="847" spans="1:9" x14ac:dyDescent="0.35">
      <c r="A847" s="16" t="s">
        <v>2905</v>
      </c>
      <c r="B847" s="17" t="s">
        <v>2906</v>
      </c>
      <c r="C847" s="17" t="s">
        <v>2907</v>
      </c>
      <c r="D847" s="16" t="s">
        <v>273</v>
      </c>
      <c r="E847" s="16" t="s">
        <v>2908</v>
      </c>
      <c r="F847" s="16">
        <v>0.44169999999999998</v>
      </c>
      <c r="G847" s="16" t="s">
        <v>1554</v>
      </c>
      <c r="H847" s="16" t="s">
        <v>2909</v>
      </c>
      <c r="I847" s="16" t="s">
        <v>273</v>
      </c>
    </row>
    <row r="848" spans="1:9" ht="28" x14ac:dyDescent="0.35">
      <c r="A848" s="16" t="s">
        <v>2910</v>
      </c>
      <c r="B848" s="17" t="s">
        <v>2911</v>
      </c>
      <c r="C848" s="17" t="s">
        <v>2911</v>
      </c>
      <c r="D848" s="16" t="s">
        <v>273</v>
      </c>
      <c r="E848" s="16" t="s">
        <v>513</v>
      </c>
      <c r="F848" s="16">
        <v>0.25209999999999999</v>
      </c>
      <c r="G848" s="16" t="s">
        <v>512</v>
      </c>
      <c r="H848" s="16" t="s">
        <v>514</v>
      </c>
      <c r="I848" s="16" t="s">
        <v>273</v>
      </c>
    </row>
    <row r="849" spans="1:9" x14ac:dyDescent="0.35">
      <c r="A849" s="16" t="s">
        <v>2912</v>
      </c>
      <c r="B849" s="17" t="s">
        <v>509</v>
      </c>
      <c r="C849" s="17" t="s">
        <v>509</v>
      </c>
      <c r="D849" s="16" t="s">
        <v>273</v>
      </c>
      <c r="E849" s="16" t="s">
        <v>512</v>
      </c>
      <c r="F849" s="16">
        <v>0.47089999999999999</v>
      </c>
      <c r="G849" s="16" t="s">
        <v>513</v>
      </c>
      <c r="H849" s="16" t="s">
        <v>514</v>
      </c>
      <c r="I849" s="16" t="s">
        <v>273</v>
      </c>
    </row>
    <row r="850" spans="1:9" x14ac:dyDescent="0.35">
      <c r="A850" s="16" t="s">
        <v>2913</v>
      </c>
      <c r="B850" s="17" t="s">
        <v>2914</v>
      </c>
      <c r="C850" s="17"/>
      <c r="D850" s="16"/>
      <c r="E850" s="16"/>
      <c r="F850" s="16"/>
      <c r="G850" s="16"/>
      <c r="H850" s="16"/>
      <c r="I850" s="16" t="s">
        <v>633</v>
      </c>
    </row>
    <row r="851" spans="1:9" x14ac:dyDescent="0.35">
      <c r="A851" s="16" t="s">
        <v>2915</v>
      </c>
      <c r="B851" s="17" t="s">
        <v>2916</v>
      </c>
      <c r="C851" s="17" t="s">
        <v>2917</v>
      </c>
      <c r="D851" s="16" t="s">
        <v>273</v>
      </c>
      <c r="E851" s="16" t="s">
        <v>1561</v>
      </c>
      <c r="F851" s="16">
        <v>0.46729999999999999</v>
      </c>
      <c r="G851" s="16" t="s">
        <v>1560</v>
      </c>
      <c r="H851" s="16" t="s">
        <v>2918</v>
      </c>
      <c r="I851" s="16" t="s">
        <v>273</v>
      </c>
    </row>
    <row r="852" spans="1:9" x14ac:dyDescent="0.35">
      <c r="A852" s="16" t="s">
        <v>2919</v>
      </c>
      <c r="B852" s="17" t="s">
        <v>509</v>
      </c>
      <c r="C852" s="17" t="s">
        <v>509</v>
      </c>
      <c r="D852" s="16" t="s">
        <v>273</v>
      </c>
      <c r="E852" s="16" t="s">
        <v>512</v>
      </c>
      <c r="F852" s="16">
        <v>0.47089999999999999</v>
      </c>
      <c r="G852" s="16" t="s">
        <v>513</v>
      </c>
      <c r="H852" s="16" t="s">
        <v>514</v>
      </c>
      <c r="I852" s="16" t="s">
        <v>273</v>
      </c>
    </row>
    <row r="853" spans="1:9" ht="28" x14ac:dyDescent="0.35">
      <c r="A853" s="16" t="s">
        <v>2920</v>
      </c>
      <c r="B853" s="17" t="s">
        <v>2921</v>
      </c>
      <c r="C853" s="17" t="s">
        <v>2922</v>
      </c>
      <c r="D853" s="16" t="s">
        <v>273</v>
      </c>
      <c r="E853" s="16" t="s">
        <v>2923</v>
      </c>
      <c r="F853" s="16">
        <v>0.30470000000000003</v>
      </c>
      <c r="G853" s="16" t="s">
        <v>2766</v>
      </c>
      <c r="H853" s="16" t="s">
        <v>1561</v>
      </c>
      <c r="I853" s="16" t="s">
        <v>273</v>
      </c>
    </row>
    <row r="854" spans="1:9" ht="28" x14ac:dyDescent="0.35">
      <c r="A854" s="16" t="s">
        <v>2924</v>
      </c>
      <c r="B854" s="17" t="s">
        <v>2925</v>
      </c>
      <c r="C854" s="17"/>
      <c r="D854" s="16"/>
      <c r="E854" s="16"/>
      <c r="F854" s="16"/>
      <c r="G854" s="16"/>
      <c r="H854" s="16"/>
      <c r="I854" s="16" t="s">
        <v>633</v>
      </c>
    </row>
    <row r="855" spans="1:9" x14ac:dyDescent="0.35">
      <c r="A855" s="16" t="s">
        <v>2926</v>
      </c>
      <c r="B855" s="17" t="s">
        <v>2927</v>
      </c>
      <c r="C855" s="17" t="s">
        <v>2927</v>
      </c>
      <c r="D855" s="16" t="s">
        <v>5</v>
      </c>
      <c r="E855" s="16" t="s">
        <v>67</v>
      </c>
      <c r="F855" s="16">
        <v>0.8</v>
      </c>
      <c r="G855" s="16"/>
      <c r="H855" s="16"/>
      <c r="I855" s="16" t="s">
        <v>5</v>
      </c>
    </row>
    <row r="856" spans="1:9" ht="56" x14ac:dyDescent="0.35">
      <c r="A856" s="16" t="s">
        <v>2928</v>
      </c>
      <c r="B856" s="17" t="s">
        <v>2929</v>
      </c>
      <c r="C856" s="17" t="s">
        <v>2930</v>
      </c>
      <c r="D856" s="16" t="s">
        <v>273</v>
      </c>
      <c r="E856" s="16" t="s">
        <v>1959</v>
      </c>
      <c r="F856" s="16">
        <v>0.31080000000000002</v>
      </c>
      <c r="G856" s="16" t="s">
        <v>512</v>
      </c>
      <c r="H856" s="16" t="s">
        <v>513</v>
      </c>
      <c r="I856" s="16" t="s">
        <v>273</v>
      </c>
    </row>
    <row r="857" spans="1:9" x14ac:dyDescent="0.35">
      <c r="A857" s="16" t="s">
        <v>2931</v>
      </c>
      <c r="B857" s="17" t="s">
        <v>2932</v>
      </c>
      <c r="C857" s="17" t="s">
        <v>2204</v>
      </c>
      <c r="D857" s="16" t="s">
        <v>273</v>
      </c>
      <c r="E857" s="16" t="s">
        <v>513</v>
      </c>
      <c r="F857" s="16">
        <v>0.4289</v>
      </c>
      <c r="G857" s="16" t="s">
        <v>67</v>
      </c>
      <c r="H857" s="16" t="s">
        <v>2205</v>
      </c>
      <c r="I857" s="16" t="s">
        <v>273</v>
      </c>
    </row>
    <row r="858" spans="1:9" x14ac:dyDescent="0.35">
      <c r="A858" s="16" t="s">
        <v>2933</v>
      </c>
      <c r="B858" s="17"/>
      <c r="C858" s="17"/>
      <c r="D858" s="16"/>
      <c r="E858" s="16"/>
      <c r="F858" s="16"/>
      <c r="G858" s="16"/>
      <c r="H858" s="16"/>
      <c r="I858" s="16" t="s">
        <v>698</v>
      </c>
    </row>
    <row r="859" spans="1:9" x14ac:dyDescent="0.35">
      <c r="A859" s="16" t="s">
        <v>2934</v>
      </c>
      <c r="B859" s="17" t="s">
        <v>510</v>
      </c>
      <c r="C859" s="17" t="s">
        <v>509</v>
      </c>
      <c r="D859" s="16" t="s">
        <v>273</v>
      </c>
      <c r="E859" s="16" t="s">
        <v>512</v>
      </c>
      <c r="F859" s="16">
        <v>0.47089999999999999</v>
      </c>
      <c r="G859" s="16" t="s">
        <v>513</v>
      </c>
      <c r="H859" s="16" t="s">
        <v>514</v>
      </c>
      <c r="I859" s="16" t="s">
        <v>273</v>
      </c>
    </row>
    <row r="860" spans="1:9" x14ac:dyDescent="0.35">
      <c r="A860" s="16" t="s">
        <v>2935</v>
      </c>
      <c r="B860" s="17" t="s">
        <v>2936</v>
      </c>
      <c r="C860" s="17" t="s">
        <v>2937</v>
      </c>
      <c r="D860" s="16" t="s">
        <v>22</v>
      </c>
      <c r="E860" s="16" t="s">
        <v>2633</v>
      </c>
      <c r="F860" s="16">
        <v>1</v>
      </c>
      <c r="G860" s="16"/>
      <c r="H860" s="16"/>
      <c r="I860" s="16" t="s">
        <v>22</v>
      </c>
    </row>
    <row r="861" spans="1:9" ht="28" x14ac:dyDescent="0.35">
      <c r="A861" s="16" t="s">
        <v>2938</v>
      </c>
      <c r="B861" s="17" t="s">
        <v>2939</v>
      </c>
      <c r="C861" s="17" t="s">
        <v>2940</v>
      </c>
      <c r="D861" s="16" t="s">
        <v>273</v>
      </c>
      <c r="E861" s="16" t="s">
        <v>1959</v>
      </c>
      <c r="F861" s="16">
        <v>0.38369999999999999</v>
      </c>
      <c r="G861" s="16" t="s">
        <v>1958</v>
      </c>
      <c r="H861" s="16" t="s">
        <v>513</v>
      </c>
      <c r="I861" s="16" t="s">
        <v>273</v>
      </c>
    </row>
    <row r="862" spans="1:9" x14ac:dyDescent="0.35">
      <c r="A862" s="16" t="s">
        <v>2941</v>
      </c>
      <c r="B862" s="17" t="s">
        <v>2942</v>
      </c>
      <c r="C862" s="17" t="s">
        <v>2943</v>
      </c>
      <c r="D862" s="16" t="s">
        <v>273</v>
      </c>
      <c r="E862" s="16" t="s">
        <v>1959</v>
      </c>
      <c r="F862" s="16">
        <v>0.46300000000000002</v>
      </c>
      <c r="G862" s="16" t="s">
        <v>512</v>
      </c>
      <c r="H862" s="16" t="s">
        <v>1972</v>
      </c>
      <c r="I862" s="16" t="s">
        <v>273</v>
      </c>
    </row>
    <row r="863" spans="1:9" ht="70" x14ac:dyDescent="0.35">
      <c r="A863" s="16" t="s">
        <v>2944</v>
      </c>
      <c r="B863" s="17" t="s">
        <v>2945</v>
      </c>
      <c r="C863" s="17" t="s">
        <v>2946</v>
      </c>
      <c r="D863" s="16"/>
      <c r="E863" s="16"/>
      <c r="F863" s="16"/>
      <c r="G863" s="16"/>
      <c r="H863" s="16"/>
      <c r="I863" s="16" t="s">
        <v>633</v>
      </c>
    </row>
    <row r="864" spans="1:9" x14ac:dyDescent="0.35">
      <c r="A864" s="16" t="s">
        <v>2947</v>
      </c>
      <c r="B864" s="17" t="s">
        <v>510</v>
      </c>
      <c r="C864" s="17" t="s">
        <v>509</v>
      </c>
      <c r="D864" s="16" t="s">
        <v>273</v>
      </c>
      <c r="E864" s="16" t="s">
        <v>512</v>
      </c>
      <c r="F864" s="16">
        <v>0.47089999999999999</v>
      </c>
      <c r="G864" s="16" t="s">
        <v>513</v>
      </c>
      <c r="H864" s="16" t="s">
        <v>514</v>
      </c>
      <c r="I864" s="16" t="s">
        <v>273</v>
      </c>
    </row>
    <row r="865" spans="1:9" x14ac:dyDescent="0.35">
      <c r="A865" s="16" t="s">
        <v>2948</v>
      </c>
      <c r="B865" s="17" t="s">
        <v>2949</v>
      </c>
      <c r="C865" s="17" t="s">
        <v>2950</v>
      </c>
      <c r="D865" s="16" t="s">
        <v>5</v>
      </c>
      <c r="E865" s="16" t="s">
        <v>2633</v>
      </c>
      <c r="F865" s="16">
        <v>0.8</v>
      </c>
      <c r="G865" s="16"/>
      <c r="H865" s="16"/>
      <c r="I865" s="16" t="s">
        <v>5</v>
      </c>
    </row>
    <row r="866" spans="1:9" ht="28" x14ac:dyDescent="0.35">
      <c r="A866" s="16" t="s">
        <v>2951</v>
      </c>
      <c r="B866" s="17" t="s">
        <v>2939</v>
      </c>
      <c r="C866" s="17" t="s">
        <v>2940</v>
      </c>
      <c r="D866" s="16" t="s">
        <v>273</v>
      </c>
      <c r="E866" s="16" t="s">
        <v>1959</v>
      </c>
      <c r="F866" s="16">
        <v>0.38369999999999999</v>
      </c>
      <c r="G866" s="16" t="s">
        <v>1958</v>
      </c>
      <c r="H866" s="16" t="s">
        <v>513</v>
      </c>
      <c r="I866" s="16" t="s">
        <v>273</v>
      </c>
    </row>
    <row r="867" spans="1:9" ht="42" x14ac:dyDescent="0.35">
      <c r="A867" s="16" t="s">
        <v>2952</v>
      </c>
      <c r="B867" s="17" t="s">
        <v>2953</v>
      </c>
      <c r="C867" s="17" t="s">
        <v>2954</v>
      </c>
      <c r="D867" s="16"/>
      <c r="E867" s="16"/>
      <c r="F867" s="16"/>
      <c r="G867" s="16"/>
      <c r="H867" s="16"/>
      <c r="I867" s="16" t="s">
        <v>633</v>
      </c>
    </row>
    <row r="868" spans="1:9" x14ac:dyDescent="0.35">
      <c r="A868" s="16" t="s">
        <v>2955</v>
      </c>
      <c r="B868" s="17" t="s">
        <v>2956</v>
      </c>
      <c r="C868" s="17" t="s">
        <v>504</v>
      </c>
      <c r="D868" s="16" t="s">
        <v>273</v>
      </c>
      <c r="E868" s="16" t="s">
        <v>115</v>
      </c>
      <c r="F868" s="16">
        <v>0.48149999999999998</v>
      </c>
      <c r="G868" s="16" t="s">
        <v>43</v>
      </c>
      <c r="H868" s="16" t="s">
        <v>506</v>
      </c>
      <c r="I868" s="16" t="s">
        <v>273</v>
      </c>
    </row>
    <row r="869" spans="1:9" ht="42" x14ac:dyDescent="0.35">
      <c r="A869" s="16" t="s">
        <v>2957</v>
      </c>
      <c r="B869" s="17" t="s">
        <v>2958</v>
      </c>
      <c r="C869" s="17" t="s">
        <v>2959</v>
      </c>
      <c r="D869" s="16" t="s">
        <v>5</v>
      </c>
      <c r="E869" s="16" t="s">
        <v>86</v>
      </c>
      <c r="F869" s="16">
        <v>0.8</v>
      </c>
      <c r="G869" s="16"/>
      <c r="H869" s="16"/>
      <c r="I869" s="16" t="s">
        <v>5</v>
      </c>
    </row>
    <row r="870" spans="1:9" x14ac:dyDescent="0.35">
      <c r="A870" s="16" t="s">
        <v>2960</v>
      </c>
      <c r="B870" s="17" t="s">
        <v>2737</v>
      </c>
      <c r="C870" s="17" t="s">
        <v>2737</v>
      </c>
      <c r="D870" s="16" t="s">
        <v>273</v>
      </c>
      <c r="E870" s="16" t="s">
        <v>592</v>
      </c>
      <c r="F870" s="16">
        <v>0.37069999999999997</v>
      </c>
      <c r="G870" s="16" t="s">
        <v>591</v>
      </c>
      <c r="H870" s="16" t="s">
        <v>2738</v>
      </c>
      <c r="I870" s="16" t="s">
        <v>273</v>
      </c>
    </row>
    <row r="871" spans="1:9" ht="28" x14ac:dyDescent="0.35">
      <c r="A871" s="16" t="s">
        <v>2961</v>
      </c>
      <c r="B871" s="17" t="s">
        <v>1176</v>
      </c>
      <c r="C871" s="17" t="s">
        <v>1176</v>
      </c>
      <c r="D871" s="16" t="s">
        <v>273</v>
      </c>
      <c r="E871" s="16" t="s">
        <v>1177</v>
      </c>
      <c r="F871" s="16">
        <v>0.29049999999999998</v>
      </c>
      <c r="G871" s="16" t="s">
        <v>931</v>
      </c>
      <c r="H871" s="16" t="s">
        <v>1178</v>
      </c>
      <c r="I871" s="16" t="s">
        <v>273</v>
      </c>
    </row>
    <row r="872" spans="1:9" ht="28" x14ac:dyDescent="0.35">
      <c r="A872" s="16" t="s">
        <v>2962</v>
      </c>
      <c r="B872" s="17" t="s">
        <v>2963</v>
      </c>
      <c r="C872" s="17" t="s">
        <v>2964</v>
      </c>
      <c r="D872" s="16" t="s">
        <v>273</v>
      </c>
      <c r="E872" s="16" t="s">
        <v>1728</v>
      </c>
      <c r="F872" s="16">
        <v>0.24729999999999999</v>
      </c>
      <c r="G872" s="16" t="s">
        <v>1959</v>
      </c>
      <c r="H872" s="16" t="s">
        <v>2214</v>
      </c>
      <c r="I872" s="16" t="s">
        <v>273</v>
      </c>
    </row>
    <row r="873" spans="1:9" x14ac:dyDescent="0.35">
      <c r="A873" s="16" t="s">
        <v>2965</v>
      </c>
      <c r="B873" s="17" t="s">
        <v>2966</v>
      </c>
      <c r="C873" s="17" t="s">
        <v>497</v>
      </c>
      <c r="D873" s="16" t="s">
        <v>273</v>
      </c>
      <c r="E873" s="16" t="s">
        <v>499</v>
      </c>
      <c r="F873" s="16">
        <v>0.30249999999999999</v>
      </c>
      <c r="G873" s="16" t="s">
        <v>377</v>
      </c>
      <c r="H873" s="16" t="s">
        <v>500</v>
      </c>
      <c r="I873" s="16" t="s">
        <v>273</v>
      </c>
    </row>
    <row r="874" spans="1:9" x14ac:dyDescent="0.35">
      <c r="A874" s="16" t="s">
        <v>2967</v>
      </c>
      <c r="B874" s="17"/>
      <c r="C874" s="17"/>
      <c r="D874" s="16"/>
      <c r="E874" s="16"/>
      <c r="F874" s="16"/>
      <c r="G874" s="16"/>
      <c r="H874" s="16"/>
      <c r="I874" s="16" t="s">
        <v>698</v>
      </c>
    </row>
    <row r="875" spans="1:9" x14ac:dyDescent="0.35">
      <c r="A875" s="16" t="s">
        <v>2968</v>
      </c>
      <c r="B875" s="17" t="s">
        <v>2969</v>
      </c>
      <c r="C875" s="17"/>
      <c r="D875" s="16"/>
      <c r="E875" s="16"/>
      <c r="F875" s="16"/>
      <c r="G875" s="16"/>
      <c r="H875" s="16"/>
      <c r="I875" s="16" t="s">
        <v>633</v>
      </c>
    </row>
    <row r="876" spans="1:9" ht="28" x14ac:dyDescent="0.35">
      <c r="A876" s="16" t="s">
        <v>2970</v>
      </c>
      <c r="B876" s="17" t="s">
        <v>1176</v>
      </c>
      <c r="C876" s="17" t="s">
        <v>1176</v>
      </c>
      <c r="D876" s="16" t="s">
        <v>273</v>
      </c>
      <c r="E876" s="16" t="s">
        <v>1177</v>
      </c>
      <c r="F876" s="16">
        <v>0.29049999999999998</v>
      </c>
      <c r="G876" s="16" t="s">
        <v>931</v>
      </c>
      <c r="H876" s="16" t="s">
        <v>1178</v>
      </c>
      <c r="I876" s="16" t="s">
        <v>273</v>
      </c>
    </row>
    <row r="877" spans="1:9" ht="28" x14ac:dyDescent="0.35">
      <c r="A877" s="16" t="s">
        <v>2971</v>
      </c>
      <c r="B877" s="17" t="s">
        <v>1176</v>
      </c>
      <c r="C877" s="17" t="s">
        <v>1176</v>
      </c>
      <c r="D877" s="16" t="s">
        <v>273</v>
      </c>
      <c r="E877" s="16" t="s">
        <v>1177</v>
      </c>
      <c r="F877" s="16">
        <v>0.29049999999999998</v>
      </c>
      <c r="G877" s="16" t="s">
        <v>931</v>
      </c>
      <c r="H877" s="16" t="s">
        <v>1178</v>
      </c>
      <c r="I877" s="16" t="s">
        <v>273</v>
      </c>
    </row>
    <row r="878" spans="1:9" x14ac:dyDescent="0.35">
      <c r="A878" s="16" t="s">
        <v>2972</v>
      </c>
      <c r="B878" s="17"/>
      <c r="C878" s="17"/>
      <c r="D878" s="16"/>
      <c r="E878" s="16"/>
      <c r="F878" s="16"/>
      <c r="G878" s="16"/>
      <c r="H878" s="16"/>
      <c r="I878" s="16" t="s">
        <v>698</v>
      </c>
    </row>
    <row r="879" spans="1:9" x14ac:dyDescent="0.35">
      <c r="A879" s="16" t="s">
        <v>2973</v>
      </c>
      <c r="B879" s="17" t="s">
        <v>509</v>
      </c>
      <c r="C879" s="17" t="s">
        <v>509</v>
      </c>
      <c r="D879" s="16" t="s">
        <v>273</v>
      </c>
      <c r="E879" s="16" t="s">
        <v>512</v>
      </c>
      <c r="F879" s="16">
        <v>0.47089999999999999</v>
      </c>
      <c r="G879" s="16" t="s">
        <v>513</v>
      </c>
      <c r="H879" s="16" t="s">
        <v>514</v>
      </c>
      <c r="I879" s="16" t="s">
        <v>273</v>
      </c>
    </row>
    <row r="880" spans="1:9" x14ac:dyDescent="0.35">
      <c r="A880" s="16" t="s">
        <v>2974</v>
      </c>
      <c r="B880" s="17" t="s">
        <v>2470</v>
      </c>
      <c r="C880" s="17"/>
      <c r="D880" s="16"/>
      <c r="E880" s="16"/>
      <c r="F880" s="16"/>
      <c r="G880" s="16"/>
      <c r="H880" s="16"/>
      <c r="I880" s="16" t="s">
        <v>633</v>
      </c>
    </row>
    <row r="881" spans="1:9" x14ac:dyDescent="0.35">
      <c r="A881" s="16" t="s">
        <v>2975</v>
      </c>
      <c r="B881" s="17" t="s">
        <v>509</v>
      </c>
      <c r="C881" s="17" t="s">
        <v>509</v>
      </c>
      <c r="D881" s="16" t="s">
        <v>273</v>
      </c>
      <c r="E881" s="16" t="s">
        <v>512</v>
      </c>
      <c r="F881" s="16">
        <v>0.47089999999999999</v>
      </c>
      <c r="G881" s="16" t="s">
        <v>513</v>
      </c>
      <c r="H881" s="16" t="s">
        <v>514</v>
      </c>
      <c r="I881" s="16" t="s">
        <v>273</v>
      </c>
    </row>
    <row r="882" spans="1:9" ht="70" x14ac:dyDescent="0.35">
      <c r="A882" s="16" t="s">
        <v>2976</v>
      </c>
      <c r="B882" s="17" t="s">
        <v>2977</v>
      </c>
      <c r="C882" s="17" t="s">
        <v>2977</v>
      </c>
      <c r="D882" s="16" t="s">
        <v>5</v>
      </c>
      <c r="E882" s="16" t="s">
        <v>1882</v>
      </c>
      <c r="F882" s="16">
        <v>0.8</v>
      </c>
      <c r="G882" s="16"/>
      <c r="H882" s="16"/>
      <c r="I882" s="16" t="s">
        <v>5</v>
      </c>
    </row>
    <row r="883" spans="1:9" x14ac:dyDescent="0.35">
      <c r="A883" s="16" t="s">
        <v>2978</v>
      </c>
      <c r="B883" s="17" t="s">
        <v>2979</v>
      </c>
      <c r="C883" s="17" t="s">
        <v>2774</v>
      </c>
      <c r="D883" s="16" t="s">
        <v>273</v>
      </c>
      <c r="E883" s="16" t="s">
        <v>2775</v>
      </c>
      <c r="F883" s="16">
        <v>0.34239999999999998</v>
      </c>
      <c r="G883" s="16" t="s">
        <v>2776</v>
      </c>
      <c r="H883" s="16" t="s">
        <v>2777</v>
      </c>
      <c r="I883" s="16" t="s">
        <v>273</v>
      </c>
    </row>
    <row r="884" spans="1:9" x14ac:dyDescent="0.35">
      <c r="A884" s="16" t="s">
        <v>2980</v>
      </c>
      <c r="B884" s="17" t="s">
        <v>2981</v>
      </c>
      <c r="C884" s="17" t="s">
        <v>2982</v>
      </c>
      <c r="D884" s="16" t="s">
        <v>22</v>
      </c>
      <c r="E884" s="16" t="s">
        <v>2633</v>
      </c>
      <c r="F884" s="16">
        <v>1</v>
      </c>
      <c r="G884" s="16"/>
      <c r="H884" s="16"/>
      <c r="I884" s="16" t="s">
        <v>22</v>
      </c>
    </row>
    <row r="885" spans="1:9" x14ac:dyDescent="0.35">
      <c r="A885" s="16" t="s">
        <v>2983</v>
      </c>
      <c r="B885" s="17" t="s">
        <v>2984</v>
      </c>
      <c r="C885" s="17" t="s">
        <v>2051</v>
      </c>
      <c r="D885" s="16" t="s">
        <v>22</v>
      </c>
      <c r="E885" s="16" t="s">
        <v>2052</v>
      </c>
      <c r="F885" s="16">
        <v>1</v>
      </c>
      <c r="G885" s="16"/>
      <c r="H885" s="16"/>
      <c r="I885" s="16" t="s">
        <v>22</v>
      </c>
    </row>
    <row r="886" spans="1:9" x14ac:dyDescent="0.35">
      <c r="A886" s="16" t="s">
        <v>2985</v>
      </c>
      <c r="B886" s="17" t="s">
        <v>2986</v>
      </c>
      <c r="C886" s="17" t="s">
        <v>84</v>
      </c>
      <c r="D886" s="16" t="s">
        <v>22</v>
      </c>
      <c r="E886" s="16" t="s">
        <v>86</v>
      </c>
      <c r="F886" s="16">
        <v>1</v>
      </c>
      <c r="G886" s="16"/>
      <c r="H886" s="16"/>
      <c r="I886" s="16" t="s">
        <v>22</v>
      </c>
    </row>
    <row r="887" spans="1:9" x14ac:dyDescent="0.35">
      <c r="A887" s="16" t="s">
        <v>2987</v>
      </c>
      <c r="B887" s="17"/>
      <c r="C887" s="17"/>
      <c r="D887" s="16"/>
      <c r="E887" s="16"/>
      <c r="F887" s="16"/>
      <c r="G887" s="16"/>
      <c r="H887" s="16"/>
      <c r="I887" s="16" t="s">
        <v>698</v>
      </c>
    </row>
    <row r="888" spans="1:9" x14ac:dyDescent="0.35">
      <c r="A888" s="16" t="s">
        <v>2988</v>
      </c>
      <c r="B888" s="17" t="s">
        <v>2989</v>
      </c>
      <c r="C888" s="17" t="s">
        <v>2051</v>
      </c>
      <c r="D888" s="16" t="s">
        <v>22</v>
      </c>
      <c r="E888" s="16" t="s">
        <v>2052</v>
      </c>
      <c r="F888" s="16">
        <v>1</v>
      </c>
      <c r="G888" s="16"/>
      <c r="H888" s="16"/>
      <c r="I888" s="16" t="s">
        <v>22</v>
      </c>
    </row>
    <row r="889" spans="1:9" x14ac:dyDescent="0.35">
      <c r="A889" s="16" t="s">
        <v>2990</v>
      </c>
      <c r="B889" s="17" t="s">
        <v>2991</v>
      </c>
      <c r="C889" s="17" t="s">
        <v>2991</v>
      </c>
      <c r="D889" s="16" t="s">
        <v>273</v>
      </c>
      <c r="E889" s="16" t="s">
        <v>479</v>
      </c>
      <c r="F889" s="16">
        <v>0.36380000000000001</v>
      </c>
      <c r="G889" s="16" t="s">
        <v>2992</v>
      </c>
      <c r="H889" s="16" t="s">
        <v>2993</v>
      </c>
      <c r="I889" s="16" t="s">
        <v>273</v>
      </c>
    </row>
    <row r="890" spans="1:9" x14ac:dyDescent="0.35">
      <c r="A890" s="16" t="s">
        <v>482</v>
      </c>
      <c r="B890" s="17" t="s">
        <v>478</v>
      </c>
      <c r="C890" s="17" t="s">
        <v>477</v>
      </c>
      <c r="D890" s="16" t="s">
        <v>273</v>
      </c>
      <c r="E890" s="16" t="s">
        <v>479</v>
      </c>
      <c r="F890" s="16">
        <v>0.32369999999999999</v>
      </c>
      <c r="G890" s="16" t="s">
        <v>480</v>
      </c>
      <c r="H890" s="16" t="s">
        <v>481</v>
      </c>
      <c r="I890" s="16" t="s">
        <v>273</v>
      </c>
    </row>
    <row r="891" spans="1:9" x14ac:dyDescent="0.35">
      <c r="A891" s="16" t="s">
        <v>2994</v>
      </c>
      <c r="B891" s="17" t="s">
        <v>2995</v>
      </c>
      <c r="C891" s="17" t="s">
        <v>2996</v>
      </c>
      <c r="D891" s="16" t="s">
        <v>273</v>
      </c>
      <c r="E891" s="16" t="s">
        <v>2997</v>
      </c>
      <c r="F891" s="16">
        <v>0.27150000000000002</v>
      </c>
      <c r="G891" s="16" t="s">
        <v>2998</v>
      </c>
      <c r="H891" s="16" t="s">
        <v>1959</v>
      </c>
      <c r="I891" s="16" t="s">
        <v>273</v>
      </c>
    </row>
    <row r="892" spans="1:9" x14ac:dyDescent="0.35">
      <c r="A892" s="16" t="s">
        <v>2999</v>
      </c>
      <c r="B892" s="17" t="s">
        <v>3000</v>
      </c>
      <c r="C892" s="17" t="s">
        <v>1537</v>
      </c>
      <c r="D892" s="16" t="s">
        <v>273</v>
      </c>
      <c r="E892" s="16" t="s">
        <v>1538</v>
      </c>
      <c r="F892" s="16">
        <v>0.25700000000000001</v>
      </c>
      <c r="G892" s="16" t="s">
        <v>1539</v>
      </c>
      <c r="H892" s="16" t="s">
        <v>43</v>
      </c>
      <c r="I892" s="16" t="s">
        <v>273</v>
      </c>
    </row>
    <row r="893" spans="1:9" ht="28" x14ac:dyDescent="0.35">
      <c r="A893" s="16" t="s">
        <v>3001</v>
      </c>
      <c r="B893" s="17" t="s">
        <v>3002</v>
      </c>
      <c r="C893" s="17" t="s">
        <v>3003</v>
      </c>
      <c r="D893" s="16" t="s">
        <v>5</v>
      </c>
      <c r="E893" s="16" t="s">
        <v>86</v>
      </c>
      <c r="F893" s="16">
        <v>0.8</v>
      </c>
      <c r="G893" s="16"/>
      <c r="H893" s="16"/>
      <c r="I893" s="16" t="s">
        <v>5</v>
      </c>
    </row>
    <row r="894" spans="1:9" ht="28" x14ac:dyDescent="0.35">
      <c r="A894" s="16" t="s">
        <v>3004</v>
      </c>
      <c r="B894" s="17" t="s">
        <v>3005</v>
      </c>
      <c r="C894" s="17" t="s">
        <v>3005</v>
      </c>
      <c r="D894" s="16" t="s">
        <v>5</v>
      </c>
      <c r="E894" s="16" t="s">
        <v>86</v>
      </c>
      <c r="F894" s="16">
        <v>0.8</v>
      </c>
      <c r="G894" s="16"/>
      <c r="H894" s="16"/>
      <c r="I894" s="16" t="s">
        <v>5</v>
      </c>
    </row>
    <row r="895" spans="1:9" ht="56" x14ac:dyDescent="0.35">
      <c r="A895" s="16" t="s">
        <v>3006</v>
      </c>
      <c r="B895" s="17" t="s">
        <v>3007</v>
      </c>
      <c r="C895" s="17" t="s">
        <v>3007</v>
      </c>
      <c r="D895" s="16" t="s">
        <v>5</v>
      </c>
      <c r="E895" s="16" t="s">
        <v>3008</v>
      </c>
      <c r="F895" s="16">
        <v>0.8</v>
      </c>
      <c r="G895" s="16"/>
      <c r="H895" s="16"/>
      <c r="I895" s="16" t="s">
        <v>5</v>
      </c>
    </row>
    <row r="896" spans="1:9" ht="28" x14ac:dyDescent="0.35">
      <c r="A896" s="16" t="s">
        <v>3009</v>
      </c>
      <c r="B896" s="17" t="s">
        <v>3010</v>
      </c>
      <c r="C896" s="17" t="s">
        <v>3011</v>
      </c>
      <c r="D896" s="16" t="s">
        <v>273</v>
      </c>
      <c r="E896" s="16" t="s">
        <v>593</v>
      </c>
      <c r="F896" s="16">
        <v>0.39839999999999998</v>
      </c>
      <c r="G896" s="16" t="s">
        <v>3012</v>
      </c>
      <c r="H896" s="16" t="s">
        <v>3013</v>
      </c>
      <c r="I896" s="16" t="s">
        <v>273</v>
      </c>
    </row>
    <row r="897" spans="1:9" x14ac:dyDescent="0.35">
      <c r="A897" s="16" t="s">
        <v>3014</v>
      </c>
      <c r="B897" s="17" t="s">
        <v>3011</v>
      </c>
      <c r="C897" s="17" t="s">
        <v>3011</v>
      </c>
      <c r="D897" s="16" t="s">
        <v>273</v>
      </c>
      <c r="E897" s="16" t="s">
        <v>593</v>
      </c>
      <c r="F897" s="16">
        <v>0.39839999999999998</v>
      </c>
      <c r="G897" s="16" t="s">
        <v>3012</v>
      </c>
      <c r="H897" s="16" t="s">
        <v>3013</v>
      </c>
      <c r="I897" s="16" t="s">
        <v>273</v>
      </c>
    </row>
    <row r="898" spans="1:9" x14ac:dyDescent="0.35">
      <c r="A898" s="16" t="s">
        <v>3015</v>
      </c>
      <c r="B898" s="17" t="s">
        <v>3011</v>
      </c>
      <c r="C898" s="17" t="s">
        <v>3011</v>
      </c>
      <c r="D898" s="16" t="s">
        <v>273</v>
      </c>
      <c r="E898" s="16" t="s">
        <v>593</v>
      </c>
      <c r="F898" s="16">
        <v>0.39839999999999998</v>
      </c>
      <c r="G898" s="16" t="s">
        <v>3012</v>
      </c>
      <c r="H898" s="16" t="s">
        <v>3013</v>
      </c>
      <c r="I898" s="16" t="s">
        <v>273</v>
      </c>
    </row>
    <row r="899" spans="1:9" ht="28" x14ac:dyDescent="0.35">
      <c r="A899" s="16" t="s">
        <v>3016</v>
      </c>
      <c r="B899" s="17" t="s">
        <v>3017</v>
      </c>
      <c r="C899" s="17" t="s">
        <v>3018</v>
      </c>
      <c r="D899" s="16" t="s">
        <v>22</v>
      </c>
      <c r="E899" s="16" t="s">
        <v>3019</v>
      </c>
      <c r="F899" s="16">
        <v>1</v>
      </c>
      <c r="G899" s="16" t="s">
        <v>3020</v>
      </c>
      <c r="H899" s="16" t="s">
        <v>3021</v>
      </c>
      <c r="I899" s="16" t="s">
        <v>22</v>
      </c>
    </row>
    <row r="900" spans="1:9" x14ac:dyDescent="0.35">
      <c r="A900" s="16" t="s">
        <v>714</v>
      </c>
      <c r="B900" s="17" t="s">
        <v>713</v>
      </c>
      <c r="C900" s="17"/>
      <c r="D900" s="16"/>
      <c r="E900" s="16"/>
      <c r="F900" s="16"/>
      <c r="G900" s="16"/>
      <c r="H900" s="16"/>
      <c r="I900" s="16" t="s">
        <v>633</v>
      </c>
    </row>
    <row r="901" spans="1:9" ht="42" x14ac:dyDescent="0.35">
      <c r="A901" s="16" t="s">
        <v>3022</v>
      </c>
      <c r="B901" s="17" t="s">
        <v>3023</v>
      </c>
      <c r="C901" s="17" t="s">
        <v>3024</v>
      </c>
      <c r="D901" s="16"/>
      <c r="E901" s="16"/>
      <c r="F901" s="16"/>
      <c r="G901" s="16"/>
      <c r="H901" s="16"/>
      <c r="I901" s="16" t="s">
        <v>633</v>
      </c>
    </row>
    <row r="902" spans="1:9" x14ac:dyDescent="0.35">
      <c r="A902" s="16" t="s">
        <v>3025</v>
      </c>
      <c r="B902" s="17" t="s">
        <v>3026</v>
      </c>
      <c r="C902" s="17" t="s">
        <v>2204</v>
      </c>
      <c r="D902" s="16" t="s">
        <v>273</v>
      </c>
      <c r="E902" s="16" t="s">
        <v>513</v>
      </c>
      <c r="F902" s="16">
        <v>0.4289</v>
      </c>
      <c r="G902" s="16" t="s">
        <v>67</v>
      </c>
      <c r="H902" s="16" t="s">
        <v>2205</v>
      </c>
      <c r="I902" s="16" t="s">
        <v>273</v>
      </c>
    </row>
    <row r="903" spans="1:9" ht="70" x14ac:dyDescent="0.35">
      <c r="A903" s="16" t="s">
        <v>3027</v>
      </c>
      <c r="B903" s="17" t="s">
        <v>3028</v>
      </c>
      <c r="C903" s="17" t="s">
        <v>3029</v>
      </c>
      <c r="D903" s="16"/>
      <c r="E903" s="16"/>
      <c r="F903" s="16"/>
      <c r="G903" s="16"/>
      <c r="H903" s="16"/>
      <c r="I903" s="16" t="s">
        <v>633</v>
      </c>
    </row>
    <row r="904" spans="1:9" x14ac:dyDescent="0.35">
      <c r="A904" s="16" t="s">
        <v>3030</v>
      </c>
      <c r="B904" s="17" t="s">
        <v>3031</v>
      </c>
      <c r="C904" s="17" t="s">
        <v>2204</v>
      </c>
      <c r="D904" s="16" t="s">
        <v>273</v>
      </c>
      <c r="E904" s="16" t="s">
        <v>513</v>
      </c>
      <c r="F904" s="16">
        <v>0.4289</v>
      </c>
      <c r="G904" s="16" t="s">
        <v>67</v>
      </c>
      <c r="H904" s="16" t="s">
        <v>2205</v>
      </c>
      <c r="I904" s="16" t="s">
        <v>273</v>
      </c>
    </row>
    <row r="905" spans="1:9" x14ac:dyDescent="0.35">
      <c r="A905" s="16" t="s">
        <v>3032</v>
      </c>
      <c r="B905" s="17" t="s">
        <v>3033</v>
      </c>
      <c r="C905" s="17" t="s">
        <v>348</v>
      </c>
      <c r="D905" s="16" t="s">
        <v>273</v>
      </c>
      <c r="E905" s="16" t="s">
        <v>3034</v>
      </c>
      <c r="F905" s="16">
        <v>0.23499999999999999</v>
      </c>
      <c r="G905" s="16" t="s">
        <v>3035</v>
      </c>
      <c r="H905" s="16" t="s">
        <v>3036</v>
      </c>
      <c r="I905" s="16" t="s">
        <v>273</v>
      </c>
    </row>
    <row r="906" spans="1:9" x14ac:dyDescent="0.35">
      <c r="A906" s="16" t="s">
        <v>3037</v>
      </c>
      <c r="B906" s="17" t="s">
        <v>3038</v>
      </c>
      <c r="C906" s="17" t="s">
        <v>348</v>
      </c>
      <c r="D906" s="16" t="s">
        <v>273</v>
      </c>
      <c r="E906" s="16" t="s">
        <v>3034</v>
      </c>
      <c r="F906" s="16">
        <v>0.23499999999999999</v>
      </c>
      <c r="G906" s="16" t="s">
        <v>3035</v>
      </c>
      <c r="H906" s="16" t="s">
        <v>3036</v>
      </c>
      <c r="I906" s="16" t="s">
        <v>273</v>
      </c>
    </row>
    <row r="907" spans="1:9" x14ac:dyDescent="0.35">
      <c r="A907" s="16" t="s">
        <v>3039</v>
      </c>
      <c r="B907" s="17" t="s">
        <v>3040</v>
      </c>
      <c r="C907" s="17" t="s">
        <v>1165</v>
      </c>
      <c r="D907" s="16" t="s">
        <v>22</v>
      </c>
      <c r="E907" s="16" t="s">
        <v>86</v>
      </c>
      <c r="F907" s="16">
        <v>1</v>
      </c>
      <c r="G907" s="16"/>
      <c r="H907" s="16"/>
      <c r="I907" s="16" t="s">
        <v>22</v>
      </c>
    </row>
    <row r="908" spans="1:9" x14ac:dyDescent="0.35">
      <c r="A908" s="16" t="s">
        <v>3041</v>
      </c>
      <c r="B908" s="17"/>
      <c r="C908" s="17"/>
      <c r="D908" s="16"/>
      <c r="E908" s="16"/>
      <c r="F908" s="16"/>
      <c r="G908" s="16"/>
      <c r="H908" s="16"/>
      <c r="I908" s="16" t="s">
        <v>698</v>
      </c>
    </row>
    <row r="909" spans="1:9" ht="28" x14ac:dyDescent="0.35">
      <c r="A909" s="16" t="s">
        <v>3042</v>
      </c>
      <c r="B909" s="17" t="s">
        <v>1176</v>
      </c>
      <c r="C909" s="17" t="s">
        <v>1176</v>
      </c>
      <c r="D909" s="16" t="s">
        <v>273</v>
      </c>
      <c r="E909" s="16" t="s">
        <v>1177</v>
      </c>
      <c r="F909" s="16">
        <v>0.29049999999999998</v>
      </c>
      <c r="G909" s="16" t="s">
        <v>931</v>
      </c>
      <c r="H909" s="16" t="s">
        <v>1178</v>
      </c>
      <c r="I909" s="16" t="s">
        <v>273</v>
      </c>
    </row>
    <row r="910" spans="1:9" x14ac:dyDescent="0.35">
      <c r="A910" s="16" t="s">
        <v>3043</v>
      </c>
      <c r="B910" s="17" t="s">
        <v>497</v>
      </c>
      <c r="C910" s="17" t="s">
        <v>497</v>
      </c>
      <c r="D910" s="16" t="s">
        <v>273</v>
      </c>
      <c r="E910" s="16" t="s">
        <v>499</v>
      </c>
      <c r="F910" s="16">
        <v>0.30249999999999999</v>
      </c>
      <c r="G910" s="16" t="s">
        <v>377</v>
      </c>
      <c r="H910" s="16" t="s">
        <v>500</v>
      </c>
      <c r="I910" s="16" t="s">
        <v>273</v>
      </c>
    </row>
    <row r="911" spans="1:9" x14ac:dyDescent="0.35">
      <c r="A911" s="16" t="s">
        <v>3044</v>
      </c>
      <c r="B911" s="17" t="s">
        <v>713</v>
      </c>
      <c r="C911" s="17"/>
      <c r="D911" s="16"/>
      <c r="E911" s="16"/>
      <c r="F911" s="16"/>
      <c r="G911" s="16"/>
      <c r="H911" s="16"/>
      <c r="I911" s="16" t="s">
        <v>633</v>
      </c>
    </row>
    <row r="912" spans="1:9" x14ac:dyDescent="0.35">
      <c r="A912" s="16" t="s">
        <v>3045</v>
      </c>
      <c r="B912" s="17" t="s">
        <v>713</v>
      </c>
      <c r="C912" s="17"/>
      <c r="D912" s="16"/>
      <c r="E912" s="16"/>
      <c r="F912" s="16"/>
      <c r="G912" s="16"/>
      <c r="H912" s="16"/>
      <c r="I912" s="16" t="s">
        <v>633</v>
      </c>
    </row>
    <row r="913" spans="1:9" x14ac:dyDescent="0.35">
      <c r="A913" s="16" t="s">
        <v>3046</v>
      </c>
      <c r="B913" s="17"/>
      <c r="C913" s="17"/>
      <c r="D913" s="16"/>
      <c r="E913" s="16"/>
      <c r="F913" s="16"/>
      <c r="G913" s="16"/>
      <c r="H913" s="16"/>
      <c r="I913" s="16" t="s">
        <v>698</v>
      </c>
    </row>
    <row r="914" spans="1:9" x14ac:dyDescent="0.35">
      <c r="A914" s="16" t="s">
        <v>3047</v>
      </c>
      <c r="B914" s="17" t="s">
        <v>2995</v>
      </c>
      <c r="C914" s="17" t="s">
        <v>2996</v>
      </c>
      <c r="D914" s="16" t="s">
        <v>273</v>
      </c>
      <c r="E914" s="16" t="s">
        <v>2997</v>
      </c>
      <c r="F914" s="16">
        <v>0.27150000000000002</v>
      </c>
      <c r="G914" s="16" t="s">
        <v>2998</v>
      </c>
      <c r="H914" s="16" t="s">
        <v>1959</v>
      </c>
      <c r="I914" s="16" t="s">
        <v>273</v>
      </c>
    </row>
    <row r="915" spans="1:9" x14ac:dyDescent="0.35">
      <c r="A915" s="16" t="s">
        <v>3048</v>
      </c>
      <c r="B915" s="17" t="s">
        <v>2793</v>
      </c>
      <c r="C915" s="17" t="s">
        <v>67</v>
      </c>
      <c r="D915" s="16" t="s">
        <v>22</v>
      </c>
      <c r="E915" s="16" t="s">
        <v>67</v>
      </c>
      <c r="F915" s="16">
        <v>1</v>
      </c>
      <c r="G915" s="16"/>
      <c r="H915" s="16"/>
      <c r="I915" s="16" t="s">
        <v>22</v>
      </c>
    </row>
    <row r="916" spans="1:9" ht="84" x14ac:dyDescent="0.35">
      <c r="A916" s="16" t="s">
        <v>3049</v>
      </c>
      <c r="B916" s="17" t="s">
        <v>3050</v>
      </c>
      <c r="C916" s="17" t="s">
        <v>3051</v>
      </c>
      <c r="D916" s="16" t="s">
        <v>273</v>
      </c>
      <c r="E916" s="16" t="s">
        <v>3052</v>
      </c>
      <c r="F916" s="16">
        <v>0.21240000000000001</v>
      </c>
      <c r="G916" s="16" t="s">
        <v>847</v>
      </c>
      <c r="H916" s="16"/>
      <c r="I916" s="16" t="s">
        <v>273</v>
      </c>
    </row>
    <row r="917" spans="1:9" x14ac:dyDescent="0.35">
      <c r="A917" s="16" t="s">
        <v>3053</v>
      </c>
      <c r="B917" s="17" t="s">
        <v>3054</v>
      </c>
      <c r="C917" s="17" t="s">
        <v>3055</v>
      </c>
      <c r="D917" s="16" t="s">
        <v>273</v>
      </c>
      <c r="E917" s="16" t="s">
        <v>563</v>
      </c>
      <c r="F917" s="16">
        <v>0.45979999999999999</v>
      </c>
      <c r="G917" s="16" t="s">
        <v>564</v>
      </c>
      <c r="H917" s="16" t="s">
        <v>448</v>
      </c>
      <c r="I917" s="16" t="s">
        <v>273</v>
      </c>
    </row>
    <row r="918" spans="1:9" ht="28" x14ac:dyDescent="0.35">
      <c r="A918" s="16" t="s">
        <v>221</v>
      </c>
      <c r="B918" s="17" t="s">
        <v>220</v>
      </c>
      <c r="C918" s="17" t="s">
        <v>219</v>
      </c>
      <c r="D918" s="16" t="s">
        <v>186</v>
      </c>
      <c r="E918" s="16" t="s">
        <v>197</v>
      </c>
      <c r="F918" s="16">
        <v>0.6</v>
      </c>
      <c r="G918" s="16"/>
      <c r="H918" s="16"/>
      <c r="I918" s="16" t="s">
        <v>186</v>
      </c>
    </row>
    <row r="919" spans="1:9" ht="70" x14ac:dyDescent="0.35">
      <c r="A919" s="16" t="s">
        <v>3056</v>
      </c>
      <c r="B919" s="17" t="s">
        <v>3057</v>
      </c>
      <c r="C919" s="17" t="s">
        <v>3058</v>
      </c>
      <c r="D919" s="16"/>
      <c r="E919" s="16"/>
      <c r="F919" s="16"/>
      <c r="G919" s="16"/>
      <c r="H919" s="16"/>
      <c r="I919" s="16" t="s">
        <v>633</v>
      </c>
    </row>
    <row r="920" spans="1:9" x14ac:dyDescent="0.35">
      <c r="A920" s="16" t="s">
        <v>3059</v>
      </c>
      <c r="B920" s="17" t="s">
        <v>2995</v>
      </c>
      <c r="C920" s="17" t="s">
        <v>2996</v>
      </c>
      <c r="D920" s="16" t="s">
        <v>273</v>
      </c>
      <c r="E920" s="16" t="s">
        <v>2997</v>
      </c>
      <c r="F920" s="16">
        <v>0.27150000000000002</v>
      </c>
      <c r="G920" s="16" t="s">
        <v>2998</v>
      </c>
      <c r="H920" s="16" t="s">
        <v>1959</v>
      </c>
      <c r="I920" s="16" t="s">
        <v>273</v>
      </c>
    </row>
    <row r="921" spans="1:9" ht="28" x14ac:dyDescent="0.35">
      <c r="A921" s="16" t="s">
        <v>3060</v>
      </c>
      <c r="B921" s="17" t="s">
        <v>3061</v>
      </c>
      <c r="C921" s="17" t="s">
        <v>3062</v>
      </c>
      <c r="D921" s="16" t="s">
        <v>273</v>
      </c>
      <c r="E921" s="16" t="s">
        <v>428</v>
      </c>
      <c r="F921" s="16">
        <v>0.27910000000000001</v>
      </c>
      <c r="G921" s="16"/>
      <c r="H921" s="16"/>
      <c r="I921" s="16" t="s">
        <v>273</v>
      </c>
    </row>
    <row r="922" spans="1:9" x14ac:dyDescent="0.35">
      <c r="A922" s="16" t="s">
        <v>3063</v>
      </c>
      <c r="B922" s="17" t="s">
        <v>2712</v>
      </c>
      <c r="C922" s="17" t="s">
        <v>575</v>
      </c>
      <c r="D922" s="16" t="s">
        <v>273</v>
      </c>
      <c r="E922" s="16" t="s">
        <v>577</v>
      </c>
      <c r="F922" s="16">
        <v>0.43280000000000002</v>
      </c>
      <c r="G922" s="16" t="s">
        <v>578</v>
      </c>
      <c r="H922" s="16" t="s">
        <v>579</v>
      </c>
      <c r="I922" s="16" t="s">
        <v>273</v>
      </c>
    </row>
    <row r="923" spans="1:9" x14ac:dyDescent="0.35">
      <c r="A923" s="16" t="s">
        <v>3064</v>
      </c>
      <c r="B923" s="17" t="s">
        <v>3065</v>
      </c>
      <c r="C923" s="17" t="s">
        <v>34</v>
      </c>
      <c r="D923" s="16" t="s">
        <v>22</v>
      </c>
      <c r="E923" s="16" t="s">
        <v>34</v>
      </c>
      <c r="F923" s="16">
        <v>0.8</v>
      </c>
      <c r="G923" s="16" t="s">
        <v>35</v>
      </c>
      <c r="H923" s="16"/>
      <c r="I923" s="16" t="s">
        <v>22</v>
      </c>
    </row>
    <row r="924" spans="1:9" x14ac:dyDescent="0.35">
      <c r="A924" s="16" t="s">
        <v>3066</v>
      </c>
      <c r="B924" s="17" t="s">
        <v>3067</v>
      </c>
      <c r="C924" s="17" t="s">
        <v>341</v>
      </c>
      <c r="D924" s="16" t="s">
        <v>273</v>
      </c>
      <c r="E924" s="16" t="s">
        <v>1761</v>
      </c>
      <c r="F924" s="16">
        <v>0.31569999999999998</v>
      </c>
      <c r="G924" s="16" t="s">
        <v>1762</v>
      </c>
      <c r="H924" s="16" t="s">
        <v>1763</v>
      </c>
      <c r="I924" s="16" t="s">
        <v>273</v>
      </c>
    </row>
    <row r="925" spans="1:9" x14ac:dyDescent="0.35">
      <c r="A925" s="16" t="s">
        <v>3068</v>
      </c>
      <c r="B925" s="17" t="s">
        <v>713</v>
      </c>
      <c r="C925" s="17"/>
      <c r="D925" s="16"/>
      <c r="E925" s="16"/>
      <c r="F925" s="16"/>
      <c r="G925" s="16"/>
      <c r="H925" s="16"/>
      <c r="I925" s="16" t="s">
        <v>633</v>
      </c>
    </row>
    <row r="926" spans="1:9" x14ac:dyDescent="0.35">
      <c r="A926" s="16" t="s">
        <v>3069</v>
      </c>
      <c r="B926" s="17" t="s">
        <v>3070</v>
      </c>
      <c r="C926" s="17" t="s">
        <v>3071</v>
      </c>
      <c r="D926" s="16" t="s">
        <v>273</v>
      </c>
      <c r="E926" s="16" t="s">
        <v>335</v>
      </c>
      <c r="F926" s="16">
        <v>0.31609999999999999</v>
      </c>
      <c r="G926" s="16" t="s">
        <v>1762</v>
      </c>
      <c r="H926" s="16" t="s">
        <v>190</v>
      </c>
      <c r="I926" s="16" t="s">
        <v>273</v>
      </c>
    </row>
    <row r="927" spans="1:9" x14ac:dyDescent="0.35">
      <c r="A927" s="16" t="s">
        <v>3072</v>
      </c>
      <c r="B927" s="17" t="s">
        <v>3067</v>
      </c>
      <c r="C927" s="17" t="s">
        <v>341</v>
      </c>
      <c r="D927" s="16" t="s">
        <v>273</v>
      </c>
      <c r="E927" s="16" t="s">
        <v>1761</v>
      </c>
      <c r="F927" s="16">
        <v>0.31569999999999998</v>
      </c>
      <c r="G927" s="16" t="s">
        <v>1762</v>
      </c>
      <c r="H927" s="16" t="s">
        <v>1763</v>
      </c>
      <c r="I927" s="16" t="s">
        <v>273</v>
      </c>
    </row>
    <row r="928" spans="1:9" x14ac:dyDescent="0.35">
      <c r="A928" s="16" t="s">
        <v>3073</v>
      </c>
      <c r="B928" s="17" t="s">
        <v>3067</v>
      </c>
      <c r="C928" s="17" t="s">
        <v>341</v>
      </c>
      <c r="D928" s="16" t="s">
        <v>273</v>
      </c>
      <c r="E928" s="16" t="s">
        <v>1761</v>
      </c>
      <c r="F928" s="16">
        <v>0.31569999999999998</v>
      </c>
      <c r="G928" s="16" t="s">
        <v>1762</v>
      </c>
      <c r="H928" s="16" t="s">
        <v>1763</v>
      </c>
      <c r="I928" s="16" t="s">
        <v>273</v>
      </c>
    </row>
    <row r="929" spans="1:9" x14ac:dyDescent="0.35">
      <c r="A929" s="16" t="s">
        <v>3074</v>
      </c>
      <c r="B929" s="17" t="s">
        <v>3075</v>
      </c>
      <c r="C929" s="17" t="s">
        <v>341</v>
      </c>
      <c r="D929" s="16" t="s">
        <v>273</v>
      </c>
      <c r="E929" s="16" t="s">
        <v>1761</v>
      </c>
      <c r="F929" s="16">
        <v>0.31569999999999998</v>
      </c>
      <c r="G929" s="16" t="s">
        <v>1762</v>
      </c>
      <c r="H929" s="16" t="s">
        <v>1763</v>
      </c>
      <c r="I929" s="16" t="s">
        <v>273</v>
      </c>
    </row>
    <row r="930" spans="1:9" x14ac:dyDescent="0.35">
      <c r="A930" s="16" t="s">
        <v>3076</v>
      </c>
      <c r="B930" s="17" t="s">
        <v>3077</v>
      </c>
      <c r="C930" s="17" t="s">
        <v>3078</v>
      </c>
      <c r="D930" s="16" t="s">
        <v>273</v>
      </c>
      <c r="E930" s="16" t="s">
        <v>3079</v>
      </c>
      <c r="F930" s="16">
        <v>0.24030000000000001</v>
      </c>
      <c r="G930" s="16" t="s">
        <v>3080</v>
      </c>
      <c r="H930" s="16"/>
      <c r="I930" s="16" t="s">
        <v>273</v>
      </c>
    </row>
    <row r="931" spans="1:9" x14ac:dyDescent="0.35">
      <c r="A931" s="16" t="s">
        <v>3081</v>
      </c>
      <c r="B931" s="17" t="s">
        <v>3082</v>
      </c>
      <c r="C931" s="17"/>
      <c r="D931" s="16"/>
      <c r="E931" s="16"/>
      <c r="F931" s="16"/>
      <c r="G931" s="16"/>
      <c r="H931" s="16"/>
      <c r="I931" s="16" t="s">
        <v>633</v>
      </c>
    </row>
    <row r="932" spans="1:9" ht="98" x14ac:dyDescent="0.35">
      <c r="A932" s="16" t="s">
        <v>3083</v>
      </c>
      <c r="B932" s="17" t="s">
        <v>3084</v>
      </c>
      <c r="C932" s="17" t="s">
        <v>3085</v>
      </c>
      <c r="D932" s="16"/>
      <c r="E932" s="16"/>
      <c r="F932" s="16"/>
      <c r="G932" s="16"/>
      <c r="H932" s="16"/>
      <c r="I932" s="16" t="s">
        <v>633</v>
      </c>
    </row>
    <row r="933" spans="1:9" ht="42" x14ac:dyDescent="0.35">
      <c r="A933" s="16" t="s">
        <v>3086</v>
      </c>
      <c r="B933" s="17" t="s">
        <v>3087</v>
      </c>
      <c r="C933" s="17" t="s">
        <v>3088</v>
      </c>
      <c r="D933" s="16" t="s">
        <v>273</v>
      </c>
      <c r="E933" s="16" t="s">
        <v>2265</v>
      </c>
      <c r="F933" s="16">
        <v>0.39500000000000002</v>
      </c>
      <c r="G933" s="16" t="s">
        <v>3089</v>
      </c>
      <c r="H933" s="16" t="s">
        <v>3090</v>
      </c>
      <c r="I933" s="16" t="s">
        <v>273</v>
      </c>
    </row>
    <row r="934" spans="1:9" ht="28" x14ac:dyDescent="0.35">
      <c r="A934" s="16" t="s">
        <v>3091</v>
      </c>
      <c r="B934" s="17" t="s">
        <v>3092</v>
      </c>
      <c r="C934" s="17" t="s">
        <v>3093</v>
      </c>
      <c r="D934" s="16" t="s">
        <v>273</v>
      </c>
      <c r="E934" s="16" t="s">
        <v>3089</v>
      </c>
      <c r="F934" s="16">
        <v>0.35620000000000002</v>
      </c>
      <c r="G934" s="16" t="s">
        <v>3094</v>
      </c>
      <c r="H934" s="16" t="s">
        <v>3095</v>
      </c>
      <c r="I934" s="16" t="s">
        <v>273</v>
      </c>
    </row>
    <row r="935" spans="1:9" ht="154" x14ac:dyDescent="0.35">
      <c r="A935" s="16" t="s">
        <v>3096</v>
      </c>
      <c r="B935" s="17" t="s">
        <v>3097</v>
      </c>
      <c r="C935" s="17" t="s">
        <v>3098</v>
      </c>
      <c r="D935" s="16"/>
      <c r="E935" s="16"/>
      <c r="F935" s="16"/>
      <c r="G935" s="16"/>
      <c r="H935" s="16"/>
      <c r="I935" s="16" t="s">
        <v>633</v>
      </c>
    </row>
    <row r="936" spans="1:9" ht="28" x14ac:dyDescent="0.35">
      <c r="A936" s="16" t="s">
        <v>3099</v>
      </c>
      <c r="B936" s="17" t="s">
        <v>3100</v>
      </c>
      <c r="C936" s="17" t="s">
        <v>3101</v>
      </c>
      <c r="D936" s="16" t="s">
        <v>273</v>
      </c>
      <c r="E936" s="16" t="s">
        <v>1847</v>
      </c>
      <c r="F936" s="16">
        <v>0.41370000000000001</v>
      </c>
      <c r="G936" s="16" t="s">
        <v>3102</v>
      </c>
      <c r="H936" s="16" t="s">
        <v>3103</v>
      </c>
      <c r="I936" s="16" t="s">
        <v>273</v>
      </c>
    </row>
    <row r="937" spans="1:9" x14ac:dyDescent="0.35">
      <c r="A937" s="16" t="s">
        <v>3104</v>
      </c>
      <c r="B937" s="17"/>
      <c r="C937" s="17"/>
      <c r="D937" s="16"/>
      <c r="E937" s="16"/>
      <c r="F937" s="16"/>
      <c r="G937" s="16"/>
      <c r="H937" s="16"/>
      <c r="I937" s="16" t="s">
        <v>698</v>
      </c>
    </row>
    <row r="938" spans="1:9" x14ac:dyDescent="0.35">
      <c r="A938" s="16" t="s">
        <v>3105</v>
      </c>
      <c r="B938" s="17" t="s">
        <v>3106</v>
      </c>
      <c r="C938" s="17"/>
      <c r="D938" s="16"/>
      <c r="E938" s="16"/>
      <c r="F938" s="16"/>
      <c r="G938" s="16"/>
      <c r="H938" s="16"/>
      <c r="I938" s="16" t="s">
        <v>633</v>
      </c>
    </row>
    <row r="939" spans="1:9" x14ac:dyDescent="0.35">
      <c r="A939" s="16" t="s">
        <v>3107</v>
      </c>
      <c r="B939" s="17" t="s">
        <v>3108</v>
      </c>
      <c r="C939" s="17" t="s">
        <v>3109</v>
      </c>
      <c r="D939" s="16" t="s">
        <v>273</v>
      </c>
      <c r="E939" s="16" t="s">
        <v>3110</v>
      </c>
      <c r="F939" s="16">
        <v>0.3548</v>
      </c>
      <c r="G939" s="16" t="s">
        <v>3111</v>
      </c>
      <c r="H939" s="16" t="s">
        <v>3112</v>
      </c>
      <c r="I939" s="16" t="s">
        <v>273</v>
      </c>
    </row>
    <row r="940" spans="1:9" x14ac:dyDescent="0.35">
      <c r="A940" s="16" t="s">
        <v>3113</v>
      </c>
      <c r="B940" s="17" t="s">
        <v>3054</v>
      </c>
      <c r="C940" s="17" t="s">
        <v>3055</v>
      </c>
      <c r="D940" s="16" t="s">
        <v>273</v>
      </c>
      <c r="E940" s="16" t="s">
        <v>563</v>
      </c>
      <c r="F940" s="16">
        <v>0.45979999999999999</v>
      </c>
      <c r="G940" s="16" t="s">
        <v>564</v>
      </c>
      <c r="H940" s="16" t="s">
        <v>448</v>
      </c>
      <c r="I940" s="16" t="s">
        <v>273</v>
      </c>
    </row>
    <row r="941" spans="1:9" x14ac:dyDescent="0.35">
      <c r="A941" s="16" t="s">
        <v>3114</v>
      </c>
      <c r="B941" s="17" t="s">
        <v>67</v>
      </c>
      <c r="C941" s="17" t="s">
        <v>67</v>
      </c>
      <c r="D941" s="16" t="s">
        <v>22</v>
      </c>
      <c r="E941" s="16" t="s">
        <v>67</v>
      </c>
      <c r="F941" s="16">
        <v>1</v>
      </c>
      <c r="G941" s="16"/>
      <c r="H941" s="16"/>
      <c r="I941" s="16" t="s">
        <v>22</v>
      </c>
    </row>
    <row r="942" spans="1:9" ht="84" x14ac:dyDescent="0.35">
      <c r="A942" s="16" t="s">
        <v>666</v>
      </c>
      <c r="B942" s="17" t="s">
        <v>664</v>
      </c>
      <c r="C942" s="17" t="s">
        <v>663</v>
      </c>
      <c r="D942" s="16"/>
      <c r="E942" s="16"/>
      <c r="F942" s="16"/>
      <c r="G942" s="16"/>
      <c r="H942" s="16"/>
      <c r="I942" s="16" t="s">
        <v>633</v>
      </c>
    </row>
    <row r="943" spans="1:9" ht="28" x14ac:dyDescent="0.35">
      <c r="A943" s="16" t="s">
        <v>3115</v>
      </c>
      <c r="B943" s="17" t="s">
        <v>3116</v>
      </c>
      <c r="C943" s="17" t="s">
        <v>3117</v>
      </c>
      <c r="D943" s="16" t="s">
        <v>273</v>
      </c>
      <c r="E943" s="16" t="s">
        <v>2215</v>
      </c>
      <c r="F943" s="16">
        <v>0.27489999999999998</v>
      </c>
      <c r="G943" s="16" t="s">
        <v>3118</v>
      </c>
      <c r="H943" s="16" t="s">
        <v>3119</v>
      </c>
      <c r="I943" s="16" t="s">
        <v>273</v>
      </c>
    </row>
    <row r="944" spans="1:9" ht="56" x14ac:dyDescent="0.35">
      <c r="A944" s="16" t="s">
        <v>3120</v>
      </c>
      <c r="B944" s="17" t="s">
        <v>3121</v>
      </c>
      <c r="C944" s="17" t="s">
        <v>3122</v>
      </c>
      <c r="D944" s="16" t="s">
        <v>273</v>
      </c>
      <c r="E944" s="16" t="s">
        <v>3094</v>
      </c>
      <c r="F944" s="16">
        <v>0.307</v>
      </c>
      <c r="G944" s="16" t="s">
        <v>3095</v>
      </c>
      <c r="H944" s="16" t="s">
        <v>3123</v>
      </c>
      <c r="I944" s="16" t="s">
        <v>273</v>
      </c>
    </row>
    <row r="945" spans="1:9" ht="28" x14ac:dyDescent="0.35">
      <c r="A945" s="16" t="s">
        <v>3124</v>
      </c>
      <c r="B945" s="17" t="s">
        <v>2836</v>
      </c>
      <c r="C945" s="17" t="s">
        <v>2837</v>
      </c>
      <c r="D945" s="16" t="s">
        <v>273</v>
      </c>
      <c r="E945" s="16" t="s">
        <v>512</v>
      </c>
      <c r="F945" s="16">
        <v>0.37840000000000001</v>
      </c>
      <c r="G945" s="16" t="s">
        <v>513</v>
      </c>
      <c r="H945" s="16" t="s">
        <v>2838</v>
      </c>
      <c r="I945" s="16" t="s">
        <v>273</v>
      </c>
    </row>
    <row r="946" spans="1:9" ht="28" x14ac:dyDescent="0.35">
      <c r="A946" s="16" t="s">
        <v>3125</v>
      </c>
      <c r="B946" s="17" t="s">
        <v>3126</v>
      </c>
      <c r="C946" s="17" t="s">
        <v>3127</v>
      </c>
      <c r="D946" s="16" t="s">
        <v>273</v>
      </c>
      <c r="E946" s="16" t="s">
        <v>512</v>
      </c>
      <c r="F946" s="16">
        <v>0.33639999999999998</v>
      </c>
      <c r="G946" s="16" t="s">
        <v>1959</v>
      </c>
      <c r="H946" s="16"/>
      <c r="I946" s="16" t="s">
        <v>273</v>
      </c>
    </row>
    <row r="947" spans="1:9" ht="28" x14ac:dyDescent="0.35">
      <c r="A947" s="16" t="s">
        <v>3128</v>
      </c>
      <c r="B947" s="17" t="s">
        <v>3129</v>
      </c>
      <c r="C947" s="17" t="s">
        <v>3130</v>
      </c>
      <c r="D947" s="16" t="s">
        <v>5</v>
      </c>
      <c r="E947" s="16" t="s">
        <v>67</v>
      </c>
      <c r="F947" s="16">
        <v>0.8</v>
      </c>
      <c r="G947" s="16"/>
      <c r="H947" s="16"/>
      <c r="I947" s="16" t="s">
        <v>5</v>
      </c>
    </row>
    <row r="948" spans="1:9" x14ac:dyDescent="0.35">
      <c r="A948" s="16" t="s">
        <v>3131</v>
      </c>
      <c r="B948" s="17" t="s">
        <v>3054</v>
      </c>
      <c r="C948" s="17" t="s">
        <v>3055</v>
      </c>
      <c r="D948" s="16" t="s">
        <v>273</v>
      </c>
      <c r="E948" s="16" t="s">
        <v>563</v>
      </c>
      <c r="F948" s="16">
        <v>0.45979999999999999</v>
      </c>
      <c r="G948" s="16" t="s">
        <v>564</v>
      </c>
      <c r="H948" s="16" t="s">
        <v>448</v>
      </c>
      <c r="I948" s="16" t="s">
        <v>273</v>
      </c>
    </row>
    <row r="949" spans="1:9" x14ac:dyDescent="0.35">
      <c r="A949" s="16" t="s">
        <v>3132</v>
      </c>
      <c r="B949" s="17" t="s">
        <v>3133</v>
      </c>
      <c r="C949" s="17" t="s">
        <v>3133</v>
      </c>
      <c r="D949" s="16" t="s">
        <v>273</v>
      </c>
      <c r="E949" s="16" t="s">
        <v>3134</v>
      </c>
      <c r="F949" s="16">
        <v>0.4516</v>
      </c>
      <c r="G949" s="16" t="s">
        <v>3135</v>
      </c>
      <c r="H949" s="16" t="s">
        <v>3136</v>
      </c>
      <c r="I949" s="16" t="s">
        <v>273</v>
      </c>
    </row>
    <row r="950" spans="1:9" x14ac:dyDescent="0.35">
      <c r="A950" s="16" t="s">
        <v>268</v>
      </c>
      <c r="B950" s="17" t="s">
        <v>267</v>
      </c>
      <c r="C950" s="17" t="s">
        <v>266</v>
      </c>
      <c r="D950" s="16" t="s">
        <v>186</v>
      </c>
      <c r="E950" s="16" t="s">
        <v>244</v>
      </c>
      <c r="F950" s="16">
        <v>0.6</v>
      </c>
      <c r="G950" s="16"/>
      <c r="H950" s="16"/>
      <c r="I950" s="16" t="s">
        <v>186</v>
      </c>
    </row>
    <row r="951" spans="1:9" ht="28" x14ac:dyDescent="0.35">
      <c r="A951" s="16" t="s">
        <v>3137</v>
      </c>
      <c r="B951" s="17" t="s">
        <v>3138</v>
      </c>
      <c r="C951" s="17" t="s">
        <v>3139</v>
      </c>
      <c r="D951" s="16" t="s">
        <v>273</v>
      </c>
      <c r="E951" s="16" t="s">
        <v>512</v>
      </c>
      <c r="F951" s="16">
        <v>0.38579999999999998</v>
      </c>
      <c r="G951" s="16" t="s">
        <v>2838</v>
      </c>
      <c r="H951" s="16" t="s">
        <v>3140</v>
      </c>
      <c r="I951" s="16" t="s">
        <v>273</v>
      </c>
    </row>
    <row r="952" spans="1:9" ht="28" x14ac:dyDescent="0.35">
      <c r="A952" s="16" t="s">
        <v>3141</v>
      </c>
      <c r="B952" s="17" t="s">
        <v>3142</v>
      </c>
      <c r="C952" s="17" t="s">
        <v>3142</v>
      </c>
      <c r="D952" s="16" t="s">
        <v>273</v>
      </c>
      <c r="E952" s="16" t="s">
        <v>512</v>
      </c>
      <c r="F952" s="16">
        <v>0.32500000000000001</v>
      </c>
      <c r="G952" s="16" t="s">
        <v>2838</v>
      </c>
      <c r="H952" s="16"/>
      <c r="I952" s="16" t="s">
        <v>273</v>
      </c>
    </row>
    <row r="953" spans="1:9" ht="28" x14ac:dyDescent="0.35">
      <c r="A953" s="16" t="s">
        <v>3143</v>
      </c>
      <c r="B953" s="17" t="s">
        <v>3142</v>
      </c>
      <c r="C953" s="17" t="s">
        <v>3142</v>
      </c>
      <c r="D953" s="16" t="s">
        <v>273</v>
      </c>
      <c r="E953" s="16" t="s">
        <v>512</v>
      </c>
      <c r="F953" s="16">
        <v>0.32500000000000001</v>
      </c>
      <c r="G953" s="16" t="s">
        <v>2838</v>
      </c>
      <c r="H953" s="16"/>
      <c r="I953" s="16" t="s">
        <v>273</v>
      </c>
    </row>
    <row r="954" spans="1:9" ht="28" x14ac:dyDescent="0.35">
      <c r="A954" s="16" t="s">
        <v>3144</v>
      </c>
      <c r="B954" s="17" t="s">
        <v>3138</v>
      </c>
      <c r="C954" s="17" t="s">
        <v>3139</v>
      </c>
      <c r="D954" s="16" t="s">
        <v>273</v>
      </c>
      <c r="E954" s="16" t="s">
        <v>512</v>
      </c>
      <c r="F954" s="16">
        <v>0.38579999999999998</v>
      </c>
      <c r="G954" s="16" t="s">
        <v>2838</v>
      </c>
      <c r="H954" s="16" t="s">
        <v>3140</v>
      </c>
      <c r="I954" s="16" t="s">
        <v>273</v>
      </c>
    </row>
    <row r="955" spans="1:9" ht="28" x14ac:dyDescent="0.35">
      <c r="A955" s="16" t="s">
        <v>3145</v>
      </c>
      <c r="B955" s="17" t="s">
        <v>3138</v>
      </c>
      <c r="C955" s="17" t="s">
        <v>3139</v>
      </c>
      <c r="D955" s="16" t="s">
        <v>273</v>
      </c>
      <c r="E955" s="16" t="s">
        <v>512</v>
      </c>
      <c r="F955" s="16">
        <v>0.38579999999999998</v>
      </c>
      <c r="G955" s="16" t="s">
        <v>2838</v>
      </c>
      <c r="H955" s="16" t="s">
        <v>3140</v>
      </c>
      <c r="I955" s="16" t="s">
        <v>273</v>
      </c>
    </row>
    <row r="956" spans="1:9" x14ac:dyDescent="0.35">
      <c r="A956" s="16" t="s">
        <v>3146</v>
      </c>
      <c r="B956" s="17"/>
      <c r="C956" s="17"/>
      <c r="D956" s="16"/>
      <c r="E956" s="16"/>
      <c r="F956" s="16"/>
      <c r="G956" s="16"/>
      <c r="H956" s="16"/>
      <c r="I956" s="16" t="s">
        <v>698</v>
      </c>
    </row>
    <row r="957" spans="1:9" ht="28" x14ac:dyDescent="0.35">
      <c r="A957" s="16" t="s">
        <v>3147</v>
      </c>
      <c r="B957" s="17" t="s">
        <v>3148</v>
      </c>
      <c r="C957" s="17" t="s">
        <v>3139</v>
      </c>
      <c r="D957" s="16" t="s">
        <v>273</v>
      </c>
      <c r="E957" s="16" t="s">
        <v>512</v>
      </c>
      <c r="F957" s="16">
        <v>0.38579999999999998</v>
      </c>
      <c r="G957" s="16" t="s">
        <v>2838</v>
      </c>
      <c r="H957" s="16" t="s">
        <v>3140</v>
      </c>
      <c r="I957" s="16" t="s">
        <v>273</v>
      </c>
    </row>
    <row r="958" spans="1:9" ht="42" x14ac:dyDescent="0.35">
      <c r="A958" s="16" t="s">
        <v>3149</v>
      </c>
      <c r="B958" s="17" t="s">
        <v>3150</v>
      </c>
      <c r="C958" s="17" t="s">
        <v>3151</v>
      </c>
      <c r="D958" s="16" t="s">
        <v>5</v>
      </c>
      <c r="E958" s="16" t="s">
        <v>3152</v>
      </c>
      <c r="F958" s="16">
        <v>0.8</v>
      </c>
      <c r="G958" s="16" t="s">
        <v>479</v>
      </c>
      <c r="H958" s="16" t="s">
        <v>480</v>
      </c>
      <c r="I958" s="16" t="s">
        <v>5</v>
      </c>
    </row>
    <row r="959" spans="1:9" ht="28" x14ac:dyDescent="0.35">
      <c r="A959" s="16" t="s">
        <v>3153</v>
      </c>
      <c r="B959" s="17" t="s">
        <v>3154</v>
      </c>
      <c r="C959" s="17" t="s">
        <v>3155</v>
      </c>
      <c r="D959" s="16" t="s">
        <v>273</v>
      </c>
      <c r="E959" s="16" t="s">
        <v>3156</v>
      </c>
      <c r="F959" s="16">
        <v>0.39</v>
      </c>
      <c r="G959" s="16" t="s">
        <v>3157</v>
      </c>
      <c r="H959" s="16" t="s">
        <v>3158</v>
      </c>
      <c r="I959" s="16" t="s">
        <v>273</v>
      </c>
    </row>
    <row r="960" spans="1:9" ht="28" x14ac:dyDescent="0.35">
      <c r="A960" s="16" t="s">
        <v>3159</v>
      </c>
      <c r="B960" s="17" t="s">
        <v>2836</v>
      </c>
      <c r="C960" s="17" t="s">
        <v>2837</v>
      </c>
      <c r="D960" s="16" t="s">
        <v>273</v>
      </c>
      <c r="E960" s="16" t="s">
        <v>512</v>
      </c>
      <c r="F960" s="16">
        <v>0.37840000000000001</v>
      </c>
      <c r="G960" s="16" t="s">
        <v>513</v>
      </c>
      <c r="H960" s="16" t="s">
        <v>2838</v>
      </c>
      <c r="I960" s="16" t="s">
        <v>273</v>
      </c>
    </row>
    <row r="961" spans="1:9" x14ac:dyDescent="0.35">
      <c r="A961" s="16" t="s">
        <v>3160</v>
      </c>
      <c r="B961" s="17" t="s">
        <v>1371</v>
      </c>
      <c r="C961" s="17"/>
      <c r="D961" s="16"/>
      <c r="E961" s="16"/>
      <c r="F961" s="16"/>
      <c r="G961" s="16"/>
      <c r="H961" s="16"/>
      <c r="I961" s="16" t="s">
        <v>633</v>
      </c>
    </row>
    <row r="962" spans="1:9" ht="84" x14ac:dyDescent="0.35">
      <c r="A962" s="16" t="s">
        <v>3161</v>
      </c>
      <c r="B962" s="17" t="s">
        <v>3162</v>
      </c>
      <c r="C962" s="17" t="s">
        <v>3163</v>
      </c>
      <c r="D962" s="16" t="s">
        <v>273</v>
      </c>
      <c r="E962" s="16" t="s">
        <v>512</v>
      </c>
      <c r="F962" s="16">
        <v>0.23280000000000001</v>
      </c>
      <c r="G962" s="16"/>
      <c r="H962" s="16"/>
      <c r="I962" s="16" t="s">
        <v>273</v>
      </c>
    </row>
    <row r="963" spans="1:9" ht="28" x14ac:dyDescent="0.35">
      <c r="A963" s="16" t="s">
        <v>3164</v>
      </c>
      <c r="B963" s="17" t="s">
        <v>3165</v>
      </c>
      <c r="C963" s="17" t="s">
        <v>3139</v>
      </c>
      <c r="D963" s="16" t="s">
        <v>273</v>
      </c>
      <c r="E963" s="16" t="s">
        <v>512</v>
      </c>
      <c r="F963" s="16">
        <v>0.38579999999999998</v>
      </c>
      <c r="G963" s="16" t="s">
        <v>2838</v>
      </c>
      <c r="H963" s="16" t="s">
        <v>3140</v>
      </c>
      <c r="I963" s="16" t="s">
        <v>273</v>
      </c>
    </row>
    <row r="964" spans="1:9" x14ac:dyDescent="0.35">
      <c r="A964" s="16" t="s">
        <v>3166</v>
      </c>
      <c r="B964" s="17" t="s">
        <v>3167</v>
      </c>
      <c r="C964" s="17" t="s">
        <v>3167</v>
      </c>
      <c r="D964" s="16" t="s">
        <v>273</v>
      </c>
      <c r="E964" s="16" t="s">
        <v>1160</v>
      </c>
      <c r="F964" s="16">
        <v>0.44690000000000002</v>
      </c>
      <c r="G964" s="16" t="s">
        <v>2149</v>
      </c>
      <c r="H964" s="16" t="s">
        <v>3168</v>
      </c>
      <c r="I964" s="16" t="s">
        <v>273</v>
      </c>
    </row>
    <row r="965" spans="1:9" x14ac:dyDescent="0.35">
      <c r="A965" s="16" t="s">
        <v>3169</v>
      </c>
      <c r="B965" s="17" t="s">
        <v>3170</v>
      </c>
      <c r="C965" s="17" t="s">
        <v>3171</v>
      </c>
      <c r="D965" s="16" t="s">
        <v>273</v>
      </c>
      <c r="E965" s="16" t="s">
        <v>3172</v>
      </c>
      <c r="F965" s="16">
        <v>0.38550000000000001</v>
      </c>
      <c r="G965" s="16" t="s">
        <v>1228</v>
      </c>
      <c r="H965" s="16" t="s">
        <v>464</v>
      </c>
      <c r="I965" s="16" t="s">
        <v>273</v>
      </c>
    </row>
    <row r="966" spans="1:9" x14ac:dyDescent="0.35">
      <c r="A966" s="16" t="s">
        <v>3173</v>
      </c>
      <c r="B966" s="17"/>
      <c r="C966" s="17"/>
      <c r="D966" s="16"/>
      <c r="E966" s="16"/>
      <c r="F966" s="16"/>
      <c r="G966" s="16"/>
      <c r="H966" s="16"/>
      <c r="I966" s="16" t="s">
        <v>698</v>
      </c>
    </row>
    <row r="967" spans="1:9" x14ac:dyDescent="0.35">
      <c r="A967" s="16" t="s">
        <v>723</v>
      </c>
      <c r="B967" s="17" t="s">
        <v>722</v>
      </c>
      <c r="C967" s="17"/>
      <c r="D967" s="16"/>
      <c r="E967" s="16"/>
      <c r="F967" s="16"/>
      <c r="G967" s="16"/>
      <c r="H967" s="16"/>
      <c r="I967" s="16" t="s">
        <v>633</v>
      </c>
    </row>
    <row r="968" spans="1:9" x14ac:dyDescent="0.35">
      <c r="A968" s="16" t="s">
        <v>3174</v>
      </c>
      <c r="B968" s="17" t="s">
        <v>89</v>
      </c>
      <c r="C968" s="17" t="s">
        <v>89</v>
      </c>
      <c r="D968" s="16" t="s">
        <v>22</v>
      </c>
      <c r="E968" s="16" t="s">
        <v>89</v>
      </c>
      <c r="F968" s="16">
        <v>1</v>
      </c>
      <c r="G968" s="16"/>
      <c r="H968" s="16"/>
      <c r="I968" s="16" t="s">
        <v>22</v>
      </c>
    </row>
    <row r="969" spans="1:9" x14ac:dyDescent="0.35">
      <c r="A969" s="16" t="s">
        <v>3175</v>
      </c>
      <c r="B969" s="17"/>
      <c r="C969" s="17"/>
      <c r="D969" s="16"/>
      <c r="E969" s="16"/>
      <c r="F969" s="16"/>
      <c r="G969" s="16"/>
      <c r="H969" s="16"/>
      <c r="I969" s="16" t="s">
        <v>698</v>
      </c>
    </row>
    <row r="970" spans="1:9" x14ac:dyDescent="0.35">
      <c r="A970" s="16" t="s">
        <v>3176</v>
      </c>
      <c r="B970" s="17"/>
      <c r="C970" s="17"/>
      <c r="D970" s="16"/>
      <c r="E970" s="16"/>
      <c r="F970" s="16"/>
      <c r="G970" s="16"/>
      <c r="H970" s="16"/>
      <c r="I970" s="16" t="s">
        <v>698</v>
      </c>
    </row>
    <row r="971" spans="1:9" x14ac:dyDescent="0.35">
      <c r="A971" s="16" t="s">
        <v>3177</v>
      </c>
      <c r="B971" s="17" t="s">
        <v>3178</v>
      </c>
      <c r="C971" s="17" t="s">
        <v>3179</v>
      </c>
      <c r="D971" s="16" t="s">
        <v>186</v>
      </c>
      <c r="E971" s="16" t="s">
        <v>3180</v>
      </c>
      <c r="F971" s="16">
        <v>0.6</v>
      </c>
      <c r="G971" s="16"/>
      <c r="H971" s="16"/>
      <c r="I971" s="16" t="s">
        <v>186</v>
      </c>
    </row>
    <row r="972" spans="1:9" ht="28" x14ac:dyDescent="0.35">
      <c r="A972" s="16" t="s">
        <v>3181</v>
      </c>
      <c r="B972" s="17" t="s">
        <v>3182</v>
      </c>
      <c r="C972" s="17" t="s">
        <v>3183</v>
      </c>
      <c r="D972" s="16"/>
      <c r="E972" s="16"/>
      <c r="F972" s="16"/>
      <c r="G972" s="16"/>
      <c r="H972" s="16"/>
      <c r="I972" s="16" t="s">
        <v>633</v>
      </c>
    </row>
    <row r="973" spans="1:9" x14ac:dyDescent="0.35">
      <c r="A973" s="16" t="s">
        <v>3184</v>
      </c>
      <c r="B973" s="17" t="s">
        <v>34</v>
      </c>
      <c r="C973" s="17" t="s">
        <v>34</v>
      </c>
      <c r="D973" s="16" t="s">
        <v>22</v>
      </c>
      <c r="E973" s="16" t="s">
        <v>34</v>
      </c>
      <c r="F973" s="16">
        <v>0.8</v>
      </c>
      <c r="G973" s="16" t="s">
        <v>35</v>
      </c>
      <c r="H973" s="16"/>
      <c r="I973" s="16" t="s">
        <v>22</v>
      </c>
    </row>
    <row r="974" spans="1:9" x14ac:dyDescent="0.35">
      <c r="A974" s="16" t="s">
        <v>3185</v>
      </c>
      <c r="B974" s="17" t="s">
        <v>3186</v>
      </c>
      <c r="C974" s="17" t="s">
        <v>673</v>
      </c>
      <c r="D974" s="16"/>
      <c r="E974" s="16"/>
      <c r="F974" s="16"/>
      <c r="G974" s="16"/>
      <c r="H974" s="16"/>
      <c r="I974" s="16" t="s">
        <v>633</v>
      </c>
    </row>
    <row r="975" spans="1:9" x14ac:dyDescent="0.35">
      <c r="A975" s="16" t="s">
        <v>3187</v>
      </c>
      <c r="B975" s="17" t="s">
        <v>3188</v>
      </c>
      <c r="C975" s="17" t="s">
        <v>3189</v>
      </c>
      <c r="D975" s="16" t="s">
        <v>273</v>
      </c>
      <c r="E975" s="16" t="s">
        <v>1729</v>
      </c>
      <c r="F975" s="16">
        <v>0.46200000000000002</v>
      </c>
      <c r="G975" s="16" t="s">
        <v>1728</v>
      </c>
      <c r="H975" s="16" t="s">
        <v>1518</v>
      </c>
      <c r="I975" s="16" t="s">
        <v>273</v>
      </c>
    </row>
    <row r="976" spans="1:9" x14ac:dyDescent="0.35">
      <c r="A976" s="16" t="s">
        <v>3190</v>
      </c>
      <c r="B976" s="17" t="s">
        <v>3191</v>
      </c>
      <c r="C976" s="17" t="s">
        <v>3192</v>
      </c>
      <c r="D976" s="16" t="s">
        <v>273</v>
      </c>
      <c r="E976" s="16" t="s">
        <v>3193</v>
      </c>
      <c r="F976" s="16">
        <v>0.25640000000000002</v>
      </c>
      <c r="G976" s="16"/>
      <c r="H976" s="16"/>
      <c r="I976" s="16" t="s">
        <v>273</v>
      </c>
    </row>
    <row r="977" spans="1:9" ht="154" x14ac:dyDescent="0.35">
      <c r="A977" s="16" t="s">
        <v>3194</v>
      </c>
      <c r="B977" s="17" t="s">
        <v>3195</v>
      </c>
      <c r="C977" s="17" t="s">
        <v>3196</v>
      </c>
      <c r="D977" s="16"/>
      <c r="E977" s="16"/>
      <c r="F977" s="16"/>
      <c r="G977" s="16"/>
      <c r="H977" s="16"/>
      <c r="I977" s="16" t="s">
        <v>633</v>
      </c>
    </row>
    <row r="978" spans="1:9" x14ac:dyDescent="0.35">
      <c r="A978" s="16" t="s">
        <v>3197</v>
      </c>
      <c r="B978" s="17"/>
      <c r="C978" s="17"/>
      <c r="D978" s="16"/>
      <c r="E978" s="16"/>
      <c r="F978" s="16"/>
      <c r="G978" s="16"/>
      <c r="H978" s="16"/>
      <c r="I978" s="16" t="s">
        <v>698</v>
      </c>
    </row>
    <row r="979" spans="1:9" x14ac:dyDescent="0.35">
      <c r="A979" s="16" t="s">
        <v>3198</v>
      </c>
      <c r="B979" s="17"/>
      <c r="C979" s="17"/>
      <c r="D979" s="16"/>
      <c r="E979" s="16"/>
      <c r="F979" s="16"/>
      <c r="G979" s="16"/>
      <c r="H979" s="16"/>
      <c r="I979" s="16" t="s">
        <v>698</v>
      </c>
    </row>
    <row r="980" spans="1:9" ht="42" x14ac:dyDescent="0.35">
      <c r="A980" s="16" t="s">
        <v>3199</v>
      </c>
      <c r="B980" s="17" t="s">
        <v>3200</v>
      </c>
      <c r="C980" s="17" t="s">
        <v>3201</v>
      </c>
      <c r="D980" s="16" t="s">
        <v>273</v>
      </c>
      <c r="E980" s="16" t="s">
        <v>3202</v>
      </c>
      <c r="F980" s="16">
        <v>0.221</v>
      </c>
      <c r="G980" s="16" t="s">
        <v>3203</v>
      </c>
      <c r="H980" s="16" t="s">
        <v>479</v>
      </c>
      <c r="I980" s="16" t="s">
        <v>273</v>
      </c>
    </row>
    <row r="981" spans="1:9" x14ac:dyDescent="0.35">
      <c r="A981" s="16" t="s">
        <v>3204</v>
      </c>
      <c r="B981" s="17" t="s">
        <v>3205</v>
      </c>
      <c r="C981" s="17" t="s">
        <v>3206</v>
      </c>
      <c r="D981" s="16" t="s">
        <v>5</v>
      </c>
      <c r="E981" s="16" t="s">
        <v>167</v>
      </c>
      <c r="F981" s="16">
        <v>0.8</v>
      </c>
      <c r="G981" s="16"/>
      <c r="H981" s="16"/>
      <c r="I981" s="16" t="s">
        <v>5</v>
      </c>
    </row>
    <row r="982" spans="1:9" x14ac:dyDescent="0.35">
      <c r="A982" s="16" t="s">
        <v>236</v>
      </c>
      <c r="B982" s="17" t="s">
        <v>234</v>
      </c>
      <c r="C982" s="17" t="s">
        <v>233</v>
      </c>
      <c r="D982" s="16" t="s">
        <v>186</v>
      </c>
      <c r="E982" s="16" t="s">
        <v>230</v>
      </c>
      <c r="F982" s="16">
        <v>0.6</v>
      </c>
      <c r="G982" s="16"/>
      <c r="H982" s="16"/>
      <c r="I982" s="16" t="s">
        <v>186</v>
      </c>
    </row>
    <row r="983" spans="1:9" x14ac:dyDescent="0.35">
      <c r="A983" s="16" t="s">
        <v>3207</v>
      </c>
      <c r="B983" s="17" t="s">
        <v>3208</v>
      </c>
      <c r="C983" s="17" t="s">
        <v>3208</v>
      </c>
      <c r="D983" s="16" t="s">
        <v>273</v>
      </c>
      <c r="E983" s="16" t="s">
        <v>1847</v>
      </c>
      <c r="F983" s="16">
        <v>0.4803</v>
      </c>
      <c r="G983" s="16" t="s">
        <v>3209</v>
      </c>
      <c r="H983" s="16" t="s">
        <v>3102</v>
      </c>
      <c r="I983" s="16" t="s">
        <v>273</v>
      </c>
    </row>
    <row r="984" spans="1:9" x14ac:dyDescent="0.35">
      <c r="A984" s="16" t="s">
        <v>3210</v>
      </c>
      <c r="B984" s="17" t="s">
        <v>3211</v>
      </c>
      <c r="C984" s="17" t="s">
        <v>3212</v>
      </c>
      <c r="D984" s="16" t="s">
        <v>273</v>
      </c>
      <c r="E984" s="16" t="s">
        <v>3213</v>
      </c>
      <c r="F984" s="16">
        <v>0.2046</v>
      </c>
      <c r="G984" s="16"/>
      <c r="H984" s="16"/>
      <c r="I984" s="16" t="s">
        <v>273</v>
      </c>
    </row>
    <row r="985" spans="1:9" x14ac:dyDescent="0.35">
      <c r="A985" s="16" t="s">
        <v>3214</v>
      </c>
      <c r="B985" s="17" t="s">
        <v>3211</v>
      </c>
      <c r="C985" s="17" t="s">
        <v>3212</v>
      </c>
      <c r="D985" s="16" t="s">
        <v>273</v>
      </c>
      <c r="E985" s="16" t="s">
        <v>3213</v>
      </c>
      <c r="F985" s="16">
        <v>0.2046</v>
      </c>
      <c r="G985" s="16"/>
      <c r="H985" s="16"/>
      <c r="I985" s="16" t="s">
        <v>273</v>
      </c>
    </row>
    <row r="986" spans="1:9" ht="42" x14ac:dyDescent="0.35">
      <c r="A986" s="16" t="s">
        <v>3215</v>
      </c>
      <c r="B986" s="17" t="s">
        <v>3216</v>
      </c>
      <c r="C986" s="17" t="s">
        <v>3217</v>
      </c>
      <c r="D986" s="16" t="s">
        <v>273</v>
      </c>
      <c r="E986" s="16" t="s">
        <v>1847</v>
      </c>
      <c r="F986" s="16">
        <v>0.24099999999999999</v>
      </c>
      <c r="G986" s="16"/>
      <c r="H986" s="16"/>
      <c r="I986" s="16" t="s">
        <v>273</v>
      </c>
    </row>
    <row r="987" spans="1:9" ht="28" x14ac:dyDescent="0.35">
      <c r="A987" s="16" t="s">
        <v>3218</v>
      </c>
      <c r="B987" s="17" t="s">
        <v>3219</v>
      </c>
      <c r="C987" s="17" t="s">
        <v>3219</v>
      </c>
      <c r="D987" s="16" t="s">
        <v>273</v>
      </c>
      <c r="E987" s="16" t="s">
        <v>2439</v>
      </c>
      <c r="F987" s="16">
        <v>0.26190000000000002</v>
      </c>
      <c r="G987" s="16" t="s">
        <v>3220</v>
      </c>
      <c r="H987" s="16"/>
      <c r="I987" s="16" t="s">
        <v>273</v>
      </c>
    </row>
    <row r="988" spans="1:9" x14ac:dyDescent="0.35">
      <c r="A988" s="16" t="s">
        <v>3221</v>
      </c>
      <c r="B988" s="17" t="s">
        <v>3222</v>
      </c>
      <c r="C988" s="17" t="s">
        <v>3222</v>
      </c>
      <c r="D988" s="16"/>
      <c r="E988" s="16"/>
      <c r="F988" s="16"/>
      <c r="G988" s="16"/>
      <c r="H988" s="16"/>
      <c r="I988" s="16" t="s">
        <v>633</v>
      </c>
    </row>
    <row r="989" spans="1:9" ht="28" x14ac:dyDescent="0.35">
      <c r="A989" s="16" t="s">
        <v>3223</v>
      </c>
      <c r="B989" s="17" t="s">
        <v>3224</v>
      </c>
      <c r="C989" s="17" t="s">
        <v>3225</v>
      </c>
      <c r="D989" s="16" t="s">
        <v>273</v>
      </c>
      <c r="E989" s="16" t="s">
        <v>3226</v>
      </c>
      <c r="F989" s="16">
        <v>0.21659999999999999</v>
      </c>
      <c r="G989" s="16" t="s">
        <v>3227</v>
      </c>
      <c r="H989" s="16" t="s">
        <v>1847</v>
      </c>
      <c r="I989" s="16" t="s">
        <v>273</v>
      </c>
    </row>
    <row r="990" spans="1:9" x14ac:dyDescent="0.35">
      <c r="A990" s="16" t="s">
        <v>3228</v>
      </c>
      <c r="B990" s="17" t="s">
        <v>34</v>
      </c>
      <c r="C990" s="17" t="s">
        <v>34</v>
      </c>
      <c r="D990" s="16" t="s">
        <v>22</v>
      </c>
      <c r="E990" s="16" t="s">
        <v>34</v>
      </c>
      <c r="F990" s="16">
        <v>0.8</v>
      </c>
      <c r="G990" s="16" t="s">
        <v>35</v>
      </c>
      <c r="H990" s="16"/>
      <c r="I990" s="16" t="s">
        <v>22</v>
      </c>
    </row>
    <row r="991" spans="1:9" ht="28" x14ac:dyDescent="0.35">
      <c r="A991" s="16" t="s">
        <v>329</v>
      </c>
      <c r="B991" s="17" t="s">
        <v>324</v>
      </c>
      <c r="C991" s="17" t="s">
        <v>323</v>
      </c>
      <c r="D991" s="16" t="s">
        <v>273</v>
      </c>
      <c r="E991" s="16" t="s">
        <v>326</v>
      </c>
      <c r="F991" s="16">
        <v>0.27089999999999997</v>
      </c>
      <c r="G991" s="16" t="s">
        <v>327</v>
      </c>
      <c r="H991" s="16" t="s">
        <v>328</v>
      </c>
      <c r="I991" s="16" t="s">
        <v>273</v>
      </c>
    </row>
    <row r="992" spans="1:9" x14ac:dyDescent="0.35">
      <c r="A992" s="16" t="s">
        <v>3229</v>
      </c>
      <c r="B992" s="17" t="s">
        <v>3230</v>
      </c>
      <c r="C992" s="17" t="s">
        <v>1847</v>
      </c>
      <c r="D992" s="16" t="s">
        <v>22</v>
      </c>
      <c r="E992" s="16" t="s">
        <v>1847</v>
      </c>
      <c r="F992" s="16">
        <v>1</v>
      </c>
      <c r="G992" s="16"/>
      <c r="H992" s="16"/>
      <c r="I992" s="16" t="s">
        <v>22</v>
      </c>
    </row>
    <row r="993" spans="1:9" x14ac:dyDescent="0.35">
      <c r="A993" s="16" t="s">
        <v>3231</v>
      </c>
      <c r="B993" s="17" t="s">
        <v>713</v>
      </c>
      <c r="C993" s="17"/>
      <c r="D993" s="16"/>
      <c r="E993" s="16"/>
      <c r="F993" s="16"/>
      <c r="G993" s="16"/>
      <c r="H993" s="16"/>
      <c r="I993" s="16" t="s">
        <v>633</v>
      </c>
    </row>
    <row r="994" spans="1:9" x14ac:dyDescent="0.35">
      <c r="A994" s="16" t="s">
        <v>3232</v>
      </c>
      <c r="B994" s="17" t="s">
        <v>713</v>
      </c>
      <c r="C994" s="17"/>
      <c r="D994" s="16"/>
      <c r="E994" s="16"/>
      <c r="F994" s="16"/>
      <c r="G994" s="16"/>
      <c r="H994" s="16"/>
      <c r="I994" s="16" t="s">
        <v>633</v>
      </c>
    </row>
    <row r="995" spans="1:9" x14ac:dyDescent="0.35">
      <c r="A995" s="16" t="s">
        <v>3233</v>
      </c>
      <c r="B995" s="17" t="s">
        <v>34</v>
      </c>
      <c r="C995" s="17" t="s">
        <v>34</v>
      </c>
      <c r="D995" s="16" t="s">
        <v>22</v>
      </c>
      <c r="E995" s="16" t="s">
        <v>34</v>
      </c>
      <c r="F995" s="16">
        <v>0.8</v>
      </c>
      <c r="G995" s="16" t="s">
        <v>35</v>
      </c>
      <c r="H995" s="16"/>
      <c r="I995" s="16" t="s">
        <v>22</v>
      </c>
    </row>
    <row r="996" spans="1:9" x14ac:dyDescent="0.35">
      <c r="A996" s="16" t="s">
        <v>3234</v>
      </c>
      <c r="B996" s="17" t="s">
        <v>3235</v>
      </c>
      <c r="C996" s="17" t="s">
        <v>34</v>
      </c>
      <c r="D996" s="16" t="s">
        <v>22</v>
      </c>
      <c r="E996" s="16" t="s">
        <v>34</v>
      </c>
      <c r="F996" s="16">
        <v>0.8</v>
      </c>
      <c r="G996" s="16" t="s">
        <v>35</v>
      </c>
      <c r="H996" s="16"/>
      <c r="I996" s="16" t="s">
        <v>22</v>
      </c>
    </row>
    <row r="997" spans="1:9" x14ac:dyDescent="0.35">
      <c r="A997" s="16" t="s">
        <v>3236</v>
      </c>
      <c r="B997" s="17" t="s">
        <v>3237</v>
      </c>
      <c r="C997" s="17" t="s">
        <v>3237</v>
      </c>
      <c r="D997" s="16" t="s">
        <v>273</v>
      </c>
      <c r="E997" s="16" t="s">
        <v>3238</v>
      </c>
      <c r="F997" s="16">
        <v>0.31369999999999998</v>
      </c>
      <c r="G997" s="16" t="s">
        <v>3239</v>
      </c>
      <c r="H997" s="16" t="s">
        <v>3240</v>
      </c>
      <c r="I997" s="16" t="s">
        <v>273</v>
      </c>
    </row>
    <row r="998" spans="1:9" ht="28" x14ac:dyDescent="0.35">
      <c r="A998" s="16" t="s">
        <v>3241</v>
      </c>
      <c r="B998" s="17" t="s">
        <v>3242</v>
      </c>
      <c r="C998" s="17" t="s">
        <v>3243</v>
      </c>
      <c r="D998" s="16" t="s">
        <v>273</v>
      </c>
      <c r="E998" s="16" t="s">
        <v>3244</v>
      </c>
      <c r="F998" s="16">
        <v>0.42509999999999998</v>
      </c>
      <c r="G998" s="16" t="s">
        <v>3245</v>
      </c>
      <c r="H998" s="16" t="s">
        <v>1847</v>
      </c>
      <c r="I998" s="16" t="s">
        <v>273</v>
      </c>
    </row>
    <row r="999" spans="1:9" x14ac:dyDescent="0.35">
      <c r="A999" s="16" t="s">
        <v>3246</v>
      </c>
      <c r="B999" s="17" t="s">
        <v>713</v>
      </c>
      <c r="C999" s="17"/>
      <c r="D999" s="16"/>
      <c r="E999" s="16"/>
      <c r="F999" s="16"/>
      <c r="G999" s="16"/>
      <c r="H999" s="16"/>
      <c r="I999" s="16" t="s">
        <v>633</v>
      </c>
    </row>
    <row r="1000" spans="1:9" ht="28" x14ac:dyDescent="0.35">
      <c r="A1000" s="16" t="s">
        <v>3247</v>
      </c>
      <c r="B1000" s="17" t="s">
        <v>3248</v>
      </c>
      <c r="C1000" s="17" t="s">
        <v>3249</v>
      </c>
      <c r="D1000" s="16" t="s">
        <v>273</v>
      </c>
      <c r="E1000" s="16" t="s">
        <v>1847</v>
      </c>
      <c r="F1000" s="16">
        <v>0.27410000000000001</v>
      </c>
      <c r="G1000" s="16"/>
      <c r="H1000" s="16"/>
      <c r="I1000" s="16" t="s">
        <v>273</v>
      </c>
    </row>
    <row r="1001" spans="1:9" x14ac:dyDescent="0.35">
      <c r="A1001" s="16" t="s">
        <v>3250</v>
      </c>
      <c r="B1001" s="17"/>
      <c r="C1001" s="17"/>
      <c r="D1001" s="16"/>
      <c r="E1001" s="16"/>
      <c r="F1001" s="16"/>
      <c r="G1001" s="16"/>
      <c r="H1001" s="16"/>
      <c r="I1001" s="16" t="s">
        <v>698</v>
      </c>
    </row>
    <row r="1002" spans="1:9" ht="42" x14ac:dyDescent="0.35">
      <c r="A1002" s="16" t="s">
        <v>3251</v>
      </c>
      <c r="B1002" s="17" t="s">
        <v>3252</v>
      </c>
      <c r="C1002" s="17" t="s">
        <v>3253</v>
      </c>
      <c r="D1002" s="16" t="s">
        <v>273</v>
      </c>
      <c r="E1002" s="16" t="s">
        <v>2192</v>
      </c>
      <c r="F1002" s="16">
        <v>0.36399999999999999</v>
      </c>
      <c r="G1002" s="16" t="s">
        <v>3254</v>
      </c>
      <c r="H1002" s="16" t="s">
        <v>3255</v>
      </c>
      <c r="I1002" s="16" t="s">
        <v>273</v>
      </c>
    </row>
    <row r="1003" spans="1:9" x14ac:dyDescent="0.35">
      <c r="A1003" s="16" t="s">
        <v>3256</v>
      </c>
      <c r="B1003" s="17" t="s">
        <v>307</v>
      </c>
      <c r="C1003" s="17" t="s">
        <v>307</v>
      </c>
      <c r="D1003" s="16" t="s">
        <v>273</v>
      </c>
      <c r="E1003" s="16" t="s">
        <v>310</v>
      </c>
      <c r="F1003" s="16">
        <v>0.27950000000000003</v>
      </c>
      <c r="G1003" s="16" t="s">
        <v>311</v>
      </c>
      <c r="H1003" s="16" t="s">
        <v>312</v>
      </c>
      <c r="I1003" s="16" t="s">
        <v>273</v>
      </c>
    </row>
    <row r="1004" spans="1:9" ht="56" x14ac:dyDescent="0.35">
      <c r="A1004" s="16" t="s">
        <v>3257</v>
      </c>
      <c r="B1004" s="17" t="s">
        <v>3258</v>
      </c>
      <c r="C1004" s="17" t="s">
        <v>3258</v>
      </c>
      <c r="D1004" s="16"/>
      <c r="E1004" s="16"/>
      <c r="F1004" s="16"/>
      <c r="G1004" s="16"/>
      <c r="H1004" s="16"/>
      <c r="I1004" s="16" t="s">
        <v>633</v>
      </c>
    </row>
    <row r="1005" spans="1:9" ht="28" x14ac:dyDescent="0.35">
      <c r="A1005" s="16" t="s">
        <v>3259</v>
      </c>
      <c r="B1005" s="17" t="s">
        <v>3260</v>
      </c>
      <c r="C1005" s="17" t="s">
        <v>3261</v>
      </c>
      <c r="D1005" s="16" t="s">
        <v>273</v>
      </c>
      <c r="E1005" s="16" t="s">
        <v>1847</v>
      </c>
      <c r="F1005" s="16">
        <v>0.3422</v>
      </c>
      <c r="G1005" s="16"/>
      <c r="H1005" s="16"/>
      <c r="I1005" s="16" t="s">
        <v>273</v>
      </c>
    </row>
    <row r="1006" spans="1:9" x14ac:dyDescent="0.35">
      <c r="A1006" s="16" t="s">
        <v>3262</v>
      </c>
      <c r="B1006" s="17" t="s">
        <v>3263</v>
      </c>
      <c r="C1006" s="17" t="s">
        <v>3264</v>
      </c>
      <c r="D1006" s="16" t="s">
        <v>273</v>
      </c>
      <c r="E1006" s="16" t="s">
        <v>1847</v>
      </c>
      <c r="F1006" s="16">
        <v>0.47089999999999999</v>
      </c>
      <c r="G1006" s="16" t="s">
        <v>3102</v>
      </c>
      <c r="H1006" s="16" t="s">
        <v>3209</v>
      </c>
      <c r="I1006" s="16" t="s">
        <v>273</v>
      </c>
    </row>
    <row r="1007" spans="1:9" x14ac:dyDescent="0.35">
      <c r="A1007" s="16" t="s">
        <v>3265</v>
      </c>
      <c r="B1007" s="17" t="s">
        <v>3266</v>
      </c>
      <c r="C1007" s="17" t="s">
        <v>3267</v>
      </c>
      <c r="D1007" s="16" t="s">
        <v>273</v>
      </c>
      <c r="E1007" s="16" t="s">
        <v>310</v>
      </c>
      <c r="F1007" s="16">
        <v>0.27950000000000003</v>
      </c>
      <c r="G1007" s="16" t="s">
        <v>311</v>
      </c>
      <c r="H1007" s="16" t="s">
        <v>312</v>
      </c>
      <c r="I1007" s="16" t="s">
        <v>273</v>
      </c>
    </row>
    <row r="1008" spans="1:9" x14ac:dyDescent="0.35">
      <c r="A1008" s="16" t="s">
        <v>3268</v>
      </c>
      <c r="B1008" s="17" t="s">
        <v>2467</v>
      </c>
      <c r="C1008" s="17" t="s">
        <v>2467</v>
      </c>
      <c r="D1008" s="16" t="s">
        <v>273</v>
      </c>
      <c r="E1008" s="16" t="s">
        <v>391</v>
      </c>
      <c r="F1008" s="16">
        <v>0.36620000000000003</v>
      </c>
      <c r="G1008" s="16" t="s">
        <v>2468</v>
      </c>
      <c r="H1008" s="16" t="s">
        <v>392</v>
      </c>
      <c r="I1008" s="16" t="s">
        <v>273</v>
      </c>
    </row>
    <row r="1009" spans="1:9" x14ac:dyDescent="0.35">
      <c r="A1009" s="16" t="s">
        <v>3269</v>
      </c>
      <c r="B1009" s="17" t="s">
        <v>3270</v>
      </c>
      <c r="C1009" s="17" t="s">
        <v>3267</v>
      </c>
      <c r="D1009" s="16" t="s">
        <v>273</v>
      </c>
      <c r="E1009" s="16" t="s">
        <v>310</v>
      </c>
      <c r="F1009" s="16">
        <v>0.27950000000000003</v>
      </c>
      <c r="G1009" s="16" t="s">
        <v>311</v>
      </c>
      <c r="H1009" s="16" t="s">
        <v>312</v>
      </c>
      <c r="I1009" s="16" t="s">
        <v>273</v>
      </c>
    </row>
    <row r="1010" spans="1:9" ht="28" x14ac:dyDescent="0.35">
      <c r="A1010" s="16" t="s">
        <v>3271</v>
      </c>
      <c r="B1010" s="17" t="s">
        <v>3272</v>
      </c>
      <c r="C1010" s="17" t="s">
        <v>3273</v>
      </c>
      <c r="D1010" s="16" t="s">
        <v>273</v>
      </c>
      <c r="E1010" s="16" t="s">
        <v>3274</v>
      </c>
      <c r="F1010" s="16">
        <v>0.2132</v>
      </c>
      <c r="G1010" s="16"/>
      <c r="H1010" s="16"/>
      <c r="I1010" s="16" t="s">
        <v>273</v>
      </c>
    </row>
    <row r="1011" spans="1:9" ht="28" x14ac:dyDescent="0.35">
      <c r="A1011" s="16" t="s">
        <v>3275</v>
      </c>
      <c r="B1011" s="17" t="s">
        <v>3276</v>
      </c>
      <c r="C1011" s="17" t="s">
        <v>3277</v>
      </c>
      <c r="D1011" s="16"/>
      <c r="E1011" s="16"/>
      <c r="F1011" s="16"/>
      <c r="G1011" s="16"/>
      <c r="H1011" s="16"/>
      <c r="I1011" s="16" t="s">
        <v>633</v>
      </c>
    </row>
    <row r="1012" spans="1:9" x14ac:dyDescent="0.35">
      <c r="A1012" s="16" t="s">
        <v>3278</v>
      </c>
      <c r="B1012" s="17" t="s">
        <v>1225</v>
      </c>
      <c r="C1012" s="17" t="s">
        <v>1226</v>
      </c>
      <c r="D1012" s="16" t="s">
        <v>273</v>
      </c>
      <c r="E1012" s="16" t="s">
        <v>522</v>
      </c>
      <c r="F1012" s="16">
        <v>0.35449999999999998</v>
      </c>
      <c r="G1012" s="16" t="s">
        <v>1227</v>
      </c>
      <c r="H1012" s="16" t="s">
        <v>1228</v>
      </c>
      <c r="I1012" s="16" t="s">
        <v>273</v>
      </c>
    </row>
    <row r="1013" spans="1:9" x14ac:dyDescent="0.35">
      <c r="A1013" s="16" t="s">
        <v>3279</v>
      </c>
      <c r="B1013" s="17"/>
      <c r="C1013" s="17"/>
      <c r="D1013" s="16"/>
      <c r="E1013" s="16"/>
      <c r="F1013" s="16"/>
      <c r="G1013" s="16"/>
      <c r="H1013" s="16"/>
      <c r="I1013" s="16" t="s">
        <v>698</v>
      </c>
    </row>
    <row r="1014" spans="1:9" x14ac:dyDescent="0.35">
      <c r="A1014" s="16" t="s">
        <v>3280</v>
      </c>
      <c r="B1014" s="17" t="s">
        <v>3281</v>
      </c>
      <c r="C1014" s="17" t="s">
        <v>621</v>
      </c>
      <c r="D1014" s="16" t="s">
        <v>273</v>
      </c>
      <c r="E1014" s="16" t="s">
        <v>3282</v>
      </c>
      <c r="F1014" s="16">
        <v>0.42559999999999998</v>
      </c>
      <c r="G1014" s="16" t="s">
        <v>3283</v>
      </c>
      <c r="H1014" s="16" t="s">
        <v>3284</v>
      </c>
      <c r="I1014" s="16" t="s">
        <v>273</v>
      </c>
    </row>
    <row r="1015" spans="1:9" ht="56" x14ac:dyDescent="0.35">
      <c r="A1015" s="16" t="s">
        <v>3285</v>
      </c>
      <c r="B1015" s="17" t="s">
        <v>3286</v>
      </c>
      <c r="C1015" s="17" t="s">
        <v>3287</v>
      </c>
      <c r="D1015" s="16"/>
      <c r="E1015" s="16"/>
      <c r="F1015" s="16"/>
      <c r="G1015" s="16"/>
      <c r="H1015" s="16"/>
      <c r="I1015" s="16" t="s">
        <v>633</v>
      </c>
    </row>
    <row r="1016" spans="1:9" ht="28" x14ac:dyDescent="0.35">
      <c r="A1016" s="16" t="s">
        <v>3288</v>
      </c>
      <c r="B1016" s="17" t="s">
        <v>3289</v>
      </c>
      <c r="C1016" s="17" t="s">
        <v>3290</v>
      </c>
      <c r="D1016" s="16" t="s">
        <v>273</v>
      </c>
      <c r="E1016" s="16" t="s">
        <v>3291</v>
      </c>
      <c r="F1016" s="16">
        <v>0.42570000000000002</v>
      </c>
      <c r="G1016" s="16" t="s">
        <v>3292</v>
      </c>
      <c r="H1016" s="16" t="s">
        <v>3293</v>
      </c>
      <c r="I1016" s="16" t="s">
        <v>273</v>
      </c>
    </row>
    <row r="1017" spans="1:9" ht="42" x14ac:dyDescent="0.35">
      <c r="A1017" s="16" t="s">
        <v>3294</v>
      </c>
      <c r="B1017" s="17" t="s">
        <v>3295</v>
      </c>
      <c r="C1017" s="17" t="s">
        <v>3296</v>
      </c>
      <c r="D1017" s="16" t="s">
        <v>273</v>
      </c>
      <c r="E1017" s="16" t="s">
        <v>303</v>
      </c>
      <c r="F1017" s="16">
        <v>0.25879999999999997</v>
      </c>
      <c r="G1017" s="16" t="s">
        <v>302</v>
      </c>
      <c r="H1017" s="16"/>
      <c r="I1017" s="16" t="s">
        <v>273</v>
      </c>
    </row>
    <row r="1018" spans="1:9" x14ac:dyDescent="0.35">
      <c r="A1018" s="16" t="s">
        <v>3297</v>
      </c>
      <c r="B1018" s="17" t="s">
        <v>3167</v>
      </c>
      <c r="C1018" s="17" t="s">
        <v>3167</v>
      </c>
      <c r="D1018" s="16" t="s">
        <v>273</v>
      </c>
      <c r="E1018" s="16" t="s">
        <v>1160</v>
      </c>
      <c r="F1018" s="16">
        <v>0.44690000000000002</v>
      </c>
      <c r="G1018" s="16" t="s">
        <v>2149</v>
      </c>
      <c r="H1018" s="16" t="s">
        <v>3168</v>
      </c>
      <c r="I1018" s="16" t="s">
        <v>273</v>
      </c>
    </row>
    <row r="1019" spans="1:9" x14ac:dyDescent="0.35">
      <c r="A1019" s="16" t="s">
        <v>3298</v>
      </c>
      <c r="B1019" s="17" t="s">
        <v>3299</v>
      </c>
      <c r="C1019" s="17" t="s">
        <v>3300</v>
      </c>
      <c r="D1019" s="16" t="s">
        <v>273</v>
      </c>
      <c r="E1019" s="16" t="s">
        <v>3301</v>
      </c>
      <c r="F1019" s="16">
        <v>0.33979999999999999</v>
      </c>
      <c r="G1019" s="16" t="s">
        <v>320</v>
      </c>
      <c r="H1019" s="16" t="s">
        <v>3302</v>
      </c>
      <c r="I1019" s="16" t="s">
        <v>273</v>
      </c>
    </row>
    <row r="1020" spans="1:9" x14ac:dyDescent="0.35">
      <c r="A1020" s="16" t="s">
        <v>3303</v>
      </c>
      <c r="B1020" s="17" t="s">
        <v>3299</v>
      </c>
      <c r="C1020" s="17" t="s">
        <v>3300</v>
      </c>
      <c r="D1020" s="16" t="s">
        <v>273</v>
      </c>
      <c r="E1020" s="16" t="s">
        <v>3301</v>
      </c>
      <c r="F1020" s="16">
        <v>0.33979999999999999</v>
      </c>
      <c r="G1020" s="16" t="s">
        <v>320</v>
      </c>
      <c r="H1020" s="16" t="s">
        <v>3302</v>
      </c>
      <c r="I1020" s="16" t="s">
        <v>273</v>
      </c>
    </row>
    <row r="1021" spans="1:9" x14ac:dyDescent="0.35">
      <c r="A1021" s="16" t="s">
        <v>3304</v>
      </c>
      <c r="B1021" s="17" t="s">
        <v>3305</v>
      </c>
      <c r="C1021" s="17" t="s">
        <v>3300</v>
      </c>
      <c r="D1021" s="16" t="s">
        <v>273</v>
      </c>
      <c r="E1021" s="16" t="s">
        <v>3301</v>
      </c>
      <c r="F1021" s="16">
        <v>0.33979999999999999</v>
      </c>
      <c r="G1021" s="16" t="s">
        <v>320</v>
      </c>
      <c r="H1021" s="16" t="s">
        <v>3302</v>
      </c>
      <c r="I1021" s="16" t="s">
        <v>273</v>
      </c>
    </row>
    <row r="1022" spans="1:9" ht="42" x14ac:dyDescent="0.35">
      <c r="A1022" s="16" t="s">
        <v>305</v>
      </c>
      <c r="B1022" s="17" t="s">
        <v>300</v>
      </c>
      <c r="C1022" s="17" t="s">
        <v>3306</v>
      </c>
      <c r="D1022" s="16" t="s">
        <v>186</v>
      </c>
      <c r="E1022" s="16" t="s">
        <v>3307</v>
      </c>
      <c r="F1022" s="16">
        <v>0.6</v>
      </c>
      <c r="G1022" s="16" t="s">
        <v>302</v>
      </c>
      <c r="H1022" s="16" t="s">
        <v>303</v>
      </c>
      <c r="I1022" s="16" t="s">
        <v>186</v>
      </c>
    </row>
    <row r="1023" spans="1:9" x14ac:dyDescent="0.35">
      <c r="A1023" s="16" t="s">
        <v>3308</v>
      </c>
      <c r="B1023" s="17" t="s">
        <v>713</v>
      </c>
      <c r="C1023" s="17"/>
      <c r="D1023" s="16"/>
      <c r="E1023" s="16"/>
      <c r="F1023" s="16"/>
      <c r="G1023" s="16"/>
      <c r="H1023" s="16"/>
      <c r="I1023" s="16" t="s">
        <v>633</v>
      </c>
    </row>
    <row r="1024" spans="1:9" x14ac:dyDescent="0.35">
      <c r="A1024" s="16" t="s">
        <v>3309</v>
      </c>
      <c r="B1024" s="17" t="s">
        <v>3310</v>
      </c>
      <c r="C1024" s="17" t="s">
        <v>3311</v>
      </c>
      <c r="D1024" s="16" t="s">
        <v>273</v>
      </c>
      <c r="E1024" s="16" t="s">
        <v>3312</v>
      </c>
      <c r="F1024" s="16">
        <v>0.34139999999999998</v>
      </c>
      <c r="G1024" s="16" t="s">
        <v>3313</v>
      </c>
      <c r="H1024" s="16" t="s">
        <v>319</v>
      </c>
      <c r="I1024" s="16" t="s">
        <v>273</v>
      </c>
    </row>
    <row r="1025" spans="1:9" ht="42" x14ac:dyDescent="0.35">
      <c r="A1025" s="16" t="s">
        <v>3314</v>
      </c>
      <c r="B1025" s="17" t="s">
        <v>3315</v>
      </c>
      <c r="C1025" s="17" t="s">
        <v>3316</v>
      </c>
      <c r="D1025" s="16"/>
      <c r="E1025" s="16"/>
      <c r="F1025" s="16"/>
      <c r="G1025" s="16"/>
      <c r="H1025" s="16"/>
      <c r="I1025" s="16" t="s">
        <v>633</v>
      </c>
    </row>
    <row r="1026" spans="1:9" x14ac:dyDescent="0.35">
      <c r="A1026" s="16" t="s">
        <v>3317</v>
      </c>
      <c r="B1026" s="17" t="s">
        <v>3318</v>
      </c>
      <c r="C1026" s="17" t="s">
        <v>3319</v>
      </c>
      <c r="D1026" s="16" t="s">
        <v>273</v>
      </c>
      <c r="E1026" s="16" t="s">
        <v>578</v>
      </c>
      <c r="F1026" s="16">
        <v>0.38019999999999998</v>
      </c>
      <c r="G1026" s="16" t="s">
        <v>1301</v>
      </c>
      <c r="H1026" s="16" t="s">
        <v>3320</v>
      </c>
      <c r="I1026" s="16" t="s">
        <v>273</v>
      </c>
    </row>
    <row r="1027" spans="1:9" x14ac:dyDescent="0.35">
      <c r="A1027" s="16" t="s">
        <v>3321</v>
      </c>
      <c r="B1027" s="17"/>
      <c r="C1027" s="17"/>
      <c r="D1027" s="16"/>
      <c r="E1027" s="16"/>
      <c r="F1027" s="16"/>
      <c r="G1027" s="16"/>
      <c r="H1027" s="16"/>
      <c r="I1027" s="16" t="s">
        <v>698</v>
      </c>
    </row>
    <row r="1028" spans="1:9" x14ac:dyDescent="0.35">
      <c r="A1028" s="16" t="s">
        <v>3322</v>
      </c>
      <c r="B1028" s="17"/>
      <c r="C1028" s="17"/>
      <c r="D1028" s="16"/>
      <c r="E1028" s="16"/>
      <c r="F1028" s="16"/>
      <c r="G1028" s="16"/>
      <c r="H1028" s="16"/>
      <c r="I1028" s="16" t="s">
        <v>698</v>
      </c>
    </row>
    <row r="1029" spans="1:9" ht="42" x14ac:dyDescent="0.35">
      <c r="A1029" s="16" t="s">
        <v>3323</v>
      </c>
      <c r="B1029" s="17" t="s">
        <v>3324</v>
      </c>
      <c r="C1029" s="17" t="s">
        <v>3325</v>
      </c>
      <c r="D1029" s="16"/>
      <c r="E1029" s="16"/>
      <c r="F1029" s="16"/>
      <c r="G1029" s="16"/>
      <c r="H1029" s="16"/>
      <c r="I1029" s="16" t="s">
        <v>633</v>
      </c>
    </row>
    <row r="1030" spans="1:9" ht="28" x14ac:dyDescent="0.35">
      <c r="A1030" s="16" t="s">
        <v>3326</v>
      </c>
      <c r="B1030" s="17" t="s">
        <v>3327</v>
      </c>
      <c r="C1030" s="17" t="s">
        <v>3328</v>
      </c>
      <c r="D1030" s="16" t="s">
        <v>22</v>
      </c>
      <c r="E1030" s="16" t="s">
        <v>100</v>
      </c>
      <c r="F1030" s="16">
        <v>1</v>
      </c>
      <c r="G1030" s="16"/>
      <c r="H1030" s="16"/>
      <c r="I1030" s="16" t="s">
        <v>22</v>
      </c>
    </row>
    <row r="1031" spans="1:9" x14ac:dyDescent="0.35">
      <c r="A1031" s="16" t="s">
        <v>3329</v>
      </c>
      <c r="B1031" s="17" t="s">
        <v>3330</v>
      </c>
      <c r="C1031" s="17" t="s">
        <v>3331</v>
      </c>
      <c r="D1031" s="16" t="s">
        <v>273</v>
      </c>
      <c r="E1031" s="16" t="s">
        <v>833</v>
      </c>
      <c r="F1031" s="16">
        <v>0.25890000000000002</v>
      </c>
      <c r="G1031" s="16"/>
      <c r="H1031" s="16"/>
      <c r="I1031" s="16" t="s">
        <v>273</v>
      </c>
    </row>
    <row r="1032" spans="1:9" ht="28" x14ac:dyDescent="0.35">
      <c r="A1032" s="16" t="s">
        <v>355</v>
      </c>
      <c r="B1032" s="17" t="s">
        <v>353</v>
      </c>
      <c r="C1032" s="17" t="s">
        <v>3332</v>
      </c>
      <c r="D1032" s="16" t="s">
        <v>186</v>
      </c>
      <c r="E1032" s="16" t="s">
        <v>3307</v>
      </c>
      <c r="F1032" s="16">
        <v>0.6</v>
      </c>
      <c r="G1032" s="16" t="s">
        <v>354</v>
      </c>
      <c r="H1032" s="16"/>
      <c r="I1032" s="16" t="s">
        <v>186</v>
      </c>
    </row>
    <row r="1033" spans="1:9" x14ac:dyDescent="0.35">
      <c r="A1033" s="16" t="s">
        <v>3333</v>
      </c>
      <c r="B1033" s="17" t="s">
        <v>713</v>
      </c>
      <c r="C1033" s="17"/>
      <c r="D1033" s="16"/>
      <c r="E1033" s="16"/>
      <c r="F1033" s="16"/>
      <c r="G1033" s="16"/>
      <c r="H1033" s="16"/>
      <c r="I1033" s="16" t="s">
        <v>633</v>
      </c>
    </row>
    <row r="1034" spans="1:9" ht="28" x14ac:dyDescent="0.35">
      <c r="A1034" s="16" t="s">
        <v>3334</v>
      </c>
      <c r="B1034" s="17" t="s">
        <v>3335</v>
      </c>
      <c r="C1034" s="17" t="s">
        <v>3336</v>
      </c>
      <c r="D1034" s="16" t="s">
        <v>273</v>
      </c>
      <c r="E1034" s="16" t="s">
        <v>303</v>
      </c>
      <c r="F1034" s="16">
        <v>0.23569999999999999</v>
      </c>
      <c r="G1034" s="16" t="s">
        <v>302</v>
      </c>
      <c r="H1034" s="16" t="s">
        <v>1442</v>
      </c>
      <c r="I1034" s="16" t="s">
        <v>273</v>
      </c>
    </row>
    <row r="1035" spans="1:9" x14ac:dyDescent="0.35">
      <c r="A1035" s="16" t="s">
        <v>3337</v>
      </c>
      <c r="B1035" s="17" t="s">
        <v>823</v>
      </c>
      <c r="C1035" s="17" t="s">
        <v>823</v>
      </c>
      <c r="D1035" s="16" t="s">
        <v>273</v>
      </c>
      <c r="E1035" s="16" t="s">
        <v>824</v>
      </c>
      <c r="F1035" s="16">
        <v>0.40570000000000001</v>
      </c>
      <c r="G1035" s="16" t="s">
        <v>825</v>
      </c>
      <c r="H1035" s="16" t="s">
        <v>826</v>
      </c>
      <c r="I1035" s="16" t="s">
        <v>273</v>
      </c>
    </row>
    <row r="1036" spans="1:9" x14ac:dyDescent="0.35">
      <c r="A1036" s="16" t="s">
        <v>3338</v>
      </c>
      <c r="B1036" s="17" t="s">
        <v>1727</v>
      </c>
      <c r="C1036" s="17" t="s">
        <v>1727</v>
      </c>
      <c r="D1036" s="16" t="s">
        <v>273</v>
      </c>
      <c r="E1036" s="16" t="s">
        <v>1728</v>
      </c>
      <c r="F1036" s="16">
        <v>0.37809999999999999</v>
      </c>
      <c r="G1036" s="16" t="s">
        <v>1729</v>
      </c>
      <c r="H1036" s="16" t="s">
        <v>1730</v>
      </c>
      <c r="I1036" s="16" t="s">
        <v>273</v>
      </c>
    </row>
    <row r="1037" spans="1:9" x14ac:dyDescent="0.35">
      <c r="A1037" s="16" t="s">
        <v>3339</v>
      </c>
      <c r="B1037" s="17" t="s">
        <v>2533</v>
      </c>
      <c r="C1037" s="17" t="s">
        <v>1727</v>
      </c>
      <c r="D1037" s="16" t="s">
        <v>273</v>
      </c>
      <c r="E1037" s="16" t="s">
        <v>1728</v>
      </c>
      <c r="F1037" s="16">
        <v>0.37809999999999999</v>
      </c>
      <c r="G1037" s="16" t="s">
        <v>1729</v>
      </c>
      <c r="H1037" s="16" t="s">
        <v>1730</v>
      </c>
      <c r="I1037" s="16" t="s">
        <v>273</v>
      </c>
    </row>
    <row r="1038" spans="1:9" x14ac:dyDescent="0.35">
      <c r="A1038" s="16" t="s">
        <v>3340</v>
      </c>
      <c r="B1038" s="17" t="s">
        <v>3341</v>
      </c>
      <c r="C1038" s="17" t="s">
        <v>3341</v>
      </c>
      <c r="D1038" s="16" t="s">
        <v>273</v>
      </c>
      <c r="E1038" s="16" t="s">
        <v>513</v>
      </c>
      <c r="F1038" s="16">
        <v>0.45989999999999998</v>
      </c>
      <c r="G1038" s="16" t="s">
        <v>3342</v>
      </c>
      <c r="H1038" s="16" t="s">
        <v>1957</v>
      </c>
      <c r="I1038" s="16" t="s">
        <v>273</v>
      </c>
    </row>
    <row r="1039" spans="1:9" x14ac:dyDescent="0.35">
      <c r="A1039" s="16" t="s">
        <v>594</v>
      </c>
      <c r="B1039" s="17" t="s">
        <v>590</v>
      </c>
      <c r="C1039" s="17" t="s">
        <v>589</v>
      </c>
      <c r="D1039" s="16" t="s">
        <v>273</v>
      </c>
      <c r="E1039" s="16" t="s">
        <v>591</v>
      </c>
      <c r="F1039" s="16">
        <v>0.41489999999999999</v>
      </c>
      <c r="G1039" s="16" t="s">
        <v>592</v>
      </c>
      <c r="H1039" s="16" t="s">
        <v>593</v>
      </c>
      <c r="I1039" s="16" t="s">
        <v>273</v>
      </c>
    </row>
    <row r="1040" spans="1:9" ht="42" x14ac:dyDescent="0.35">
      <c r="A1040" s="16" t="s">
        <v>3343</v>
      </c>
      <c r="B1040" s="17" t="s">
        <v>3344</v>
      </c>
      <c r="C1040" s="17" t="s">
        <v>3345</v>
      </c>
      <c r="D1040" s="16" t="s">
        <v>273</v>
      </c>
      <c r="E1040" s="16" t="s">
        <v>512</v>
      </c>
      <c r="F1040" s="16">
        <v>0.21310000000000001</v>
      </c>
      <c r="G1040" s="16"/>
      <c r="H1040" s="16"/>
      <c r="I1040" s="16" t="s">
        <v>273</v>
      </c>
    </row>
    <row r="1041" spans="1:9" x14ac:dyDescent="0.35">
      <c r="A1041" s="16" t="s">
        <v>253</v>
      </c>
      <c r="B1041" s="17" t="s">
        <v>251</v>
      </c>
      <c r="C1041" s="17" t="s">
        <v>251</v>
      </c>
      <c r="D1041" s="16" t="s">
        <v>186</v>
      </c>
      <c r="E1041" s="16" t="s">
        <v>244</v>
      </c>
      <c r="F1041" s="16">
        <v>0.6</v>
      </c>
      <c r="G1041" s="16"/>
      <c r="H1041" s="16"/>
      <c r="I1041" s="16" t="s">
        <v>186</v>
      </c>
    </row>
    <row r="1042" spans="1:9" ht="28" x14ac:dyDescent="0.35">
      <c r="A1042" s="16" t="s">
        <v>3346</v>
      </c>
      <c r="B1042" s="17" t="s">
        <v>3347</v>
      </c>
      <c r="C1042" s="17" t="s">
        <v>3348</v>
      </c>
      <c r="D1042" s="16" t="s">
        <v>273</v>
      </c>
      <c r="E1042" s="16" t="s">
        <v>3349</v>
      </c>
      <c r="F1042" s="16">
        <v>0.39029999999999998</v>
      </c>
      <c r="G1042" s="16" t="s">
        <v>848</v>
      </c>
      <c r="H1042" s="16" t="s">
        <v>3350</v>
      </c>
      <c r="I1042" s="16" t="s">
        <v>273</v>
      </c>
    </row>
    <row r="1043" spans="1:9" x14ac:dyDescent="0.35">
      <c r="A1043" s="16" t="s">
        <v>3351</v>
      </c>
      <c r="B1043" s="17" t="s">
        <v>2533</v>
      </c>
      <c r="C1043" s="17" t="s">
        <v>1727</v>
      </c>
      <c r="D1043" s="16" t="s">
        <v>273</v>
      </c>
      <c r="E1043" s="16" t="s">
        <v>1728</v>
      </c>
      <c r="F1043" s="16">
        <v>0.37809999999999999</v>
      </c>
      <c r="G1043" s="16" t="s">
        <v>1729</v>
      </c>
      <c r="H1043" s="16" t="s">
        <v>1730</v>
      </c>
      <c r="I1043" s="16" t="s">
        <v>273</v>
      </c>
    </row>
    <row r="1044" spans="1:9" x14ac:dyDescent="0.35">
      <c r="A1044" s="16" t="s">
        <v>3352</v>
      </c>
      <c r="B1044" s="17" t="s">
        <v>3353</v>
      </c>
      <c r="C1044" s="17" t="s">
        <v>115</v>
      </c>
      <c r="D1044" s="16" t="s">
        <v>22</v>
      </c>
      <c r="E1044" s="16" t="s">
        <v>115</v>
      </c>
      <c r="F1044" s="16">
        <v>0.8</v>
      </c>
      <c r="G1044" s="16" t="s">
        <v>116</v>
      </c>
      <c r="H1044" s="16"/>
      <c r="I1044" s="16" t="s">
        <v>22</v>
      </c>
    </row>
    <row r="1045" spans="1:9" x14ac:dyDescent="0.35">
      <c r="A1045" s="16" t="s">
        <v>3354</v>
      </c>
      <c r="B1045" s="17" t="s">
        <v>1727</v>
      </c>
      <c r="C1045" s="17" t="s">
        <v>1727</v>
      </c>
      <c r="D1045" s="16" t="s">
        <v>273</v>
      </c>
      <c r="E1045" s="16" t="s">
        <v>1728</v>
      </c>
      <c r="F1045" s="16">
        <v>0.37809999999999999</v>
      </c>
      <c r="G1045" s="16" t="s">
        <v>1729</v>
      </c>
      <c r="H1045" s="16" t="s">
        <v>1730</v>
      </c>
      <c r="I1045" s="16" t="s">
        <v>273</v>
      </c>
    </row>
    <row r="1046" spans="1:9" x14ac:dyDescent="0.35">
      <c r="A1046" s="16" t="s">
        <v>3355</v>
      </c>
      <c r="B1046" s="17" t="s">
        <v>3133</v>
      </c>
      <c r="C1046" s="17" t="s">
        <v>3133</v>
      </c>
      <c r="D1046" s="16" t="s">
        <v>273</v>
      </c>
      <c r="E1046" s="16" t="s">
        <v>3134</v>
      </c>
      <c r="F1046" s="16">
        <v>0.4516</v>
      </c>
      <c r="G1046" s="16" t="s">
        <v>3135</v>
      </c>
      <c r="H1046" s="16" t="s">
        <v>3136</v>
      </c>
      <c r="I1046" s="16" t="s">
        <v>273</v>
      </c>
    </row>
    <row r="1047" spans="1:9" x14ac:dyDescent="0.35">
      <c r="A1047" s="16" t="s">
        <v>3356</v>
      </c>
      <c r="B1047" s="17" t="s">
        <v>3357</v>
      </c>
      <c r="C1047" s="17" t="s">
        <v>3358</v>
      </c>
      <c r="D1047" s="16" t="s">
        <v>273</v>
      </c>
      <c r="E1047" s="16" t="s">
        <v>512</v>
      </c>
      <c r="F1047" s="16">
        <v>0.41070000000000001</v>
      </c>
      <c r="G1047" s="16" t="s">
        <v>2880</v>
      </c>
      <c r="H1047" s="16" t="s">
        <v>513</v>
      </c>
      <c r="I1047" s="16" t="s">
        <v>273</v>
      </c>
    </row>
    <row r="1048" spans="1:9" x14ac:dyDescent="0.35">
      <c r="A1048" s="16" t="s">
        <v>3359</v>
      </c>
      <c r="B1048" s="17" t="s">
        <v>3360</v>
      </c>
      <c r="C1048" s="17" t="s">
        <v>2891</v>
      </c>
      <c r="D1048" s="16" t="s">
        <v>5</v>
      </c>
      <c r="E1048" s="16" t="s">
        <v>774</v>
      </c>
      <c r="F1048" s="16">
        <v>0.8</v>
      </c>
      <c r="G1048" s="16"/>
      <c r="H1048" s="16"/>
      <c r="I1048" s="16" t="s">
        <v>5</v>
      </c>
    </row>
    <row r="1049" spans="1:9" x14ac:dyDescent="0.35">
      <c r="A1049" s="16" t="s">
        <v>3361</v>
      </c>
      <c r="B1049" s="17" t="s">
        <v>3362</v>
      </c>
      <c r="C1049" s="17" t="s">
        <v>2891</v>
      </c>
      <c r="D1049" s="16" t="s">
        <v>5</v>
      </c>
      <c r="E1049" s="16" t="s">
        <v>774</v>
      </c>
      <c r="F1049" s="16">
        <v>0.8</v>
      </c>
      <c r="G1049" s="16"/>
      <c r="H1049" s="16"/>
      <c r="I1049" s="16" t="s">
        <v>5</v>
      </c>
    </row>
    <row r="1050" spans="1:9" x14ac:dyDescent="0.35">
      <c r="A1050" s="16" t="s">
        <v>3363</v>
      </c>
      <c r="B1050" s="17" t="s">
        <v>589</v>
      </c>
      <c r="C1050" s="17" t="s">
        <v>589</v>
      </c>
      <c r="D1050" s="16" t="s">
        <v>273</v>
      </c>
      <c r="E1050" s="16" t="s">
        <v>591</v>
      </c>
      <c r="F1050" s="16">
        <v>0.41489999999999999</v>
      </c>
      <c r="G1050" s="16" t="s">
        <v>592</v>
      </c>
      <c r="H1050" s="16" t="s">
        <v>593</v>
      </c>
      <c r="I1050" s="16" t="s">
        <v>273</v>
      </c>
    </row>
    <row r="1051" spans="1:9" x14ac:dyDescent="0.35">
      <c r="A1051" s="16" t="s">
        <v>3364</v>
      </c>
      <c r="B1051" s="17" t="s">
        <v>3077</v>
      </c>
      <c r="C1051" s="17" t="s">
        <v>3078</v>
      </c>
      <c r="D1051" s="16" t="s">
        <v>273</v>
      </c>
      <c r="E1051" s="16" t="s">
        <v>3079</v>
      </c>
      <c r="F1051" s="16">
        <v>0.24030000000000001</v>
      </c>
      <c r="G1051" s="16" t="s">
        <v>3080</v>
      </c>
      <c r="H1051" s="16"/>
      <c r="I1051" s="16" t="s">
        <v>273</v>
      </c>
    </row>
    <row r="1052" spans="1:9" x14ac:dyDescent="0.35">
      <c r="A1052" s="16" t="s">
        <v>3365</v>
      </c>
      <c r="B1052" s="17"/>
      <c r="C1052" s="17"/>
      <c r="D1052" s="16"/>
      <c r="E1052" s="16"/>
      <c r="F1052" s="16"/>
      <c r="G1052" s="16"/>
      <c r="H1052" s="16"/>
      <c r="I1052" s="16" t="s">
        <v>698</v>
      </c>
    </row>
    <row r="1053" spans="1:9" x14ac:dyDescent="0.35">
      <c r="A1053" s="16" t="s">
        <v>3366</v>
      </c>
      <c r="B1053" s="17"/>
      <c r="C1053" s="17"/>
      <c r="D1053" s="16"/>
      <c r="E1053" s="16"/>
      <c r="F1053" s="16"/>
      <c r="G1053" s="16"/>
      <c r="H1053" s="16"/>
      <c r="I1053" s="16" t="s">
        <v>698</v>
      </c>
    </row>
    <row r="1054" spans="1:9" x14ac:dyDescent="0.35">
      <c r="A1054" s="16" t="s">
        <v>3367</v>
      </c>
      <c r="B1054" s="17" t="s">
        <v>3368</v>
      </c>
      <c r="C1054" s="17" t="s">
        <v>3368</v>
      </c>
      <c r="D1054" s="16" t="s">
        <v>186</v>
      </c>
      <c r="E1054" s="16" t="s">
        <v>100</v>
      </c>
      <c r="F1054" s="16">
        <v>0.6</v>
      </c>
      <c r="G1054" s="16"/>
      <c r="H1054" s="16"/>
      <c r="I1054" s="16" t="s">
        <v>186</v>
      </c>
    </row>
    <row r="1055" spans="1:9" x14ac:dyDescent="0.35">
      <c r="A1055" s="16" t="s">
        <v>3369</v>
      </c>
      <c r="B1055" s="17" t="s">
        <v>3370</v>
      </c>
      <c r="C1055" s="17" t="s">
        <v>1058</v>
      </c>
      <c r="D1055" s="16" t="s">
        <v>273</v>
      </c>
      <c r="E1055" s="16" t="s">
        <v>1059</v>
      </c>
      <c r="F1055" s="16">
        <v>0.33360000000000001</v>
      </c>
      <c r="G1055" s="16" t="s">
        <v>1060</v>
      </c>
      <c r="H1055" s="16" t="s">
        <v>1061</v>
      </c>
      <c r="I1055" s="16" t="s">
        <v>273</v>
      </c>
    </row>
    <row r="1056" spans="1:9" ht="42" x14ac:dyDescent="0.35">
      <c r="A1056" s="16" t="s">
        <v>3371</v>
      </c>
      <c r="B1056" s="17" t="s">
        <v>3372</v>
      </c>
      <c r="C1056" s="17" t="s">
        <v>3373</v>
      </c>
      <c r="D1056" s="16" t="s">
        <v>273</v>
      </c>
      <c r="E1056" s="16" t="s">
        <v>1680</v>
      </c>
      <c r="F1056" s="16">
        <v>0.2762</v>
      </c>
      <c r="G1056" s="16" t="s">
        <v>1501</v>
      </c>
      <c r="H1056" s="16" t="s">
        <v>1740</v>
      </c>
      <c r="I1056" s="16" t="s">
        <v>273</v>
      </c>
    </row>
    <row r="1057" spans="1:9" x14ac:dyDescent="0.35">
      <c r="A1057" s="16" t="s">
        <v>3374</v>
      </c>
      <c r="B1057" s="17" t="s">
        <v>3375</v>
      </c>
      <c r="C1057" s="17" t="s">
        <v>1727</v>
      </c>
      <c r="D1057" s="16" t="s">
        <v>273</v>
      </c>
      <c r="E1057" s="16" t="s">
        <v>1728</v>
      </c>
      <c r="F1057" s="16">
        <v>0.37809999999999999</v>
      </c>
      <c r="G1057" s="16" t="s">
        <v>1729</v>
      </c>
      <c r="H1057" s="16" t="s">
        <v>1730</v>
      </c>
      <c r="I1057" s="16" t="s">
        <v>273</v>
      </c>
    </row>
    <row r="1058" spans="1:9" ht="84" x14ac:dyDescent="0.35">
      <c r="A1058" s="16" t="s">
        <v>3376</v>
      </c>
      <c r="B1058" s="17" t="s">
        <v>3377</v>
      </c>
      <c r="C1058" s="17" t="s">
        <v>3378</v>
      </c>
      <c r="D1058" s="16" t="s">
        <v>5</v>
      </c>
      <c r="E1058" s="16" t="s">
        <v>3379</v>
      </c>
      <c r="F1058" s="16">
        <v>0.8</v>
      </c>
      <c r="G1058" s="16"/>
      <c r="H1058" s="16"/>
      <c r="I1058" s="16" t="s">
        <v>5</v>
      </c>
    </row>
    <row r="1059" spans="1:9" x14ac:dyDescent="0.35">
      <c r="A1059" s="16" t="s">
        <v>3380</v>
      </c>
      <c r="B1059" s="17" t="s">
        <v>3054</v>
      </c>
      <c r="C1059" s="17" t="s">
        <v>3055</v>
      </c>
      <c r="D1059" s="16" t="s">
        <v>273</v>
      </c>
      <c r="E1059" s="16" t="s">
        <v>563</v>
      </c>
      <c r="F1059" s="16">
        <v>0.45979999999999999</v>
      </c>
      <c r="G1059" s="16" t="s">
        <v>564</v>
      </c>
      <c r="H1059" s="16" t="s">
        <v>448</v>
      </c>
      <c r="I1059" s="16" t="s">
        <v>273</v>
      </c>
    </row>
    <row r="1060" spans="1:9" x14ac:dyDescent="0.35">
      <c r="A1060" s="16" t="s">
        <v>3381</v>
      </c>
      <c r="B1060" s="17" t="s">
        <v>2773</v>
      </c>
      <c r="C1060" s="17" t="s">
        <v>2774</v>
      </c>
      <c r="D1060" s="16" t="s">
        <v>273</v>
      </c>
      <c r="E1060" s="16" t="s">
        <v>2775</v>
      </c>
      <c r="F1060" s="16">
        <v>0.34239999999999998</v>
      </c>
      <c r="G1060" s="16" t="s">
        <v>2776</v>
      </c>
      <c r="H1060" s="16" t="s">
        <v>2777</v>
      </c>
      <c r="I1060" s="16" t="s">
        <v>273</v>
      </c>
    </row>
    <row r="1061" spans="1:9" ht="28" x14ac:dyDescent="0.35">
      <c r="A1061" s="16" t="s">
        <v>3382</v>
      </c>
      <c r="B1061" s="17" t="s">
        <v>3383</v>
      </c>
      <c r="C1061" s="17" t="s">
        <v>3384</v>
      </c>
      <c r="D1061" s="16" t="s">
        <v>273</v>
      </c>
      <c r="E1061" s="16" t="s">
        <v>512</v>
      </c>
      <c r="F1061" s="16">
        <v>0.31109999999999999</v>
      </c>
      <c r="G1061" s="16" t="s">
        <v>513</v>
      </c>
      <c r="H1061" s="16" t="s">
        <v>2880</v>
      </c>
      <c r="I1061" s="16" t="s">
        <v>273</v>
      </c>
    </row>
    <row r="1062" spans="1:9" ht="42" x14ac:dyDescent="0.35">
      <c r="A1062" s="16" t="s">
        <v>3385</v>
      </c>
      <c r="B1062" s="17" t="s">
        <v>3386</v>
      </c>
      <c r="C1062" s="17" t="s">
        <v>3387</v>
      </c>
      <c r="D1062" s="16" t="s">
        <v>273</v>
      </c>
      <c r="E1062" s="16" t="s">
        <v>512</v>
      </c>
      <c r="F1062" s="16">
        <v>0.3155</v>
      </c>
      <c r="G1062" s="16" t="s">
        <v>513</v>
      </c>
      <c r="H1062" s="16" t="s">
        <v>1958</v>
      </c>
      <c r="I1062" s="16" t="s">
        <v>273</v>
      </c>
    </row>
    <row r="1063" spans="1:9" x14ac:dyDescent="0.35">
      <c r="A1063" s="16" t="s">
        <v>3388</v>
      </c>
      <c r="B1063" s="17"/>
      <c r="C1063" s="17"/>
      <c r="D1063" s="16"/>
      <c r="E1063" s="16"/>
      <c r="F1063" s="16"/>
      <c r="G1063" s="16"/>
      <c r="H1063" s="16"/>
      <c r="I1063" s="16" t="s">
        <v>698</v>
      </c>
    </row>
    <row r="1064" spans="1:9" x14ac:dyDescent="0.35">
      <c r="A1064" s="16" t="s">
        <v>3389</v>
      </c>
      <c r="B1064" s="17" t="s">
        <v>3390</v>
      </c>
      <c r="C1064" s="17"/>
      <c r="D1064" s="16"/>
      <c r="E1064" s="16"/>
      <c r="F1064" s="16"/>
      <c r="G1064" s="16"/>
      <c r="H1064" s="16"/>
      <c r="I1064" s="16" t="s">
        <v>633</v>
      </c>
    </row>
    <row r="1065" spans="1:9" x14ac:dyDescent="0.35">
      <c r="A1065" s="16" t="s">
        <v>3391</v>
      </c>
      <c r="B1065" s="17" t="s">
        <v>3392</v>
      </c>
      <c r="C1065" s="17" t="s">
        <v>3392</v>
      </c>
      <c r="D1065" s="16" t="s">
        <v>22</v>
      </c>
      <c r="E1065" s="16" t="s">
        <v>3393</v>
      </c>
      <c r="F1065" s="16">
        <v>1</v>
      </c>
      <c r="G1065" s="16"/>
      <c r="H1065" s="16"/>
      <c r="I1065" s="16" t="s">
        <v>22</v>
      </c>
    </row>
    <row r="1066" spans="1:9" x14ac:dyDescent="0.35">
      <c r="A1066" s="16" t="s">
        <v>3394</v>
      </c>
      <c r="B1066" s="17"/>
      <c r="C1066" s="17"/>
      <c r="D1066" s="16"/>
      <c r="E1066" s="16"/>
      <c r="F1066" s="16"/>
      <c r="G1066" s="16"/>
      <c r="H1066" s="16"/>
      <c r="I1066" s="16" t="s">
        <v>698</v>
      </c>
    </row>
    <row r="1067" spans="1:9" ht="28" x14ac:dyDescent="0.35">
      <c r="A1067" s="16" t="s">
        <v>3395</v>
      </c>
      <c r="B1067" s="17" t="s">
        <v>3396</v>
      </c>
      <c r="C1067" s="17" t="s">
        <v>3397</v>
      </c>
      <c r="D1067" s="16" t="s">
        <v>5</v>
      </c>
      <c r="E1067" s="16" t="s">
        <v>774</v>
      </c>
      <c r="F1067" s="16">
        <v>0.8</v>
      </c>
      <c r="G1067" s="16" t="s">
        <v>577</v>
      </c>
      <c r="H1067" s="16" t="s">
        <v>578</v>
      </c>
      <c r="I1067" s="16" t="s">
        <v>5</v>
      </c>
    </row>
    <row r="1068" spans="1:9" x14ac:dyDescent="0.35">
      <c r="A1068" s="16" t="s">
        <v>3398</v>
      </c>
      <c r="B1068" s="17" t="s">
        <v>1225</v>
      </c>
      <c r="C1068" s="17" t="s">
        <v>1226</v>
      </c>
      <c r="D1068" s="16" t="s">
        <v>273</v>
      </c>
      <c r="E1068" s="16" t="s">
        <v>522</v>
      </c>
      <c r="F1068" s="16">
        <v>0.35449999999999998</v>
      </c>
      <c r="G1068" s="16" t="s">
        <v>1227</v>
      </c>
      <c r="H1068" s="16" t="s">
        <v>1228</v>
      </c>
      <c r="I1068" s="16" t="s">
        <v>273</v>
      </c>
    </row>
    <row r="1069" spans="1:9" ht="28" x14ac:dyDescent="0.35">
      <c r="A1069" s="16" t="s">
        <v>551</v>
      </c>
      <c r="B1069" s="17" t="s">
        <v>547</v>
      </c>
      <c r="C1069" s="17" t="s">
        <v>547</v>
      </c>
      <c r="D1069" s="16" t="s">
        <v>273</v>
      </c>
      <c r="E1069" s="16" t="s">
        <v>548</v>
      </c>
      <c r="F1069" s="16">
        <v>0.45950000000000002</v>
      </c>
      <c r="G1069" s="16" t="s">
        <v>549</v>
      </c>
      <c r="H1069" s="16" t="s">
        <v>550</v>
      </c>
      <c r="I1069" s="16" t="s">
        <v>273</v>
      </c>
    </row>
    <row r="1070" spans="1:9" x14ac:dyDescent="0.35">
      <c r="A1070" s="16" t="s">
        <v>3399</v>
      </c>
      <c r="B1070" s="17" t="s">
        <v>3400</v>
      </c>
      <c r="C1070" s="17" t="s">
        <v>3400</v>
      </c>
      <c r="D1070" s="16" t="s">
        <v>273</v>
      </c>
      <c r="E1070" s="16" t="s">
        <v>3401</v>
      </c>
      <c r="F1070" s="16">
        <v>0.47720000000000001</v>
      </c>
      <c r="G1070" s="16" t="s">
        <v>3402</v>
      </c>
      <c r="H1070" s="16" t="s">
        <v>3403</v>
      </c>
      <c r="I1070" s="16" t="s">
        <v>273</v>
      </c>
    </row>
    <row r="1071" spans="1:9" x14ac:dyDescent="0.35">
      <c r="A1071" s="16" t="s">
        <v>3404</v>
      </c>
      <c r="B1071" s="17" t="s">
        <v>3405</v>
      </c>
      <c r="C1071" s="17" t="s">
        <v>3405</v>
      </c>
      <c r="D1071" s="16" t="s">
        <v>273</v>
      </c>
      <c r="E1071" s="16" t="s">
        <v>2128</v>
      </c>
      <c r="F1071" s="16">
        <v>0.3821</v>
      </c>
      <c r="G1071" s="16" t="s">
        <v>3406</v>
      </c>
      <c r="H1071" s="16" t="s">
        <v>3407</v>
      </c>
      <c r="I1071" s="16" t="s">
        <v>273</v>
      </c>
    </row>
    <row r="1072" spans="1:9" ht="56" x14ac:dyDescent="0.35">
      <c r="A1072" s="16" t="s">
        <v>3408</v>
      </c>
      <c r="B1072" s="17" t="s">
        <v>3409</v>
      </c>
      <c r="C1072" s="17" t="s">
        <v>3410</v>
      </c>
      <c r="D1072" s="16" t="s">
        <v>273</v>
      </c>
      <c r="E1072" s="16" t="s">
        <v>548</v>
      </c>
      <c r="F1072" s="16">
        <v>0.2828</v>
      </c>
      <c r="G1072" s="16" t="s">
        <v>512</v>
      </c>
      <c r="H1072" s="16" t="s">
        <v>3411</v>
      </c>
      <c r="I1072" s="16" t="s">
        <v>273</v>
      </c>
    </row>
    <row r="1073" spans="1:9" ht="42" x14ac:dyDescent="0.35">
      <c r="A1073" s="16" t="s">
        <v>3412</v>
      </c>
      <c r="B1073" s="17" t="s">
        <v>3413</v>
      </c>
      <c r="C1073" s="17" t="s">
        <v>3414</v>
      </c>
      <c r="D1073" s="16" t="s">
        <v>273</v>
      </c>
      <c r="E1073" s="16" t="s">
        <v>512</v>
      </c>
      <c r="F1073" s="16">
        <v>0.30680000000000002</v>
      </c>
      <c r="G1073" s="16" t="s">
        <v>1501</v>
      </c>
      <c r="H1073" s="16"/>
      <c r="I1073" s="16" t="s">
        <v>273</v>
      </c>
    </row>
    <row r="1074" spans="1:9" ht="42" x14ac:dyDescent="0.35">
      <c r="A1074" s="16" t="s">
        <v>3415</v>
      </c>
      <c r="B1074" s="17" t="s">
        <v>3416</v>
      </c>
      <c r="C1074" s="17" t="s">
        <v>3417</v>
      </c>
      <c r="D1074" s="16"/>
      <c r="E1074" s="16"/>
      <c r="F1074" s="16"/>
      <c r="G1074" s="16"/>
      <c r="H1074" s="16"/>
      <c r="I1074" s="16" t="s">
        <v>633</v>
      </c>
    </row>
    <row r="1075" spans="1:9" ht="28" x14ac:dyDescent="0.35">
      <c r="A1075" s="16" t="s">
        <v>3418</v>
      </c>
      <c r="B1075" s="17" t="s">
        <v>3419</v>
      </c>
      <c r="C1075" s="17" t="s">
        <v>3420</v>
      </c>
      <c r="D1075" s="16" t="s">
        <v>273</v>
      </c>
      <c r="E1075" s="16" t="s">
        <v>429</v>
      </c>
      <c r="F1075" s="16">
        <v>0.31990000000000002</v>
      </c>
      <c r="G1075" s="16" t="s">
        <v>3421</v>
      </c>
      <c r="H1075" s="16" t="s">
        <v>3422</v>
      </c>
      <c r="I1075" s="16" t="s">
        <v>273</v>
      </c>
    </row>
    <row r="1076" spans="1:9" x14ac:dyDescent="0.35">
      <c r="A1076" s="16" t="s">
        <v>3423</v>
      </c>
      <c r="B1076" s="17"/>
      <c r="C1076" s="17"/>
      <c r="D1076" s="16"/>
      <c r="E1076" s="16"/>
      <c r="F1076" s="16"/>
      <c r="G1076" s="16"/>
      <c r="H1076" s="16"/>
      <c r="I1076" s="16" t="s">
        <v>698</v>
      </c>
    </row>
    <row r="1077" spans="1:9" x14ac:dyDescent="0.35">
      <c r="A1077" s="16" t="s">
        <v>3424</v>
      </c>
      <c r="B1077" s="17" t="s">
        <v>3054</v>
      </c>
      <c r="C1077" s="17" t="s">
        <v>3055</v>
      </c>
      <c r="D1077" s="16" t="s">
        <v>273</v>
      </c>
      <c r="E1077" s="16" t="s">
        <v>563</v>
      </c>
      <c r="F1077" s="16">
        <v>0.45979999999999999</v>
      </c>
      <c r="G1077" s="16" t="s">
        <v>564</v>
      </c>
      <c r="H1077" s="16" t="s">
        <v>448</v>
      </c>
      <c r="I1077" s="16" t="s">
        <v>273</v>
      </c>
    </row>
    <row r="1078" spans="1:9" x14ac:dyDescent="0.35">
      <c r="A1078" s="16" t="s">
        <v>3425</v>
      </c>
      <c r="B1078" s="17" t="s">
        <v>3426</v>
      </c>
      <c r="C1078" s="17" t="s">
        <v>309</v>
      </c>
      <c r="D1078" s="16" t="s">
        <v>273</v>
      </c>
      <c r="E1078" s="16" t="s">
        <v>310</v>
      </c>
      <c r="F1078" s="16">
        <v>0.33779999999999999</v>
      </c>
      <c r="G1078" s="16" t="s">
        <v>549</v>
      </c>
      <c r="H1078" s="16" t="s">
        <v>311</v>
      </c>
      <c r="I1078" s="16" t="s">
        <v>273</v>
      </c>
    </row>
    <row r="1079" spans="1:9" ht="28" x14ac:dyDescent="0.35">
      <c r="A1079" s="16" t="s">
        <v>3427</v>
      </c>
      <c r="B1079" s="17" t="s">
        <v>3428</v>
      </c>
      <c r="C1079" s="17" t="s">
        <v>3429</v>
      </c>
      <c r="D1079" s="16" t="s">
        <v>273</v>
      </c>
      <c r="E1079" s="16" t="s">
        <v>591</v>
      </c>
      <c r="F1079" s="16">
        <v>0.37709999999999999</v>
      </c>
      <c r="G1079" s="16"/>
      <c r="H1079" s="16"/>
      <c r="I1079" s="16" t="s">
        <v>273</v>
      </c>
    </row>
    <row r="1080" spans="1:9" x14ac:dyDescent="0.35">
      <c r="A1080" s="16" t="s">
        <v>3430</v>
      </c>
      <c r="B1080" s="17"/>
      <c r="C1080" s="17"/>
      <c r="D1080" s="16"/>
      <c r="E1080" s="16"/>
      <c r="F1080" s="16"/>
      <c r="G1080" s="16"/>
      <c r="H1080" s="16"/>
      <c r="I1080" s="16" t="s">
        <v>698</v>
      </c>
    </row>
    <row r="1081" spans="1:9" x14ac:dyDescent="0.35">
      <c r="A1081" s="16" t="s">
        <v>3431</v>
      </c>
      <c r="B1081" s="17"/>
      <c r="C1081" s="17"/>
      <c r="D1081" s="16"/>
      <c r="E1081" s="16"/>
      <c r="F1081" s="16"/>
      <c r="G1081" s="16"/>
      <c r="H1081" s="16"/>
      <c r="I1081" s="16" t="s">
        <v>698</v>
      </c>
    </row>
    <row r="1082" spans="1:9" x14ac:dyDescent="0.35">
      <c r="A1082" s="16" t="s">
        <v>3432</v>
      </c>
      <c r="B1082" s="17" t="s">
        <v>2124</v>
      </c>
      <c r="C1082" s="17" t="s">
        <v>2124</v>
      </c>
      <c r="D1082" s="16" t="s">
        <v>273</v>
      </c>
      <c r="E1082" s="16" t="s">
        <v>1388</v>
      </c>
      <c r="F1082" s="16">
        <v>0.216</v>
      </c>
      <c r="G1082" s="16"/>
      <c r="H1082" s="16"/>
      <c r="I1082" s="16" t="s">
        <v>273</v>
      </c>
    </row>
    <row r="1083" spans="1:9" ht="28" x14ac:dyDescent="0.35">
      <c r="A1083" s="16" t="s">
        <v>3433</v>
      </c>
      <c r="B1083" s="17" t="s">
        <v>3434</v>
      </c>
      <c r="C1083" s="17" t="s">
        <v>3434</v>
      </c>
      <c r="D1083" s="16" t="s">
        <v>273</v>
      </c>
      <c r="E1083" s="16" t="s">
        <v>3435</v>
      </c>
      <c r="F1083" s="16">
        <v>0.22359999999999999</v>
      </c>
      <c r="G1083" s="16"/>
      <c r="H1083" s="16"/>
      <c r="I1083" s="16" t="s">
        <v>273</v>
      </c>
    </row>
    <row r="1084" spans="1:9" x14ac:dyDescent="0.35">
      <c r="A1084" s="16" t="s">
        <v>3436</v>
      </c>
      <c r="B1084" s="17" t="s">
        <v>3437</v>
      </c>
      <c r="C1084" s="17" t="s">
        <v>3437</v>
      </c>
      <c r="D1084" s="16" t="s">
        <v>273</v>
      </c>
      <c r="E1084" s="16" t="s">
        <v>3438</v>
      </c>
      <c r="F1084" s="16">
        <v>0.28820000000000001</v>
      </c>
      <c r="G1084" s="16"/>
      <c r="H1084" s="16"/>
      <c r="I1084" s="16" t="s">
        <v>273</v>
      </c>
    </row>
    <row r="1085" spans="1:9" x14ac:dyDescent="0.35">
      <c r="A1085" s="16" t="s">
        <v>3439</v>
      </c>
      <c r="B1085" s="17" t="s">
        <v>3440</v>
      </c>
      <c r="C1085" s="17" t="s">
        <v>3441</v>
      </c>
      <c r="D1085" s="16" t="s">
        <v>273</v>
      </c>
      <c r="E1085" s="16" t="s">
        <v>3442</v>
      </c>
      <c r="F1085" s="16">
        <v>0.33900000000000002</v>
      </c>
      <c r="G1085" s="16" t="s">
        <v>3443</v>
      </c>
      <c r="H1085" s="16" t="s">
        <v>3444</v>
      </c>
      <c r="I1085" s="16" t="s">
        <v>273</v>
      </c>
    </row>
    <row r="1086" spans="1:9" ht="140" x14ac:dyDescent="0.35">
      <c r="A1086" s="16" t="s">
        <v>3445</v>
      </c>
      <c r="B1086" s="17" t="s">
        <v>3446</v>
      </c>
      <c r="C1086" s="17" t="s">
        <v>3447</v>
      </c>
      <c r="D1086" s="16"/>
      <c r="E1086" s="16"/>
      <c r="F1086" s="16"/>
      <c r="G1086" s="16"/>
      <c r="H1086" s="16"/>
      <c r="I1086" s="16" t="s">
        <v>633</v>
      </c>
    </row>
    <row r="1087" spans="1:9" x14ac:dyDescent="0.35">
      <c r="A1087" s="16" t="s">
        <v>3448</v>
      </c>
      <c r="B1087" s="17" t="s">
        <v>3449</v>
      </c>
      <c r="C1087" s="17" t="s">
        <v>3449</v>
      </c>
      <c r="D1087" s="16" t="s">
        <v>273</v>
      </c>
      <c r="E1087" s="16" t="s">
        <v>1265</v>
      </c>
      <c r="F1087" s="16">
        <v>0.34910000000000002</v>
      </c>
      <c r="G1087" s="16" t="s">
        <v>3450</v>
      </c>
      <c r="H1087" s="16" t="s">
        <v>1328</v>
      </c>
      <c r="I1087" s="16" t="s">
        <v>273</v>
      </c>
    </row>
    <row r="1088" spans="1:9" ht="70" x14ac:dyDescent="0.35">
      <c r="A1088" s="16" t="s">
        <v>3451</v>
      </c>
      <c r="B1088" s="17" t="s">
        <v>3452</v>
      </c>
      <c r="C1088" s="17" t="s">
        <v>3453</v>
      </c>
      <c r="D1088" s="16" t="s">
        <v>273</v>
      </c>
      <c r="E1088" s="16" t="s">
        <v>3454</v>
      </c>
      <c r="F1088" s="16">
        <v>0.2671</v>
      </c>
      <c r="G1088" s="16" t="s">
        <v>563</v>
      </c>
      <c r="H1088" s="16"/>
      <c r="I1088" s="16" t="s">
        <v>273</v>
      </c>
    </row>
    <row r="1089" spans="1:9" ht="28" x14ac:dyDescent="0.35">
      <c r="A1089" s="16" t="s">
        <v>3455</v>
      </c>
      <c r="B1089" s="17" t="s">
        <v>3456</v>
      </c>
      <c r="C1089" s="17" t="s">
        <v>3457</v>
      </c>
      <c r="D1089" s="16" t="s">
        <v>186</v>
      </c>
      <c r="E1089" s="16" t="s">
        <v>3458</v>
      </c>
      <c r="F1089" s="16">
        <v>0.6</v>
      </c>
      <c r="G1089" s="16"/>
      <c r="H1089" s="16"/>
      <c r="I1089" s="16" t="s">
        <v>186</v>
      </c>
    </row>
    <row r="1090" spans="1:9" x14ac:dyDescent="0.35">
      <c r="A1090" s="16" t="s">
        <v>3459</v>
      </c>
      <c r="B1090" s="17"/>
      <c r="C1090" s="17"/>
      <c r="D1090" s="16"/>
      <c r="E1090" s="16"/>
      <c r="F1090" s="16"/>
      <c r="G1090" s="16"/>
      <c r="H1090" s="16"/>
      <c r="I1090" s="16" t="s">
        <v>698</v>
      </c>
    </row>
    <row r="1091" spans="1:9" x14ac:dyDescent="0.35">
      <c r="A1091" s="16" t="s">
        <v>3460</v>
      </c>
      <c r="B1091" s="17"/>
      <c r="C1091" s="17"/>
      <c r="D1091" s="16"/>
      <c r="E1091" s="16"/>
      <c r="F1091" s="16"/>
      <c r="G1091" s="16"/>
      <c r="H1091" s="16"/>
      <c r="I1091" s="16" t="s">
        <v>698</v>
      </c>
    </row>
    <row r="1092" spans="1:9" ht="28" x14ac:dyDescent="0.35">
      <c r="A1092" s="16" t="s">
        <v>3461</v>
      </c>
      <c r="B1092" s="17" t="s">
        <v>3462</v>
      </c>
      <c r="C1092" s="17" t="s">
        <v>3463</v>
      </c>
      <c r="D1092" s="16" t="s">
        <v>273</v>
      </c>
      <c r="E1092" s="16" t="s">
        <v>3464</v>
      </c>
      <c r="F1092" s="16">
        <v>0.47189999999999999</v>
      </c>
      <c r="G1092" s="16" t="s">
        <v>3465</v>
      </c>
      <c r="H1092" s="16" t="s">
        <v>3466</v>
      </c>
      <c r="I1092" s="16" t="s">
        <v>273</v>
      </c>
    </row>
    <row r="1093" spans="1:9" x14ac:dyDescent="0.35">
      <c r="A1093" s="16" t="s">
        <v>3467</v>
      </c>
      <c r="B1093" s="17" t="s">
        <v>3468</v>
      </c>
      <c r="C1093" s="17" t="s">
        <v>3469</v>
      </c>
      <c r="D1093" s="16" t="s">
        <v>273</v>
      </c>
      <c r="E1093" s="16" t="s">
        <v>3470</v>
      </c>
      <c r="F1093" s="16">
        <v>0.32079999999999997</v>
      </c>
      <c r="G1093" s="16" t="s">
        <v>3471</v>
      </c>
      <c r="H1093" s="16" t="s">
        <v>3472</v>
      </c>
      <c r="I1093" s="16" t="s">
        <v>273</v>
      </c>
    </row>
    <row r="1094" spans="1:9" x14ac:dyDescent="0.35">
      <c r="A1094" s="16" t="s">
        <v>3473</v>
      </c>
      <c r="B1094" s="17"/>
      <c r="C1094" s="17"/>
      <c r="D1094" s="16"/>
      <c r="E1094" s="16"/>
      <c r="F1094" s="16"/>
      <c r="G1094" s="16"/>
      <c r="H1094" s="16"/>
      <c r="I1094" s="16" t="s">
        <v>698</v>
      </c>
    </row>
    <row r="1095" spans="1:9" x14ac:dyDescent="0.35">
      <c r="A1095" s="16" t="s">
        <v>3474</v>
      </c>
      <c r="B1095" s="17" t="s">
        <v>3475</v>
      </c>
      <c r="C1095" s="17"/>
      <c r="D1095" s="16"/>
      <c r="E1095" s="16"/>
      <c r="F1095" s="16"/>
      <c r="G1095" s="16"/>
      <c r="H1095" s="16"/>
      <c r="I1095" s="16" t="s">
        <v>633</v>
      </c>
    </row>
    <row r="1096" spans="1:9" ht="28" x14ac:dyDescent="0.35">
      <c r="A1096" s="16" t="s">
        <v>3476</v>
      </c>
      <c r="B1096" s="17" t="s">
        <v>3477</v>
      </c>
      <c r="C1096" s="17" t="s">
        <v>3478</v>
      </c>
      <c r="D1096" s="16" t="s">
        <v>273</v>
      </c>
      <c r="E1096" s="16" t="s">
        <v>3479</v>
      </c>
      <c r="F1096" s="16">
        <v>0.28249999999999997</v>
      </c>
      <c r="G1096" s="16" t="s">
        <v>563</v>
      </c>
      <c r="H1096" s="16"/>
      <c r="I1096" s="16" t="s">
        <v>273</v>
      </c>
    </row>
    <row r="1097" spans="1:9" ht="42" x14ac:dyDescent="0.35">
      <c r="A1097" s="16" t="s">
        <v>3480</v>
      </c>
      <c r="B1097" s="17" t="s">
        <v>3481</v>
      </c>
      <c r="C1097" s="17" t="s">
        <v>3482</v>
      </c>
      <c r="D1097" s="16" t="s">
        <v>273</v>
      </c>
      <c r="E1097" s="16" t="s">
        <v>563</v>
      </c>
      <c r="F1097" s="16">
        <v>0.22520000000000001</v>
      </c>
      <c r="G1097" s="16"/>
      <c r="H1097" s="16"/>
      <c r="I1097" s="16" t="s">
        <v>273</v>
      </c>
    </row>
    <row r="1098" spans="1:9" ht="42" x14ac:dyDescent="0.35">
      <c r="A1098" s="16" t="s">
        <v>3483</v>
      </c>
      <c r="B1098" s="17" t="s">
        <v>3484</v>
      </c>
      <c r="C1098" s="17" t="s">
        <v>3485</v>
      </c>
      <c r="D1098" s="16" t="s">
        <v>273</v>
      </c>
      <c r="E1098" s="16" t="s">
        <v>310</v>
      </c>
      <c r="F1098" s="16">
        <v>0.27950000000000003</v>
      </c>
      <c r="G1098" s="16" t="s">
        <v>311</v>
      </c>
      <c r="H1098" s="16" t="s">
        <v>312</v>
      </c>
      <c r="I1098" s="16" t="s">
        <v>273</v>
      </c>
    </row>
    <row r="1099" spans="1:9" ht="28" x14ac:dyDescent="0.35">
      <c r="A1099" s="16" t="s">
        <v>3486</v>
      </c>
      <c r="B1099" s="17" t="s">
        <v>3487</v>
      </c>
      <c r="C1099" s="17" t="s">
        <v>3488</v>
      </c>
      <c r="D1099" s="16" t="s">
        <v>273</v>
      </c>
      <c r="E1099" s="16" t="s">
        <v>3489</v>
      </c>
      <c r="F1099" s="16">
        <v>0.44319999999999998</v>
      </c>
      <c r="G1099" s="16" t="s">
        <v>3472</v>
      </c>
      <c r="H1099" s="16" t="s">
        <v>3490</v>
      </c>
      <c r="I1099" s="16" t="s">
        <v>273</v>
      </c>
    </row>
    <row r="1100" spans="1:9" ht="56" x14ac:dyDescent="0.35">
      <c r="A1100" s="16" t="s">
        <v>3491</v>
      </c>
      <c r="B1100" s="17" t="s">
        <v>3492</v>
      </c>
      <c r="C1100" s="17" t="s">
        <v>3492</v>
      </c>
      <c r="D1100" s="16"/>
      <c r="E1100" s="16"/>
      <c r="F1100" s="16"/>
      <c r="G1100" s="16"/>
      <c r="H1100" s="16"/>
      <c r="I1100" s="16" t="s">
        <v>633</v>
      </c>
    </row>
    <row r="1101" spans="1:9" ht="154" x14ac:dyDescent="0.35">
      <c r="A1101" s="16" t="s">
        <v>3493</v>
      </c>
      <c r="B1101" s="17" t="s">
        <v>3494</v>
      </c>
      <c r="C1101" s="17" t="s">
        <v>3495</v>
      </c>
      <c r="D1101" s="16"/>
      <c r="E1101" s="16"/>
      <c r="F1101" s="16"/>
      <c r="G1101" s="16"/>
      <c r="H1101" s="16"/>
      <c r="I1101" s="16" t="s">
        <v>633</v>
      </c>
    </row>
    <row r="1102" spans="1:9" x14ac:dyDescent="0.35">
      <c r="A1102" s="16" t="s">
        <v>3496</v>
      </c>
      <c r="B1102" s="17" t="s">
        <v>3497</v>
      </c>
      <c r="C1102" s="17" t="s">
        <v>38</v>
      </c>
      <c r="D1102" s="16" t="s">
        <v>22</v>
      </c>
      <c r="E1102" s="16" t="s">
        <v>38</v>
      </c>
      <c r="F1102" s="16">
        <v>1</v>
      </c>
      <c r="G1102" s="16"/>
      <c r="H1102" s="16"/>
      <c r="I1102" s="16" t="s">
        <v>22</v>
      </c>
    </row>
    <row r="1103" spans="1:9" x14ac:dyDescent="0.35">
      <c r="A1103" s="16" t="s">
        <v>3498</v>
      </c>
      <c r="B1103" s="17" t="s">
        <v>3499</v>
      </c>
      <c r="C1103" s="17" t="s">
        <v>673</v>
      </c>
      <c r="D1103" s="16"/>
      <c r="E1103" s="16"/>
      <c r="F1103" s="16"/>
      <c r="G1103" s="16"/>
      <c r="H1103" s="16"/>
      <c r="I1103" s="16" t="s">
        <v>633</v>
      </c>
    </row>
    <row r="1104" spans="1:9" x14ac:dyDescent="0.35">
      <c r="A1104" s="16" t="s">
        <v>3500</v>
      </c>
      <c r="B1104" s="17" t="s">
        <v>3501</v>
      </c>
      <c r="C1104" s="17" t="s">
        <v>46</v>
      </c>
      <c r="D1104" s="16" t="s">
        <v>22</v>
      </c>
      <c r="E1104" s="16" t="s">
        <v>49</v>
      </c>
      <c r="F1104" s="16">
        <v>1</v>
      </c>
      <c r="G1104" s="16"/>
      <c r="H1104" s="16"/>
      <c r="I1104" s="16" t="s">
        <v>22</v>
      </c>
    </row>
    <row r="1105" spans="1:9" x14ac:dyDescent="0.35">
      <c r="A1105" s="16" t="s">
        <v>3502</v>
      </c>
      <c r="B1105" s="17"/>
      <c r="C1105" s="17"/>
      <c r="D1105" s="16"/>
      <c r="E1105" s="16"/>
      <c r="F1105" s="16"/>
      <c r="G1105" s="16"/>
      <c r="H1105" s="16"/>
      <c r="I1105" s="16" t="s">
        <v>698</v>
      </c>
    </row>
    <row r="1106" spans="1:9" x14ac:dyDescent="0.35">
      <c r="A1106" s="16" t="s">
        <v>3503</v>
      </c>
      <c r="B1106" s="17" t="s">
        <v>3504</v>
      </c>
      <c r="C1106" s="17"/>
      <c r="D1106" s="16"/>
      <c r="E1106" s="16"/>
      <c r="F1106" s="16"/>
      <c r="G1106" s="16"/>
      <c r="H1106" s="16"/>
      <c r="I1106" s="16" t="s">
        <v>633</v>
      </c>
    </row>
    <row r="1107" spans="1:9" ht="28" x14ac:dyDescent="0.35">
      <c r="A1107" s="16" t="s">
        <v>3505</v>
      </c>
      <c r="B1107" s="17" t="s">
        <v>3506</v>
      </c>
      <c r="C1107" s="17" t="s">
        <v>3506</v>
      </c>
      <c r="D1107" s="16" t="s">
        <v>5</v>
      </c>
      <c r="E1107" s="16" t="s">
        <v>3507</v>
      </c>
      <c r="F1107" s="16">
        <v>0.8</v>
      </c>
      <c r="G1107" s="16"/>
      <c r="H1107" s="16"/>
      <c r="I1107" s="16" t="s">
        <v>5</v>
      </c>
    </row>
    <row r="1108" spans="1:9" x14ac:dyDescent="0.35">
      <c r="A1108" s="16" t="s">
        <v>3508</v>
      </c>
      <c r="B1108" s="17"/>
      <c r="C1108" s="17"/>
      <c r="D1108" s="16"/>
      <c r="E1108" s="16"/>
      <c r="F1108" s="16"/>
      <c r="G1108" s="16"/>
      <c r="H1108" s="16"/>
      <c r="I1108" s="16" t="s">
        <v>698</v>
      </c>
    </row>
    <row r="1109" spans="1:9" ht="28" x14ac:dyDescent="0.35">
      <c r="A1109" s="16" t="s">
        <v>217</v>
      </c>
      <c r="B1109" s="17" t="s">
        <v>216</v>
      </c>
      <c r="C1109" s="17" t="s">
        <v>3509</v>
      </c>
      <c r="D1109" s="16" t="s">
        <v>186</v>
      </c>
      <c r="E1109" s="16" t="s">
        <v>197</v>
      </c>
      <c r="F1109" s="16">
        <v>0.6</v>
      </c>
      <c r="G1109" s="16" t="s">
        <v>609</v>
      </c>
      <c r="H1109" s="16" t="s">
        <v>610</v>
      </c>
      <c r="I1109" s="16" t="s">
        <v>186</v>
      </c>
    </row>
    <row r="1110" spans="1:9" ht="28" x14ac:dyDescent="0.35">
      <c r="A1110" s="16" t="s">
        <v>3510</v>
      </c>
      <c r="B1110" s="17" t="s">
        <v>3511</v>
      </c>
      <c r="C1110" s="17" t="s">
        <v>3511</v>
      </c>
      <c r="D1110" s="16"/>
      <c r="E1110" s="16"/>
      <c r="F1110" s="16"/>
      <c r="G1110" s="16"/>
      <c r="H1110" s="16"/>
      <c r="I1110" s="16" t="s">
        <v>633</v>
      </c>
    </row>
    <row r="1111" spans="1:9" x14ac:dyDescent="0.35">
      <c r="A1111" s="16" t="s">
        <v>3512</v>
      </c>
      <c r="B1111" s="17" t="s">
        <v>3513</v>
      </c>
      <c r="C1111" s="17" t="s">
        <v>3514</v>
      </c>
      <c r="D1111" s="16" t="s">
        <v>273</v>
      </c>
      <c r="E1111" s="16" t="s">
        <v>563</v>
      </c>
      <c r="F1111" s="16">
        <v>0.42499999999999999</v>
      </c>
      <c r="G1111" s="16" t="s">
        <v>448</v>
      </c>
      <c r="H1111" s="16" t="s">
        <v>564</v>
      </c>
      <c r="I1111" s="16" t="s">
        <v>273</v>
      </c>
    </row>
    <row r="1112" spans="1:9" x14ac:dyDescent="0.35">
      <c r="A1112" s="16" t="s">
        <v>3515</v>
      </c>
      <c r="B1112" s="17" t="s">
        <v>713</v>
      </c>
      <c r="C1112" s="17"/>
      <c r="D1112" s="16"/>
      <c r="E1112" s="16"/>
      <c r="F1112" s="16"/>
      <c r="G1112" s="16"/>
      <c r="H1112" s="16"/>
      <c r="I1112" s="16" t="s">
        <v>633</v>
      </c>
    </row>
    <row r="1113" spans="1:9" x14ac:dyDescent="0.35">
      <c r="A1113" s="16" t="s">
        <v>3516</v>
      </c>
      <c r="B1113" s="17" t="s">
        <v>3517</v>
      </c>
      <c r="C1113" s="17" t="s">
        <v>3518</v>
      </c>
      <c r="D1113" s="16" t="s">
        <v>273</v>
      </c>
      <c r="E1113" s="16" t="s">
        <v>3519</v>
      </c>
      <c r="F1113" s="16">
        <v>0.30759999999999998</v>
      </c>
      <c r="G1113" s="16" t="s">
        <v>3520</v>
      </c>
      <c r="H1113" s="16" t="s">
        <v>3521</v>
      </c>
      <c r="I1113" s="16" t="s">
        <v>273</v>
      </c>
    </row>
    <row r="1114" spans="1:9" x14ac:dyDescent="0.35">
      <c r="A1114" s="16" t="s">
        <v>3522</v>
      </c>
      <c r="B1114" s="17" t="s">
        <v>3523</v>
      </c>
      <c r="C1114" s="17" t="s">
        <v>673</v>
      </c>
      <c r="D1114" s="16"/>
      <c r="E1114" s="16"/>
      <c r="F1114" s="16"/>
      <c r="G1114" s="16"/>
      <c r="H1114" s="16"/>
      <c r="I1114" s="16" t="s">
        <v>633</v>
      </c>
    </row>
    <row r="1115" spans="1:9" x14ac:dyDescent="0.35">
      <c r="A1115" s="16" t="s">
        <v>431</v>
      </c>
      <c r="B1115" s="17" t="s">
        <v>427</v>
      </c>
      <c r="C1115" s="17" t="s">
        <v>426</v>
      </c>
      <c r="D1115" s="16" t="s">
        <v>273</v>
      </c>
      <c r="E1115" s="16" t="s">
        <v>428</v>
      </c>
      <c r="F1115" s="16">
        <v>0.38369999999999999</v>
      </c>
      <c r="G1115" s="16" t="s">
        <v>429</v>
      </c>
      <c r="H1115" s="16" t="s">
        <v>430</v>
      </c>
      <c r="I1115" s="16" t="s">
        <v>273</v>
      </c>
    </row>
    <row r="1116" spans="1:9" ht="42" x14ac:dyDescent="0.35">
      <c r="A1116" s="16" t="s">
        <v>3524</v>
      </c>
      <c r="B1116" s="17" t="s">
        <v>3525</v>
      </c>
      <c r="C1116" s="17" t="s">
        <v>3526</v>
      </c>
      <c r="D1116" s="16" t="s">
        <v>273</v>
      </c>
      <c r="E1116" s="16" t="s">
        <v>3527</v>
      </c>
      <c r="F1116" s="16">
        <v>0.37430000000000002</v>
      </c>
      <c r="G1116" s="16" t="s">
        <v>3528</v>
      </c>
      <c r="H1116" s="16" t="s">
        <v>3529</v>
      </c>
      <c r="I1116" s="16" t="s">
        <v>273</v>
      </c>
    </row>
    <row r="1117" spans="1:9" x14ac:dyDescent="0.35">
      <c r="A1117" s="16" t="s">
        <v>3530</v>
      </c>
      <c r="B1117" s="17" t="s">
        <v>3531</v>
      </c>
      <c r="C1117" s="17" t="s">
        <v>3531</v>
      </c>
      <c r="D1117" s="16" t="s">
        <v>273</v>
      </c>
      <c r="E1117" s="16" t="s">
        <v>3238</v>
      </c>
      <c r="F1117" s="16">
        <v>0.29880000000000001</v>
      </c>
      <c r="G1117" s="16" t="s">
        <v>3407</v>
      </c>
      <c r="H1117" s="16" t="s">
        <v>3532</v>
      </c>
      <c r="I1117" s="16" t="s">
        <v>273</v>
      </c>
    </row>
    <row r="1118" spans="1:9" x14ac:dyDescent="0.35">
      <c r="A1118" s="16" t="s">
        <v>3533</v>
      </c>
      <c r="B1118" s="17" t="s">
        <v>34</v>
      </c>
      <c r="C1118" s="17" t="s">
        <v>34</v>
      </c>
      <c r="D1118" s="16" t="s">
        <v>22</v>
      </c>
      <c r="E1118" s="16" t="s">
        <v>34</v>
      </c>
      <c r="F1118" s="16">
        <v>0.8</v>
      </c>
      <c r="G1118" s="16" t="s">
        <v>35</v>
      </c>
      <c r="H1118" s="16"/>
      <c r="I1118" s="16" t="s">
        <v>22</v>
      </c>
    </row>
    <row r="1119" spans="1:9" ht="28" x14ac:dyDescent="0.35">
      <c r="A1119" s="16" t="s">
        <v>3534</v>
      </c>
      <c r="B1119" s="17" t="s">
        <v>3535</v>
      </c>
      <c r="C1119" s="17" t="s">
        <v>3536</v>
      </c>
      <c r="D1119" s="16" t="s">
        <v>273</v>
      </c>
      <c r="E1119" s="16" t="s">
        <v>1675</v>
      </c>
      <c r="F1119" s="16">
        <v>0.27129999999999999</v>
      </c>
      <c r="G1119" s="16" t="s">
        <v>3537</v>
      </c>
      <c r="H1119" s="16" t="s">
        <v>2997</v>
      </c>
      <c r="I1119" s="16" t="s">
        <v>273</v>
      </c>
    </row>
    <row r="1120" spans="1:9" x14ac:dyDescent="0.35">
      <c r="A1120" s="16" t="s">
        <v>3538</v>
      </c>
      <c r="B1120" s="17" t="s">
        <v>67</v>
      </c>
      <c r="C1120" s="17" t="s">
        <v>67</v>
      </c>
      <c r="D1120" s="16" t="s">
        <v>22</v>
      </c>
      <c r="E1120" s="16" t="s">
        <v>67</v>
      </c>
      <c r="F1120" s="16">
        <v>1</v>
      </c>
      <c r="G1120" s="16"/>
      <c r="H1120" s="16"/>
      <c r="I1120" s="16" t="s">
        <v>22</v>
      </c>
    </row>
    <row r="1121" spans="1:9" x14ac:dyDescent="0.35">
      <c r="A1121" s="16" t="s">
        <v>3539</v>
      </c>
      <c r="B1121" s="17"/>
      <c r="C1121" s="17"/>
      <c r="D1121" s="16"/>
      <c r="E1121" s="16"/>
      <c r="F1121" s="16"/>
      <c r="G1121" s="16"/>
      <c r="H1121" s="16"/>
      <c r="I1121" s="16" t="s">
        <v>698</v>
      </c>
    </row>
    <row r="1122" spans="1:9" x14ac:dyDescent="0.35">
      <c r="A1122" s="16" t="s">
        <v>3540</v>
      </c>
      <c r="B1122" s="17" t="s">
        <v>2467</v>
      </c>
      <c r="C1122" s="17" t="s">
        <v>2467</v>
      </c>
      <c r="D1122" s="16" t="s">
        <v>273</v>
      </c>
      <c r="E1122" s="16" t="s">
        <v>391</v>
      </c>
      <c r="F1122" s="16">
        <v>0.36620000000000003</v>
      </c>
      <c r="G1122" s="16" t="s">
        <v>2468</v>
      </c>
      <c r="H1122" s="16" t="s">
        <v>392</v>
      </c>
      <c r="I1122" s="16" t="s">
        <v>273</v>
      </c>
    </row>
    <row r="1123" spans="1:9" x14ac:dyDescent="0.35">
      <c r="A1123" s="16" t="s">
        <v>3541</v>
      </c>
      <c r="B1123" s="17" t="s">
        <v>3542</v>
      </c>
      <c r="C1123" s="17" t="s">
        <v>3543</v>
      </c>
      <c r="D1123" s="16" t="s">
        <v>273</v>
      </c>
      <c r="E1123" s="16" t="s">
        <v>392</v>
      </c>
      <c r="F1123" s="16">
        <v>0.33110000000000001</v>
      </c>
      <c r="G1123" s="16" t="s">
        <v>391</v>
      </c>
      <c r="H1123" s="16" t="s">
        <v>609</v>
      </c>
      <c r="I1123" s="16" t="s">
        <v>273</v>
      </c>
    </row>
    <row r="1124" spans="1:9" x14ac:dyDescent="0.35">
      <c r="A1124" s="16" t="s">
        <v>3544</v>
      </c>
      <c r="B1124" s="17" t="s">
        <v>3545</v>
      </c>
      <c r="C1124" s="17" t="s">
        <v>3546</v>
      </c>
      <c r="D1124" s="16"/>
      <c r="E1124" s="16"/>
      <c r="F1124" s="16"/>
      <c r="G1124" s="16"/>
      <c r="H1124" s="16"/>
      <c r="I1124" s="16" t="s">
        <v>633</v>
      </c>
    </row>
    <row r="1125" spans="1:9" x14ac:dyDescent="0.35">
      <c r="A1125" s="16" t="s">
        <v>3547</v>
      </c>
      <c r="B1125" s="17" t="s">
        <v>67</v>
      </c>
      <c r="C1125" s="17" t="s">
        <v>67</v>
      </c>
      <c r="D1125" s="16" t="s">
        <v>22</v>
      </c>
      <c r="E1125" s="16" t="s">
        <v>67</v>
      </c>
      <c r="F1125" s="16">
        <v>1</v>
      </c>
      <c r="G1125" s="16"/>
      <c r="H1125" s="16"/>
      <c r="I1125" s="16" t="s">
        <v>22</v>
      </c>
    </row>
    <row r="1126" spans="1:9" x14ac:dyDescent="0.35">
      <c r="A1126" s="16" t="s">
        <v>3548</v>
      </c>
      <c r="B1126" s="17" t="s">
        <v>3401</v>
      </c>
      <c r="C1126" s="17" t="s">
        <v>3401</v>
      </c>
      <c r="D1126" s="16" t="s">
        <v>22</v>
      </c>
      <c r="E1126" s="16" t="s">
        <v>3401</v>
      </c>
      <c r="F1126" s="16">
        <v>1</v>
      </c>
      <c r="G1126" s="16"/>
      <c r="H1126" s="16"/>
      <c r="I1126" s="16" t="s">
        <v>22</v>
      </c>
    </row>
    <row r="1127" spans="1:9" x14ac:dyDescent="0.35">
      <c r="A1127" s="16" t="s">
        <v>3549</v>
      </c>
      <c r="B1127" s="17" t="s">
        <v>3550</v>
      </c>
      <c r="C1127" s="17" t="s">
        <v>3550</v>
      </c>
      <c r="D1127" s="16" t="s">
        <v>273</v>
      </c>
      <c r="E1127" s="16" t="s">
        <v>2294</v>
      </c>
      <c r="F1127" s="16">
        <v>0.46089999999999998</v>
      </c>
      <c r="G1127" s="16" t="s">
        <v>3551</v>
      </c>
      <c r="H1127" s="16" t="s">
        <v>848</v>
      </c>
      <c r="I1127" s="16" t="s">
        <v>273</v>
      </c>
    </row>
    <row r="1128" spans="1:9" x14ac:dyDescent="0.35">
      <c r="A1128" s="16" t="s">
        <v>3552</v>
      </c>
      <c r="B1128" s="17" t="s">
        <v>3553</v>
      </c>
      <c r="C1128" s="17" t="s">
        <v>3554</v>
      </c>
      <c r="D1128" s="16" t="s">
        <v>273</v>
      </c>
      <c r="E1128" s="16" t="s">
        <v>2458</v>
      </c>
      <c r="F1128" s="16">
        <v>0.29920000000000002</v>
      </c>
      <c r="G1128" s="16" t="s">
        <v>3555</v>
      </c>
      <c r="H1128" s="16" t="s">
        <v>3556</v>
      </c>
      <c r="I1128" s="16" t="s">
        <v>273</v>
      </c>
    </row>
    <row r="1129" spans="1:9" ht="28" x14ac:dyDescent="0.35">
      <c r="A1129" s="16" t="s">
        <v>3557</v>
      </c>
      <c r="B1129" s="17" t="s">
        <v>3558</v>
      </c>
      <c r="C1129" s="17" t="s">
        <v>3011</v>
      </c>
      <c r="D1129" s="16" t="s">
        <v>273</v>
      </c>
      <c r="E1129" s="16" t="s">
        <v>593</v>
      </c>
      <c r="F1129" s="16">
        <v>0.39839999999999998</v>
      </c>
      <c r="G1129" s="16" t="s">
        <v>3012</v>
      </c>
      <c r="H1129" s="16" t="s">
        <v>3013</v>
      </c>
      <c r="I1129" s="16" t="s">
        <v>273</v>
      </c>
    </row>
    <row r="1130" spans="1:9" x14ac:dyDescent="0.35">
      <c r="A1130" s="16" t="s">
        <v>3559</v>
      </c>
      <c r="B1130" s="17" t="s">
        <v>3067</v>
      </c>
      <c r="C1130" s="17" t="s">
        <v>341</v>
      </c>
      <c r="D1130" s="16" t="s">
        <v>273</v>
      </c>
      <c r="E1130" s="16" t="s">
        <v>1761</v>
      </c>
      <c r="F1130" s="16">
        <v>0.31569999999999998</v>
      </c>
      <c r="G1130" s="16" t="s">
        <v>1762</v>
      </c>
      <c r="H1130" s="16" t="s">
        <v>1763</v>
      </c>
      <c r="I1130" s="16" t="s">
        <v>273</v>
      </c>
    </row>
    <row r="1131" spans="1:9" x14ac:dyDescent="0.35">
      <c r="A1131" s="16" t="s">
        <v>3560</v>
      </c>
      <c r="B1131" s="17" t="s">
        <v>3075</v>
      </c>
      <c r="C1131" s="17" t="s">
        <v>341</v>
      </c>
      <c r="D1131" s="16" t="s">
        <v>273</v>
      </c>
      <c r="E1131" s="16" t="s">
        <v>1761</v>
      </c>
      <c r="F1131" s="16">
        <v>0.31569999999999998</v>
      </c>
      <c r="G1131" s="16" t="s">
        <v>1762</v>
      </c>
      <c r="H1131" s="16" t="s">
        <v>1763</v>
      </c>
      <c r="I1131" s="16" t="s">
        <v>273</v>
      </c>
    </row>
    <row r="1132" spans="1:9" x14ac:dyDescent="0.35">
      <c r="A1132" s="16" t="s">
        <v>3561</v>
      </c>
      <c r="B1132" s="17" t="s">
        <v>34</v>
      </c>
      <c r="C1132" s="17" t="s">
        <v>34</v>
      </c>
      <c r="D1132" s="16" t="s">
        <v>22</v>
      </c>
      <c r="E1132" s="16" t="s">
        <v>34</v>
      </c>
      <c r="F1132" s="16">
        <v>0.8</v>
      </c>
      <c r="G1132" s="16" t="s">
        <v>35</v>
      </c>
      <c r="H1132" s="16"/>
      <c r="I1132" s="16" t="s">
        <v>22</v>
      </c>
    </row>
    <row r="1133" spans="1:9" ht="28" x14ac:dyDescent="0.35">
      <c r="A1133" s="16" t="s">
        <v>3562</v>
      </c>
      <c r="B1133" s="17" t="s">
        <v>3563</v>
      </c>
      <c r="C1133" s="17" t="s">
        <v>233</v>
      </c>
      <c r="D1133" s="16" t="s">
        <v>186</v>
      </c>
      <c r="E1133" s="16" t="s">
        <v>230</v>
      </c>
      <c r="F1133" s="16">
        <v>0.6</v>
      </c>
      <c r="G1133" s="16"/>
      <c r="H1133" s="16"/>
      <c r="I1133" s="16" t="s">
        <v>186</v>
      </c>
    </row>
    <row r="1134" spans="1:9" x14ac:dyDescent="0.35">
      <c r="A1134" s="16" t="s">
        <v>3564</v>
      </c>
      <c r="B1134" s="17" t="s">
        <v>34</v>
      </c>
      <c r="C1134" s="17" t="s">
        <v>34</v>
      </c>
      <c r="D1134" s="16" t="s">
        <v>22</v>
      </c>
      <c r="E1134" s="16" t="s">
        <v>34</v>
      </c>
      <c r="F1134" s="16">
        <v>0.8</v>
      </c>
      <c r="G1134" s="16" t="s">
        <v>35</v>
      </c>
      <c r="H1134" s="16"/>
      <c r="I1134" s="16" t="s">
        <v>22</v>
      </c>
    </row>
    <row r="1135" spans="1:9" x14ac:dyDescent="0.35">
      <c r="A1135" s="16" t="s">
        <v>3565</v>
      </c>
      <c r="B1135" s="17" t="s">
        <v>3208</v>
      </c>
      <c r="C1135" s="17" t="s">
        <v>3208</v>
      </c>
      <c r="D1135" s="16" t="s">
        <v>273</v>
      </c>
      <c r="E1135" s="16" t="s">
        <v>1847</v>
      </c>
      <c r="F1135" s="16">
        <v>0.4803</v>
      </c>
      <c r="G1135" s="16" t="s">
        <v>3209</v>
      </c>
      <c r="H1135" s="16" t="s">
        <v>3102</v>
      </c>
      <c r="I1135" s="16" t="s">
        <v>273</v>
      </c>
    </row>
    <row r="1136" spans="1:9" ht="56" x14ac:dyDescent="0.35">
      <c r="A1136" s="16" t="s">
        <v>3566</v>
      </c>
      <c r="B1136" s="17" t="s">
        <v>3567</v>
      </c>
      <c r="C1136" s="17" t="s">
        <v>3568</v>
      </c>
      <c r="D1136" s="16"/>
      <c r="E1136" s="16"/>
      <c r="F1136" s="16"/>
      <c r="G1136" s="16"/>
      <c r="H1136" s="16"/>
      <c r="I1136" s="16" t="s">
        <v>633</v>
      </c>
    </row>
    <row r="1137" spans="1:9" ht="28" x14ac:dyDescent="0.35">
      <c r="A1137" s="16" t="s">
        <v>3569</v>
      </c>
      <c r="B1137" s="17" t="s">
        <v>3570</v>
      </c>
      <c r="C1137" s="17" t="s">
        <v>3571</v>
      </c>
      <c r="D1137" s="16" t="s">
        <v>273</v>
      </c>
      <c r="E1137" s="16" t="s">
        <v>303</v>
      </c>
      <c r="F1137" s="16">
        <v>0.38700000000000001</v>
      </c>
      <c r="G1137" s="16" t="s">
        <v>302</v>
      </c>
      <c r="H1137" s="16" t="s">
        <v>3572</v>
      </c>
      <c r="I1137" s="16" t="s">
        <v>273</v>
      </c>
    </row>
    <row r="1138" spans="1:9" ht="28" x14ac:dyDescent="0.35">
      <c r="A1138" s="16" t="s">
        <v>3573</v>
      </c>
      <c r="B1138" s="17" t="s">
        <v>3574</v>
      </c>
      <c r="C1138" s="17" t="s">
        <v>3575</v>
      </c>
      <c r="D1138" s="16" t="s">
        <v>273</v>
      </c>
      <c r="E1138" s="16" t="s">
        <v>1322</v>
      </c>
      <c r="F1138" s="16">
        <v>0.31619999999999998</v>
      </c>
      <c r="G1138" s="16" t="s">
        <v>303</v>
      </c>
      <c r="H1138" s="16" t="s">
        <v>3572</v>
      </c>
      <c r="I1138" s="16" t="s">
        <v>273</v>
      </c>
    </row>
    <row r="1139" spans="1:9" ht="70" x14ac:dyDescent="0.35">
      <c r="A1139" s="16" t="s">
        <v>3576</v>
      </c>
      <c r="B1139" s="17" t="s">
        <v>3577</v>
      </c>
      <c r="C1139" s="17" t="s">
        <v>3578</v>
      </c>
      <c r="D1139" s="16"/>
      <c r="E1139" s="16"/>
      <c r="F1139" s="16"/>
      <c r="G1139" s="16"/>
      <c r="H1139" s="16"/>
      <c r="I1139" s="16" t="s">
        <v>633</v>
      </c>
    </row>
    <row r="1140" spans="1:9" ht="42" x14ac:dyDescent="0.35">
      <c r="A1140" s="16" t="s">
        <v>622</v>
      </c>
      <c r="B1140" s="17" t="s">
        <v>620</v>
      </c>
      <c r="C1140" s="17" t="s">
        <v>3579</v>
      </c>
      <c r="D1140" s="16" t="s">
        <v>273</v>
      </c>
      <c r="E1140" s="16" t="s">
        <v>320</v>
      </c>
      <c r="F1140" s="16">
        <v>0.30009999999999998</v>
      </c>
      <c r="G1140" s="16" t="s">
        <v>303</v>
      </c>
      <c r="H1140" s="16" t="s">
        <v>302</v>
      </c>
      <c r="I1140" s="16" t="s">
        <v>273</v>
      </c>
    </row>
    <row r="1141" spans="1:9" x14ac:dyDescent="0.35">
      <c r="A1141" s="16" t="s">
        <v>3580</v>
      </c>
      <c r="B1141" s="17" t="s">
        <v>252</v>
      </c>
      <c r="C1141" s="17" t="s">
        <v>252</v>
      </c>
      <c r="D1141" s="16" t="s">
        <v>186</v>
      </c>
      <c r="E1141" s="16" t="s">
        <v>244</v>
      </c>
      <c r="F1141" s="16">
        <v>0.6</v>
      </c>
      <c r="G1141" s="16"/>
      <c r="H1141" s="16"/>
      <c r="I1141" s="16" t="s">
        <v>186</v>
      </c>
    </row>
    <row r="1142" spans="1:9" x14ac:dyDescent="0.35">
      <c r="A1142" s="16" t="s">
        <v>3581</v>
      </c>
      <c r="B1142" s="17" t="s">
        <v>3368</v>
      </c>
      <c r="C1142" s="17" t="s">
        <v>3368</v>
      </c>
      <c r="D1142" s="16" t="s">
        <v>186</v>
      </c>
      <c r="E1142" s="16" t="s">
        <v>100</v>
      </c>
      <c r="F1142" s="16">
        <v>0.6</v>
      </c>
      <c r="G1142" s="16"/>
      <c r="H1142" s="16"/>
      <c r="I1142" s="16" t="s">
        <v>186</v>
      </c>
    </row>
    <row r="1143" spans="1:9" x14ac:dyDescent="0.35">
      <c r="A1143" s="16" t="s">
        <v>3582</v>
      </c>
      <c r="B1143" s="17" t="s">
        <v>3583</v>
      </c>
      <c r="C1143" s="17" t="s">
        <v>403</v>
      </c>
      <c r="D1143" s="16" t="s">
        <v>273</v>
      </c>
      <c r="E1143" s="16" t="s">
        <v>404</v>
      </c>
      <c r="F1143" s="16">
        <v>0.44469999999999998</v>
      </c>
      <c r="G1143" s="16" t="s">
        <v>406</v>
      </c>
      <c r="H1143" s="16" t="s">
        <v>3584</v>
      </c>
      <c r="I1143" s="16" t="s">
        <v>273</v>
      </c>
    </row>
    <row r="1144" spans="1:9" x14ac:dyDescent="0.35">
      <c r="A1144" s="16" t="s">
        <v>3585</v>
      </c>
      <c r="B1144" s="17"/>
      <c r="C1144" s="17"/>
      <c r="D1144" s="16"/>
      <c r="E1144" s="16"/>
      <c r="F1144" s="16"/>
      <c r="G1144" s="16"/>
      <c r="H1144" s="16"/>
      <c r="I1144" s="16" t="s">
        <v>698</v>
      </c>
    </row>
    <row r="1145" spans="1:9" ht="28" x14ac:dyDescent="0.35">
      <c r="A1145" s="16" t="s">
        <v>3586</v>
      </c>
      <c r="B1145" s="17" t="s">
        <v>3587</v>
      </c>
      <c r="C1145" s="17" t="s">
        <v>3588</v>
      </c>
      <c r="D1145" s="16" t="s">
        <v>273</v>
      </c>
      <c r="E1145" s="16" t="s">
        <v>512</v>
      </c>
      <c r="F1145" s="16">
        <v>0.43240000000000001</v>
      </c>
      <c r="G1145" s="16" t="s">
        <v>514</v>
      </c>
      <c r="H1145" s="16" t="s">
        <v>513</v>
      </c>
      <c r="I1145" s="16" t="s">
        <v>273</v>
      </c>
    </row>
    <row r="1146" spans="1:9" x14ac:dyDescent="0.35">
      <c r="A1146" s="16" t="s">
        <v>3589</v>
      </c>
      <c r="B1146" s="17" t="s">
        <v>3590</v>
      </c>
      <c r="C1146" s="17" t="s">
        <v>673</v>
      </c>
      <c r="D1146" s="16"/>
      <c r="E1146" s="16"/>
      <c r="F1146" s="16"/>
      <c r="G1146" s="16"/>
      <c r="H1146" s="16"/>
      <c r="I1146" s="16" t="s">
        <v>633</v>
      </c>
    </row>
    <row r="1147" spans="1:9" x14ac:dyDescent="0.35">
      <c r="A1147" s="16" t="s">
        <v>3591</v>
      </c>
      <c r="B1147" s="17" t="s">
        <v>2806</v>
      </c>
      <c r="C1147" s="17" t="s">
        <v>2807</v>
      </c>
      <c r="D1147" s="16" t="s">
        <v>5</v>
      </c>
      <c r="E1147" s="16" t="s">
        <v>80</v>
      </c>
      <c r="F1147" s="16">
        <v>0.8</v>
      </c>
      <c r="G1147" s="16"/>
      <c r="H1147" s="16"/>
      <c r="I1147" s="16" t="s">
        <v>5</v>
      </c>
    </row>
    <row r="1148" spans="1:9" x14ac:dyDescent="0.35">
      <c r="A1148" s="16" t="s">
        <v>3592</v>
      </c>
      <c r="B1148" s="17" t="s">
        <v>3593</v>
      </c>
      <c r="C1148" s="17" t="s">
        <v>519</v>
      </c>
      <c r="D1148" s="16" t="s">
        <v>273</v>
      </c>
      <c r="E1148" s="16" t="s">
        <v>3594</v>
      </c>
      <c r="F1148" s="16">
        <v>0.46060000000000001</v>
      </c>
      <c r="G1148" s="16" t="s">
        <v>521</v>
      </c>
      <c r="H1148" s="16" t="s">
        <v>84</v>
      </c>
      <c r="I1148" s="16" t="s">
        <v>273</v>
      </c>
    </row>
    <row r="1149" spans="1:9" ht="28" x14ac:dyDescent="0.35">
      <c r="A1149" s="16" t="s">
        <v>3595</v>
      </c>
      <c r="B1149" s="17" t="s">
        <v>2812</v>
      </c>
      <c r="C1149" s="17" t="s">
        <v>2813</v>
      </c>
      <c r="D1149" s="16" t="s">
        <v>273</v>
      </c>
      <c r="E1149" s="16" t="s">
        <v>2814</v>
      </c>
      <c r="F1149" s="16">
        <v>0.2702</v>
      </c>
      <c r="G1149" s="16" t="s">
        <v>2815</v>
      </c>
      <c r="H1149" s="16" t="s">
        <v>2816</v>
      </c>
      <c r="I1149" s="16" t="s">
        <v>273</v>
      </c>
    </row>
    <row r="1150" spans="1:9" x14ac:dyDescent="0.35">
      <c r="A1150" s="16" t="s">
        <v>3596</v>
      </c>
      <c r="B1150" s="17" t="s">
        <v>3597</v>
      </c>
      <c r="C1150" s="17" t="s">
        <v>3598</v>
      </c>
      <c r="D1150" s="16" t="s">
        <v>273</v>
      </c>
      <c r="E1150" s="16" t="s">
        <v>578</v>
      </c>
      <c r="F1150" s="16">
        <v>0.40500000000000003</v>
      </c>
      <c r="G1150" s="16" t="s">
        <v>3599</v>
      </c>
      <c r="H1150" s="16" t="s">
        <v>3600</v>
      </c>
      <c r="I1150" s="16" t="s">
        <v>273</v>
      </c>
    </row>
    <row r="1151" spans="1:9" ht="28" x14ac:dyDescent="0.35">
      <c r="A1151" s="16" t="s">
        <v>3601</v>
      </c>
      <c r="B1151" s="17" t="s">
        <v>3602</v>
      </c>
      <c r="C1151" s="17" t="s">
        <v>3603</v>
      </c>
      <c r="D1151" s="16" t="s">
        <v>5</v>
      </c>
      <c r="E1151" s="16" t="s">
        <v>67</v>
      </c>
      <c r="F1151" s="16">
        <v>0.8</v>
      </c>
      <c r="G1151" s="16"/>
      <c r="H1151" s="16"/>
      <c r="I1151" s="16" t="s">
        <v>5</v>
      </c>
    </row>
    <row r="1152" spans="1:9" ht="28" x14ac:dyDescent="0.35">
      <c r="A1152" s="16" t="s">
        <v>198</v>
      </c>
      <c r="B1152" s="17" t="s">
        <v>194</v>
      </c>
      <c r="C1152" s="17" t="s">
        <v>193</v>
      </c>
      <c r="D1152" s="16" t="s">
        <v>186</v>
      </c>
      <c r="E1152" s="16" t="s">
        <v>197</v>
      </c>
      <c r="F1152" s="16">
        <v>0.6</v>
      </c>
      <c r="G1152" s="16"/>
      <c r="H1152" s="16"/>
      <c r="I1152" s="16" t="s">
        <v>186</v>
      </c>
    </row>
    <row r="1153" spans="1:9" ht="42" x14ac:dyDescent="0.35">
      <c r="A1153" s="16" t="s">
        <v>3604</v>
      </c>
      <c r="B1153" s="17" t="s">
        <v>3605</v>
      </c>
      <c r="C1153" s="17" t="s">
        <v>3606</v>
      </c>
      <c r="D1153" s="16" t="s">
        <v>273</v>
      </c>
      <c r="E1153" s="16" t="s">
        <v>847</v>
      </c>
      <c r="F1153" s="16">
        <v>0.2361</v>
      </c>
      <c r="G1153" s="16" t="s">
        <v>513</v>
      </c>
      <c r="H1153" s="16" t="s">
        <v>512</v>
      </c>
      <c r="I1153" s="16" t="s">
        <v>273</v>
      </c>
    </row>
    <row r="1154" spans="1:9" ht="42" x14ac:dyDescent="0.35">
      <c r="A1154" s="16" t="s">
        <v>3607</v>
      </c>
      <c r="B1154" s="17" t="s">
        <v>3608</v>
      </c>
      <c r="C1154" s="17" t="s">
        <v>3609</v>
      </c>
      <c r="D1154" s="16" t="s">
        <v>273</v>
      </c>
      <c r="E1154" s="16" t="s">
        <v>479</v>
      </c>
      <c r="F1154" s="16">
        <v>0.32369999999999999</v>
      </c>
      <c r="G1154" s="16" t="s">
        <v>480</v>
      </c>
      <c r="H1154" s="16" t="s">
        <v>481</v>
      </c>
      <c r="I1154" s="16" t="s">
        <v>273</v>
      </c>
    </row>
    <row r="1155" spans="1:9" x14ac:dyDescent="0.35">
      <c r="A1155" s="16" t="s">
        <v>3610</v>
      </c>
      <c r="B1155" s="17" t="s">
        <v>3550</v>
      </c>
      <c r="C1155" s="17" t="s">
        <v>3550</v>
      </c>
      <c r="D1155" s="16" t="s">
        <v>273</v>
      </c>
      <c r="E1155" s="16" t="s">
        <v>2294</v>
      </c>
      <c r="F1155" s="16">
        <v>0.46089999999999998</v>
      </c>
      <c r="G1155" s="16" t="s">
        <v>3551</v>
      </c>
      <c r="H1155" s="16" t="s">
        <v>848</v>
      </c>
      <c r="I1155" s="16" t="s">
        <v>273</v>
      </c>
    </row>
    <row r="1156" spans="1:9" x14ac:dyDescent="0.35">
      <c r="A1156" s="16" t="s">
        <v>3611</v>
      </c>
      <c r="B1156" s="17" t="s">
        <v>3108</v>
      </c>
      <c r="C1156" s="17" t="s">
        <v>3109</v>
      </c>
      <c r="D1156" s="16" t="s">
        <v>273</v>
      </c>
      <c r="E1156" s="16" t="s">
        <v>3110</v>
      </c>
      <c r="F1156" s="16">
        <v>0.3548</v>
      </c>
      <c r="G1156" s="16" t="s">
        <v>3111</v>
      </c>
      <c r="H1156" s="16" t="s">
        <v>3112</v>
      </c>
      <c r="I1156" s="16" t="s">
        <v>273</v>
      </c>
    </row>
    <row r="1157" spans="1:9" ht="28" x14ac:dyDescent="0.35">
      <c r="A1157" s="16" t="s">
        <v>3612</v>
      </c>
      <c r="B1157" s="17" t="s">
        <v>3613</v>
      </c>
      <c r="C1157" s="17" t="s">
        <v>3614</v>
      </c>
      <c r="D1157" s="16" t="s">
        <v>5</v>
      </c>
      <c r="E1157" s="16" t="s">
        <v>49</v>
      </c>
      <c r="F1157" s="16">
        <v>0.8</v>
      </c>
      <c r="G1157" s="16"/>
      <c r="H1157" s="16"/>
      <c r="I1157" s="16" t="s">
        <v>5</v>
      </c>
    </row>
    <row r="1158" spans="1:9" ht="28" x14ac:dyDescent="0.35">
      <c r="A1158" s="16" t="s">
        <v>3615</v>
      </c>
      <c r="B1158" s="17" t="s">
        <v>3616</v>
      </c>
      <c r="C1158" s="17" t="s">
        <v>3617</v>
      </c>
      <c r="D1158" s="16" t="s">
        <v>273</v>
      </c>
      <c r="E1158" s="16" t="s">
        <v>2997</v>
      </c>
      <c r="F1158" s="16">
        <v>0.2019</v>
      </c>
      <c r="G1158" s="16"/>
      <c r="H1158" s="16"/>
      <c r="I1158" s="16" t="s">
        <v>273</v>
      </c>
    </row>
    <row r="1159" spans="1:9" ht="28" x14ac:dyDescent="0.35">
      <c r="A1159" s="16" t="s">
        <v>3618</v>
      </c>
      <c r="B1159" s="17" t="s">
        <v>3616</v>
      </c>
      <c r="C1159" s="17" t="s">
        <v>3617</v>
      </c>
      <c r="D1159" s="16" t="s">
        <v>273</v>
      </c>
      <c r="E1159" s="16" t="s">
        <v>2997</v>
      </c>
      <c r="F1159" s="16">
        <v>0.2019</v>
      </c>
      <c r="G1159" s="16"/>
      <c r="H1159" s="16"/>
      <c r="I1159" s="16" t="s">
        <v>273</v>
      </c>
    </row>
    <row r="1160" spans="1:9" ht="28" x14ac:dyDescent="0.35">
      <c r="A1160" s="16" t="s">
        <v>3619</v>
      </c>
      <c r="B1160" s="17" t="s">
        <v>3616</v>
      </c>
      <c r="C1160" s="17" t="s">
        <v>3617</v>
      </c>
      <c r="D1160" s="16" t="s">
        <v>273</v>
      </c>
      <c r="E1160" s="16" t="s">
        <v>2997</v>
      </c>
      <c r="F1160" s="16">
        <v>0.2019</v>
      </c>
      <c r="G1160" s="16"/>
      <c r="H1160" s="16"/>
      <c r="I1160" s="16" t="s">
        <v>273</v>
      </c>
    </row>
    <row r="1161" spans="1:9" x14ac:dyDescent="0.35">
      <c r="A1161" s="16" t="s">
        <v>3620</v>
      </c>
      <c r="B1161" s="17" t="s">
        <v>2995</v>
      </c>
      <c r="C1161" s="17" t="s">
        <v>2996</v>
      </c>
      <c r="D1161" s="16" t="s">
        <v>273</v>
      </c>
      <c r="E1161" s="16" t="s">
        <v>2997</v>
      </c>
      <c r="F1161" s="16">
        <v>0.27150000000000002</v>
      </c>
      <c r="G1161" s="16" t="s">
        <v>2998</v>
      </c>
      <c r="H1161" s="16" t="s">
        <v>1959</v>
      </c>
      <c r="I1161" s="16" t="s">
        <v>273</v>
      </c>
    </row>
    <row r="1162" spans="1:9" ht="42" x14ac:dyDescent="0.35">
      <c r="A1162" s="16" t="s">
        <v>3621</v>
      </c>
      <c r="B1162" s="17" t="s">
        <v>3622</v>
      </c>
      <c r="C1162" s="17" t="s">
        <v>3623</v>
      </c>
      <c r="D1162" s="16" t="s">
        <v>273</v>
      </c>
      <c r="E1162" s="16" t="s">
        <v>3624</v>
      </c>
      <c r="F1162" s="16">
        <v>0.21679999999999999</v>
      </c>
      <c r="G1162" s="16"/>
      <c r="H1162" s="16"/>
      <c r="I1162" s="16" t="s">
        <v>273</v>
      </c>
    </row>
    <row r="1163" spans="1:9" ht="42" x14ac:dyDescent="0.35">
      <c r="A1163" s="16" t="s">
        <v>3625</v>
      </c>
      <c r="B1163" s="17" t="s">
        <v>3626</v>
      </c>
      <c r="C1163" s="17" t="s">
        <v>3627</v>
      </c>
      <c r="D1163" s="16" t="s">
        <v>273</v>
      </c>
      <c r="E1163" s="16" t="s">
        <v>512</v>
      </c>
      <c r="F1163" s="16">
        <v>0.3075</v>
      </c>
      <c r="G1163" s="16" t="s">
        <v>1959</v>
      </c>
      <c r="H1163" s="16" t="s">
        <v>3628</v>
      </c>
      <c r="I1163" s="16" t="s">
        <v>273</v>
      </c>
    </row>
    <row r="1164" spans="1:9" x14ac:dyDescent="0.35">
      <c r="A1164" s="16" t="s">
        <v>3629</v>
      </c>
      <c r="B1164" s="17" t="s">
        <v>3630</v>
      </c>
      <c r="C1164" s="17" t="s">
        <v>3631</v>
      </c>
      <c r="D1164" s="16" t="s">
        <v>273</v>
      </c>
      <c r="E1164" s="16" t="s">
        <v>3282</v>
      </c>
      <c r="F1164" s="16">
        <v>0.41210000000000002</v>
      </c>
      <c r="G1164" s="16" t="s">
        <v>303</v>
      </c>
      <c r="H1164" s="16" t="s">
        <v>3572</v>
      </c>
      <c r="I1164" s="16" t="s">
        <v>273</v>
      </c>
    </row>
    <row r="1165" spans="1:9" x14ac:dyDescent="0.35">
      <c r="A1165" s="16" t="s">
        <v>3632</v>
      </c>
      <c r="B1165" s="17" t="s">
        <v>3633</v>
      </c>
      <c r="C1165" s="17" t="s">
        <v>3634</v>
      </c>
      <c r="D1165" s="16" t="s">
        <v>273</v>
      </c>
      <c r="E1165" s="16" t="s">
        <v>1922</v>
      </c>
      <c r="F1165" s="16">
        <v>0.46429999999999999</v>
      </c>
      <c r="G1165" s="16" t="s">
        <v>110</v>
      </c>
      <c r="H1165" s="16" t="s">
        <v>2661</v>
      </c>
      <c r="I1165" s="16" t="s">
        <v>273</v>
      </c>
    </row>
    <row r="1166" spans="1:9" x14ac:dyDescent="0.35">
      <c r="A1166" s="16" t="s">
        <v>3635</v>
      </c>
      <c r="B1166" s="17" t="s">
        <v>3636</v>
      </c>
      <c r="C1166" s="17" t="s">
        <v>3637</v>
      </c>
      <c r="D1166" s="16" t="s">
        <v>273</v>
      </c>
      <c r="E1166" s="16" t="s">
        <v>3638</v>
      </c>
      <c r="F1166" s="16">
        <v>0.3175</v>
      </c>
      <c r="G1166" s="16" t="s">
        <v>3639</v>
      </c>
      <c r="H1166" s="16" t="s">
        <v>3640</v>
      </c>
      <c r="I1166" s="16" t="s">
        <v>273</v>
      </c>
    </row>
    <row r="1167" spans="1:9" x14ac:dyDescent="0.35">
      <c r="A1167" s="16" t="s">
        <v>3641</v>
      </c>
      <c r="B1167" s="17" t="s">
        <v>3642</v>
      </c>
      <c r="C1167" s="17" t="s">
        <v>3643</v>
      </c>
      <c r="D1167" s="16" t="s">
        <v>273</v>
      </c>
      <c r="E1167" s="16" t="s">
        <v>3644</v>
      </c>
      <c r="F1167" s="16">
        <v>0.35780000000000001</v>
      </c>
      <c r="G1167" s="16" t="s">
        <v>303</v>
      </c>
      <c r="H1167" s="16"/>
      <c r="I1167" s="16" t="s">
        <v>273</v>
      </c>
    </row>
    <row r="1168" spans="1:9" x14ac:dyDescent="0.35">
      <c r="A1168" s="16" t="s">
        <v>3645</v>
      </c>
      <c r="B1168" s="17" t="s">
        <v>3646</v>
      </c>
      <c r="C1168" s="17" t="s">
        <v>3647</v>
      </c>
      <c r="D1168" s="16" t="s">
        <v>273</v>
      </c>
      <c r="E1168" s="16" t="s">
        <v>46</v>
      </c>
      <c r="F1168" s="16">
        <v>0.35610000000000003</v>
      </c>
      <c r="G1168" s="16" t="s">
        <v>3648</v>
      </c>
      <c r="H1168" s="16" t="s">
        <v>578</v>
      </c>
      <c r="I1168" s="16" t="s">
        <v>273</v>
      </c>
    </row>
    <row r="1169" spans="1:9" x14ac:dyDescent="0.35">
      <c r="A1169" s="16" t="s">
        <v>3649</v>
      </c>
      <c r="B1169" s="17" t="s">
        <v>34</v>
      </c>
      <c r="C1169" s="17" t="s">
        <v>34</v>
      </c>
      <c r="D1169" s="16" t="s">
        <v>22</v>
      </c>
      <c r="E1169" s="16" t="s">
        <v>34</v>
      </c>
      <c r="F1169" s="16">
        <v>0.8</v>
      </c>
      <c r="G1169" s="16" t="s">
        <v>35</v>
      </c>
      <c r="H1169" s="16"/>
      <c r="I1169" s="16" t="s">
        <v>22</v>
      </c>
    </row>
    <row r="1170" spans="1:9" x14ac:dyDescent="0.35">
      <c r="A1170" s="16" t="s">
        <v>3650</v>
      </c>
      <c r="B1170" s="17" t="s">
        <v>252</v>
      </c>
      <c r="C1170" s="17" t="s">
        <v>252</v>
      </c>
      <c r="D1170" s="16" t="s">
        <v>186</v>
      </c>
      <c r="E1170" s="16" t="s">
        <v>244</v>
      </c>
      <c r="F1170" s="16">
        <v>0.6</v>
      </c>
      <c r="G1170" s="16"/>
      <c r="H1170" s="16"/>
      <c r="I1170" s="16" t="s">
        <v>186</v>
      </c>
    </row>
    <row r="1171" spans="1:9" x14ac:dyDescent="0.35">
      <c r="A1171" s="16" t="s">
        <v>3651</v>
      </c>
      <c r="B1171" s="17" t="s">
        <v>3652</v>
      </c>
      <c r="C1171" s="17" t="s">
        <v>3652</v>
      </c>
      <c r="D1171" s="16" t="s">
        <v>273</v>
      </c>
      <c r="E1171" s="16" t="s">
        <v>3572</v>
      </c>
      <c r="F1171" s="16">
        <v>0.22359999999999999</v>
      </c>
      <c r="G1171" s="16"/>
      <c r="H1171" s="16"/>
      <c r="I1171" s="16" t="s">
        <v>273</v>
      </c>
    </row>
    <row r="1172" spans="1:9" x14ac:dyDescent="0.35">
      <c r="A1172" s="16" t="s">
        <v>3653</v>
      </c>
      <c r="B1172" s="17" t="s">
        <v>3654</v>
      </c>
      <c r="C1172" s="17" t="s">
        <v>3654</v>
      </c>
      <c r="D1172" s="16" t="s">
        <v>273</v>
      </c>
      <c r="E1172" s="16" t="s">
        <v>303</v>
      </c>
      <c r="F1172" s="16">
        <v>0.41660000000000003</v>
      </c>
      <c r="G1172" s="16" t="s">
        <v>302</v>
      </c>
      <c r="H1172" s="16" t="s">
        <v>3572</v>
      </c>
      <c r="I1172" s="16" t="s">
        <v>273</v>
      </c>
    </row>
    <row r="1173" spans="1:9" x14ac:dyDescent="0.35">
      <c r="A1173" s="16" t="s">
        <v>3655</v>
      </c>
      <c r="B1173" s="17" t="s">
        <v>3656</v>
      </c>
      <c r="C1173" s="17" t="s">
        <v>3656</v>
      </c>
      <c r="D1173" s="16" t="s">
        <v>273</v>
      </c>
      <c r="E1173" s="16" t="s">
        <v>3657</v>
      </c>
      <c r="F1173" s="16">
        <v>0.3473</v>
      </c>
      <c r="G1173" s="16" t="s">
        <v>3658</v>
      </c>
      <c r="H1173" s="16" t="s">
        <v>303</v>
      </c>
      <c r="I1173" s="16" t="s">
        <v>273</v>
      </c>
    </row>
    <row r="1174" spans="1:9" ht="42" x14ac:dyDescent="0.35">
      <c r="A1174" s="16" t="s">
        <v>3659</v>
      </c>
      <c r="B1174" s="17" t="s">
        <v>3660</v>
      </c>
      <c r="C1174" s="17" t="s">
        <v>3661</v>
      </c>
      <c r="D1174" s="16" t="s">
        <v>273</v>
      </c>
      <c r="E1174" s="16" t="s">
        <v>512</v>
      </c>
      <c r="F1174" s="16">
        <v>0.39979999999999999</v>
      </c>
      <c r="G1174" s="16" t="s">
        <v>3662</v>
      </c>
      <c r="H1174" s="16" t="s">
        <v>3663</v>
      </c>
      <c r="I1174" s="16" t="s">
        <v>273</v>
      </c>
    </row>
    <row r="1175" spans="1:9" x14ac:dyDescent="0.35">
      <c r="A1175" s="16" t="s">
        <v>3664</v>
      </c>
      <c r="B1175" s="17" t="s">
        <v>252</v>
      </c>
      <c r="C1175" s="17" t="s">
        <v>252</v>
      </c>
      <c r="D1175" s="16" t="s">
        <v>186</v>
      </c>
      <c r="E1175" s="16" t="s">
        <v>244</v>
      </c>
      <c r="F1175" s="16">
        <v>0.6</v>
      </c>
      <c r="G1175" s="16"/>
      <c r="H1175" s="16"/>
      <c r="I1175" s="16" t="s">
        <v>186</v>
      </c>
    </row>
    <row r="1176" spans="1:9" x14ac:dyDescent="0.35">
      <c r="A1176" s="16" t="s">
        <v>3665</v>
      </c>
      <c r="B1176" s="17" t="s">
        <v>3666</v>
      </c>
      <c r="C1176" s="17" t="s">
        <v>3666</v>
      </c>
      <c r="D1176" s="16" t="s">
        <v>273</v>
      </c>
      <c r="E1176" s="16" t="s">
        <v>2261</v>
      </c>
      <c r="F1176" s="16">
        <v>0.46679999999999999</v>
      </c>
      <c r="G1176" s="16" t="s">
        <v>3667</v>
      </c>
      <c r="H1176" s="16" t="s">
        <v>3668</v>
      </c>
      <c r="I1176" s="16" t="s">
        <v>273</v>
      </c>
    </row>
    <row r="1177" spans="1:9" x14ac:dyDescent="0.35">
      <c r="A1177" s="16" t="s">
        <v>3669</v>
      </c>
      <c r="B1177" s="17"/>
      <c r="C1177" s="17"/>
      <c r="D1177" s="16"/>
      <c r="E1177" s="16"/>
      <c r="F1177" s="16"/>
      <c r="G1177" s="16"/>
      <c r="H1177" s="16"/>
      <c r="I1177" s="16" t="s">
        <v>698</v>
      </c>
    </row>
    <row r="1178" spans="1:9" x14ac:dyDescent="0.35">
      <c r="A1178" s="16" t="s">
        <v>3670</v>
      </c>
      <c r="B1178" s="17" t="s">
        <v>3671</v>
      </c>
      <c r="C1178" s="17" t="s">
        <v>3672</v>
      </c>
      <c r="D1178" s="16" t="s">
        <v>273</v>
      </c>
      <c r="E1178" s="16" t="s">
        <v>1847</v>
      </c>
      <c r="F1178" s="16">
        <v>0.35489999999999999</v>
      </c>
      <c r="G1178" s="16" t="s">
        <v>3227</v>
      </c>
      <c r="H1178" s="16" t="s">
        <v>3673</v>
      </c>
      <c r="I1178" s="16" t="s">
        <v>273</v>
      </c>
    </row>
    <row r="1179" spans="1:9" ht="42" x14ac:dyDescent="0.35">
      <c r="A1179" s="16" t="s">
        <v>3674</v>
      </c>
      <c r="B1179" s="17" t="s">
        <v>3675</v>
      </c>
      <c r="C1179" s="17" t="s">
        <v>3676</v>
      </c>
      <c r="D1179" s="16" t="s">
        <v>273</v>
      </c>
      <c r="E1179" s="16" t="s">
        <v>563</v>
      </c>
      <c r="F1179" s="16">
        <v>0.45929999999999999</v>
      </c>
      <c r="G1179" s="16" t="s">
        <v>3677</v>
      </c>
      <c r="H1179" s="16" t="s">
        <v>46</v>
      </c>
      <c r="I1179" s="16" t="s">
        <v>273</v>
      </c>
    </row>
    <row r="1180" spans="1:9" x14ac:dyDescent="0.35">
      <c r="A1180" s="16" t="s">
        <v>3678</v>
      </c>
      <c r="B1180" s="17" t="s">
        <v>3679</v>
      </c>
      <c r="C1180" s="17" t="s">
        <v>3680</v>
      </c>
      <c r="D1180" s="16" t="s">
        <v>5</v>
      </c>
      <c r="E1180" s="16" t="s">
        <v>89</v>
      </c>
      <c r="F1180" s="16">
        <v>0.8</v>
      </c>
      <c r="G1180" s="16"/>
      <c r="H1180" s="16"/>
      <c r="I1180" s="16" t="s">
        <v>5</v>
      </c>
    </row>
    <row r="1181" spans="1:9" x14ac:dyDescent="0.35">
      <c r="A1181" s="16" t="s">
        <v>3681</v>
      </c>
      <c r="B1181" s="17" t="s">
        <v>3682</v>
      </c>
      <c r="C1181" s="17" t="s">
        <v>3683</v>
      </c>
      <c r="D1181" s="16" t="s">
        <v>273</v>
      </c>
      <c r="E1181" s="16" t="s">
        <v>89</v>
      </c>
      <c r="F1181" s="16">
        <v>0.4723</v>
      </c>
      <c r="G1181" s="16" t="s">
        <v>1964</v>
      </c>
      <c r="H1181" s="16" t="s">
        <v>71</v>
      </c>
      <c r="I1181" s="16" t="s">
        <v>273</v>
      </c>
    </row>
    <row r="1182" spans="1:9" x14ac:dyDescent="0.35">
      <c r="A1182" s="16" t="s">
        <v>3684</v>
      </c>
      <c r="B1182" s="17" t="s">
        <v>3685</v>
      </c>
      <c r="C1182" s="17"/>
      <c r="D1182" s="16"/>
      <c r="E1182" s="16"/>
      <c r="F1182" s="16"/>
      <c r="G1182" s="16"/>
      <c r="H1182" s="16"/>
      <c r="I1182" s="16" t="s">
        <v>633</v>
      </c>
    </row>
    <row r="1183" spans="1:9" x14ac:dyDescent="0.35">
      <c r="A1183" s="16" t="s">
        <v>3686</v>
      </c>
      <c r="B1183" s="17" t="s">
        <v>156</v>
      </c>
      <c r="C1183" s="17" t="s">
        <v>155</v>
      </c>
      <c r="D1183" s="16" t="s">
        <v>5</v>
      </c>
      <c r="E1183" s="16" t="s">
        <v>67</v>
      </c>
      <c r="F1183" s="16">
        <v>0.8</v>
      </c>
      <c r="G1183" s="16"/>
      <c r="H1183" s="16"/>
      <c r="I1183" s="16" t="s">
        <v>5</v>
      </c>
    </row>
    <row r="1184" spans="1:9" x14ac:dyDescent="0.35">
      <c r="A1184" s="16" t="s">
        <v>3687</v>
      </c>
      <c r="B1184" s="17"/>
      <c r="C1184" s="17"/>
      <c r="D1184" s="16"/>
      <c r="E1184" s="16"/>
      <c r="F1184" s="16"/>
      <c r="G1184" s="16"/>
      <c r="H1184" s="16"/>
      <c r="I1184" s="16" t="s">
        <v>698</v>
      </c>
    </row>
    <row r="1185" spans="1:9" x14ac:dyDescent="0.35">
      <c r="A1185" s="16" t="s">
        <v>566</v>
      </c>
      <c r="B1185" s="17" t="s">
        <v>562</v>
      </c>
      <c r="C1185" s="17" t="s">
        <v>561</v>
      </c>
      <c r="D1185" s="16" t="s">
        <v>273</v>
      </c>
      <c r="E1185" s="16" t="s">
        <v>563</v>
      </c>
      <c r="F1185" s="16">
        <v>0.4466</v>
      </c>
      <c r="G1185" s="16" t="s">
        <v>564</v>
      </c>
      <c r="H1185" s="16" t="s">
        <v>565</v>
      </c>
      <c r="I1185" s="16" t="s">
        <v>273</v>
      </c>
    </row>
    <row r="1186" spans="1:9" x14ac:dyDescent="0.35">
      <c r="A1186" s="16" t="s">
        <v>3688</v>
      </c>
      <c r="B1186" s="17" t="s">
        <v>3689</v>
      </c>
      <c r="C1186" s="17" t="s">
        <v>3689</v>
      </c>
      <c r="D1186" s="16" t="s">
        <v>273</v>
      </c>
      <c r="E1186" s="16" t="s">
        <v>1518</v>
      </c>
      <c r="F1186" s="16">
        <v>0.44330000000000003</v>
      </c>
      <c r="G1186" s="16" t="s">
        <v>3690</v>
      </c>
      <c r="H1186" s="16" t="s">
        <v>3691</v>
      </c>
      <c r="I1186" s="16" t="s">
        <v>273</v>
      </c>
    </row>
    <row r="1187" spans="1:9" ht="28" x14ac:dyDescent="0.35">
      <c r="A1187" s="16" t="s">
        <v>3692</v>
      </c>
      <c r="B1187" s="17" t="s">
        <v>3693</v>
      </c>
      <c r="C1187" s="17" t="s">
        <v>3694</v>
      </c>
      <c r="D1187" s="16" t="s">
        <v>5</v>
      </c>
      <c r="E1187" s="16" t="s">
        <v>67</v>
      </c>
      <c r="F1187" s="16">
        <v>0.8</v>
      </c>
      <c r="G1187" s="16"/>
      <c r="H1187" s="16"/>
      <c r="I1187" s="16" t="s">
        <v>5</v>
      </c>
    </row>
    <row r="1188" spans="1:9" x14ac:dyDescent="0.35">
      <c r="A1188" s="16" t="s">
        <v>3695</v>
      </c>
      <c r="B1188" s="17" t="s">
        <v>3696</v>
      </c>
      <c r="C1188" s="17" t="s">
        <v>3697</v>
      </c>
      <c r="D1188" s="16" t="s">
        <v>273</v>
      </c>
      <c r="E1188" s="16" t="s">
        <v>1729</v>
      </c>
      <c r="F1188" s="16">
        <v>0.45800000000000002</v>
      </c>
      <c r="G1188" s="16" t="s">
        <v>3227</v>
      </c>
      <c r="H1188" s="16" t="s">
        <v>506</v>
      </c>
      <c r="I1188" s="16" t="s">
        <v>273</v>
      </c>
    </row>
    <row r="1189" spans="1:9" x14ac:dyDescent="0.35">
      <c r="A1189" s="16" t="s">
        <v>3698</v>
      </c>
      <c r="B1189" s="17" t="s">
        <v>332</v>
      </c>
      <c r="C1189" s="17" t="s">
        <v>331</v>
      </c>
      <c r="D1189" s="16" t="s">
        <v>273</v>
      </c>
      <c r="E1189" s="16" t="s">
        <v>335</v>
      </c>
      <c r="F1189" s="16">
        <v>0.26629999999999998</v>
      </c>
      <c r="G1189" s="16" t="s">
        <v>336</v>
      </c>
      <c r="H1189" s="16" t="s">
        <v>190</v>
      </c>
      <c r="I1189" s="16" t="s">
        <v>273</v>
      </c>
    </row>
    <row r="1190" spans="1:9" x14ac:dyDescent="0.35">
      <c r="A1190" s="16" t="s">
        <v>3699</v>
      </c>
      <c r="B1190" s="17" t="s">
        <v>3700</v>
      </c>
      <c r="C1190" s="17" t="s">
        <v>3701</v>
      </c>
      <c r="D1190" s="16" t="s">
        <v>273</v>
      </c>
      <c r="E1190" s="16" t="s">
        <v>1724</v>
      </c>
      <c r="F1190" s="16">
        <v>0.3478</v>
      </c>
      <c r="G1190" s="16" t="s">
        <v>48</v>
      </c>
      <c r="H1190" s="16" t="s">
        <v>3702</v>
      </c>
      <c r="I1190" s="16" t="s">
        <v>273</v>
      </c>
    </row>
    <row r="1191" spans="1:9" x14ac:dyDescent="0.35">
      <c r="A1191" s="16" t="s">
        <v>3703</v>
      </c>
      <c r="B1191" s="17" t="s">
        <v>3704</v>
      </c>
      <c r="C1191" s="17" t="s">
        <v>3705</v>
      </c>
      <c r="D1191" s="16" t="s">
        <v>273</v>
      </c>
      <c r="E1191" s="16" t="s">
        <v>1729</v>
      </c>
      <c r="F1191" s="16">
        <v>0.26429999999999998</v>
      </c>
      <c r="G1191" s="16" t="s">
        <v>506</v>
      </c>
      <c r="H1191" s="16" t="s">
        <v>3706</v>
      </c>
      <c r="I1191" s="16" t="s">
        <v>273</v>
      </c>
    </row>
    <row r="1192" spans="1:9" x14ac:dyDescent="0.35">
      <c r="A1192" s="16" t="s">
        <v>3707</v>
      </c>
      <c r="B1192" s="17"/>
      <c r="C1192" s="17"/>
      <c r="D1192" s="16"/>
      <c r="E1192" s="16"/>
      <c r="F1192" s="16"/>
      <c r="G1192" s="16"/>
      <c r="H1192" s="16"/>
      <c r="I1192" s="16" t="s">
        <v>698</v>
      </c>
    </row>
    <row r="1193" spans="1:9" x14ac:dyDescent="0.35">
      <c r="A1193" s="16" t="s">
        <v>3708</v>
      </c>
      <c r="B1193" s="17" t="s">
        <v>3709</v>
      </c>
      <c r="C1193" s="17" t="s">
        <v>115</v>
      </c>
      <c r="D1193" s="16" t="s">
        <v>22</v>
      </c>
      <c r="E1193" s="16" t="s">
        <v>115</v>
      </c>
      <c r="F1193" s="16">
        <v>0.8</v>
      </c>
      <c r="G1193" s="16" t="s">
        <v>116</v>
      </c>
      <c r="H1193" s="16"/>
      <c r="I1193" s="16" t="s">
        <v>22</v>
      </c>
    </row>
    <row r="1194" spans="1:9" x14ac:dyDescent="0.35">
      <c r="A1194" s="16" t="s">
        <v>3710</v>
      </c>
      <c r="B1194" s="17" t="s">
        <v>3711</v>
      </c>
      <c r="C1194" s="17"/>
      <c r="D1194" s="16"/>
      <c r="E1194" s="16"/>
      <c r="F1194" s="16"/>
      <c r="G1194" s="16"/>
      <c r="H1194" s="16"/>
      <c r="I1194" s="16" t="s">
        <v>633</v>
      </c>
    </row>
    <row r="1195" spans="1:9" ht="28" x14ac:dyDescent="0.35">
      <c r="A1195" s="16" t="s">
        <v>56</v>
      </c>
      <c r="B1195" s="17" t="s">
        <v>53</v>
      </c>
      <c r="C1195" s="17" t="s">
        <v>3712</v>
      </c>
      <c r="D1195" s="16" t="s">
        <v>22</v>
      </c>
      <c r="E1195" s="16" t="s">
        <v>55</v>
      </c>
      <c r="F1195" s="16">
        <v>1</v>
      </c>
      <c r="G1195" s="16" t="s">
        <v>563</v>
      </c>
      <c r="H1195" s="16" t="s">
        <v>564</v>
      </c>
      <c r="I1195" s="16" t="s">
        <v>22</v>
      </c>
    </row>
    <row r="1196" spans="1:9" x14ac:dyDescent="0.35">
      <c r="A1196" s="16" t="s">
        <v>3713</v>
      </c>
      <c r="B1196" s="17" t="s">
        <v>3545</v>
      </c>
      <c r="C1196" s="17" t="s">
        <v>3546</v>
      </c>
      <c r="D1196" s="16"/>
      <c r="E1196" s="16"/>
      <c r="F1196" s="16"/>
      <c r="G1196" s="16"/>
      <c r="H1196" s="16"/>
      <c r="I1196" s="16" t="s">
        <v>633</v>
      </c>
    </row>
    <row r="1197" spans="1:9" x14ac:dyDescent="0.35">
      <c r="A1197" s="16" t="s">
        <v>3714</v>
      </c>
      <c r="B1197" s="17" t="s">
        <v>3709</v>
      </c>
      <c r="C1197" s="17" t="s">
        <v>115</v>
      </c>
      <c r="D1197" s="16" t="s">
        <v>22</v>
      </c>
      <c r="E1197" s="16" t="s">
        <v>115</v>
      </c>
      <c r="F1197" s="16">
        <v>0.8</v>
      </c>
      <c r="G1197" s="16" t="s">
        <v>116</v>
      </c>
      <c r="H1197" s="16"/>
      <c r="I1197" s="16" t="s">
        <v>22</v>
      </c>
    </row>
    <row r="1198" spans="1:9" x14ac:dyDescent="0.35">
      <c r="A1198" s="16" t="s">
        <v>3715</v>
      </c>
      <c r="B1198" s="17" t="s">
        <v>3711</v>
      </c>
      <c r="C1198" s="17"/>
      <c r="D1198" s="16"/>
      <c r="E1198" s="16"/>
      <c r="F1198" s="16"/>
      <c r="G1198" s="16"/>
      <c r="H1198" s="16"/>
      <c r="I1198" s="16" t="s">
        <v>633</v>
      </c>
    </row>
    <row r="1199" spans="1:9" x14ac:dyDescent="0.35">
      <c r="A1199" s="16" t="s">
        <v>3716</v>
      </c>
      <c r="B1199" s="17" t="s">
        <v>2995</v>
      </c>
      <c r="C1199" s="17" t="s">
        <v>2996</v>
      </c>
      <c r="D1199" s="16" t="s">
        <v>273</v>
      </c>
      <c r="E1199" s="16" t="s">
        <v>2997</v>
      </c>
      <c r="F1199" s="16">
        <v>0.27150000000000002</v>
      </c>
      <c r="G1199" s="16" t="s">
        <v>2998</v>
      </c>
      <c r="H1199" s="16" t="s">
        <v>1959</v>
      </c>
      <c r="I1199" s="16" t="s">
        <v>273</v>
      </c>
    </row>
    <row r="1200" spans="1:9" x14ac:dyDescent="0.35">
      <c r="A1200" s="16" t="s">
        <v>3717</v>
      </c>
      <c r="B1200" s="17" t="s">
        <v>3711</v>
      </c>
      <c r="C1200" s="17"/>
      <c r="D1200" s="16"/>
      <c r="E1200" s="16"/>
      <c r="F1200" s="16"/>
      <c r="G1200" s="16"/>
      <c r="H1200" s="16"/>
      <c r="I1200" s="16" t="s">
        <v>633</v>
      </c>
    </row>
    <row r="1201" spans="1:9" x14ac:dyDescent="0.35">
      <c r="A1201" s="16" t="s">
        <v>3718</v>
      </c>
      <c r="B1201" s="17" t="s">
        <v>3545</v>
      </c>
      <c r="C1201" s="17" t="s">
        <v>3546</v>
      </c>
      <c r="D1201" s="16"/>
      <c r="E1201" s="16"/>
      <c r="F1201" s="16"/>
      <c r="G1201" s="16"/>
      <c r="H1201" s="16"/>
      <c r="I1201" s="16" t="s">
        <v>633</v>
      </c>
    </row>
    <row r="1202" spans="1:9" ht="28" x14ac:dyDescent="0.35">
      <c r="A1202" s="16" t="s">
        <v>3719</v>
      </c>
      <c r="B1202" s="17" t="s">
        <v>3616</v>
      </c>
      <c r="C1202" s="17" t="s">
        <v>3617</v>
      </c>
      <c r="D1202" s="16" t="s">
        <v>273</v>
      </c>
      <c r="E1202" s="16" t="s">
        <v>2997</v>
      </c>
      <c r="F1202" s="16">
        <v>0.2019</v>
      </c>
      <c r="G1202" s="16"/>
      <c r="H1202" s="16"/>
      <c r="I1202" s="16" t="s">
        <v>273</v>
      </c>
    </row>
    <row r="1203" spans="1:9" x14ac:dyDescent="0.35">
      <c r="A1203" s="16" t="s">
        <v>3720</v>
      </c>
      <c r="B1203" s="17" t="s">
        <v>3709</v>
      </c>
      <c r="C1203" s="17" t="s">
        <v>115</v>
      </c>
      <c r="D1203" s="16" t="s">
        <v>22</v>
      </c>
      <c r="E1203" s="16" t="s">
        <v>115</v>
      </c>
      <c r="F1203" s="16">
        <v>0.8</v>
      </c>
      <c r="G1203" s="16" t="s">
        <v>116</v>
      </c>
      <c r="H1203" s="16"/>
      <c r="I1203" s="16" t="s">
        <v>22</v>
      </c>
    </row>
    <row r="1204" spans="1:9" x14ac:dyDescent="0.35">
      <c r="A1204" s="16" t="s">
        <v>3721</v>
      </c>
      <c r="B1204" s="17" t="s">
        <v>3709</v>
      </c>
      <c r="C1204" s="17" t="s">
        <v>115</v>
      </c>
      <c r="D1204" s="16" t="s">
        <v>22</v>
      </c>
      <c r="E1204" s="16" t="s">
        <v>115</v>
      </c>
      <c r="F1204" s="16">
        <v>0.8</v>
      </c>
      <c r="G1204" s="16" t="s">
        <v>116</v>
      </c>
      <c r="H1204" s="16"/>
      <c r="I1204" s="16" t="s">
        <v>22</v>
      </c>
    </row>
    <row r="1205" spans="1:9" x14ac:dyDescent="0.35">
      <c r="A1205" s="16" t="s">
        <v>3722</v>
      </c>
      <c r="B1205" s="17" t="s">
        <v>1225</v>
      </c>
      <c r="C1205" s="17" t="s">
        <v>1226</v>
      </c>
      <c r="D1205" s="16" t="s">
        <v>273</v>
      </c>
      <c r="E1205" s="16" t="s">
        <v>522</v>
      </c>
      <c r="F1205" s="16">
        <v>0.35449999999999998</v>
      </c>
      <c r="G1205" s="16" t="s">
        <v>1227</v>
      </c>
      <c r="H1205" s="16" t="s">
        <v>1228</v>
      </c>
      <c r="I1205" s="16" t="s">
        <v>273</v>
      </c>
    </row>
    <row r="1206" spans="1:9" x14ac:dyDescent="0.35">
      <c r="A1206" s="16" t="s">
        <v>3723</v>
      </c>
      <c r="B1206" s="17" t="s">
        <v>3709</v>
      </c>
      <c r="C1206" s="17" t="s">
        <v>115</v>
      </c>
      <c r="D1206" s="16" t="s">
        <v>22</v>
      </c>
      <c r="E1206" s="16" t="s">
        <v>115</v>
      </c>
      <c r="F1206" s="16">
        <v>0.8</v>
      </c>
      <c r="G1206" s="16" t="s">
        <v>116</v>
      </c>
      <c r="H1206" s="16"/>
      <c r="I1206" s="16" t="s">
        <v>22</v>
      </c>
    </row>
    <row r="1207" spans="1:9" ht="28" x14ac:dyDescent="0.35">
      <c r="A1207" s="16" t="s">
        <v>3724</v>
      </c>
      <c r="B1207" s="17" t="s">
        <v>3725</v>
      </c>
      <c r="C1207" s="17" t="s">
        <v>3726</v>
      </c>
      <c r="D1207" s="16" t="s">
        <v>273</v>
      </c>
      <c r="E1207" s="16" t="s">
        <v>3727</v>
      </c>
      <c r="F1207" s="16">
        <v>0.20810000000000001</v>
      </c>
      <c r="G1207" s="16"/>
      <c r="H1207" s="16"/>
      <c r="I1207" s="16" t="s">
        <v>273</v>
      </c>
    </row>
    <row r="1208" spans="1:9" x14ac:dyDescent="0.35">
      <c r="A1208" s="16" t="s">
        <v>3728</v>
      </c>
      <c r="B1208" s="17"/>
      <c r="C1208" s="17"/>
      <c r="D1208" s="16"/>
      <c r="E1208" s="16"/>
      <c r="F1208" s="16"/>
      <c r="G1208" s="16"/>
      <c r="H1208" s="16"/>
      <c r="I1208" s="16" t="s">
        <v>698</v>
      </c>
    </row>
    <row r="1209" spans="1:9" x14ac:dyDescent="0.35">
      <c r="A1209" s="16" t="s">
        <v>3729</v>
      </c>
      <c r="B1209" s="17" t="s">
        <v>3730</v>
      </c>
      <c r="C1209" s="17" t="s">
        <v>3731</v>
      </c>
      <c r="D1209" s="16" t="s">
        <v>273</v>
      </c>
      <c r="E1209" s="16" t="s">
        <v>1747</v>
      </c>
      <c r="F1209" s="16">
        <v>0.23749999999999999</v>
      </c>
      <c r="G1209" s="16" t="s">
        <v>2233</v>
      </c>
      <c r="H1209" s="16" t="s">
        <v>1227</v>
      </c>
      <c r="I1209" s="16" t="s">
        <v>273</v>
      </c>
    </row>
    <row r="1210" spans="1:9" x14ac:dyDescent="0.35">
      <c r="A1210" s="16" t="s">
        <v>3732</v>
      </c>
      <c r="B1210" s="17" t="s">
        <v>3733</v>
      </c>
      <c r="C1210" s="17" t="s">
        <v>1027</v>
      </c>
      <c r="D1210" s="16" t="s">
        <v>5</v>
      </c>
      <c r="E1210" s="16" t="s">
        <v>67</v>
      </c>
      <c r="F1210" s="16">
        <v>0.8</v>
      </c>
      <c r="G1210" s="16"/>
      <c r="H1210" s="16"/>
      <c r="I1210" s="16" t="s">
        <v>5</v>
      </c>
    </row>
    <row r="1211" spans="1:9" ht="28" x14ac:dyDescent="0.35">
      <c r="A1211" s="16" t="s">
        <v>3734</v>
      </c>
      <c r="B1211" s="17" t="s">
        <v>3735</v>
      </c>
      <c r="C1211" s="17" t="s">
        <v>3736</v>
      </c>
      <c r="D1211" s="16" t="s">
        <v>22</v>
      </c>
      <c r="E1211" s="16" t="s">
        <v>3401</v>
      </c>
      <c r="F1211" s="16">
        <v>1</v>
      </c>
      <c r="G1211" s="16" t="s">
        <v>67</v>
      </c>
      <c r="H1211" s="16"/>
      <c r="I1211" s="16" t="s">
        <v>22</v>
      </c>
    </row>
    <row r="1212" spans="1:9" x14ac:dyDescent="0.35">
      <c r="A1212" s="16" t="s">
        <v>3737</v>
      </c>
      <c r="B1212" s="17" t="s">
        <v>497</v>
      </c>
      <c r="C1212" s="17" t="s">
        <v>497</v>
      </c>
      <c r="D1212" s="16" t="s">
        <v>273</v>
      </c>
      <c r="E1212" s="16" t="s">
        <v>499</v>
      </c>
      <c r="F1212" s="16">
        <v>0.30249999999999999</v>
      </c>
      <c r="G1212" s="16" t="s">
        <v>377</v>
      </c>
      <c r="H1212" s="16" t="s">
        <v>500</v>
      </c>
      <c r="I1212" s="16" t="s">
        <v>273</v>
      </c>
    </row>
    <row r="1213" spans="1:9" x14ac:dyDescent="0.35">
      <c r="A1213" s="16" t="s">
        <v>3738</v>
      </c>
      <c r="B1213" s="17" t="s">
        <v>2435</v>
      </c>
      <c r="C1213" s="17" t="s">
        <v>2255</v>
      </c>
      <c r="D1213" s="16" t="s">
        <v>273</v>
      </c>
      <c r="E1213" s="16" t="s">
        <v>378</v>
      </c>
      <c r="F1213" s="16">
        <v>0.27429999999999999</v>
      </c>
      <c r="G1213" s="16" t="s">
        <v>2256</v>
      </c>
      <c r="H1213" s="16" t="s">
        <v>2257</v>
      </c>
      <c r="I1213" s="16" t="s">
        <v>273</v>
      </c>
    </row>
    <row r="1214" spans="1:9" x14ac:dyDescent="0.35">
      <c r="A1214" s="16" t="s">
        <v>3739</v>
      </c>
      <c r="B1214" s="17"/>
      <c r="C1214" s="17"/>
      <c r="D1214" s="16"/>
      <c r="E1214" s="16"/>
      <c r="F1214" s="16"/>
      <c r="G1214" s="16"/>
      <c r="H1214" s="16"/>
      <c r="I1214" s="16" t="s">
        <v>698</v>
      </c>
    </row>
    <row r="1215" spans="1:9" x14ac:dyDescent="0.35">
      <c r="A1215" s="16" t="s">
        <v>3740</v>
      </c>
      <c r="B1215" s="17" t="s">
        <v>3741</v>
      </c>
      <c r="C1215" s="17" t="s">
        <v>1155</v>
      </c>
      <c r="D1215" s="16" t="s">
        <v>5</v>
      </c>
      <c r="E1215" s="16" t="s">
        <v>67</v>
      </c>
      <c r="F1215" s="16">
        <v>0.8</v>
      </c>
      <c r="G1215" s="16"/>
      <c r="H1215" s="16"/>
      <c r="I1215" s="16" t="s">
        <v>5</v>
      </c>
    </row>
    <row r="1216" spans="1:9" x14ac:dyDescent="0.35">
      <c r="A1216" s="16" t="s">
        <v>3742</v>
      </c>
      <c r="B1216" s="17" t="s">
        <v>3743</v>
      </c>
      <c r="C1216" s="17" t="s">
        <v>3744</v>
      </c>
      <c r="D1216" s="16" t="s">
        <v>5</v>
      </c>
      <c r="E1216" s="16" t="s">
        <v>67</v>
      </c>
      <c r="F1216" s="16">
        <v>0.8</v>
      </c>
      <c r="G1216" s="16"/>
      <c r="H1216" s="16"/>
      <c r="I1216" s="16" t="s">
        <v>5</v>
      </c>
    </row>
    <row r="1217" spans="1:9" x14ac:dyDescent="0.35">
      <c r="A1217" s="16" t="s">
        <v>3745</v>
      </c>
      <c r="B1217" s="17" t="s">
        <v>3746</v>
      </c>
      <c r="C1217" s="17" t="s">
        <v>519</v>
      </c>
      <c r="D1217" s="16" t="s">
        <v>273</v>
      </c>
      <c r="E1217" s="16" t="s">
        <v>3594</v>
      </c>
      <c r="F1217" s="16">
        <v>0.46060000000000001</v>
      </c>
      <c r="G1217" s="16" t="s">
        <v>521</v>
      </c>
      <c r="H1217" s="16" t="s">
        <v>84</v>
      </c>
      <c r="I1217" s="16" t="s">
        <v>273</v>
      </c>
    </row>
    <row r="1218" spans="1:9" ht="28" x14ac:dyDescent="0.35">
      <c r="A1218" s="16" t="s">
        <v>3747</v>
      </c>
      <c r="B1218" s="17" t="s">
        <v>3748</v>
      </c>
      <c r="C1218" s="17" t="s">
        <v>3749</v>
      </c>
      <c r="D1218" s="16" t="s">
        <v>273</v>
      </c>
      <c r="E1218" s="16" t="s">
        <v>563</v>
      </c>
      <c r="F1218" s="16">
        <v>0.40949999999999998</v>
      </c>
      <c r="G1218" s="16" t="s">
        <v>448</v>
      </c>
      <c r="H1218" s="16" t="s">
        <v>564</v>
      </c>
      <c r="I1218" s="16" t="s">
        <v>273</v>
      </c>
    </row>
    <row r="1219" spans="1:9" x14ac:dyDescent="0.35">
      <c r="A1219" s="16" t="s">
        <v>3750</v>
      </c>
      <c r="B1219" s="17" t="s">
        <v>1800</v>
      </c>
      <c r="C1219" s="17" t="s">
        <v>1801</v>
      </c>
      <c r="D1219" s="16" t="s">
        <v>273</v>
      </c>
      <c r="E1219" s="16" t="s">
        <v>1802</v>
      </c>
      <c r="F1219" s="16">
        <v>0.26500000000000001</v>
      </c>
      <c r="G1219" s="16" t="s">
        <v>1803</v>
      </c>
      <c r="H1219" s="16" t="s">
        <v>1804</v>
      </c>
      <c r="I1219" s="16" t="s">
        <v>273</v>
      </c>
    </row>
    <row r="1220" spans="1:9" ht="28" x14ac:dyDescent="0.35">
      <c r="A1220" s="16" t="s">
        <v>3751</v>
      </c>
      <c r="B1220" s="17" t="s">
        <v>3752</v>
      </c>
      <c r="C1220" s="17" t="s">
        <v>3753</v>
      </c>
      <c r="D1220" s="16" t="s">
        <v>273</v>
      </c>
      <c r="E1220" s="16" t="s">
        <v>3754</v>
      </c>
      <c r="F1220" s="16">
        <v>0.22489999999999999</v>
      </c>
      <c r="G1220" s="16"/>
      <c r="H1220" s="16"/>
      <c r="I1220" s="16" t="s">
        <v>273</v>
      </c>
    </row>
    <row r="1221" spans="1:9" x14ac:dyDescent="0.35">
      <c r="A1221" s="16" t="s">
        <v>3755</v>
      </c>
      <c r="B1221" s="17" t="s">
        <v>2618</v>
      </c>
      <c r="C1221" s="17" t="s">
        <v>2618</v>
      </c>
      <c r="D1221" s="16" t="s">
        <v>273</v>
      </c>
      <c r="E1221" s="16" t="s">
        <v>130</v>
      </c>
      <c r="F1221" s="16">
        <v>0.37119999999999997</v>
      </c>
      <c r="G1221" s="16" t="s">
        <v>437</v>
      </c>
      <c r="H1221" s="16" t="s">
        <v>377</v>
      </c>
      <c r="I1221" s="16" t="s">
        <v>273</v>
      </c>
    </row>
    <row r="1222" spans="1:9" x14ac:dyDescent="0.35">
      <c r="A1222" s="16" t="s">
        <v>3756</v>
      </c>
      <c r="B1222" s="17" t="s">
        <v>3757</v>
      </c>
      <c r="C1222" s="17" t="s">
        <v>3757</v>
      </c>
      <c r="D1222" s="16" t="s">
        <v>273</v>
      </c>
      <c r="E1222" s="16" t="s">
        <v>3758</v>
      </c>
      <c r="F1222" s="16">
        <v>0.33310000000000001</v>
      </c>
      <c r="G1222" s="16" t="s">
        <v>3759</v>
      </c>
      <c r="H1222" s="16" t="s">
        <v>3760</v>
      </c>
      <c r="I1222" s="16" t="s">
        <v>273</v>
      </c>
    </row>
    <row r="1223" spans="1:9" x14ac:dyDescent="0.35">
      <c r="A1223" s="16" t="s">
        <v>3761</v>
      </c>
      <c r="B1223" s="17" t="s">
        <v>3762</v>
      </c>
      <c r="C1223" s="17" t="s">
        <v>3763</v>
      </c>
      <c r="D1223" s="16" t="s">
        <v>273</v>
      </c>
      <c r="E1223" s="16" t="s">
        <v>2371</v>
      </c>
      <c r="F1223" s="16">
        <v>0.41949999999999998</v>
      </c>
      <c r="G1223" s="16" t="s">
        <v>2372</v>
      </c>
      <c r="H1223" s="16" t="s">
        <v>499</v>
      </c>
      <c r="I1223" s="16" t="s">
        <v>273</v>
      </c>
    </row>
    <row r="1224" spans="1:9" ht="56" x14ac:dyDescent="0.35">
      <c r="A1224" s="16" t="s">
        <v>3764</v>
      </c>
      <c r="B1224" s="17" t="s">
        <v>3765</v>
      </c>
      <c r="C1224" s="17" t="s">
        <v>3766</v>
      </c>
      <c r="D1224" s="16"/>
      <c r="E1224" s="16"/>
      <c r="F1224" s="16"/>
      <c r="G1224" s="16"/>
      <c r="H1224" s="16"/>
      <c r="I1224" s="16" t="s">
        <v>633</v>
      </c>
    </row>
    <row r="1225" spans="1:9" ht="28" x14ac:dyDescent="0.35">
      <c r="A1225" s="16" t="s">
        <v>3767</v>
      </c>
      <c r="B1225" s="17" t="s">
        <v>3768</v>
      </c>
      <c r="C1225" s="17" t="s">
        <v>3769</v>
      </c>
      <c r="D1225" s="16" t="s">
        <v>273</v>
      </c>
      <c r="E1225" s="16" t="s">
        <v>563</v>
      </c>
      <c r="F1225" s="16">
        <v>0.2823</v>
      </c>
      <c r="G1225" s="16" t="s">
        <v>450</v>
      </c>
      <c r="H1225" s="16"/>
      <c r="I1225" s="16" t="s">
        <v>273</v>
      </c>
    </row>
    <row r="1226" spans="1:9" x14ac:dyDescent="0.35">
      <c r="A1226" s="16" t="s">
        <v>3770</v>
      </c>
      <c r="B1226" s="17"/>
      <c r="C1226" s="17"/>
      <c r="D1226" s="16"/>
      <c r="E1226" s="16"/>
      <c r="F1226" s="16"/>
      <c r="G1226" s="16"/>
      <c r="H1226" s="16"/>
      <c r="I1226" s="16" t="s">
        <v>698</v>
      </c>
    </row>
    <row r="1227" spans="1:9" x14ac:dyDescent="0.35">
      <c r="A1227" s="16" t="s">
        <v>3771</v>
      </c>
      <c r="B1227" s="17" t="s">
        <v>46</v>
      </c>
      <c r="C1227" s="17" t="s">
        <v>46</v>
      </c>
      <c r="D1227" s="16" t="s">
        <v>22</v>
      </c>
      <c r="E1227" s="16" t="s">
        <v>49</v>
      </c>
      <c r="F1227" s="16">
        <v>1</v>
      </c>
      <c r="G1227" s="16"/>
      <c r="H1227" s="16"/>
      <c r="I1227" s="16" t="s">
        <v>22</v>
      </c>
    </row>
    <row r="1228" spans="1:9" x14ac:dyDescent="0.35">
      <c r="A1228" s="16" t="s">
        <v>3772</v>
      </c>
      <c r="B1228" s="17"/>
      <c r="C1228" s="17"/>
      <c r="D1228" s="16"/>
      <c r="E1228" s="16"/>
      <c r="F1228" s="16"/>
      <c r="G1228" s="16"/>
      <c r="H1228" s="16"/>
      <c r="I1228" s="16" t="s">
        <v>698</v>
      </c>
    </row>
    <row r="1229" spans="1:9" ht="28" x14ac:dyDescent="0.35">
      <c r="A1229" s="16" t="s">
        <v>3773</v>
      </c>
      <c r="B1229" s="17" t="s">
        <v>3774</v>
      </c>
      <c r="C1229" s="17" t="s">
        <v>3775</v>
      </c>
      <c r="D1229" s="16" t="s">
        <v>5</v>
      </c>
      <c r="E1229" s="16" t="s">
        <v>2633</v>
      </c>
      <c r="F1229" s="16">
        <v>0.8</v>
      </c>
      <c r="G1229" s="16"/>
      <c r="H1229" s="16"/>
      <c r="I1229" s="16" t="s">
        <v>5</v>
      </c>
    </row>
    <row r="1230" spans="1:9" ht="42" x14ac:dyDescent="0.35">
      <c r="A1230" s="16" t="s">
        <v>3776</v>
      </c>
      <c r="B1230" s="17" t="s">
        <v>3777</v>
      </c>
      <c r="C1230" s="17" t="s">
        <v>3778</v>
      </c>
      <c r="D1230" s="16" t="s">
        <v>273</v>
      </c>
      <c r="E1230" s="16" t="s">
        <v>1265</v>
      </c>
      <c r="F1230" s="16">
        <v>0.3251</v>
      </c>
      <c r="G1230" s="16" t="s">
        <v>3779</v>
      </c>
      <c r="H1230" s="16" t="s">
        <v>3780</v>
      </c>
      <c r="I1230" s="16" t="s">
        <v>273</v>
      </c>
    </row>
    <row r="1231" spans="1:9" ht="84" x14ac:dyDescent="0.35">
      <c r="A1231" s="16" t="s">
        <v>3781</v>
      </c>
      <c r="B1231" s="17" t="s">
        <v>3782</v>
      </c>
      <c r="C1231" s="17" t="s">
        <v>3783</v>
      </c>
      <c r="D1231" s="16" t="s">
        <v>273</v>
      </c>
      <c r="E1231" s="16" t="s">
        <v>1340</v>
      </c>
      <c r="F1231" s="16">
        <v>0.25380000000000003</v>
      </c>
      <c r="G1231" s="16" t="s">
        <v>3784</v>
      </c>
      <c r="H1231" s="16"/>
      <c r="I1231" s="16" t="s">
        <v>273</v>
      </c>
    </row>
    <row r="1232" spans="1:9" x14ac:dyDescent="0.35">
      <c r="A1232" s="16" t="s">
        <v>3785</v>
      </c>
      <c r="B1232" s="17" t="s">
        <v>3786</v>
      </c>
      <c r="C1232" s="17" t="s">
        <v>105</v>
      </c>
      <c r="D1232" s="16" t="s">
        <v>22</v>
      </c>
      <c r="E1232" s="16" t="s">
        <v>105</v>
      </c>
      <c r="F1232" s="16">
        <v>1</v>
      </c>
      <c r="G1232" s="16"/>
      <c r="H1232" s="16"/>
      <c r="I1232" s="16" t="s">
        <v>22</v>
      </c>
    </row>
    <row r="1233" spans="1:9" x14ac:dyDescent="0.35">
      <c r="A1233" s="16" t="s">
        <v>3787</v>
      </c>
      <c r="B1233" s="17" t="s">
        <v>3788</v>
      </c>
      <c r="C1233" s="17" t="s">
        <v>3789</v>
      </c>
      <c r="D1233" s="16" t="s">
        <v>273</v>
      </c>
      <c r="E1233" s="16" t="s">
        <v>3532</v>
      </c>
      <c r="F1233" s="16">
        <v>0.42680000000000001</v>
      </c>
      <c r="G1233" s="16" t="s">
        <v>3790</v>
      </c>
      <c r="H1233" s="16" t="s">
        <v>3791</v>
      </c>
      <c r="I1233" s="16" t="s">
        <v>273</v>
      </c>
    </row>
    <row r="1234" spans="1:9" x14ac:dyDescent="0.35">
      <c r="A1234" s="16" t="s">
        <v>3792</v>
      </c>
      <c r="B1234" s="17" t="s">
        <v>3793</v>
      </c>
      <c r="C1234" s="17" t="s">
        <v>3794</v>
      </c>
      <c r="D1234" s="16" t="s">
        <v>273</v>
      </c>
      <c r="E1234" s="16" t="s">
        <v>556</v>
      </c>
      <c r="F1234" s="16">
        <v>0.44080000000000003</v>
      </c>
      <c r="G1234" s="16" t="s">
        <v>3795</v>
      </c>
      <c r="H1234" s="16" t="s">
        <v>3796</v>
      </c>
      <c r="I1234" s="16" t="s">
        <v>273</v>
      </c>
    </row>
    <row r="1235" spans="1:9" x14ac:dyDescent="0.35">
      <c r="A1235" s="16" t="s">
        <v>3797</v>
      </c>
      <c r="B1235" s="17" t="s">
        <v>3762</v>
      </c>
      <c r="C1235" s="17" t="s">
        <v>3763</v>
      </c>
      <c r="D1235" s="16" t="s">
        <v>273</v>
      </c>
      <c r="E1235" s="16" t="s">
        <v>2371</v>
      </c>
      <c r="F1235" s="16">
        <v>0.41949999999999998</v>
      </c>
      <c r="G1235" s="16" t="s">
        <v>2372</v>
      </c>
      <c r="H1235" s="16" t="s">
        <v>499</v>
      </c>
      <c r="I1235" s="16" t="s">
        <v>273</v>
      </c>
    </row>
    <row r="1236" spans="1:9" x14ac:dyDescent="0.35">
      <c r="A1236" s="16" t="s">
        <v>3798</v>
      </c>
      <c r="B1236" s="17"/>
      <c r="C1236" s="17"/>
      <c r="D1236" s="16"/>
      <c r="E1236" s="16"/>
      <c r="F1236" s="16"/>
      <c r="G1236" s="16"/>
      <c r="H1236" s="16"/>
      <c r="I1236" s="16" t="s">
        <v>698</v>
      </c>
    </row>
    <row r="1237" spans="1:9" ht="56" x14ac:dyDescent="0.35">
      <c r="A1237" s="16" t="s">
        <v>3799</v>
      </c>
      <c r="B1237" s="17" t="s">
        <v>3800</v>
      </c>
      <c r="C1237" s="17" t="s">
        <v>3801</v>
      </c>
      <c r="D1237" s="16"/>
      <c r="E1237" s="16"/>
      <c r="F1237" s="16"/>
      <c r="G1237" s="16"/>
      <c r="H1237" s="16"/>
      <c r="I1237" s="16" t="s">
        <v>633</v>
      </c>
    </row>
    <row r="1238" spans="1:9" x14ac:dyDescent="0.35">
      <c r="A1238" s="16" t="s">
        <v>3802</v>
      </c>
      <c r="B1238" s="17" t="s">
        <v>3803</v>
      </c>
      <c r="C1238" s="17" t="s">
        <v>34</v>
      </c>
      <c r="D1238" s="16" t="s">
        <v>22</v>
      </c>
      <c r="E1238" s="16" t="s">
        <v>34</v>
      </c>
      <c r="F1238" s="16">
        <v>0.8</v>
      </c>
      <c r="G1238" s="16" t="s">
        <v>35</v>
      </c>
      <c r="H1238" s="16"/>
      <c r="I1238" s="16" t="s">
        <v>22</v>
      </c>
    </row>
    <row r="1239" spans="1:9" x14ac:dyDescent="0.35">
      <c r="A1239" s="16" t="s">
        <v>3804</v>
      </c>
      <c r="B1239" s="17" t="s">
        <v>3805</v>
      </c>
      <c r="C1239" s="17" t="s">
        <v>34</v>
      </c>
      <c r="D1239" s="16" t="s">
        <v>22</v>
      </c>
      <c r="E1239" s="16" t="s">
        <v>34</v>
      </c>
      <c r="F1239" s="16">
        <v>0.8</v>
      </c>
      <c r="G1239" s="16" t="s">
        <v>35</v>
      </c>
      <c r="H1239" s="16"/>
      <c r="I1239" s="16" t="s">
        <v>22</v>
      </c>
    </row>
    <row r="1240" spans="1:9" x14ac:dyDescent="0.35">
      <c r="A1240" s="16" t="s">
        <v>3806</v>
      </c>
      <c r="B1240" s="17" t="s">
        <v>3807</v>
      </c>
      <c r="C1240" s="17" t="s">
        <v>2796</v>
      </c>
      <c r="D1240" s="16" t="s">
        <v>273</v>
      </c>
      <c r="E1240" s="16" t="s">
        <v>2797</v>
      </c>
      <c r="F1240" s="16">
        <v>0.42670000000000002</v>
      </c>
      <c r="G1240" s="16" t="s">
        <v>1829</v>
      </c>
      <c r="H1240" s="16" t="s">
        <v>2798</v>
      </c>
      <c r="I1240" s="16" t="s">
        <v>273</v>
      </c>
    </row>
    <row r="1241" spans="1:9" x14ac:dyDescent="0.35">
      <c r="A1241" s="16" t="s">
        <v>3808</v>
      </c>
      <c r="B1241" s="17"/>
      <c r="C1241" s="17"/>
      <c r="D1241" s="16"/>
      <c r="E1241" s="16"/>
      <c r="F1241" s="16"/>
      <c r="G1241" s="16"/>
      <c r="H1241" s="16"/>
      <c r="I1241" s="16" t="s">
        <v>698</v>
      </c>
    </row>
    <row r="1242" spans="1:9" x14ac:dyDescent="0.35">
      <c r="A1242" s="16" t="s">
        <v>3809</v>
      </c>
      <c r="B1242" s="17" t="s">
        <v>156</v>
      </c>
      <c r="C1242" s="17" t="s">
        <v>155</v>
      </c>
      <c r="D1242" s="16" t="s">
        <v>5</v>
      </c>
      <c r="E1242" s="16" t="s">
        <v>67</v>
      </c>
      <c r="F1242" s="16">
        <v>0.8</v>
      </c>
      <c r="G1242" s="16"/>
      <c r="H1242" s="16"/>
      <c r="I1242" s="16" t="s">
        <v>5</v>
      </c>
    </row>
    <row r="1243" spans="1:9" x14ac:dyDescent="0.35">
      <c r="A1243" s="16" t="s">
        <v>184</v>
      </c>
      <c r="B1243" s="17" t="s">
        <v>182</v>
      </c>
      <c r="C1243" s="17" t="s">
        <v>182</v>
      </c>
      <c r="D1243" s="16" t="s">
        <v>5</v>
      </c>
      <c r="E1243" s="16" t="s">
        <v>183</v>
      </c>
      <c r="F1243" s="16">
        <v>0.8</v>
      </c>
      <c r="G1243" s="16"/>
      <c r="H1243" s="16"/>
      <c r="I1243" s="16" t="s">
        <v>5</v>
      </c>
    </row>
    <row r="1244" spans="1:9" x14ac:dyDescent="0.35">
      <c r="A1244" s="16" t="s">
        <v>3810</v>
      </c>
      <c r="B1244" s="17" t="s">
        <v>3811</v>
      </c>
      <c r="C1244" s="17" t="s">
        <v>34</v>
      </c>
      <c r="D1244" s="16" t="s">
        <v>22</v>
      </c>
      <c r="E1244" s="16" t="s">
        <v>34</v>
      </c>
      <c r="F1244" s="16">
        <v>0.8</v>
      </c>
      <c r="G1244" s="16" t="s">
        <v>35</v>
      </c>
      <c r="H1244" s="16"/>
      <c r="I1244" s="16" t="s">
        <v>22</v>
      </c>
    </row>
    <row r="1245" spans="1:9" ht="28" x14ac:dyDescent="0.35">
      <c r="A1245" s="16" t="s">
        <v>3812</v>
      </c>
      <c r="B1245" s="17" t="s">
        <v>3813</v>
      </c>
      <c r="C1245" s="17" t="s">
        <v>3814</v>
      </c>
      <c r="D1245" s="16" t="s">
        <v>273</v>
      </c>
      <c r="E1245" s="16" t="s">
        <v>543</v>
      </c>
      <c r="F1245" s="16">
        <v>0.44629999999999997</v>
      </c>
      <c r="G1245" s="16" t="s">
        <v>343</v>
      </c>
      <c r="H1245" s="16" t="s">
        <v>3815</v>
      </c>
      <c r="I1245" s="16" t="s">
        <v>273</v>
      </c>
    </row>
    <row r="1246" spans="1:9" ht="42" x14ac:dyDescent="0.35">
      <c r="A1246" s="16" t="s">
        <v>3816</v>
      </c>
      <c r="B1246" s="17" t="s">
        <v>3817</v>
      </c>
      <c r="C1246" s="17" t="s">
        <v>3818</v>
      </c>
      <c r="D1246" s="16" t="s">
        <v>273</v>
      </c>
      <c r="E1246" s="16" t="s">
        <v>2154</v>
      </c>
      <c r="F1246" s="16">
        <v>0.29559999999999997</v>
      </c>
      <c r="G1246" s="16" t="s">
        <v>3479</v>
      </c>
      <c r="H1246" s="16" t="s">
        <v>2066</v>
      </c>
      <c r="I1246" s="16" t="s">
        <v>273</v>
      </c>
    </row>
    <row r="1247" spans="1:9" x14ac:dyDescent="0.35">
      <c r="A1247" s="16" t="s">
        <v>3819</v>
      </c>
      <c r="B1247" s="17" t="s">
        <v>3820</v>
      </c>
      <c r="C1247" s="17"/>
      <c r="D1247" s="16"/>
      <c r="E1247" s="16"/>
      <c r="F1247" s="16"/>
      <c r="G1247" s="16"/>
      <c r="H1247" s="16"/>
      <c r="I1247" s="16" t="s">
        <v>633</v>
      </c>
    </row>
    <row r="1248" spans="1:9" ht="56" x14ac:dyDescent="0.35">
      <c r="A1248" s="16" t="s">
        <v>3821</v>
      </c>
      <c r="B1248" s="17" t="s">
        <v>3822</v>
      </c>
      <c r="C1248" s="17" t="s">
        <v>3822</v>
      </c>
      <c r="D1248" s="16"/>
      <c r="E1248" s="16"/>
      <c r="F1248" s="16"/>
      <c r="G1248" s="16"/>
      <c r="H1248" s="16"/>
      <c r="I1248" s="16" t="s">
        <v>633</v>
      </c>
    </row>
    <row r="1249" spans="1:9" x14ac:dyDescent="0.35">
      <c r="A1249" s="16" t="s">
        <v>3823</v>
      </c>
      <c r="B1249" s="17" t="s">
        <v>3824</v>
      </c>
      <c r="C1249" s="17" t="s">
        <v>3825</v>
      </c>
      <c r="D1249" s="16" t="s">
        <v>5</v>
      </c>
      <c r="E1249" s="16" t="s">
        <v>34</v>
      </c>
      <c r="F1249" s="16">
        <v>0.64</v>
      </c>
      <c r="G1249" s="16" t="s">
        <v>35</v>
      </c>
      <c r="H1249" s="16"/>
      <c r="I1249" s="16" t="s">
        <v>5</v>
      </c>
    </row>
    <row r="1250" spans="1:9" ht="28" x14ac:dyDescent="0.35">
      <c r="A1250" s="16" t="s">
        <v>3826</v>
      </c>
      <c r="B1250" s="17" t="s">
        <v>3827</v>
      </c>
      <c r="C1250" s="17" t="s">
        <v>3828</v>
      </c>
      <c r="D1250" s="16" t="s">
        <v>186</v>
      </c>
      <c r="E1250" s="16" t="s">
        <v>262</v>
      </c>
      <c r="F1250" s="16">
        <v>0.48</v>
      </c>
      <c r="G1250" s="16" t="s">
        <v>263</v>
      </c>
      <c r="H1250" s="16"/>
      <c r="I1250" s="16" t="s">
        <v>186</v>
      </c>
    </row>
    <row r="1251" spans="1:9" x14ac:dyDescent="0.35">
      <c r="A1251" s="16" t="s">
        <v>3829</v>
      </c>
      <c r="B1251" s="17" t="s">
        <v>3830</v>
      </c>
      <c r="C1251" s="17" t="s">
        <v>115</v>
      </c>
      <c r="D1251" s="16" t="s">
        <v>22</v>
      </c>
      <c r="E1251" s="16" t="s">
        <v>115</v>
      </c>
      <c r="F1251" s="16">
        <v>0.8</v>
      </c>
      <c r="G1251" s="16" t="s">
        <v>116</v>
      </c>
      <c r="H1251" s="16"/>
      <c r="I1251" s="16" t="s">
        <v>22</v>
      </c>
    </row>
    <row r="1252" spans="1:9" x14ac:dyDescent="0.35">
      <c r="A1252" s="16" t="s">
        <v>3831</v>
      </c>
      <c r="B1252" s="17" t="s">
        <v>3832</v>
      </c>
      <c r="C1252" s="17" t="s">
        <v>2796</v>
      </c>
      <c r="D1252" s="16" t="s">
        <v>273</v>
      </c>
      <c r="E1252" s="16" t="s">
        <v>2797</v>
      </c>
      <c r="F1252" s="16">
        <v>0.42670000000000002</v>
      </c>
      <c r="G1252" s="16" t="s">
        <v>1829</v>
      </c>
      <c r="H1252" s="16" t="s">
        <v>2798</v>
      </c>
      <c r="I1252" s="16" t="s">
        <v>273</v>
      </c>
    </row>
    <row r="1253" spans="1:9" x14ac:dyDescent="0.35">
      <c r="A1253" s="16" t="s">
        <v>3833</v>
      </c>
      <c r="B1253" s="17" t="s">
        <v>3830</v>
      </c>
      <c r="C1253" s="17" t="s">
        <v>115</v>
      </c>
      <c r="D1253" s="16" t="s">
        <v>22</v>
      </c>
      <c r="E1253" s="16" t="s">
        <v>115</v>
      </c>
      <c r="F1253" s="16">
        <v>0.8</v>
      </c>
      <c r="G1253" s="16" t="s">
        <v>116</v>
      </c>
      <c r="H1253" s="16"/>
      <c r="I1253" s="16" t="s">
        <v>22</v>
      </c>
    </row>
    <row r="1254" spans="1:9" x14ac:dyDescent="0.35">
      <c r="A1254" s="16" t="s">
        <v>3834</v>
      </c>
      <c r="B1254" s="17" t="s">
        <v>3830</v>
      </c>
      <c r="C1254" s="17" t="s">
        <v>115</v>
      </c>
      <c r="D1254" s="16" t="s">
        <v>22</v>
      </c>
      <c r="E1254" s="16" t="s">
        <v>115</v>
      </c>
      <c r="F1254" s="16">
        <v>0.8</v>
      </c>
      <c r="G1254" s="16" t="s">
        <v>116</v>
      </c>
      <c r="H1254" s="16"/>
      <c r="I1254" s="16" t="s">
        <v>22</v>
      </c>
    </row>
    <row r="1255" spans="1:9" x14ac:dyDescent="0.35">
      <c r="A1255" s="16" t="s">
        <v>3835</v>
      </c>
      <c r="B1255" s="17" t="s">
        <v>3830</v>
      </c>
      <c r="C1255" s="17" t="s">
        <v>115</v>
      </c>
      <c r="D1255" s="16" t="s">
        <v>22</v>
      </c>
      <c r="E1255" s="16" t="s">
        <v>115</v>
      </c>
      <c r="F1255" s="16">
        <v>0.8</v>
      </c>
      <c r="G1255" s="16" t="s">
        <v>116</v>
      </c>
      <c r="H1255" s="16"/>
      <c r="I1255" s="16" t="s">
        <v>22</v>
      </c>
    </row>
    <row r="1256" spans="1:9" x14ac:dyDescent="0.35">
      <c r="A1256" s="16" t="s">
        <v>3836</v>
      </c>
      <c r="B1256" s="17" t="s">
        <v>3837</v>
      </c>
      <c r="C1256" s="17" t="s">
        <v>115</v>
      </c>
      <c r="D1256" s="16" t="s">
        <v>22</v>
      </c>
      <c r="E1256" s="16" t="s">
        <v>115</v>
      </c>
      <c r="F1256" s="16">
        <v>0.8</v>
      </c>
      <c r="G1256" s="16" t="s">
        <v>116</v>
      </c>
      <c r="H1256" s="16"/>
      <c r="I1256" s="16" t="s">
        <v>22</v>
      </c>
    </row>
    <row r="1257" spans="1:9" x14ac:dyDescent="0.35">
      <c r="A1257" s="16" t="s">
        <v>3838</v>
      </c>
      <c r="B1257" s="17"/>
      <c r="C1257" s="17"/>
      <c r="D1257" s="16"/>
      <c r="E1257" s="16"/>
      <c r="F1257" s="16"/>
      <c r="G1257" s="16"/>
      <c r="H1257" s="16"/>
      <c r="I1257" s="16" t="s">
        <v>698</v>
      </c>
    </row>
    <row r="1258" spans="1:9" x14ac:dyDescent="0.35">
      <c r="A1258" s="16" t="s">
        <v>3839</v>
      </c>
      <c r="B1258" s="17" t="s">
        <v>115</v>
      </c>
      <c r="C1258" s="17" t="s">
        <v>115</v>
      </c>
      <c r="D1258" s="16" t="s">
        <v>22</v>
      </c>
      <c r="E1258" s="16" t="s">
        <v>115</v>
      </c>
      <c r="F1258" s="16">
        <v>0.8</v>
      </c>
      <c r="G1258" s="16" t="s">
        <v>116</v>
      </c>
      <c r="H1258" s="16"/>
      <c r="I1258" s="16" t="s">
        <v>22</v>
      </c>
    </row>
    <row r="1259" spans="1:9" x14ac:dyDescent="0.35">
      <c r="A1259" s="16" t="s">
        <v>3840</v>
      </c>
      <c r="B1259" s="17" t="s">
        <v>3841</v>
      </c>
      <c r="C1259" s="17" t="s">
        <v>115</v>
      </c>
      <c r="D1259" s="16" t="s">
        <v>22</v>
      </c>
      <c r="E1259" s="16" t="s">
        <v>115</v>
      </c>
      <c r="F1259" s="16">
        <v>0.8</v>
      </c>
      <c r="G1259" s="16" t="s">
        <v>116</v>
      </c>
      <c r="H1259" s="16"/>
      <c r="I1259" s="16" t="s">
        <v>22</v>
      </c>
    </row>
    <row r="1260" spans="1:9" x14ac:dyDescent="0.35">
      <c r="A1260" s="16" t="s">
        <v>3842</v>
      </c>
      <c r="B1260" s="17" t="s">
        <v>597</v>
      </c>
      <c r="C1260" s="17" t="s">
        <v>596</v>
      </c>
      <c r="D1260" s="16" t="s">
        <v>273</v>
      </c>
      <c r="E1260" s="16" t="s">
        <v>599</v>
      </c>
      <c r="F1260" s="16">
        <v>0.4103</v>
      </c>
      <c r="G1260" s="16" t="s">
        <v>600</v>
      </c>
      <c r="H1260" s="16" t="s">
        <v>601</v>
      </c>
      <c r="I1260" s="16" t="s">
        <v>273</v>
      </c>
    </row>
    <row r="1261" spans="1:9" x14ac:dyDescent="0.35">
      <c r="A1261" s="16" t="s">
        <v>3843</v>
      </c>
      <c r="B1261" s="17"/>
      <c r="C1261" s="17"/>
      <c r="D1261" s="16"/>
      <c r="E1261" s="16"/>
      <c r="F1261" s="16"/>
      <c r="G1261" s="16"/>
      <c r="H1261" s="16"/>
      <c r="I1261" s="16" t="s">
        <v>698</v>
      </c>
    </row>
    <row r="1262" spans="1:9" x14ac:dyDescent="0.35">
      <c r="A1262" s="16" t="s">
        <v>117</v>
      </c>
      <c r="B1262" s="17" t="s">
        <v>114</v>
      </c>
      <c r="C1262" s="17" t="s">
        <v>113</v>
      </c>
      <c r="D1262" s="16" t="s">
        <v>5</v>
      </c>
      <c r="E1262" s="16" t="s">
        <v>115</v>
      </c>
      <c r="F1262" s="16">
        <v>0.64</v>
      </c>
      <c r="G1262" s="16" t="s">
        <v>116</v>
      </c>
      <c r="H1262" s="16"/>
      <c r="I1262" s="16" t="s">
        <v>5</v>
      </c>
    </row>
    <row r="1263" spans="1:9" x14ac:dyDescent="0.35">
      <c r="A1263" s="16" t="s">
        <v>3844</v>
      </c>
      <c r="B1263" s="17" t="s">
        <v>3845</v>
      </c>
      <c r="C1263" s="17" t="s">
        <v>3846</v>
      </c>
      <c r="D1263" s="16" t="s">
        <v>273</v>
      </c>
      <c r="E1263" s="16" t="s">
        <v>121</v>
      </c>
      <c r="F1263" s="16">
        <v>0.24149999999999999</v>
      </c>
      <c r="G1263" s="16"/>
      <c r="H1263" s="16"/>
      <c r="I1263" s="16" t="s">
        <v>273</v>
      </c>
    </row>
    <row r="1264" spans="1:9" x14ac:dyDescent="0.35">
      <c r="A1264" s="16" t="s">
        <v>3847</v>
      </c>
      <c r="B1264" s="17" t="s">
        <v>3848</v>
      </c>
      <c r="C1264" s="17" t="s">
        <v>115</v>
      </c>
      <c r="D1264" s="16" t="s">
        <v>22</v>
      </c>
      <c r="E1264" s="16" t="s">
        <v>115</v>
      </c>
      <c r="F1264" s="16">
        <v>0.8</v>
      </c>
      <c r="G1264" s="16" t="s">
        <v>116</v>
      </c>
      <c r="H1264" s="16"/>
      <c r="I1264" s="16" t="s">
        <v>22</v>
      </c>
    </row>
    <row r="1265" spans="1:9" x14ac:dyDescent="0.35">
      <c r="A1265" s="16" t="s">
        <v>3849</v>
      </c>
      <c r="B1265" s="17" t="s">
        <v>3850</v>
      </c>
      <c r="C1265" s="17" t="s">
        <v>3851</v>
      </c>
      <c r="D1265" s="16" t="s">
        <v>5</v>
      </c>
      <c r="E1265" s="16" t="s">
        <v>115</v>
      </c>
      <c r="F1265" s="16">
        <v>0.64</v>
      </c>
      <c r="G1265" s="16" t="s">
        <v>116</v>
      </c>
      <c r="H1265" s="16"/>
      <c r="I1265" s="16" t="s">
        <v>5</v>
      </c>
    </row>
    <row r="1266" spans="1:9" x14ac:dyDescent="0.35">
      <c r="A1266" s="16" t="s">
        <v>3852</v>
      </c>
      <c r="B1266" s="17"/>
      <c r="C1266" s="17"/>
      <c r="D1266" s="16"/>
      <c r="E1266" s="16"/>
      <c r="F1266" s="16"/>
      <c r="G1266" s="16"/>
      <c r="H1266" s="16"/>
      <c r="I1266" s="16" t="s">
        <v>698</v>
      </c>
    </row>
    <row r="1267" spans="1:9" x14ac:dyDescent="0.35">
      <c r="A1267" s="16" t="s">
        <v>3853</v>
      </c>
      <c r="B1267" s="17"/>
      <c r="C1267" s="17"/>
      <c r="D1267" s="16"/>
      <c r="E1267" s="16"/>
      <c r="F1267" s="16"/>
      <c r="G1267" s="16"/>
      <c r="H1267" s="16"/>
      <c r="I1267" s="16" t="s">
        <v>698</v>
      </c>
    </row>
    <row r="1268" spans="1:9" x14ac:dyDescent="0.35">
      <c r="A1268" s="16" t="s">
        <v>3854</v>
      </c>
      <c r="B1268" s="17" t="s">
        <v>3855</v>
      </c>
      <c r="C1268" s="17" t="s">
        <v>3855</v>
      </c>
      <c r="D1268" s="16" t="s">
        <v>273</v>
      </c>
      <c r="E1268" s="16" t="s">
        <v>2371</v>
      </c>
      <c r="F1268" s="16">
        <v>0.43490000000000001</v>
      </c>
      <c r="G1268" s="16" t="s">
        <v>2372</v>
      </c>
      <c r="H1268" s="16" t="s">
        <v>3856</v>
      </c>
      <c r="I1268" s="16" t="s">
        <v>273</v>
      </c>
    </row>
    <row r="1269" spans="1:9" x14ac:dyDescent="0.35">
      <c r="A1269" s="16" t="s">
        <v>3857</v>
      </c>
      <c r="B1269" s="17" t="s">
        <v>3858</v>
      </c>
      <c r="C1269" s="17" t="s">
        <v>497</v>
      </c>
      <c r="D1269" s="16" t="s">
        <v>273</v>
      </c>
      <c r="E1269" s="16" t="s">
        <v>499</v>
      </c>
      <c r="F1269" s="16">
        <v>0.30249999999999999</v>
      </c>
      <c r="G1269" s="16" t="s">
        <v>377</v>
      </c>
      <c r="H1269" s="16" t="s">
        <v>500</v>
      </c>
      <c r="I1269" s="16" t="s">
        <v>273</v>
      </c>
    </row>
    <row r="1270" spans="1:9" x14ac:dyDescent="0.35">
      <c r="A1270" s="16" t="s">
        <v>3859</v>
      </c>
      <c r="B1270" s="17" t="s">
        <v>3860</v>
      </c>
      <c r="C1270" s="17" t="s">
        <v>52</v>
      </c>
      <c r="D1270" s="16" t="s">
        <v>22</v>
      </c>
      <c r="E1270" s="16" t="s">
        <v>55</v>
      </c>
      <c r="F1270" s="16">
        <v>1</v>
      </c>
      <c r="G1270" s="16"/>
      <c r="H1270" s="16"/>
      <c r="I1270" s="16" t="s">
        <v>22</v>
      </c>
    </row>
    <row r="1271" spans="1:9" ht="28" x14ac:dyDescent="0.35">
      <c r="A1271" s="16" t="s">
        <v>3861</v>
      </c>
      <c r="B1271" s="17" t="s">
        <v>3862</v>
      </c>
      <c r="C1271" s="17" t="s">
        <v>3863</v>
      </c>
      <c r="D1271" s="16" t="s">
        <v>5</v>
      </c>
      <c r="E1271" s="16" t="s">
        <v>34</v>
      </c>
      <c r="F1271" s="16">
        <v>0.64</v>
      </c>
      <c r="G1271" s="16" t="s">
        <v>35</v>
      </c>
      <c r="H1271" s="16"/>
      <c r="I1271" s="16" t="s">
        <v>5</v>
      </c>
    </row>
    <row r="1272" spans="1:9" ht="28" x14ac:dyDescent="0.35">
      <c r="A1272" s="16" t="s">
        <v>3864</v>
      </c>
      <c r="B1272" s="17" t="s">
        <v>3865</v>
      </c>
      <c r="C1272" s="17" t="s">
        <v>3866</v>
      </c>
      <c r="D1272" s="16" t="s">
        <v>5</v>
      </c>
      <c r="E1272" s="16" t="s">
        <v>34</v>
      </c>
      <c r="F1272" s="16">
        <v>0.64</v>
      </c>
      <c r="G1272" s="16" t="s">
        <v>35</v>
      </c>
      <c r="H1272" s="16"/>
      <c r="I1272" s="16" t="s">
        <v>5</v>
      </c>
    </row>
    <row r="1273" spans="1:9" x14ac:dyDescent="0.35">
      <c r="A1273" s="16" t="s">
        <v>3867</v>
      </c>
      <c r="B1273" s="17" t="s">
        <v>2533</v>
      </c>
      <c r="C1273" s="17" t="s">
        <v>1727</v>
      </c>
      <c r="D1273" s="16" t="s">
        <v>273</v>
      </c>
      <c r="E1273" s="16" t="s">
        <v>1728</v>
      </c>
      <c r="F1273" s="16">
        <v>0.37809999999999999</v>
      </c>
      <c r="G1273" s="16" t="s">
        <v>1729</v>
      </c>
      <c r="H1273" s="16" t="s">
        <v>1730</v>
      </c>
      <c r="I1273" s="16" t="s">
        <v>273</v>
      </c>
    </row>
    <row r="1274" spans="1:9" ht="28" x14ac:dyDescent="0.35">
      <c r="A1274" s="16" t="s">
        <v>3868</v>
      </c>
      <c r="B1274" s="17" t="s">
        <v>3869</v>
      </c>
      <c r="C1274" s="17" t="s">
        <v>3869</v>
      </c>
      <c r="D1274" s="16" t="s">
        <v>273</v>
      </c>
      <c r="E1274" s="16" t="s">
        <v>310</v>
      </c>
      <c r="F1274" s="16">
        <v>0.2666</v>
      </c>
      <c r="G1274" s="16" t="s">
        <v>1518</v>
      </c>
      <c r="H1274" s="16" t="s">
        <v>1728</v>
      </c>
      <c r="I1274" s="16" t="s">
        <v>273</v>
      </c>
    </row>
    <row r="1275" spans="1:9" x14ac:dyDescent="0.35">
      <c r="A1275" s="16" t="s">
        <v>3870</v>
      </c>
      <c r="B1275" s="17" t="s">
        <v>3871</v>
      </c>
      <c r="C1275" s="17" t="s">
        <v>52</v>
      </c>
      <c r="D1275" s="16" t="s">
        <v>22</v>
      </c>
      <c r="E1275" s="16" t="s">
        <v>55</v>
      </c>
      <c r="F1275" s="16">
        <v>1</v>
      </c>
      <c r="G1275" s="16"/>
      <c r="H1275" s="16"/>
      <c r="I1275" s="16" t="s">
        <v>22</v>
      </c>
    </row>
    <row r="1276" spans="1:9" x14ac:dyDescent="0.35">
      <c r="A1276" s="16" t="s">
        <v>3872</v>
      </c>
      <c r="B1276" s="17" t="s">
        <v>3873</v>
      </c>
      <c r="C1276" s="17" t="s">
        <v>3874</v>
      </c>
      <c r="D1276" s="16" t="s">
        <v>5</v>
      </c>
      <c r="E1276" s="16" t="s">
        <v>2052</v>
      </c>
      <c r="F1276" s="16">
        <v>0.8</v>
      </c>
      <c r="G1276" s="16"/>
      <c r="H1276" s="16"/>
      <c r="I1276" s="16" t="s">
        <v>5</v>
      </c>
    </row>
    <row r="1277" spans="1:9" x14ac:dyDescent="0.35">
      <c r="A1277" s="16" t="s">
        <v>3875</v>
      </c>
      <c r="B1277" s="17" t="s">
        <v>3876</v>
      </c>
      <c r="C1277" s="17" t="s">
        <v>1257</v>
      </c>
      <c r="D1277" s="16" t="s">
        <v>273</v>
      </c>
      <c r="E1277" s="16" t="s">
        <v>1258</v>
      </c>
      <c r="F1277" s="16">
        <v>0.43980000000000002</v>
      </c>
      <c r="G1277" s="16" t="s">
        <v>1259</v>
      </c>
      <c r="H1277" s="16" t="s">
        <v>1260</v>
      </c>
      <c r="I1277" s="16" t="s">
        <v>273</v>
      </c>
    </row>
    <row r="1278" spans="1:9" x14ac:dyDescent="0.35">
      <c r="A1278" s="16" t="s">
        <v>3877</v>
      </c>
      <c r="B1278" s="17" t="s">
        <v>3878</v>
      </c>
      <c r="C1278" s="17" t="s">
        <v>3879</v>
      </c>
      <c r="D1278" s="16" t="s">
        <v>273</v>
      </c>
      <c r="E1278" s="16" t="s">
        <v>3880</v>
      </c>
      <c r="F1278" s="16">
        <v>0.42599999999999999</v>
      </c>
      <c r="G1278" s="16" t="s">
        <v>600</v>
      </c>
      <c r="H1278" s="16" t="s">
        <v>3881</v>
      </c>
      <c r="I1278" s="16" t="s">
        <v>273</v>
      </c>
    </row>
    <row r="1279" spans="1:9" x14ac:dyDescent="0.35">
      <c r="A1279" s="16" t="s">
        <v>3882</v>
      </c>
      <c r="B1279" s="17" t="s">
        <v>2984</v>
      </c>
      <c r="C1279" s="17" t="s">
        <v>2051</v>
      </c>
      <c r="D1279" s="16" t="s">
        <v>22</v>
      </c>
      <c r="E1279" s="16" t="s">
        <v>2052</v>
      </c>
      <c r="F1279" s="16">
        <v>1</v>
      </c>
      <c r="G1279" s="16"/>
      <c r="H1279" s="16"/>
      <c r="I1279" s="16" t="s">
        <v>22</v>
      </c>
    </row>
    <row r="1280" spans="1:9" x14ac:dyDescent="0.35">
      <c r="A1280" s="16" t="s">
        <v>3883</v>
      </c>
      <c r="B1280" s="17" t="s">
        <v>597</v>
      </c>
      <c r="C1280" s="17" t="s">
        <v>596</v>
      </c>
      <c r="D1280" s="16" t="s">
        <v>273</v>
      </c>
      <c r="E1280" s="16" t="s">
        <v>599</v>
      </c>
      <c r="F1280" s="16">
        <v>0.4103</v>
      </c>
      <c r="G1280" s="16" t="s">
        <v>600</v>
      </c>
      <c r="H1280" s="16" t="s">
        <v>601</v>
      </c>
      <c r="I1280" s="16" t="s">
        <v>273</v>
      </c>
    </row>
    <row r="1281" spans="1:9" x14ac:dyDescent="0.35">
      <c r="A1281" s="16" t="s">
        <v>78</v>
      </c>
      <c r="B1281" s="17" t="s">
        <v>77</v>
      </c>
      <c r="C1281" s="17" t="s">
        <v>76</v>
      </c>
      <c r="D1281" s="16" t="s">
        <v>22</v>
      </c>
      <c r="E1281" s="16" t="s">
        <v>76</v>
      </c>
      <c r="F1281" s="16">
        <v>1</v>
      </c>
      <c r="G1281" s="16"/>
      <c r="H1281" s="16"/>
      <c r="I1281" s="16" t="s">
        <v>22</v>
      </c>
    </row>
    <row r="1282" spans="1:9" x14ac:dyDescent="0.35">
      <c r="A1282" s="16" t="s">
        <v>3884</v>
      </c>
      <c r="B1282" s="17"/>
      <c r="C1282" s="17"/>
      <c r="D1282" s="16"/>
      <c r="E1282" s="16"/>
      <c r="F1282" s="16"/>
      <c r="G1282" s="16"/>
      <c r="H1282" s="16"/>
      <c r="I1282" s="16" t="s">
        <v>698</v>
      </c>
    </row>
    <row r="1283" spans="1:9" x14ac:dyDescent="0.35">
      <c r="A1283" s="16" t="s">
        <v>3885</v>
      </c>
      <c r="B1283" s="17" t="s">
        <v>2124</v>
      </c>
      <c r="C1283" s="17" t="s">
        <v>2124</v>
      </c>
      <c r="D1283" s="16" t="s">
        <v>273</v>
      </c>
      <c r="E1283" s="16" t="s">
        <v>1388</v>
      </c>
      <c r="F1283" s="16">
        <v>0.216</v>
      </c>
      <c r="G1283" s="16"/>
      <c r="H1283" s="16"/>
      <c r="I1283" s="16" t="s">
        <v>273</v>
      </c>
    </row>
    <row r="1284" spans="1:9" x14ac:dyDescent="0.35">
      <c r="A1284" s="16" t="s">
        <v>3886</v>
      </c>
      <c r="B1284" s="17" t="s">
        <v>3887</v>
      </c>
      <c r="C1284" s="17" t="s">
        <v>3888</v>
      </c>
      <c r="D1284" s="16" t="s">
        <v>273</v>
      </c>
      <c r="E1284" s="16" t="s">
        <v>428</v>
      </c>
      <c r="F1284" s="16">
        <v>0.36030000000000001</v>
      </c>
      <c r="G1284" s="16" t="s">
        <v>429</v>
      </c>
      <c r="H1284" s="16" t="s">
        <v>1725</v>
      </c>
      <c r="I1284" s="16" t="s">
        <v>273</v>
      </c>
    </row>
    <row r="1285" spans="1:9" x14ac:dyDescent="0.35">
      <c r="A1285" s="16" t="s">
        <v>3889</v>
      </c>
      <c r="B1285" s="17" t="s">
        <v>3887</v>
      </c>
      <c r="C1285" s="17" t="s">
        <v>3888</v>
      </c>
      <c r="D1285" s="16" t="s">
        <v>273</v>
      </c>
      <c r="E1285" s="16" t="s">
        <v>428</v>
      </c>
      <c r="F1285" s="16">
        <v>0.36030000000000001</v>
      </c>
      <c r="G1285" s="16" t="s">
        <v>429</v>
      </c>
      <c r="H1285" s="16" t="s">
        <v>1725</v>
      </c>
      <c r="I1285" s="16" t="s">
        <v>273</v>
      </c>
    </row>
    <row r="1286" spans="1:9" x14ac:dyDescent="0.35">
      <c r="A1286" s="16" t="s">
        <v>3890</v>
      </c>
      <c r="B1286" s="17" t="s">
        <v>3887</v>
      </c>
      <c r="C1286" s="17" t="s">
        <v>3888</v>
      </c>
      <c r="D1286" s="16" t="s">
        <v>273</v>
      </c>
      <c r="E1286" s="16" t="s">
        <v>428</v>
      </c>
      <c r="F1286" s="16">
        <v>0.36030000000000001</v>
      </c>
      <c r="G1286" s="16" t="s">
        <v>429</v>
      </c>
      <c r="H1286" s="16" t="s">
        <v>1725</v>
      </c>
      <c r="I1286" s="16" t="s">
        <v>273</v>
      </c>
    </row>
    <row r="1287" spans="1:9" x14ac:dyDescent="0.35">
      <c r="A1287" s="16" t="s">
        <v>3891</v>
      </c>
      <c r="B1287" s="17" t="s">
        <v>597</v>
      </c>
      <c r="C1287" s="17" t="s">
        <v>596</v>
      </c>
      <c r="D1287" s="16" t="s">
        <v>273</v>
      </c>
      <c r="E1287" s="16" t="s">
        <v>599</v>
      </c>
      <c r="F1287" s="16">
        <v>0.4103</v>
      </c>
      <c r="G1287" s="16" t="s">
        <v>600</v>
      </c>
      <c r="H1287" s="16" t="s">
        <v>601</v>
      </c>
      <c r="I1287" s="16" t="s">
        <v>273</v>
      </c>
    </row>
    <row r="1288" spans="1:9" ht="28" x14ac:dyDescent="0.35">
      <c r="A1288" s="16" t="s">
        <v>3892</v>
      </c>
      <c r="B1288" s="17" t="s">
        <v>3893</v>
      </c>
      <c r="C1288" s="17" t="s">
        <v>3893</v>
      </c>
      <c r="D1288" s="16" t="s">
        <v>5</v>
      </c>
      <c r="E1288" s="16" t="s">
        <v>3894</v>
      </c>
      <c r="F1288" s="16">
        <v>0.64</v>
      </c>
      <c r="G1288" s="16" t="s">
        <v>1388</v>
      </c>
      <c r="H1288" s="16"/>
      <c r="I1288" s="16" t="s">
        <v>5</v>
      </c>
    </row>
    <row r="1289" spans="1:9" ht="28" x14ac:dyDescent="0.35">
      <c r="A1289" s="16" t="s">
        <v>3895</v>
      </c>
      <c r="B1289" s="17" t="s">
        <v>3896</v>
      </c>
      <c r="C1289" s="17" t="s">
        <v>3897</v>
      </c>
      <c r="D1289" s="16" t="s">
        <v>273</v>
      </c>
      <c r="E1289" s="16" t="s">
        <v>428</v>
      </c>
      <c r="F1289" s="16">
        <v>0.35</v>
      </c>
      <c r="G1289" s="16" t="s">
        <v>3898</v>
      </c>
      <c r="H1289" s="16" t="s">
        <v>3422</v>
      </c>
      <c r="I1289" s="16" t="s">
        <v>273</v>
      </c>
    </row>
    <row r="1290" spans="1:9" x14ac:dyDescent="0.35">
      <c r="A1290" s="16" t="s">
        <v>3899</v>
      </c>
      <c r="B1290" s="17" t="s">
        <v>820</v>
      </c>
      <c r="C1290" s="17" t="s">
        <v>820</v>
      </c>
      <c r="D1290" s="16" t="s">
        <v>273</v>
      </c>
      <c r="E1290" s="16" t="s">
        <v>821</v>
      </c>
      <c r="F1290" s="16">
        <v>0.2049</v>
      </c>
      <c r="G1290" s="16"/>
      <c r="H1290" s="16"/>
      <c r="I1290" s="16" t="s">
        <v>273</v>
      </c>
    </row>
    <row r="1291" spans="1:9" ht="42" x14ac:dyDescent="0.35">
      <c r="A1291" s="16" t="s">
        <v>3900</v>
      </c>
      <c r="B1291" s="17" t="s">
        <v>3901</v>
      </c>
      <c r="C1291" s="17" t="s">
        <v>3893</v>
      </c>
      <c r="D1291" s="16" t="s">
        <v>5</v>
      </c>
      <c r="E1291" s="16" t="s">
        <v>3894</v>
      </c>
      <c r="F1291" s="16">
        <v>0.64</v>
      </c>
      <c r="G1291" s="16" t="s">
        <v>1388</v>
      </c>
      <c r="H1291" s="16"/>
      <c r="I1291" s="16" t="s">
        <v>5</v>
      </c>
    </row>
    <row r="1292" spans="1:9" x14ac:dyDescent="0.35">
      <c r="A1292" s="16" t="s">
        <v>3902</v>
      </c>
      <c r="B1292" s="17" t="s">
        <v>3903</v>
      </c>
      <c r="C1292" s="17" t="s">
        <v>3208</v>
      </c>
      <c r="D1292" s="16" t="s">
        <v>273</v>
      </c>
      <c r="E1292" s="16" t="s">
        <v>1847</v>
      </c>
      <c r="F1292" s="16">
        <v>0.4803</v>
      </c>
      <c r="G1292" s="16" t="s">
        <v>3209</v>
      </c>
      <c r="H1292" s="16" t="s">
        <v>3102</v>
      </c>
      <c r="I1292" s="16" t="s">
        <v>273</v>
      </c>
    </row>
    <row r="1293" spans="1:9" ht="56" x14ac:dyDescent="0.35">
      <c r="A1293" s="16" t="s">
        <v>3904</v>
      </c>
      <c r="B1293" s="17" t="s">
        <v>3287</v>
      </c>
      <c r="C1293" s="17" t="s">
        <v>3287</v>
      </c>
      <c r="D1293" s="16"/>
      <c r="E1293" s="16"/>
      <c r="F1293" s="16"/>
      <c r="G1293" s="16"/>
      <c r="H1293" s="16"/>
      <c r="I1293" s="16" t="s">
        <v>633</v>
      </c>
    </row>
    <row r="1294" spans="1:9" x14ac:dyDescent="0.35">
      <c r="A1294" s="16" t="s">
        <v>3905</v>
      </c>
      <c r="B1294" s="17" t="s">
        <v>3906</v>
      </c>
      <c r="C1294" s="17" t="s">
        <v>3907</v>
      </c>
      <c r="D1294" s="16" t="s">
        <v>273</v>
      </c>
      <c r="E1294" s="16" t="s">
        <v>302</v>
      </c>
      <c r="F1294" s="16">
        <v>0.29609999999999997</v>
      </c>
      <c r="G1294" s="16" t="s">
        <v>303</v>
      </c>
      <c r="H1294" s="16" t="s">
        <v>3572</v>
      </c>
      <c r="I1294" s="16" t="s">
        <v>273</v>
      </c>
    </row>
    <row r="1295" spans="1:9" ht="28" x14ac:dyDescent="0.35">
      <c r="A1295" s="16" t="s">
        <v>386</v>
      </c>
      <c r="B1295" s="17" t="s">
        <v>382</v>
      </c>
      <c r="C1295" s="17" t="s">
        <v>381</v>
      </c>
      <c r="D1295" s="16" t="s">
        <v>273</v>
      </c>
      <c r="E1295" s="16" t="s">
        <v>383</v>
      </c>
      <c r="F1295" s="16">
        <v>0.21240000000000001</v>
      </c>
      <c r="G1295" s="16" t="s">
        <v>384</v>
      </c>
      <c r="H1295" s="16" t="s">
        <v>385</v>
      </c>
      <c r="I1295" s="16" t="s">
        <v>273</v>
      </c>
    </row>
    <row r="1296" spans="1:9" x14ac:dyDescent="0.35">
      <c r="A1296" s="16" t="s">
        <v>3908</v>
      </c>
      <c r="B1296" s="17" t="s">
        <v>3909</v>
      </c>
      <c r="C1296" s="17" t="s">
        <v>3910</v>
      </c>
      <c r="D1296" s="16" t="s">
        <v>273</v>
      </c>
      <c r="E1296" s="16" t="s">
        <v>3464</v>
      </c>
      <c r="F1296" s="16">
        <v>0.2208</v>
      </c>
      <c r="G1296" s="16" t="s">
        <v>3911</v>
      </c>
      <c r="H1296" s="16"/>
      <c r="I1296" s="16" t="s">
        <v>273</v>
      </c>
    </row>
    <row r="1297" spans="1:9" x14ac:dyDescent="0.35">
      <c r="A1297" s="16" t="s">
        <v>3912</v>
      </c>
      <c r="B1297" s="17" t="s">
        <v>3805</v>
      </c>
      <c r="C1297" s="17" t="s">
        <v>34</v>
      </c>
      <c r="D1297" s="16" t="s">
        <v>22</v>
      </c>
      <c r="E1297" s="16" t="s">
        <v>34</v>
      </c>
      <c r="F1297" s="16">
        <v>0.8</v>
      </c>
      <c r="G1297" s="16" t="s">
        <v>35</v>
      </c>
      <c r="H1297" s="16"/>
      <c r="I1297" s="16" t="s">
        <v>22</v>
      </c>
    </row>
    <row r="1298" spans="1:9" x14ac:dyDescent="0.35">
      <c r="A1298" s="16" t="s">
        <v>153</v>
      </c>
      <c r="B1298" s="17" t="s">
        <v>151</v>
      </c>
      <c r="C1298" s="17" t="s">
        <v>150</v>
      </c>
      <c r="D1298" s="16" t="s">
        <v>5</v>
      </c>
      <c r="E1298" s="16" t="s">
        <v>152</v>
      </c>
      <c r="F1298" s="16">
        <v>0.8</v>
      </c>
      <c r="G1298" s="16"/>
      <c r="H1298" s="16"/>
      <c r="I1298" s="16" t="s">
        <v>5</v>
      </c>
    </row>
    <row r="1299" spans="1:9" x14ac:dyDescent="0.35">
      <c r="A1299" s="16" t="s">
        <v>3913</v>
      </c>
      <c r="B1299" s="17" t="s">
        <v>33</v>
      </c>
      <c r="C1299" s="17" t="s">
        <v>33</v>
      </c>
      <c r="D1299" s="16" t="s">
        <v>22</v>
      </c>
      <c r="E1299" s="16" t="s">
        <v>34</v>
      </c>
      <c r="F1299" s="16">
        <v>0.8</v>
      </c>
      <c r="G1299" s="16" t="s">
        <v>35</v>
      </c>
      <c r="H1299" s="16"/>
      <c r="I1299" s="16" t="s">
        <v>22</v>
      </c>
    </row>
    <row r="1300" spans="1:9" x14ac:dyDescent="0.35">
      <c r="A1300" s="16" t="s">
        <v>3914</v>
      </c>
      <c r="B1300" s="17" t="s">
        <v>3915</v>
      </c>
      <c r="C1300" s="17" t="s">
        <v>3915</v>
      </c>
      <c r="D1300" s="16" t="s">
        <v>5</v>
      </c>
      <c r="E1300" s="16" t="s">
        <v>43</v>
      </c>
      <c r="F1300" s="16">
        <v>0.8</v>
      </c>
      <c r="G1300" s="16"/>
      <c r="H1300" s="16"/>
      <c r="I1300" s="16" t="s">
        <v>5</v>
      </c>
    </row>
    <row r="1301" spans="1:9" ht="70" x14ac:dyDescent="0.35">
      <c r="A1301" s="16" t="s">
        <v>3916</v>
      </c>
      <c r="B1301" s="17" t="s">
        <v>3917</v>
      </c>
      <c r="C1301" s="17" t="s">
        <v>3918</v>
      </c>
      <c r="D1301" s="16" t="s">
        <v>273</v>
      </c>
      <c r="E1301" s="16" t="s">
        <v>3919</v>
      </c>
      <c r="F1301" s="16">
        <v>0.38619999999999999</v>
      </c>
      <c r="G1301" s="16" t="s">
        <v>3920</v>
      </c>
      <c r="H1301" s="16" t="s">
        <v>3921</v>
      </c>
      <c r="I1301" s="16" t="s">
        <v>273</v>
      </c>
    </row>
    <row r="1302" spans="1:9" ht="28" x14ac:dyDescent="0.35">
      <c r="A1302" s="16" t="s">
        <v>3922</v>
      </c>
      <c r="B1302" s="17" t="s">
        <v>3923</v>
      </c>
      <c r="C1302" s="17" t="s">
        <v>3923</v>
      </c>
      <c r="D1302" s="16" t="s">
        <v>5</v>
      </c>
      <c r="E1302" s="16" t="s">
        <v>3924</v>
      </c>
      <c r="F1302" s="16">
        <v>0.8</v>
      </c>
      <c r="G1302" s="16"/>
      <c r="H1302" s="16"/>
      <c r="I1302" s="16" t="s">
        <v>5</v>
      </c>
    </row>
    <row r="1303" spans="1:9" ht="42" x14ac:dyDescent="0.35">
      <c r="A1303" s="16" t="s">
        <v>3925</v>
      </c>
      <c r="B1303" s="17" t="s">
        <v>3926</v>
      </c>
      <c r="C1303" s="17" t="s">
        <v>3926</v>
      </c>
      <c r="D1303" s="16" t="s">
        <v>273</v>
      </c>
      <c r="E1303" s="16" t="s">
        <v>3927</v>
      </c>
      <c r="F1303" s="16">
        <v>0.36570000000000003</v>
      </c>
      <c r="G1303" s="16" t="s">
        <v>3928</v>
      </c>
      <c r="H1303" s="16" t="s">
        <v>3929</v>
      </c>
      <c r="I1303" s="16" t="s">
        <v>273</v>
      </c>
    </row>
    <row r="1304" spans="1:9" ht="98" x14ac:dyDescent="0.35">
      <c r="A1304" s="16" t="s">
        <v>681</v>
      </c>
      <c r="B1304" s="17" t="s">
        <v>679</v>
      </c>
      <c r="C1304" s="17" t="s">
        <v>678</v>
      </c>
      <c r="D1304" s="16"/>
      <c r="E1304" s="16"/>
      <c r="F1304" s="16"/>
      <c r="G1304" s="16"/>
      <c r="H1304" s="16"/>
      <c r="I1304" s="16" t="s">
        <v>633</v>
      </c>
    </row>
    <row r="1305" spans="1:9" ht="42" x14ac:dyDescent="0.35">
      <c r="A1305" s="16" t="s">
        <v>3930</v>
      </c>
      <c r="B1305" s="17" t="s">
        <v>3931</v>
      </c>
      <c r="C1305" s="17" t="s">
        <v>3932</v>
      </c>
      <c r="D1305" s="16" t="s">
        <v>273</v>
      </c>
      <c r="E1305" s="16" t="s">
        <v>3933</v>
      </c>
      <c r="F1305" s="16">
        <v>0.2024</v>
      </c>
      <c r="G1305" s="16"/>
      <c r="H1305" s="16"/>
      <c r="I1305" s="16" t="s">
        <v>273</v>
      </c>
    </row>
    <row r="1306" spans="1:9" x14ac:dyDescent="0.35">
      <c r="A1306" s="16" t="s">
        <v>3934</v>
      </c>
      <c r="B1306" s="17" t="s">
        <v>3935</v>
      </c>
      <c r="C1306" s="17" t="s">
        <v>2796</v>
      </c>
      <c r="D1306" s="16" t="s">
        <v>273</v>
      </c>
      <c r="E1306" s="16" t="s">
        <v>2797</v>
      </c>
      <c r="F1306" s="16">
        <v>0.42670000000000002</v>
      </c>
      <c r="G1306" s="16" t="s">
        <v>1829</v>
      </c>
      <c r="H1306" s="16" t="s">
        <v>2798</v>
      </c>
      <c r="I1306" s="16" t="s">
        <v>273</v>
      </c>
    </row>
    <row r="1307" spans="1:9" ht="28" x14ac:dyDescent="0.35">
      <c r="A1307" s="16" t="s">
        <v>3936</v>
      </c>
      <c r="B1307" s="17" t="s">
        <v>3937</v>
      </c>
      <c r="C1307" s="17" t="s">
        <v>3938</v>
      </c>
      <c r="D1307" s="16" t="s">
        <v>5</v>
      </c>
      <c r="E1307" s="16" t="s">
        <v>34</v>
      </c>
      <c r="F1307" s="16">
        <v>0.64</v>
      </c>
      <c r="G1307" s="16" t="s">
        <v>35</v>
      </c>
      <c r="H1307" s="16" t="s">
        <v>421</v>
      </c>
      <c r="I1307" s="16" t="s">
        <v>5</v>
      </c>
    </row>
    <row r="1308" spans="1:9" x14ac:dyDescent="0.35">
      <c r="A1308" s="16" t="s">
        <v>3939</v>
      </c>
      <c r="B1308" s="17" t="s">
        <v>713</v>
      </c>
      <c r="C1308" s="17"/>
      <c r="D1308" s="16"/>
      <c r="E1308" s="16"/>
      <c r="F1308" s="16"/>
      <c r="G1308" s="16"/>
      <c r="H1308" s="16"/>
      <c r="I1308" s="16" t="s">
        <v>633</v>
      </c>
    </row>
    <row r="1309" spans="1:9" x14ac:dyDescent="0.35">
      <c r="A1309" s="16" t="s">
        <v>74</v>
      </c>
      <c r="B1309" s="17" t="s">
        <v>72</v>
      </c>
      <c r="C1309" s="17" t="s">
        <v>71</v>
      </c>
      <c r="D1309" s="16" t="s">
        <v>22</v>
      </c>
      <c r="E1309" s="16" t="s">
        <v>73</v>
      </c>
      <c r="F1309" s="16">
        <v>1</v>
      </c>
      <c r="G1309" s="16"/>
      <c r="H1309" s="16"/>
      <c r="I1309" s="16" t="s">
        <v>22</v>
      </c>
    </row>
    <row r="1310" spans="1:9" x14ac:dyDescent="0.35">
      <c r="A1310" s="16" t="s">
        <v>707</v>
      </c>
      <c r="B1310" s="17"/>
      <c r="C1310" s="17"/>
      <c r="D1310" s="16"/>
      <c r="E1310" s="16"/>
      <c r="F1310" s="16"/>
      <c r="G1310" s="16"/>
      <c r="H1310" s="16"/>
      <c r="I1310" s="16" t="s">
        <v>698</v>
      </c>
    </row>
    <row r="1311" spans="1:9" x14ac:dyDescent="0.35">
      <c r="A1311" s="16" t="s">
        <v>3940</v>
      </c>
      <c r="B1311" s="17"/>
      <c r="C1311" s="17"/>
      <c r="D1311" s="16"/>
      <c r="E1311" s="16"/>
      <c r="F1311" s="16"/>
      <c r="G1311" s="16"/>
      <c r="H1311" s="16"/>
      <c r="I1311" s="16" t="s">
        <v>698</v>
      </c>
    </row>
    <row r="1312" spans="1:9" x14ac:dyDescent="0.35">
      <c r="A1312" s="16" t="s">
        <v>3941</v>
      </c>
      <c r="B1312" s="17" t="s">
        <v>504</v>
      </c>
      <c r="C1312" s="17" t="s">
        <v>504</v>
      </c>
      <c r="D1312" s="16" t="s">
        <v>273</v>
      </c>
      <c r="E1312" s="16" t="s">
        <v>115</v>
      </c>
      <c r="F1312" s="16">
        <v>0.48149999999999998</v>
      </c>
      <c r="G1312" s="16" t="s">
        <v>43</v>
      </c>
      <c r="H1312" s="16" t="s">
        <v>506</v>
      </c>
      <c r="I1312" s="16" t="s">
        <v>273</v>
      </c>
    </row>
    <row r="1313" spans="1:9" ht="28" x14ac:dyDescent="0.35">
      <c r="A1313" s="16" t="s">
        <v>131</v>
      </c>
      <c r="B1313" s="17" t="s">
        <v>129</v>
      </c>
      <c r="C1313" s="17" t="s">
        <v>3942</v>
      </c>
      <c r="D1313" s="16" t="s">
        <v>5</v>
      </c>
      <c r="E1313" s="16" t="s">
        <v>100</v>
      </c>
      <c r="F1313" s="16">
        <v>0.8</v>
      </c>
      <c r="G1313" s="16" t="s">
        <v>462</v>
      </c>
      <c r="H1313" s="16" t="s">
        <v>463</v>
      </c>
      <c r="I1313" s="16" t="s">
        <v>5</v>
      </c>
    </row>
    <row r="1314" spans="1:9" x14ac:dyDescent="0.35">
      <c r="A1314" s="16" t="s">
        <v>3943</v>
      </c>
      <c r="B1314" s="17" t="s">
        <v>3944</v>
      </c>
      <c r="C1314" s="17" t="s">
        <v>3945</v>
      </c>
      <c r="D1314" s="16" t="s">
        <v>273</v>
      </c>
      <c r="E1314" s="16" t="s">
        <v>3946</v>
      </c>
      <c r="F1314" s="16">
        <v>0.44369999999999998</v>
      </c>
      <c r="G1314" s="16" t="s">
        <v>3947</v>
      </c>
      <c r="H1314" s="16" t="s">
        <v>3948</v>
      </c>
      <c r="I1314" s="16" t="s">
        <v>273</v>
      </c>
    </row>
    <row r="1315" spans="1:9" x14ac:dyDescent="0.35">
      <c r="A1315" s="16" t="s">
        <v>3949</v>
      </c>
      <c r="B1315" s="17" t="s">
        <v>3950</v>
      </c>
      <c r="C1315" s="17" t="s">
        <v>3950</v>
      </c>
      <c r="D1315" s="16" t="s">
        <v>273</v>
      </c>
      <c r="E1315" s="16" t="s">
        <v>71</v>
      </c>
      <c r="F1315" s="16">
        <v>0.21260000000000001</v>
      </c>
      <c r="G1315" s="16" t="s">
        <v>2096</v>
      </c>
      <c r="H1315" s="16"/>
      <c r="I1315" s="16" t="s">
        <v>273</v>
      </c>
    </row>
    <row r="1316" spans="1:9" x14ac:dyDescent="0.35">
      <c r="A1316" s="16" t="s">
        <v>3951</v>
      </c>
      <c r="B1316" s="17"/>
      <c r="C1316" s="17"/>
      <c r="D1316" s="16"/>
      <c r="E1316" s="16"/>
      <c r="F1316" s="16"/>
      <c r="G1316" s="16"/>
      <c r="H1316" s="16"/>
      <c r="I1316" s="16" t="s">
        <v>698</v>
      </c>
    </row>
    <row r="1317" spans="1:9" x14ac:dyDescent="0.35">
      <c r="A1317" s="16" t="s">
        <v>3952</v>
      </c>
      <c r="B1317" s="17" t="s">
        <v>3878</v>
      </c>
      <c r="C1317" s="17" t="s">
        <v>3879</v>
      </c>
      <c r="D1317" s="16" t="s">
        <v>273</v>
      </c>
      <c r="E1317" s="16" t="s">
        <v>3880</v>
      </c>
      <c r="F1317" s="16">
        <v>0.42599999999999999</v>
      </c>
      <c r="G1317" s="16" t="s">
        <v>600</v>
      </c>
      <c r="H1317" s="16" t="s">
        <v>3881</v>
      </c>
      <c r="I1317" s="16" t="s">
        <v>273</v>
      </c>
    </row>
    <row r="1318" spans="1:9" x14ac:dyDescent="0.35">
      <c r="A1318" s="16" t="s">
        <v>3953</v>
      </c>
      <c r="B1318" s="17" t="s">
        <v>3954</v>
      </c>
      <c r="C1318" s="17" t="s">
        <v>2087</v>
      </c>
      <c r="D1318" s="16" t="s">
        <v>22</v>
      </c>
      <c r="E1318" s="16" t="s">
        <v>2087</v>
      </c>
      <c r="F1318" s="16">
        <v>1</v>
      </c>
      <c r="G1318" s="16"/>
      <c r="H1318" s="16"/>
      <c r="I1318" s="16" t="s">
        <v>22</v>
      </c>
    </row>
    <row r="1319" spans="1:9" ht="28" x14ac:dyDescent="0.35">
      <c r="A1319" s="16" t="s">
        <v>3955</v>
      </c>
      <c r="B1319" s="17" t="s">
        <v>3956</v>
      </c>
      <c r="C1319" s="17" t="s">
        <v>3957</v>
      </c>
      <c r="D1319" s="16" t="s">
        <v>5</v>
      </c>
      <c r="E1319" s="16" t="s">
        <v>116</v>
      </c>
      <c r="F1319" s="16">
        <v>0.64</v>
      </c>
      <c r="G1319" s="16" t="s">
        <v>115</v>
      </c>
      <c r="H1319" s="16"/>
      <c r="I1319" s="16" t="s">
        <v>5</v>
      </c>
    </row>
    <row r="1320" spans="1:9" ht="28" x14ac:dyDescent="0.35">
      <c r="A1320" s="16" t="s">
        <v>3958</v>
      </c>
      <c r="B1320" s="17" t="s">
        <v>3959</v>
      </c>
      <c r="C1320" s="17" t="s">
        <v>3960</v>
      </c>
      <c r="D1320" s="16"/>
      <c r="E1320" s="16"/>
      <c r="F1320" s="16"/>
      <c r="G1320" s="16"/>
      <c r="H1320" s="16"/>
      <c r="I1320" s="16" t="s">
        <v>633</v>
      </c>
    </row>
    <row r="1321" spans="1:9" ht="28" x14ac:dyDescent="0.35">
      <c r="A1321" s="16" t="s">
        <v>3961</v>
      </c>
      <c r="B1321" s="17" t="s">
        <v>3962</v>
      </c>
      <c r="C1321" s="17" t="s">
        <v>3963</v>
      </c>
      <c r="D1321" s="16" t="s">
        <v>273</v>
      </c>
      <c r="E1321" s="16" t="s">
        <v>3964</v>
      </c>
      <c r="F1321" s="16">
        <v>0.29330000000000001</v>
      </c>
      <c r="G1321" s="16" t="s">
        <v>3965</v>
      </c>
      <c r="H1321" s="16"/>
      <c r="I1321" s="16" t="s">
        <v>273</v>
      </c>
    </row>
    <row r="1322" spans="1:9" x14ac:dyDescent="0.35">
      <c r="A1322" s="16" t="s">
        <v>3966</v>
      </c>
      <c r="B1322" s="17" t="s">
        <v>3967</v>
      </c>
      <c r="C1322" s="17" t="s">
        <v>673</v>
      </c>
      <c r="D1322" s="16"/>
      <c r="E1322" s="16"/>
      <c r="F1322" s="16"/>
      <c r="G1322" s="16"/>
      <c r="H1322" s="16"/>
      <c r="I1322" s="16" t="s">
        <v>633</v>
      </c>
    </row>
    <row r="1323" spans="1:9" x14ac:dyDescent="0.35">
      <c r="A1323" s="16" t="s">
        <v>283</v>
      </c>
      <c r="B1323" s="17" t="s">
        <v>279</v>
      </c>
      <c r="C1323" s="17" t="s">
        <v>278</v>
      </c>
      <c r="D1323" s="16" t="s">
        <v>273</v>
      </c>
      <c r="E1323" s="16" t="s">
        <v>280</v>
      </c>
      <c r="F1323" s="16">
        <v>0.2989</v>
      </c>
      <c r="G1323" s="16" t="s">
        <v>281</v>
      </c>
      <c r="H1323" s="16" t="s">
        <v>282</v>
      </c>
      <c r="I1323" s="16" t="s">
        <v>273</v>
      </c>
    </row>
    <row r="1324" spans="1:9" ht="28" x14ac:dyDescent="0.35">
      <c r="A1324" s="16" t="s">
        <v>3968</v>
      </c>
      <c r="B1324" s="17" t="s">
        <v>3969</v>
      </c>
      <c r="C1324" s="17" t="s">
        <v>3969</v>
      </c>
      <c r="D1324" s="16" t="s">
        <v>5</v>
      </c>
      <c r="E1324" s="16" t="s">
        <v>173</v>
      </c>
      <c r="F1324" s="16">
        <v>0.8</v>
      </c>
      <c r="G1324" s="16"/>
      <c r="H1324" s="16"/>
      <c r="I1324" s="16" t="s">
        <v>5</v>
      </c>
    </row>
    <row r="1325" spans="1:9" x14ac:dyDescent="0.35">
      <c r="A1325" s="16" t="s">
        <v>3970</v>
      </c>
      <c r="B1325" s="17" t="s">
        <v>3971</v>
      </c>
      <c r="C1325" s="17" t="s">
        <v>3972</v>
      </c>
      <c r="D1325" s="16" t="s">
        <v>273</v>
      </c>
      <c r="E1325" s="16" t="s">
        <v>543</v>
      </c>
      <c r="F1325" s="16">
        <v>0.36699999999999999</v>
      </c>
      <c r="G1325" s="16" t="s">
        <v>2059</v>
      </c>
      <c r="H1325" s="16" t="s">
        <v>2092</v>
      </c>
      <c r="I1325" s="16" t="s">
        <v>273</v>
      </c>
    </row>
    <row r="1326" spans="1:9" ht="28" x14ac:dyDescent="0.35">
      <c r="A1326" s="16" t="s">
        <v>545</v>
      </c>
      <c r="B1326" s="17" t="s">
        <v>540</v>
      </c>
      <c r="C1326" s="17" t="s">
        <v>3973</v>
      </c>
      <c r="D1326" s="16" t="s">
        <v>5</v>
      </c>
      <c r="E1326" s="16" t="s">
        <v>3974</v>
      </c>
      <c r="F1326" s="16">
        <v>0.8</v>
      </c>
      <c r="G1326" s="16" t="s">
        <v>542</v>
      </c>
      <c r="H1326" s="16" t="s">
        <v>543</v>
      </c>
      <c r="I1326" s="16" t="s">
        <v>5</v>
      </c>
    </row>
    <row r="1327" spans="1:9" ht="28" x14ac:dyDescent="0.35">
      <c r="A1327" s="16" t="s">
        <v>3975</v>
      </c>
      <c r="B1327" s="17" t="s">
        <v>3976</v>
      </c>
      <c r="C1327" s="17" t="s">
        <v>3977</v>
      </c>
      <c r="D1327" s="16" t="s">
        <v>5</v>
      </c>
      <c r="E1327" s="16" t="s">
        <v>3974</v>
      </c>
      <c r="F1327" s="16">
        <v>0.8</v>
      </c>
      <c r="G1327" s="16" t="s">
        <v>3978</v>
      </c>
      <c r="H1327" s="16" t="s">
        <v>3979</v>
      </c>
      <c r="I1327" s="16" t="s">
        <v>5</v>
      </c>
    </row>
    <row r="1328" spans="1:9" ht="28" x14ac:dyDescent="0.35">
      <c r="A1328" s="16" t="s">
        <v>3980</v>
      </c>
      <c r="B1328" s="17" t="s">
        <v>3981</v>
      </c>
      <c r="C1328" s="17" t="s">
        <v>3982</v>
      </c>
      <c r="D1328" s="16" t="s">
        <v>273</v>
      </c>
      <c r="E1328" s="16" t="s">
        <v>3983</v>
      </c>
      <c r="F1328" s="16">
        <v>0.2737</v>
      </c>
      <c r="G1328" s="16" t="s">
        <v>3984</v>
      </c>
      <c r="H1328" s="16" t="s">
        <v>3985</v>
      </c>
      <c r="I1328" s="16" t="s">
        <v>273</v>
      </c>
    </row>
    <row r="1329" spans="1:9" x14ac:dyDescent="0.35">
      <c r="A1329" s="16" t="s">
        <v>3986</v>
      </c>
      <c r="B1329" s="17" t="s">
        <v>3987</v>
      </c>
      <c r="C1329" s="17" t="s">
        <v>3988</v>
      </c>
      <c r="D1329" s="16" t="s">
        <v>5</v>
      </c>
      <c r="E1329" s="16" t="s">
        <v>183</v>
      </c>
      <c r="F1329" s="16">
        <v>0.8</v>
      </c>
      <c r="G1329" s="16"/>
      <c r="H1329" s="16"/>
      <c r="I1329" s="16" t="s">
        <v>5</v>
      </c>
    </row>
    <row r="1330" spans="1:9" ht="28" x14ac:dyDescent="0.35">
      <c r="A1330" s="16" t="s">
        <v>3989</v>
      </c>
      <c r="B1330" s="17" t="s">
        <v>3990</v>
      </c>
      <c r="C1330" s="17" t="s">
        <v>3991</v>
      </c>
      <c r="D1330" s="16" t="s">
        <v>273</v>
      </c>
      <c r="E1330" s="16" t="s">
        <v>2078</v>
      </c>
      <c r="F1330" s="16">
        <v>0.33410000000000001</v>
      </c>
      <c r="G1330" s="16" t="s">
        <v>543</v>
      </c>
      <c r="H1330" s="16" t="s">
        <v>2092</v>
      </c>
      <c r="I1330" s="16" t="s">
        <v>273</v>
      </c>
    </row>
    <row r="1331" spans="1:9" ht="84" x14ac:dyDescent="0.35">
      <c r="A1331" s="16" t="s">
        <v>3992</v>
      </c>
      <c r="B1331" s="17" t="s">
        <v>3993</v>
      </c>
      <c r="C1331" s="17" t="s">
        <v>3994</v>
      </c>
      <c r="D1331" s="16"/>
      <c r="E1331" s="16"/>
      <c r="F1331" s="16"/>
      <c r="G1331" s="16"/>
      <c r="H1331" s="16"/>
      <c r="I1331" s="16" t="s">
        <v>633</v>
      </c>
    </row>
    <row r="1332" spans="1:9" x14ac:dyDescent="0.35">
      <c r="A1332" s="16" t="s">
        <v>3995</v>
      </c>
      <c r="B1332" s="17" t="s">
        <v>3996</v>
      </c>
      <c r="C1332" s="17"/>
      <c r="D1332" s="16"/>
      <c r="E1332" s="16"/>
      <c r="F1332" s="16"/>
      <c r="G1332" s="16"/>
      <c r="H1332" s="16"/>
      <c r="I1332" s="16" t="s">
        <v>633</v>
      </c>
    </row>
    <row r="1333" spans="1:9" x14ac:dyDescent="0.35">
      <c r="A1333" s="16" t="s">
        <v>3997</v>
      </c>
      <c r="B1333" s="17" t="s">
        <v>390</v>
      </c>
      <c r="C1333" s="17" t="s">
        <v>389</v>
      </c>
      <c r="D1333" s="16" t="s">
        <v>273</v>
      </c>
      <c r="E1333" s="16" t="s">
        <v>391</v>
      </c>
      <c r="F1333" s="16">
        <v>0.38979999999999998</v>
      </c>
      <c r="G1333" s="16" t="s">
        <v>392</v>
      </c>
      <c r="H1333" s="16" t="s">
        <v>393</v>
      </c>
      <c r="I1333" s="16" t="s">
        <v>273</v>
      </c>
    </row>
    <row r="1334" spans="1:9" x14ac:dyDescent="0.35">
      <c r="A1334" s="16" t="s">
        <v>3998</v>
      </c>
      <c r="B1334" s="17" t="s">
        <v>3999</v>
      </c>
      <c r="C1334" s="17" t="s">
        <v>4000</v>
      </c>
      <c r="D1334" s="16" t="s">
        <v>5</v>
      </c>
      <c r="E1334" s="16" t="s">
        <v>4001</v>
      </c>
      <c r="F1334" s="16">
        <v>0.8</v>
      </c>
      <c r="G1334" s="16"/>
      <c r="H1334" s="16"/>
      <c r="I1334" s="16" t="s">
        <v>5</v>
      </c>
    </row>
    <row r="1335" spans="1:9" x14ac:dyDescent="0.35">
      <c r="A1335" s="16" t="s">
        <v>4002</v>
      </c>
      <c r="B1335" s="17" t="s">
        <v>3999</v>
      </c>
      <c r="C1335" s="17" t="s">
        <v>4000</v>
      </c>
      <c r="D1335" s="16" t="s">
        <v>5</v>
      </c>
      <c r="E1335" s="16" t="s">
        <v>4001</v>
      </c>
      <c r="F1335" s="16">
        <v>0.8</v>
      </c>
      <c r="G1335" s="16"/>
      <c r="H1335" s="16"/>
      <c r="I1335" s="16" t="s">
        <v>5</v>
      </c>
    </row>
    <row r="1336" spans="1:9" ht="28" x14ac:dyDescent="0.35">
      <c r="A1336" s="16" t="s">
        <v>4003</v>
      </c>
      <c r="B1336" s="17" t="s">
        <v>4004</v>
      </c>
      <c r="C1336" s="17" t="s">
        <v>4005</v>
      </c>
      <c r="D1336" s="16" t="s">
        <v>273</v>
      </c>
      <c r="E1336" s="16" t="s">
        <v>563</v>
      </c>
      <c r="F1336" s="16">
        <v>0.31359999999999999</v>
      </c>
      <c r="G1336" s="16" t="s">
        <v>564</v>
      </c>
      <c r="H1336" s="16"/>
      <c r="I1336" s="16" t="s">
        <v>273</v>
      </c>
    </row>
    <row r="1337" spans="1:9" x14ac:dyDescent="0.35">
      <c r="A1337" s="16" t="s">
        <v>4006</v>
      </c>
      <c r="B1337" s="17" t="s">
        <v>4007</v>
      </c>
      <c r="C1337" s="17" t="s">
        <v>4008</v>
      </c>
      <c r="D1337" s="16" t="s">
        <v>22</v>
      </c>
      <c r="E1337" s="16" t="s">
        <v>34</v>
      </c>
      <c r="F1337" s="16">
        <v>0.8</v>
      </c>
      <c r="G1337" s="16" t="s">
        <v>35</v>
      </c>
      <c r="H1337" s="16" t="s">
        <v>115</v>
      </c>
      <c r="I1337" s="16" t="s">
        <v>22</v>
      </c>
    </row>
    <row r="1338" spans="1:9" x14ac:dyDescent="0.35">
      <c r="A1338" s="16" t="s">
        <v>4009</v>
      </c>
      <c r="B1338" s="17" t="s">
        <v>3999</v>
      </c>
      <c r="C1338" s="17" t="s">
        <v>4000</v>
      </c>
      <c r="D1338" s="16" t="s">
        <v>5</v>
      </c>
      <c r="E1338" s="16" t="s">
        <v>4001</v>
      </c>
      <c r="F1338" s="16">
        <v>0.8</v>
      </c>
      <c r="G1338" s="16"/>
      <c r="H1338" s="16"/>
      <c r="I1338" s="16" t="s">
        <v>5</v>
      </c>
    </row>
    <row r="1339" spans="1:9" ht="42" x14ac:dyDescent="0.35">
      <c r="A1339" s="16" t="s">
        <v>4010</v>
      </c>
      <c r="B1339" s="17" t="s">
        <v>4011</v>
      </c>
      <c r="C1339" s="17" t="s">
        <v>4012</v>
      </c>
      <c r="D1339" s="16"/>
      <c r="E1339" s="16"/>
      <c r="F1339" s="16"/>
      <c r="G1339" s="16"/>
      <c r="H1339" s="16"/>
      <c r="I1339" s="16" t="s">
        <v>633</v>
      </c>
    </row>
    <row r="1340" spans="1:9" x14ac:dyDescent="0.35">
      <c r="A1340" s="16" t="s">
        <v>4013</v>
      </c>
      <c r="B1340" s="17" t="s">
        <v>4014</v>
      </c>
      <c r="C1340" s="17" t="s">
        <v>309</v>
      </c>
      <c r="D1340" s="16" t="s">
        <v>273</v>
      </c>
      <c r="E1340" s="16" t="s">
        <v>310</v>
      </c>
      <c r="F1340" s="16">
        <v>0.33779999999999999</v>
      </c>
      <c r="G1340" s="16" t="s">
        <v>549</v>
      </c>
      <c r="H1340" s="16" t="s">
        <v>311</v>
      </c>
      <c r="I1340" s="16" t="s">
        <v>273</v>
      </c>
    </row>
    <row r="1341" spans="1:9" ht="154" x14ac:dyDescent="0.35">
      <c r="A1341" s="16" t="s">
        <v>4015</v>
      </c>
      <c r="B1341" s="17" t="s">
        <v>4016</v>
      </c>
      <c r="C1341" s="17" t="s">
        <v>4017</v>
      </c>
      <c r="D1341" s="16"/>
      <c r="E1341" s="16"/>
      <c r="F1341" s="16"/>
      <c r="G1341" s="16"/>
      <c r="H1341" s="16"/>
      <c r="I1341" s="16" t="s">
        <v>633</v>
      </c>
    </row>
    <row r="1342" spans="1:9" x14ac:dyDescent="0.35">
      <c r="A1342" s="16" t="s">
        <v>4018</v>
      </c>
      <c r="B1342" s="17" t="s">
        <v>4019</v>
      </c>
      <c r="C1342" s="17" t="s">
        <v>2982</v>
      </c>
      <c r="D1342" s="16" t="s">
        <v>22</v>
      </c>
      <c r="E1342" s="16" t="s">
        <v>2633</v>
      </c>
      <c r="F1342" s="16">
        <v>1</v>
      </c>
      <c r="G1342" s="16"/>
      <c r="H1342" s="16"/>
      <c r="I1342" s="16" t="s">
        <v>22</v>
      </c>
    </row>
    <row r="1343" spans="1:9" x14ac:dyDescent="0.35">
      <c r="A1343" s="16" t="s">
        <v>4020</v>
      </c>
      <c r="B1343" s="17" t="s">
        <v>4021</v>
      </c>
      <c r="C1343" s="17" t="s">
        <v>4022</v>
      </c>
      <c r="D1343" s="16" t="s">
        <v>5</v>
      </c>
      <c r="E1343" s="16" t="s">
        <v>2633</v>
      </c>
      <c r="F1343" s="16">
        <v>0.8</v>
      </c>
      <c r="G1343" s="16"/>
      <c r="H1343" s="16"/>
      <c r="I1343" s="16" t="s">
        <v>5</v>
      </c>
    </row>
    <row r="1344" spans="1:9" ht="84" x14ac:dyDescent="0.35">
      <c r="A1344" s="16" t="s">
        <v>4023</v>
      </c>
      <c r="B1344" s="17" t="s">
        <v>4024</v>
      </c>
      <c r="C1344" s="17" t="s">
        <v>4025</v>
      </c>
      <c r="D1344" s="16"/>
      <c r="E1344" s="16"/>
      <c r="F1344" s="16"/>
      <c r="G1344" s="16"/>
      <c r="H1344" s="16"/>
      <c r="I1344" s="16" t="s">
        <v>633</v>
      </c>
    </row>
    <row r="1345" spans="1:9" x14ac:dyDescent="0.35">
      <c r="A1345" s="16" t="s">
        <v>4026</v>
      </c>
      <c r="B1345" s="17"/>
      <c r="C1345" s="17"/>
      <c r="D1345" s="16"/>
      <c r="E1345" s="16"/>
      <c r="F1345" s="16"/>
      <c r="G1345" s="16"/>
      <c r="H1345" s="16"/>
      <c r="I1345" s="16" t="s">
        <v>698</v>
      </c>
    </row>
    <row r="1346" spans="1:9" x14ac:dyDescent="0.35">
      <c r="A1346" s="16" t="s">
        <v>4027</v>
      </c>
      <c r="B1346" s="17" t="s">
        <v>4028</v>
      </c>
      <c r="C1346" s="17" t="s">
        <v>309</v>
      </c>
      <c r="D1346" s="16" t="s">
        <v>273</v>
      </c>
      <c r="E1346" s="16" t="s">
        <v>310</v>
      </c>
      <c r="F1346" s="16">
        <v>0.33779999999999999</v>
      </c>
      <c r="G1346" s="16" t="s">
        <v>549</v>
      </c>
      <c r="H1346" s="16" t="s">
        <v>311</v>
      </c>
      <c r="I1346" s="16" t="s">
        <v>273</v>
      </c>
    </row>
    <row r="1347" spans="1:9" x14ac:dyDescent="0.35">
      <c r="A1347" s="16" t="s">
        <v>4029</v>
      </c>
      <c r="B1347" s="17"/>
      <c r="C1347" s="17"/>
      <c r="D1347" s="16"/>
      <c r="E1347" s="16"/>
      <c r="F1347" s="16"/>
      <c r="G1347" s="16"/>
      <c r="H1347" s="16"/>
      <c r="I1347" s="16" t="s">
        <v>698</v>
      </c>
    </row>
    <row r="1348" spans="1:9" x14ac:dyDescent="0.35">
      <c r="A1348" s="16" t="s">
        <v>4030</v>
      </c>
      <c r="B1348" s="17" t="s">
        <v>556</v>
      </c>
      <c r="C1348" s="17" t="s">
        <v>556</v>
      </c>
      <c r="D1348" s="16" t="s">
        <v>22</v>
      </c>
      <c r="E1348" s="16" t="s">
        <v>556</v>
      </c>
      <c r="F1348" s="16">
        <v>1</v>
      </c>
      <c r="G1348" s="16"/>
      <c r="H1348" s="16"/>
      <c r="I1348" s="16" t="s">
        <v>22</v>
      </c>
    </row>
    <row r="1349" spans="1:9" ht="42" x14ac:dyDescent="0.35">
      <c r="A1349" s="16" t="s">
        <v>4031</v>
      </c>
      <c r="B1349" s="17" t="s">
        <v>4032</v>
      </c>
      <c r="C1349" s="17" t="s">
        <v>4033</v>
      </c>
      <c r="D1349" s="16" t="s">
        <v>5</v>
      </c>
      <c r="E1349" s="16" t="s">
        <v>105</v>
      </c>
      <c r="F1349" s="16">
        <v>0.8</v>
      </c>
      <c r="G1349" s="16"/>
      <c r="H1349" s="16"/>
      <c r="I1349" s="16" t="s">
        <v>5</v>
      </c>
    </row>
    <row r="1350" spans="1:9" ht="28" x14ac:dyDescent="0.35">
      <c r="A1350" s="16" t="s">
        <v>4034</v>
      </c>
      <c r="B1350" s="17" t="s">
        <v>4035</v>
      </c>
      <c r="C1350" s="17" t="s">
        <v>4036</v>
      </c>
      <c r="D1350" s="16" t="s">
        <v>5</v>
      </c>
      <c r="E1350" s="16" t="s">
        <v>105</v>
      </c>
      <c r="F1350" s="16">
        <v>0.8</v>
      </c>
      <c r="G1350" s="16"/>
      <c r="H1350" s="16"/>
      <c r="I1350" s="16" t="s">
        <v>5</v>
      </c>
    </row>
    <row r="1351" spans="1:9" x14ac:dyDescent="0.35">
      <c r="A1351" s="16" t="s">
        <v>25</v>
      </c>
      <c r="B1351" s="17" t="s">
        <v>24</v>
      </c>
      <c r="C1351" s="17" t="s">
        <v>23</v>
      </c>
      <c r="D1351" s="16" t="s">
        <v>22</v>
      </c>
      <c r="E1351" s="16" t="s">
        <v>23</v>
      </c>
      <c r="F1351" s="16">
        <v>1</v>
      </c>
      <c r="G1351" s="16"/>
      <c r="H1351" s="16"/>
      <c r="I1351" s="16" t="s">
        <v>22</v>
      </c>
    </row>
    <row r="1352" spans="1:9" x14ac:dyDescent="0.35">
      <c r="A1352" s="16" t="s">
        <v>4037</v>
      </c>
      <c r="B1352" s="17" t="s">
        <v>4038</v>
      </c>
      <c r="C1352" s="17"/>
      <c r="D1352" s="16"/>
      <c r="E1352" s="16"/>
      <c r="F1352" s="16"/>
      <c r="G1352" s="16"/>
      <c r="H1352" s="16"/>
      <c r="I1352" s="16" t="s">
        <v>633</v>
      </c>
    </row>
    <row r="1353" spans="1:9" x14ac:dyDescent="0.35">
      <c r="A1353" s="16" t="s">
        <v>559</v>
      </c>
      <c r="B1353" s="17" t="s">
        <v>554</v>
      </c>
      <c r="C1353" s="17" t="s">
        <v>553</v>
      </c>
      <c r="D1353" s="16" t="s">
        <v>273</v>
      </c>
      <c r="E1353" s="16" t="s">
        <v>556</v>
      </c>
      <c r="F1353" s="16">
        <v>0.45329999999999998</v>
      </c>
      <c r="G1353" s="16" t="s">
        <v>557</v>
      </c>
      <c r="H1353" s="16" t="s">
        <v>558</v>
      </c>
      <c r="I1353" s="16" t="s">
        <v>273</v>
      </c>
    </row>
    <row r="1354" spans="1:9" ht="42" x14ac:dyDescent="0.35">
      <c r="A1354" s="16" t="s">
        <v>4039</v>
      </c>
      <c r="B1354" s="17" t="s">
        <v>4040</v>
      </c>
      <c r="C1354" s="17" t="s">
        <v>4040</v>
      </c>
      <c r="D1354" s="16" t="s">
        <v>273</v>
      </c>
      <c r="E1354" s="16" t="s">
        <v>558</v>
      </c>
      <c r="F1354" s="16">
        <v>0.31490000000000001</v>
      </c>
      <c r="G1354" s="16" t="s">
        <v>556</v>
      </c>
      <c r="H1354" s="16" t="s">
        <v>2639</v>
      </c>
      <c r="I1354" s="16" t="s">
        <v>273</v>
      </c>
    </row>
    <row r="1355" spans="1:9" ht="42" x14ac:dyDescent="0.35">
      <c r="A1355" s="16" t="s">
        <v>4041</v>
      </c>
      <c r="B1355" s="17" t="s">
        <v>4042</v>
      </c>
      <c r="C1355" s="17" t="s">
        <v>4043</v>
      </c>
      <c r="D1355" s="16" t="s">
        <v>5</v>
      </c>
      <c r="E1355" s="16" t="s">
        <v>110</v>
      </c>
      <c r="F1355" s="16">
        <v>0.8</v>
      </c>
      <c r="G1355" s="16"/>
      <c r="H1355" s="16"/>
      <c r="I1355" s="16" t="s">
        <v>5</v>
      </c>
    </row>
    <row r="1356" spans="1:9" x14ac:dyDescent="0.35">
      <c r="A1356" s="16" t="s">
        <v>111</v>
      </c>
      <c r="B1356" s="17" t="s">
        <v>108</v>
      </c>
      <c r="C1356" s="17" t="s">
        <v>108</v>
      </c>
      <c r="D1356" s="16" t="s">
        <v>5</v>
      </c>
      <c r="E1356" s="16" t="s">
        <v>110</v>
      </c>
      <c r="F1356" s="16">
        <v>0.8</v>
      </c>
      <c r="G1356" s="16"/>
      <c r="H1356" s="16"/>
      <c r="I1356" s="16" t="s">
        <v>5</v>
      </c>
    </row>
    <row r="1357" spans="1:9" x14ac:dyDescent="0.35">
      <c r="A1357" s="16" t="s">
        <v>4044</v>
      </c>
      <c r="B1357" s="17" t="s">
        <v>716</v>
      </c>
      <c r="C1357" s="17"/>
      <c r="D1357" s="16"/>
      <c r="E1357" s="16"/>
      <c r="F1357" s="16"/>
      <c r="G1357" s="16"/>
      <c r="H1357" s="16"/>
      <c r="I1357" s="16" t="s">
        <v>633</v>
      </c>
    </row>
    <row r="1358" spans="1:9" x14ac:dyDescent="0.35">
      <c r="A1358" s="16" t="s">
        <v>4045</v>
      </c>
      <c r="B1358" s="17" t="s">
        <v>4046</v>
      </c>
      <c r="C1358" s="17" t="s">
        <v>4047</v>
      </c>
      <c r="D1358" s="16" t="s">
        <v>273</v>
      </c>
      <c r="E1358" s="16" t="s">
        <v>110</v>
      </c>
      <c r="F1358" s="16">
        <v>0.46310000000000001</v>
      </c>
      <c r="G1358" s="16" t="s">
        <v>2661</v>
      </c>
      <c r="H1358" s="16" t="s">
        <v>4048</v>
      </c>
      <c r="I1358" s="16" t="s">
        <v>273</v>
      </c>
    </row>
    <row r="1359" spans="1:9" x14ac:dyDescent="0.35">
      <c r="A1359" s="16" t="s">
        <v>4049</v>
      </c>
      <c r="B1359" s="17" t="s">
        <v>2607</v>
      </c>
      <c r="C1359" s="17" t="s">
        <v>2607</v>
      </c>
      <c r="D1359" s="16" t="s">
        <v>5</v>
      </c>
      <c r="E1359" s="16" t="s">
        <v>110</v>
      </c>
      <c r="F1359" s="16">
        <v>0.8</v>
      </c>
      <c r="G1359" s="16"/>
      <c r="H1359" s="16"/>
      <c r="I1359" s="16" t="s">
        <v>5</v>
      </c>
    </row>
    <row r="1360" spans="1:9" x14ac:dyDescent="0.35">
      <c r="A1360" s="16" t="s">
        <v>4050</v>
      </c>
      <c r="B1360" s="17" t="s">
        <v>4051</v>
      </c>
      <c r="C1360" s="17" t="s">
        <v>4051</v>
      </c>
      <c r="D1360" s="16" t="s">
        <v>273</v>
      </c>
      <c r="E1360" s="16" t="s">
        <v>4052</v>
      </c>
      <c r="F1360" s="16">
        <v>0.39329999999999998</v>
      </c>
      <c r="G1360" s="16" t="s">
        <v>4053</v>
      </c>
      <c r="H1360" s="16" t="s">
        <v>1075</v>
      </c>
      <c r="I1360" s="16" t="s">
        <v>273</v>
      </c>
    </row>
    <row r="1361" spans="1:9" x14ac:dyDescent="0.35">
      <c r="A1361" s="16" t="s">
        <v>4054</v>
      </c>
      <c r="B1361" s="17" t="s">
        <v>2607</v>
      </c>
      <c r="C1361" s="17" t="s">
        <v>2607</v>
      </c>
      <c r="D1361" s="16" t="s">
        <v>5</v>
      </c>
      <c r="E1361" s="16" t="s">
        <v>110</v>
      </c>
      <c r="F1361" s="16">
        <v>0.8</v>
      </c>
      <c r="G1361" s="16"/>
      <c r="H1361" s="16"/>
      <c r="I1361" s="16" t="s">
        <v>5</v>
      </c>
    </row>
    <row r="1362" spans="1:9" x14ac:dyDescent="0.35">
      <c r="A1362" s="16" t="s">
        <v>4055</v>
      </c>
      <c r="B1362" s="17" t="s">
        <v>2618</v>
      </c>
      <c r="C1362" s="17" t="s">
        <v>2618</v>
      </c>
      <c r="D1362" s="16" t="s">
        <v>273</v>
      </c>
      <c r="E1362" s="16" t="s">
        <v>130</v>
      </c>
      <c r="F1362" s="16">
        <v>0.37119999999999997</v>
      </c>
      <c r="G1362" s="16" t="s">
        <v>437</v>
      </c>
      <c r="H1362" s="16" t="s">
        <v>377</v>
      </c>
      <c r="I1362" s="16" t="s">
        <v>273</v>
      </c>
    </row>
    <row r="1363" spans="1:9" ht="70" x14ac:dyDescent="0.35">
      <c r="A1363" s="16" t="s">
        <v>4056</v>
      </c>
      <c r="B1363" s="17" t="s">
        <v>4057</v>
      </c>
      <c r="C1363" s="17" t="s">
        <v>4057</v>
      </c>
      <c r="D1363" s="16" t="s">
        <v>5</v>
      </c>
      <c r="E1363" s="16" t="s">
        <v>774</v>
      </c>
      <c r="F1363" s="16">
        <v>0.8</v>
      </c>
      <c r="G1363" s="16"/>
      <c r="H1363" s="16"/>
      <c r="I1363" s="16" t="s">
        <v>5</v>
      </c>
    </row>
    <row r="1364" spans="1:9" x14ac:dyDescent="0.35">
      <c r="A1364" s="16" t="s">
        <v>4058</v>
      </c>
      <c r="B1364" s="17" t="s">
        <v>4059</v>
      </c>
      <c r="C1364" s="17" t="s">
        <v>4060</v>
      </c>
      <c r="D1364" s="16" t="s">
        <v>273</v>
      </c>
      <c r="E1364" s="16" t="s">
        <v>591</v>
      </c>
      <c r="F1364" s="16">
        <v>0.4486</v>
      </c>
      <c r="G1364" s="16" t="s">
        <v>536</v>
      </c>
      <c r="H1364" s="16" t="s">
        <v>4061</v>
      </c>
      <c r="I1364" s="16" t="s">
        <v>273</v>
      </c>
    </row>
    <row r="1365" spans="1:9" ht="28" x14ac:dyDescent="0.35">
      <c r="A1365" s="16" t="s">
        <v>4062</v>
      </c>
      <c r="B1365" s="17" t="s">
        <v>4063</v>
      </c>
      <c r="C1365" s="17" t="s">
        <v>4064</v>
      </c>
      <c r="D1365" s="16"/>
      <c r="E1365" s="16"/>
      <c r="F1365" s="16"/>
      <c r="G1365" s="16"/>
      <c r="H1365" s="16"/>
      <c r="I1365" s="16" t="s">
        <v>633</v>
      </c>
    </row>
    <row r="1366" spans="1:9" x14ac:dyDescent="0.35">
      <c r="A1366" s="16" t="s">
        <v>4065</v>
      </c>
      <c r="B1366" s="17"/>
      <c r="C1366" s="17"/>
      <c r="D1366" s="16"/>
      <c r="E1366" s="16"/>
      <c r="F1366" s="16"/>
      <c r="G1366" s="16"/>
      <c r="H1366" s="16"/>
      <c r="I1366" s="16" t="s">
        <v>698</v>
      </c>
    </row>
    <row r="1367" spans="1:9" x14ac:dyDescent="0.35">
      <c r="A1367" s="16" t="s">
        <v>4066</v>
      </c>
      <c r="B1367" s="17" t="s">
        <v>2406</v>
      </c>
      <c r="C1367" s="17" t="s">
        <v>2406</v>
      </c>
      <c r="D1367" s="16" t="s">
        <v>22</v>
      </c>
      <c r="E1367" s="16" t="s">
        <v>110</v>
      </c>
      <c r="F1367" s="16">
        <v>1</v>
      </c>
      <c r="G1367" s="16"/>
      <c r="H1367" s="16"/>
      <c r="I1367" s="16" t="s">
        <v>22</v>
      </c>
    </row>
    <row r="1368" spans="1:9" x14ac:dyDescent="0.35">
      <c r="A1368" s="16" t="s">
        <v>4067</v>
      </c>
      <c r="B1368" s="17" t="s">
        <v>2654</v>
      </c>
      <c r="C1368" s="17"/>
      <c r="D1368" s="16"/>
      <c r="E1368" s="16"/>
      <c r="F1368" s="16"/>
      <c r="G1368" s="16"/>
      <c r="H1368" s="16"/>
      <c r="I1368" s="16" t="s">
        <v>633</v>
      </c>
    </row>
    <row r="1369" spans="1:9" x14ac:dyDescent="0.35">
      <c r="A1369" s="16" t="s">
        <v>4068</v>
      </c>
      <c r="B1369" s="17" t="s">
        <v>2406</v>
      </c>
      <c r="C1369" s="17" t="s">
        <v>2406</v>
      </c>
      <c r="D1369" s="16" t="s">
        <v>22</v>
      </c>
      <c r="E1369" s="16" t="s">
        <v>110</v>
      </c>
      <c r="F1369" s="16">
        <v>1</v>
      </c>
      <c r="G1369" s="16"/>
      <c r="H1369" s="16"/>
      <c r="I1369" s="16" t="s">
        <v>22</v>
      </c>
    </row>
    <row r="1370" spans="1:9" x14ac:dyDescent="0.35">
      <c r="A1370" s="16" t="s">
        <v>4069</v>
      </c>
      <c r="B1370" s="17"/>
      <c r="C1370" s="17"/>
      <c r="D1370" s="16"/>
      <c r="E1370" s="16"/>
      <c r="F1370" s="16"/>
      <c r="G1370" s="16"/>
      <c r="H1370" s="16"/>
      <c r="I1370" s="16" t="s">
        <v>698</v>
      </c>
    </row>
    <row r="1371" spans="1:9" x14ac:dyDescent="0.35">
      <c r="A1371" s="16" t="s">
        <v>379</v>
      </c>
      <c r="B1371" s="17" t="s">
        <v>374</v>
      </c>
      <c r="C1371" s="17" t="s">
        <v>373</v>
      </c>
      <c r="D1371" s="16" t="s">
        <v>273</v>
      </c>
      <c r="E1371" s="16" t="s">
        <v>376</v>
      </c>
      <c r="F1371" s="16">
        <v>0.21590000000000001</v>
      </c>
      <c r="G1371" s="16" t="s">
        <v>377</v>
      </c>
      <c r="H1371" s="16" t="s">
        <v>378</v>
      </c>
      <c r="I1371" s="16" t="s">
        <v>273</v>
      </c>
    </row>
    <row r="1372" spans="1:9" x14ac:dyDescent="0.35">
      <c r="A1372" s="16" t="s">
        <v>4070</v>
      </c>
      <c r="B1372" s="17" t="s">
        <v>2394</v>
      </c>
      <c r="C1372" s="17" t="s">
        <v>1226</v>
      </c>
      <c r="D1372" s="16" t="s">
        <v>273</v>
      </c>
      <c r="E1372" s="16" t="s">
        <v>522</v>
      </c>
      <c r="F1372" s="16">
        <v>0.35449999999999998</v>
      </c>
      <c r="G1372" s="16" t="s">
        <v>1227</v>
      </c>
      <c r="H1372" s="16" t="s">
        <v>1228</v>
      </c>
      <c r="I1372" s="16" t="s">
        <v>273</v>
      </c>
    </row>
    <row r="1373" spans="1:9" ht="28" x14ac:dyDescent="0.35">
      <c r="A1373" s="16" t="s">
        <v>4071</v>
      </c>
      <c r="B1373" s="17" t="s">
        <v>4072</v>
      </c>
      <c r="C1373" s="17" t="s">
        <v>4060</v>
      </c>
      <c r="D1373" s="16" t="s">
        <v>273</v>
      </c>
      <c r="E1373" s="16" t="s">
        <v>591</v>
      </c>
      <c r="F1373" s="16">
        <v>0.4486</v>
      </c>
      <c r="G1373" s="16" t="s">
        <v>536</v>
      </c>
      <c r="H1373" s="16" t="s">
        <v>4061</v>
      </c>
      <c r="I1373" s="16" t="s">
        <v>273</v>
      </c>
    </row>
    <row r="1374" spans="1:9" x14ac:dyDescent="0.35">
      <c r="A1374" s="16" t="s">
        <v>4073</v>
      </c>
      <c r="B1374" s="17" t="s">
        <v>2604</v>
      </c>
      <c r="C1374" s="17" t="s">
        <v>2605</v>
      </c>
      <c r="D1374" s="16"/>
      <c r="E1374" s="16"/>
      <c r="F1374" s="16"/>
      <c r="G1374" s="16"/>
      <c r="H1374" s="16"/>
      <c r="I1374" s="16" t="s">
        <v>633</v>
      </c>
    </row>
    <row r="1375" spans="1:9" ht="28" x14ac:dyDescent="0.35">
      <c r="A1375" s="16" t="s">
        <v>4074</v>
      </c>
      <c r="B1375" s="17" t="s">
        <v>4075</v>
      </c>
      <c r="C1375" s="17" t="s">
        <v>4076</v>
      </c>
      <c r="D1375" s="16" t="s">
        <v>5</v>
      </c>
      <c r="E1375" s="16" t="s">
        <v>2633</v>
      </c>
      <c r="F1375" s="16">
        <v>0.8</v>
      </c>
      <c r="G1375" s="16"/>
      <c r="H1375" s="16"/>
      <c r="I1375" s="16" t="s">
        <v>5</v>
      </c>
    </row>
    <row r="1376" spans="1:9" x14ac:dyDescent="0.35">
      <c r="A1376" s="16" t="s">
        <v>4077</v>
      </c>
      <c r="B1376" s="17" t="s">
        <v>4078</v>
      </c>
      <c r="C1376" s="17" t="s">
        <v>4079</v>
      </c>
      <c r="D1376" s="16" t="s">
        <v>273</v>
      </c>
      <c r="E1376" s="16" t="s">
        <v>592</v>
      </c>
      <c r="F1376" s="16">
        <v>0.45079999999999998</v>
      </c>
      <c r="G1376" s="16" t="s">
        <v>4080</v>
      </c>
      <c r="H1376" s="16" t="s">
        <v>4081</v>
      </c>
      <c r="I1376" s="16" t="s">
        <v>273</v>
      </c>
    </row>
    <row r="1377" spans="1:9" ht="28" x14ac:dyDescent="0.35">
      <c r="A1377" s="16" t="s">
        <v>4082</v>
      </c>
      <c r="B1377" s="17" t="s">
        <v>4083</v>
      </c>
      <c r="C1377" s="17" t="s">
        <v>4060</v>
      </c>
      <c r="D1377" s="16" t="s">
        <v>273</v>
      </c>
      <c r="E1377" s="16" t="s">
        <v>591</v>
      </c>
      <c r="F1377" s="16">
        <v>0.4486</v>
      </c>
      <c r="G1377" s="16" t="s">
        <v>536</v>
      </c>
      <c r="H1377" s="16" t="s">
        <v>4061</v>
      </c>
      <c r="I1377" s="16" t="s">
        <v>273</v>
      </c>
    </row>
    <row r="1378" spans="1:9" x14ac:dyDescent="0.35">
      <c r="A1378" s="16" t="s">
        <v>4084</v>
      </c>
      <c r="B1378" s="17" t="s">
        <v>2604</v>
      </c>
      <c r="C1378" s="17" t="s">
        <v>2605</v>
      </c>
      <c r="D1378" s="16"/>
      <c r="E1378" s="16"/>
      <c r="F1378" s="16"/>
      <c r="G1378" s="16"/>
      <c r="H1378" s="16"/>
      <c r="I1378" s="16" t="s">
        <v>633</v>
      </c>
    </row>
    <row r="1379" spans="1:9" ht="28" x14ac:dyDescent="0.35">
      <c r="A1379" s="16" t="s">
        <v>4085</v>
      </c>
      <c r="B1379" s="17" t="s">
        <v>4086</v>
      </c>
      <c r="C1379" s="17" t="s">
        <v>4086</v>
      </c>
      <c r="D1379" s="16" t="s">
        <v>273</v>
      </c>
      <c r="E1379" s="16" t="s">
        <v>3342</v>
      </c>
      <c r="F1379" s="16">
        <v>0.3574</v>
      </c>
      <c r="G1379" s="16" t="s">
        <v>513</v>
      </c>
      <c r="H1379" s="16" t="s">
        <v>962</v>
      </c>
      <c r="I1379" s="16" t="s">
        <v>273</v>
      </c>
    </row>
    <row r="1380" spans="1:9" ht="56" x14ac:dyDescent="0.35">
      <c r="A1380" s="16" t="s">
        <v>4087</v>
      </c>
      <c r="B1380" s="17" t="s">
        <v>4088</v>
      </c>
      <c r="C1380" s="17" t="s">
        <v>4089</v>
      </c>
      <c r="D1380" s="16"/>
      <c r="E1380" s="16"/>
      <c r="F1380" s="16"/>
      <c r="G1380" s="16"/>
      <c r="H1380" s="16"/>
      <c r="I1380" s="16" t="s">
        <v>633</v>
      </c>
    </row>
    <row r="1381" spans="1:9" ht="28" x14ac:dyDescent="0.35">
      <c r="A1381" s="16" t="s">
        <v>371</v>
      </c>
      <c r="B1381" s="17" t="s">
        <v>368</v>
      </c>
      <c r="C1381" s="17" t="s">
        <v>4090</v>
      </c>
      <c r="D1381" s="16" t="s">
        <v>273</v>
      </c>
      <c r="E1381" s="16" t="s">
        <v>370</v>
      </c>
      <c r="F1381" s="16">
        <v>0.21740000000000001</v>
      </c>
      <c r="G1381" s="16"/>
      <c r="H1381" s="16"/>
      <c r="I1381" s="16" t="s">
        <v>273</v>
      </c>
    </row>
    <row r="1382" spans="1:9" x14ac:dyDescent="0.35">
      <c r="A1382" s="16" t="s">
        <v>4091</v>
      </c>
      <c r="B1382" s="17" t="s">
        <v>4092</v>
      </c>
      <c r="C1382" s="17" t="s">
        <v>4092</v>
      </c>
      <c r="D1382" s="16"/>
      <c r="E1382" s="16"/>
      <c r="F1382" s="16"/>
      <c r="G1382" s="16"/>
      <c r="H1382" s="16"/>
      <c r="I1382" s="16" t="s">
        <v>633</v>
      </c>
    </row>
    <row r="1383" spans="1:9" x14ac:dyDescent="0.35">
      <c r="A1383" s="16" t="s">
        <v>4093</v>
      </c>
      <c r="B1383" s="17" t="s">
        <v>4094</v>
      </c>
      <c r="C1383" s="17" t="s">
        <v>4094</v>
      </c>
      <c r="D1383" s="16" t="s">
        <v>273</v>
      </c>
      <c r="E1383" s="16" t="s">
        <v>1495</v>
      </c>
      <c r="F1383" s="16">
        <v>0.2858</v>
      </c>
      <c r="G1383" s="16" t="s">
        <v>2256</v>
      </c>
      <c r="H1383" s="16" t="s">
        <v>1364</v>
      </c>
      <c r="I1383" s="16" t="s">
        <v>273</v>
      </c>
    </row>
    <row r="1384" spans="1:9" ht="28" x14ac:dyDescent="0.35">
      <c r="A1384" s="16" t="s">
        <v>4095</v>
      </c>
      <c r="B1384" s="17" t="s">
        <v>4072</v>
      </c>
      <c r="C1384" s="17" t="s">
        <v>4060</v>
      </c>
      <c r="D1384" s="16" t="s">
        <v>273</v>
      </c>
      <c r="E1384" s="16" t="s">
        <v>591</v>
      </c>
      <c r="F1384" s="16">
        <v>0.4486</v>
      </c>
      <c r="G1384" s="16" t="s">
        <v>536</v>
      </c>
      <c r="H1384" s="16" t="s">
        <v>4061</v>
      </c>
      <c r="I1384" s="16" t="s">
        <v>273</v>
      </c>
    </row>
    <row r="1385" spans="1:9" x14ac:dyDescent="0.35">
      <c r="A1385" s="16" t="s">
        <v>4096</v>
      </c>
      <c r="B1385" s="17" t="s">
        <v>2604</v>
      </c>
      <c r="C1385" s="17" t="s">
        <v>2605</v>
      </c>
      <c r="D1385" s="16"/>
      <c r="E1385" s="16"/>
      <c r="F1385" s="16"/>
      <c r="G1385" s="16"/>
      <c r="H1385" s="16"/>
      <c r="I1385" s="16" t="s">
        <v>633</v>
      </c>
    </row>
    <row r="1386" spans="1:9" ht="70" x14ac:dyDescent="0.35">
      <c r="A1386" s="16" t="s">
        <v>4097</v>
      </c>
      <c r="B1386" s="17" t="s">
        <v>4098</v>
      </c>
      <c r="C1386" s="17" t="s">
        <v>4098</v>
      </c>
      <c r="D1386" s="16"/>
      <c r="E1386" s="16"/>
      <c r="F1386" s="16"/>
      <c r="G1386" s="16"/>
      <c r="H1386" s="16"/>
      <c r="I1386" s="16" t="s">
        <v>633</v>
      </c>
    </row>
    <row r="1387" spans="1:9" x14ac:dyDescent="0.35">
      <c r="A1387" s="16" t="s">
        <v>4099</v>
      </c>
      <c r="B1387" s="17" t="s">
        <v>4100</v>
      </c>
      <c r="C1387" s="17" t="s">
        <v>4100</v>
      </c>
      <c r="D1387" s="16" t="s">
        <v>22</v>
      </c>
      <c r="E1387" s="16" t="s">
        <v>4101</v>
      </c>
      <c r="F1387" s="16">
        <v>1</v>
      </c>
      <c r="G1387" s="16"/>
      <c r="H1387" s="16"/>
      <c r="I1387" s="16" t="s">
        <v>22</v>
      </c>
    </row>
    <row r="1388" spans="1:9" x14ac:dyDescent="0.35">
      <c r="A1388" s="16" t="s">
        <v>4102</v>
      </c>
      <c r="B1388" s="17" t="s">
        <v>2891</v>
      </c>
      <c r="C1388" s="17" t="s">
        <v>2891</v>
      </c>
      <c r="D1388" s="16" t="s">
        <v>5</v>
      </c>
      <c r="E1388" s="16" t="s">
        <v>774</v>
      </c>
      <c r="F1388" s="16">
        <v>0.8</v>
      </c>
      <c r="G1388" s="16"/>
      <c r="H1388" s="16"/>
      <c r="I1388" s="16" t="s">
        <v>5</v>
      </c>
    </row>
    <row r="1389" spans="1:9" x14ac:dyDescent="0.35">
      <c r="A1389" s="16" t="s">
        <v>4103</v>
      </c>
      <c r="B1389" s="17"/>
      <c r="C1389" s="17"/>
      <c r="D1389" s="16"/>
      <c r="E1389" s="16"/>
      <c r="F1389" s="16"/>
      <c r="G1389" s="16"/>
      <c r="H1389" s="16"/>
      <c r="I1389" s="16" t="s">
        <v>698</v>
      </c>
    </row>
    <row r="1390" spans="1:9" ht="28" x14ac:dyDescent="0.35">
      <c r="A1390" s="16" t="s">
        <v>4104</v>
      </c>
      <c r="B1390" s="17" t="s">
        <v>4105</v>
      </c>
      <c r="C1390" s="17" t="s">
        <v>4106</v>
      </c>
      <c r="D1390" s="16" t="s">
        <v>273</v>
      </c>
      <c r="E1390" s="16" t="s">
        <v>4107</v>
      </c>
      <c r="F1390" s="16">
        <v>0.43719999999999998</v>
      </c>
      <c r="G1390" s="16" t="s">
        <v>4108</v>
      </c>
      <c r="H1390" s="16" t="s">
        <v>4109</v>
      </c>
      <c r="I1390" s="16" t="s">
        <v>273</v>
      </c>
    </row>
    <row r="1391" spans="1:9" ht="28" x14ac:dyDescent="0.35">
      <c r="A1391" s="16" t="s">
        <v>4110</v>
      </c>
      <c r="B1391" s="17" t="s">
        <v>4111</v>
      </c>
      <c r="C1391" s="17" t="s">
        <v>4106</v>
      </c>
      <c r="D1391" s="16" t="s">
        <v>273</v>
      </c>
      <c r="E1391" s="16" t="s">
        <v>4107</v>
      </c>
      <c r="F1391" s="16">
        <v>0.43719999999999998</v>
      </c>
      <c r="G1391" s="16" t="s">
        <v>4108</v>
      </c>
      <c r="H1391" s="16" t="s">
        <v>4109</v>
      </c>
      <c r="I1391" s="16" t="s">
        <v>273</v>
      </c>
    </row>
    <row r="1392" spans="1:9" x14ac:dyDescent="0.35">
      <c r="A1392" s="16" t="s">
        <v>4112</v>
      </c>
      <c r="B1392" s="17" t="s">
        <v>4113</v>
      </c>
      <c r="C1392" s="17" t="s">
        <v>4113</v>
      </c>
      <c r="D1392" s="16" t="s">
        <v>273</v>
      </c>
      <c r="E1392" s="16" t="s">
        <v>4114</v>
      </c>
      <c r="F1392" s="16">
        <v>0.2898</v>
      </c>
      <c r="G1392" s="16" t="s">
        <v>437</v>
      </c>
      <c r="H1392" s="16" t="s">
        <v>377</v>
      </c>
      <c r="I1392" s="16" t="s">
        <v>273</v>
      </c>
    </row>
    <row r="1393" spans="1:9" x14ac:dyDescent="0.35">
      <c r="A1393" s="16" t="s">
        <v>4115</v>
      </c>
      <c r="B1393" s="17" t="s">
        <v>4116</v>
      </c>
      <c r="C1393" s="17" t="s">
        <v>2618</v>
      </c>
      <c r="D1393" s="16" t="s">
        <v>273</v>
      </c>
      <c r="E1393" s="16" t="s">
        <v>130</v>
      </c>
      <c r="F1393" s="16">
        <v>0.37119999999999997</v>
      </c>
      <c r="G1393" s="16" t="s">
        <v>437</v>
      </c>
      <c r="H1393" s="16" t="s">
        <v>377</v>
      </c>
      <c r="I1393" s="16" t="s">
        <v>273</v>
      </c>
    </row>
    <row r="1394" spans="1:9" x14ac:dyDescent="0.35">
      <c r="A1394" s="16" t="s">
        <v>4117</v>
      </c>
      <c r="B1394" s="17" t="s">
        <v>4118</v>
      </c>
      <c r="C1394" s="17" t="s">
        <v>4119</v>
      </c>
      <c r="D1394" s="16" t="s">
        <v>273</v>
      </c>
      <c r="E1394" s="16" t="s">
        <v>3244</v>
      </c>
      <c r="F1394" s="16">
        <v>0.42509999999999998</v>
      </c>
      <c r="G1394" s="16" t="s">
        <v>3226</v>
      </c>
      <c r="H1394" s="16" t="s">
        <v>1382</v>
      </c>
      <c r="I1394" s="16" t="s">
        <v>273</v>
      </c>
    </row>
    <row r="1395" spans="1:9" x14ac:dyDescent="0.35">
      <c r="A1395" s="16" t="s">
        <v>4120</v>
      </c>
      <c r="B1395" s="17" t="s">
        <v>4121</v>
      </c>
      <c r="C1395" s="17" t="s">
        <v>2618</v>
      </c>
      <c r="D1395" s="16" t="s">
        <v>273</v>
      </c>
      <c r="E1395" s="16" t="s">
        <v>130</v>
      </c>
      <c r="F1395" s="16">
        <v>0.37119999999999997</v>
      </c>
      <c r="G1395" s="16" t="s">
        <v>437</v>
      </c>
      <c r="H1395" s="16" t="s">
        <v>377</v>
      </c>
      <c r="I1395" s="16" t="s">
        <v>273</v>
      </c>
    </row>
    <row r="1396" spans="1:9" x14ac:dyDescent="0.35">
      <c r="A1396" s="16" t="s">
        <v>4122</v>
      </c>
      <c r="B1396" s="17" t="s">
        <v>823</v>
      </c>
      <c r="C1396" s="17" t="s">
        <v>823</v>
      </c>
      <c r="D1396" s="16" t="s">
        <v>273</v>
      </c>
      <c r="E1396" s="16" t="s">
        <v>824</v>
      </c>
      <c r="F1396" s="16">
        <v>0.40570000000000001</v>
      </c>
      <c r="G1396" s="16" t="s">
        <v>825</v>
      </c>
      <c r="H1396" s="16" t="s">
        <v>826</v>
      </c>
      <c r="I1396" s="16" t="s">
        <v>273</v>
      </c>
    </row>
    <row r="1397" spans="1:9" ht="28" x14ac:dyDescent="0.35">
      <c r="A1397" s="16" t="s">
        <v>4123</v>
      </c>
      <c r="B1397" s="17" t="s">
        <v>4124</v>
      </c>
      <c r="C1397" s="17" t="s">
        <v>4125</v>
      </c>
      <c r="D1397" s="16" t="s">
        <v>273</v>
      </c>
      <c r="E1397" s="16" t="s">
        <v>2580</v>
      </c>
      <c r="F1397" s="16">
        <v>0.47649999999999998</v>
      </c>
      <c r="G1397" s="16" t="s">
        <v>48</v>
      </c>
      <c r="H1397" s="16" t="s">
        <v>3677</v>
      </c>
      <c r="I1397" s="16" t="s">
        <v>273</v>
      </c>
    </row>
    <row r="1398" spans="1:9" ht="28" x14ac:dyDescent="0.35">
      <c r="A1398" s="16" t="s">
        <v>4126</v>
      </c>
      <c r="B1398" s="17" t="s">
        <v>4127</v>
      </c>
      <c r="C1398" s="17" t="s">
        <v>4125</v>
      </c>
      <c r="D1398" s="16" t="s">
        <v>273</v>
      </c>
      <c r="E1398" s="16" t="s">
        <v>2580</v>
      </c>
      <c r="F1398" s="16">
        <v>0.47649999999999998</v>
      </c>
      <c r="G1398" s="16" t="s">
        <v>48</v>
      </c>
      <c r="H1398" s="16" t="s">
        <v>3677</v>
      </c>
      <c r="I1398" s="16" t="s">
        <v>273</v>
      </c>
    </row>
    <row r="1399" spans="1:9" ht="28" x14ac:dyDescent="0.35">
      <c r="A1399" s="16" t="s">
        <v>4128</v>
      </c>
      <c r="B1399" s="17" t="s">
        <v>2583</v>
      </c>
      <c r="C1399" s="17" t="s">
        <v>2584</v>
      </c>
      <c r="D1399" s="16" t="s">
        <v>273</v>
      </c>
      <c r="E1399" s="16" t="s">
        <v>2580</v>
      </c>
      <c r="F1399" s="16">
        <v>0.42880000000000001</v>
      </c>
      <c r="G1399" s="16" t="s">
        <v>2585</v>
      </c>
      <c r="H1399" s="16" t="s">
        <v>2586</v>
      </c>
      <c r="I1399" s="16" t="s">
        <v>273</v>
      </c>
    </row>
    <row r="1400" spans="1:9" ht="28" x14ac:dyDescent="0.35">
      <c r="A1400" s="16" t="s">
        <v>4129</v>
      </c>
      <c r="B1400" s="17" t="s">
        <v>2588</v>
      </c>
      <c r="C1400" s="17" t="s">
        <v>2589</v>
      </c>
      <c r="D1400" s="16" t="s">
        <v>273</v>
      </c>
      <c r="E1400" s="16" t="s">
        <v>2590</v>
      </c>
      <c r="F1400" s="16">
        <v>0.25259999999999999</v>
      </c>
      <c r="G1400" s="16" t="s">
        <v>825</v>
      </c>
      <c r="H1400" s="16"/>
      <c r="I1400" s="16" t="s">
        <v>273</v>
      </c>
    </row>
    <row r="1401" spans="1:9" x14ac:dyDescent="0.35">
      <c r="A1401" s="16" t="s">
        <v>4130</v>
      </c>
      <c r="B1401" s="17"/>
      <c r="C1401" s="17"/>
      <c r="D1401" s="16"/>
      <c r="E1401" s="16"/>
      <c r="F1401" s="16"/>
      <c r="G1401" s="16"/>
      <c r="H1401" s="16"/>
      <c r="I1401" s="16" t="s">
        <v>698</v>
      </c>
    </row>
    <row r="1402" spans="1:9" x14ac:dyDescent="0.35">
      <c r="A1402" s="16" t="s">
        <v>4131</v>
      </c>
      <c r="B1402" s="17" t="s">
        <v>710</v>
      </c>
      <c r="C1402" s="17"/>
      <c r="D1402" s="16"/>
      <c r="E1402" s="16"/>
      <c r="F1402" s="16"/>
      <c r="G1402" s="16"/>
      <c r="H1402" s="16"/>
      <c r="I1402" s="16" t="s">
        <v>633</v>
      </c>
    </row>
    <row r="1403" spans="1:9" x14ac:dyDescent="0.35">
      <c r="A1403" s="16" t="s">
        <v>4132</v>
      </c>
      <c r="B1403" s="17"/>
      <c r="C1403" s="17"/>
      <c r="D1403" s="16"/>
      <c r="E1403" s="16"/>
      <c r="F1403" s="16"/>
      <c r="G1403" s="16"/>
      <c r="H1403" s="16"/>
      <c r="I1403" s="16" t="s">
        <v>698</v>
      </c>
    </row>
    <row r="1404" spans="1:9" x14ac:dyDescent="0.35">
      <c r="A1404" s="16" t="s">
        <v>4133</v>
      </c>
      <c r="B1404" s="17" t="s">
        <v>3807</v>
      </c>
      <c r="C1404" s="17" t="s">
        <v>2796</v>
      </c>
      <c r="D1404" s="16" t="s">
        <v>273</v>
      </c>
      <c r="E1404" s="16" t="s">
        <v>2797</v>
      </c>
      <c r="F1404" s="16">
        <v>0.42670000000000002</v>
      </c>
      <c r="G1404" s="16" t="s">
        <v>1829</v>
      </c>
      <c r="H1404" s="16" t="s">
        <v>2798</v>
      </c>
      <c r="I1404" s="16" t="s">
        <v>273</v>
      </c>
    </row>
    <row r="1405" spans="1:9" x14ac:dyDescent="0.35">
      <c r="A1405" s="16" t="s">
        <v>4134</v>
      </c>
      <c r="B1405" s="17" t="s">
        <v>2679</v>
      </c>
      <c r="C1405" s="17" t="s">
        <v>89</v>
      </c>
      <c r="D1405" s="16" t="s">
        <v>22</v>
      </c>
      <c r="E1405" s="16" t="s">
        <v>89</v>
      </c>
      <c r="F1405" s="16">
        <v>1</v>
      </c>
      <c r="G1405" s="16"/>
      <c r="H1405" s="16"/>
      <c r="I1405" s="16" t="s">
        <v>22</v>
      </c>
    </row>
    <row r="1406" spans="1:9" x14ac:dyDescent="0.35">
      <c r="A1406" s="16" t="s">
        <v>4135</v>
      </c>
      <c r="B1406" s="17" t="s">
        <v>4136</v>
      </c>
      <c r="C1406" s="17" t="s">
        <v>3683</v>
      </c>
      <c r="D1406" s="16" t="s">
        <v>273</v>
      </c>
      <c r="E1406" s="16" t="s">
        <v>89</v>
      </c>
      <c r="F1406" s="16">
        <v>0.4723</v>
      </c>
      <c r="G1406" s="16" t="s">
        <v>1964</v>
      </c>
      <c r="H1406" s="16" t="s">
        <v>71</v>
      </c>
      <c r="I1406" s="16" t="s">
        <v>273</v>
      </c>
    </row>
    <row r="1407" spans="1:9" x14ac:dyDescent="0.35">
      <c r="A1407" s="16" t="s">
        <v>4137</v>
      </c>
      <c r="B1407" s="17" t="s">
        <v>4138</v>
      </c>
      <c r="C1407" s="17" t="s">
        <v>4139</v>
      </c>
      <c r="D1407" s="16" t="s">
        <v>273</v>
      </c>
      <c r="E1407" s="16" t="s">
        <v>428</v>
      </c>
      <c r="F1407" s="16">
        <v>0.38369999999999999</v>
      </c>
      <c r="G1407" s="16" t="s">
        <v>429</v>
      </c>
      <c r="H1407" s="16" t="s">
        <v>4140</v>
      </c>
      <c r="I1407" s="16" t="s">
        <v>273</v>
      </c>
    </row>
    <row r="1408" spans="1:9" x14ac:dyDescent="0.35">
      <c r="A1408" s="16" t="s">
        <v>4141</v>
      </c>
      <c r="B1408" s="17" t="s">
        <v>67</v>
      </c>
      <c r="C1408" s="17" t="s">
        <v>67</v>
      </c>
      <c r="D1408" s="16" t="s">
        <v>22</v>
      </c>
      <c r="E1408" s="16" t="s">
        <v>67</v>
      </c>
      <c r="F1408" s="16">
        <v>1</v>
      </c>
      <c r="G1408" s="16"/>
      <c r="H1408" s="16"/>
      <c r="I1408" s="16" t="s">
        <v>22</v>
      </c>
    </row>
    <row r="1409" spans="1:9" ht="56" x14ac:dyDescent="0.35">
      <c r="A1409" s="16" t="s">
        <v>4142</v>
      </c>
      <c r="B1409" s="17" t="s">
        <v>4143</v>
      </c>
      <c r="C1409" s="17" t="s">
        <v>4144</v>
      </c>
      <c r="D1409" s="16" t="s">
        <v>273</v>
      </c>
      <c r="E1409" s="16" t="s">
        <v>4145</v>
      </c>
      <c r="F1409" s="16">
        <v>0.46479999999999999</v>
      </c>
      <c r="G1409" s="16" t="s">
        <v>4146</v>
      </c>
      <c r="H1409" s="16" t="s">
        <v>4147</v>
      </c>
      <c r="I1409" s="16" t="s">
        <v>273</v>
      </c>
    </row>
    <row r="1410" spans="1:9" x14ac:dyDescent="0.35">
      <c r="A1410" s="16" t="s">
        <v>4148</v>
      </c>
      <c r="B1410" s="17" t="s">
        <v>2703</v>
      </c>
      <c r="C1410" s="17" t="s">
        <v>2703</v>
      </c>
      <c r="D1410" s="16" t="s">
        <v>5</v>
      </c>
      <c r="E1410" s="16" t="s">
        <v>2686</v>
      </c>
      <c r="F1410" s="16">
        <v>0.8</v>
      </c>
      <c r="G1410" s="16"/>
      <c r="H1410" s="16"/>
      <c r="I1410" s="16" t="s">
        <v>5</v>
      </c>
    </row>
    <row r="1411" spans="1:9" x14ac:dyDescent="0.35">
      <c r="A1411" s="16" t="s">
        <v>4149</v>
      </c>
      <c r="B1411" s="17" t="s">
        <v>4150</v>
      </c>
      <c r="C1411" s="17" t="s">
        <v>4150</v>
      </c>
      <c r="D1411" s="16" t="s">
        <v>273</v>
      </c>
      <c r="E1411" s="16" t="s">
        <v>4151</v>
      </c>
      <c r="F1411" s="16">
        <v>0.46179999999999999</v>
      </c>
      <c r="G1411" s="16" t="s">
        <v>4152</v>
      </c>
      <c r="H1411" s="16" t="s">
        <v>611</v>
      </c>
      <c r="I1411" s="16" t="s">
        <v>273</v>
      </c>
    </row>
  </sheetData>
  <autoFilter ref="A1:I1411" xr:uid="{00000000-0009-0000-0000-000003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Validate</vt:lpstr>
      <vt:lpstr>Summary</vt:lpstr>
      <vt:lpstr>Norms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Tiago Silva</cp:lastModifiedBy>
  <dcterms:created xsi:type="dcterms:W3CDTF">2026-10-19T10:48:37Z</dcterms:created>
  <dcterms:modified xsi:type="dcterms:W3CDTF">2026-10-19T10:51:10Z</dcterms:modified>
</cp:coreProperties>
</file>