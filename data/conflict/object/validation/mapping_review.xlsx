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8c8c9cd31f35923/0 QIST/Year 2/JIP/AI-Legislation-Analysis/data/conflict/object/validation/"/>
    </mc:Choice>
  </mc:AlternateContent>
  <xr:revisionPtr revIDLastSave="2" documentId="11_F9F1D9EF4CBF454323D034DC012444A589E57019" xr6:coauthVersionLast="47" xr6:coauthVersionMax="47" xr10:uidLastSave="{36C13950-E9C8-4B62-91D5-6B4F0E44CFC9}"/>
  <bookViews>
    <workbookView xWindow="-110" yWindow="-110" windowWidth="19420" windowHeight="11500" activeTab="1" xr2:uid="{00000000-000D-0000-FFFF-FFFF00000000}"/>
  </bookViews>
  <sheets>
    <sheet name="README" sheetId="1" r:id="rId1"/>
    <sheet name="Validate" sheetId="2" r:id="rId2"/>
    <sheet name="Summary" sheetId="3" r:id="rId3"/>
    <sheet name="Norms" sheetId="4" r:id="rId4"/>
  </sheets>
  <definedNames>
    <definedName name="_xlnm._FilterDatabase" localSheetId="3" hidden="1">Norms!$A$1:$H$1411</definedName>
    <definedName name="_xlnm._FilterDatabase" localSheetId="1" hidden="1">Validate!$A$1:$T$875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3" l="1"/>
  <c r="G8" i="3"/>
  <c r="F8" i="3"/>
  <c r="E8" i="3"/>
  <c r="D8" i="3"/>
  <c r="C8" i="3"/>
  <c r="B8" i="3"/>
  <c r="H7" i="3"/>
  <c r="G7" i="3"/>
  <c r="F7" i="3"/>
  <c r="E7" i="3"/>
  <c r="D7" i="3"/>
  <c r="C7" i="3"/>
  <c r="B7" i="3"/>
  <c r="H6" i="3"/>
  <c r="G6" i="3"/>
  <c r="F6" i="3"/>
  <c r="E6" i="3"/>
  <c r="D6" i="3"/>
  <c r="C6" i="3"/>
  <c r="B6" i="3"/>
  <c r="H5" i="3"/>
  <c r="G5" i="3"/>
  <c r="F5" i="3"/>
  <c r="E5" i="3"/>
  <c r="D5" i="3"/>
  <c r="C5" i="3"/>
  <c r="B5" i="3"/>
  <c r="H4" i="3"/>
  <c r="G4" i="3"/>
  <c r="F4" i="3"/>
  <c r="E4" i="3"/>
  <c r="D4" i="3"/>
  <c r="C4" i="3"/>
  <c r="B4" i="3"/>
  <c r="H3" i="3"/>
  <c r="G3" i="3"/>
  <c r="F3" i="3"/>
  <c r="E3" i="3"/>
  <c r="D3" i="3"/>
  <c r="C3" i="3"/>
  <c r="B3" i="3"/>
  <c r="H2" i="3"/>
  <c r="H9" i="3" s="1"/>
  <c r="G2" i="3"/>
  <c r="G9" i="3" s="1"/>
  <c r="F2" i="3"/>
  <c r="F9" i="3" s="1"/>
  <c r="E2" i="3"/>
  <c r="D2" i="3"/>
  <c r="D9" i="3" s="1"/>
  <c r="C2" i="3"/>
  <c r="C9" i="3" s="1"/>
  <c r="B2" i="3"/>
  <c r="B9" i="3" s="1"/>
  <c r="J8" i="3" l="1"/>
  <c r="I8" i="3"/>
  <c r="J7" i="3"/>
  <c r="I7" i="3"/>
  <c r="J6" i="3"/>
  <c r="I6" i="3"/>
  <c r="J5" i="3"/>
  <c r="I5" i="3"/>
  <c r="J4" i="3"/>
  <c r="I4" i="3"/>
  <c r="J3" i="3"/>
  <c r="I3" i="3"/>
  <c r="E9" i="3"/>
  <c r="J2" i="3"/>
  <c r="I2" i="3"/>
  <c r="I9" i="3" l="1"/>
  <c r="J9" i="3"/>
</calcChain>
</file>

<file path=xl/sharedStrings.xml><?xml version="1.0" encoding="utf-8"?>
<sst xmlns="http://schemas.openxmlformats.org/spreadsheetml/2006/main" count="15788" uniqueCount="5141">
  <si>
    <t>in_sample</t>
  </si>
  <si>
    <t>stratum</t>
  </si>
  <si>
    <t>object</t>
  </si>
  <si>
    <t>raw_object</t>
  </si>
  <si>
    <t>head</t>
  </si>
  <si>
    <t>level</t>
  </si>
  <si>
    <t>matched_label</t>
  </si>
  <si>
    <t>cand_1</t>
  </si>
  <si>
    <t>conf_1</t>
  </si>
  <si>
    <t>pct_1</t>
  </si>
  <si>
    <t>cand_2</t>
  </si>
  <si>
    <t>conf_2</t>
  </si>
  <si>
    <t>cand_3</t>
  </si>
  <si>
    <t>conf_3</t>
  </si>
  <si>
    <t>n_norms</t>
  </si>
  <si>
    <t>example_norm</t>
  </si>
  <si>
    <t>context</t>
  </si>
  <si>
    <t>judgement</t>
  </si>
  <si>
    <t>better_concept</t>
  </si>
  <si>
    <t>notes</t>
  </si>
  <si>
    <t>yes</t>
  </si>
  <si>
    <t>phrase</t>
  </si>
  <si>
    <t>aansprakelijkheid</t>
  </si>
  <si>
    <t>van aansprakelijkheid op grond van lid 2</t>
  </si>
  <si>
    <t>32016R0679:82:3:4</t>
  </si>
  <si>
    <t>Een verwerkingsverantwoordelijke of verwerker wordt van aansprakelijkheid op grond van lid 2 vrijgesteld indien hij bewijst dat hij op geen enkele wijze verantwoordelijk is voor het schadeveroorzakende feit.</t>
  </si>
  <si>
    <t>besluit</t>
  </si>
  <si>
    <t>haar besluit</t>
  </si>
  <si>
    <t>besluit (EU)</t>
  </si>
  <si>
    <t>32024R1689:46:5:11</t>
  </si>
  <si>
    <t>…bben de mogelijkheid hun standpunten uiteen te zetten. Met het oog daarop besluit de Commissie of de toelating gerechtvaardigd is. De Commissie richt haar besluit aan de betrokken lidstaat en de relevante operatoren.</t>
  </si>
  <si>
    <t>comité</t>
  </si>
  <si>
    <t>het in artikel 22 van Verordening (EU) nr. 1025/2012 bedoelde comité</t>
  </si>
  <si>
    <t>comité (EU)</t>
  </si>
  <si>
    <t>32024R1689:41:2:1</t>
  </si>
  <si>
    <t>Alvorens een ontwerpuitvoeringshandeling op te stellen, stelt de Commissie het in artikel 22 van Verordening (EU) nr. 1025/2012 bedoelde comité ervan in kennis dat zij van oordeel is dat aan de voorwaarden van lid 1 van dit artikel is voldaan.</t>
  </si>
  <si>
    <t>documentatie</t>
  </si>
  <si>
    <t>de in artikel 18 bedoelde documentatie</t>
  </si>
  <si>
    <t>32024R1689:16:whole:3</t>
  </si>
  <si>
    <t>… of geregistreerd merk en hun contactadres; c) beschikken over een systeem voor kwaliteitsbeheer dat in overeenstemming is met artikel 17; d) bewaren de in artikel 18 bedoelde documentatie; e) bewaren de in artikel 19 bedoelde logs die automatisch door hun AI-systemen met een hoog risico zijn gegenereerd, wanneer zij hierover de control…</t>
  </si>
  <si>
    <t>grenzen</t>
  </si>
  <si>
    <t>grens</t>
  </si>
  <si>
    <t>32016R0679:49:5:7</t>
  </si>
  <si>
    <t>…dequaatheidsbesluit kunnen in Unierechtelijke of lidstaatrechtelijke bepalingen of bepalingen om gewichtige redenen van openbaar belang uitdrukkelijk grenzen worden gesteld aan de doorgifte van specifieke categorieën van persoonsgegevens aan een derde land of een internationale organisatie. De lidstaten st…</t>
  </si>
  <si>
    <t>grondrechten</t>
  </si>
  <si>
    <t>Significante risico’s voor de gezondheid en veiligheid en de grondrechten</t>
  </si>
  <si>
    <t>grondrecht</t>
  </si>
  <si>
    <t>grondeigendom</t>
  </si>
  <si>
    <t>32024R1689:57:11:18</t>
  </si>
  <si>
    <t>…e of corrigerende bevoegdheden van de bevoegde autoriteiten die toezicht houden binnen de testomgevingen onverlet, ook op regionaal of lokaal niveau. Significante risico’s voor de gezondheid en veiligheid en de grondrechten die tijdens het ontwikkelen en testen van dergelijke AI-systemen worden vastgesteld, worden op adequate wijze beperkt. De nationale bevoegde autorite…</t>
  </si>
  <si>
    <t>pseudonimisering</t>
  </si>
  <si>
    <t>anonimisering</t>
  </si>
  <si>
    <t>32016R0679:89:1:2</t>
  </si>
  <si>
    <t>…rganisatorische maatregelen zijn getroffen om de inachtneming van het beginsel van minimale gegevensverwerking te garanderen. Deze maatregelen kunnen pseudonimisering omvatten, mits aldus die doeleinden in kwestie kunnen worden verwezenlijkt. Wanneer die doeleinden kunnen worden verwezenlijkt door verdere verwerkin…</t>
  </si>
  <si>
    <t>rollen</t>
  </si>
  <si>
    <t>de rollen en taken van de nationale bevoegde autoriteiten overeenkomstig dit hoofdstuk</t>
  </si>
  <si>
    <t>rol</t>
  </si>
  <si>
    <t>grondbewerking</t>
  </si>
  <si>
    <t>32024R1689:57:3:7</t>
  </si>
  <si>
    <t>…houder voor gegevensbescherming kan ook een AI-testomgeving voor regelgeving opzetten voor de instellingen, organen en instanties van de Unie, en kan de rollen en taken van de nationale bevoegde autoriteiten overeenkomstig dit hoofdstuk uitoefenen.</t>
  </si>
  <si>
    <t>schadevergoeding</t>
  </si>
  <si>
    <t>32016R0679:82:1:1</t>
  </si>
  <si>
    <t>…ateriële schade heeft geleden ten gevolge van een inbreuk op deze verordening, heeft het recht om van de verwerkingsverantwoordelijke of de verwerker schadevergoeding te ontvangen voor de geleden schade.</t>
  </si>
  <si>
    <t>verslag</t>
  </si>
  <si>
    <t>32024R1689:56:5:4</t>
  </si>
  <si>
    <t>Het AI-bureau streeft ernaar ervoor te zorgen dat de deelnemers aan de praktijkcodes regelmatig verslag uitbrengen aan het AI-bureau over de uitvoering van de verbintenissen en de genomen maatregelen en de resultaten daarvan, onder meer waar nodig gemet…</t>
  </si>
  <si>
    <t>aanvullende informatie</t>
  </si>
  <si>
    <t>informatie</t>
  </si>
  <si>
    <t>32016R0679:12:6:13</t>
  </si>
  <si>
    <t>…j redenen heeft om te twijfelen aan de identiteit van de natuurlijke persoon die het verzoek indient als bedoeld in de artikelen 15 tot en met 21, om aanvullende informatie vragen die nodig is ter bevestiging van de identiteit van de betrokkene.</t>
  </si>
  <si>
    <t>Administratieve geldboeten</t>
  </si>
  <si>
    <t>geldboet</t>
  </si>
  <si>
    <t>geldboete</t>
  </si>
  <si>
    <t>32016R0679:83:2:2</t>
  </si>
  <si>
    <t>Administratieve geldboeten worden, naargelang de omstandigheden van het concrete geval, opgelegd naast of in plaats van de in artikel 58, lid 2, onder a) tot en met h) en onder…</t>
  </si>
  <si>
    <t>afdoende garanties met betrekking tot het toepassen van passende technische en organisatorische maatregelen</t>
  </si>
  <si>
    <t>garantie</t>
  </si>
  <si>
    <t>32016R0679:28:4:7</t>
  </si>
  <si>
    <t>…lid 3 bedoelde overeenkomst of andere rechtshandeling tussen de verwerkingsverantwoordelijke en de verwerker zijn opgenomen, met name de verplichting afdoende garanties met betrekking tot het toepassen van passende technische en organisatorische maatregelen te bieden opdat de verwerking aan het bepaalde in deze verordening voldoet. Wanneer de andere verwerker zijn verplichtingen inzake gegevensbeschermin…</t>
  </si>
  <si>
    <t>geharmoniseerde norm</t>
  </si>
  <si>
    <t>de geharmoniseerde norm</t>
  </si>
  <si>
    <t>norm</t>
  </si>
  <si>
    <t>32024R1689:41:4:2</t>
  </si>
  <si>
    <t>…aan de Commissie voorstelt met het oog op de bekendmaking van de referentie ervan in het Publicatieblad van de Europese Unie, beoordeelt de Commissie de geharmoniseerde norm overeenkomstig Verordening (EU) nr. 1025/2012. Wanneer de referentie van een geharmoniseerde norm in het Publicatieblad van de Europese Unie wordt be…</t>
  </si>
  <si>
    <t>informatie en documentatie met betrekking tot de door hen genomen maatregelen</t>
  </si>
  <si>
    <t>alle informatie en documentatie met betrekking tot de op grond van de leden 1 tot en met 4 door hen genomen maatregelen</t>
  </si>
  <si>
    <t>32024R1689:24:5:11</t>
  </si>
  <si>
    <t>…een met redenen omkleed verzoek van een relevante bevoegde autoriteit verstrekken distributeurs van een AI-systeem met een hoog risico die autoriteit alle informatie en documentatie met betrekking tot de op grond van de leden 1 tot en met 4 door hen genomen maatregelen die nodig zijn om aan te tonen dat het systeem voldoet aan de eisen van afdeling 2.</t>
  </si>
  <si>
    <t>Persoonsgegevens betreffende strafrechtelijke veroordelingen</t>
  </si>
  <si>
    <t>Persoonsgegevens betreffende strafrechtelijke veroordelingen en strafbare feiten of daarmee verband houdende veiligheidsmaatregelen</t>
  </si>
  <si>
    <t>veroordeling</t>
  </si>
  <si>
    <t>strafsanctie</t>
  </si>
  <si>
    <t>32016R0679:10:whole:1</t>
  </si>
  <si>
    <t>Persoonsgegevens betreffende strafrechtelijke veroordelingen en strafbare feiten of daarmee verband houdende veiligheidsmaatregelen mogen op grond van artikel 6, lid 1, alleen worden verwerkt onder toezicht van de overheid of indien de verwerking is toegestaan bij Unierechtelijke …</t>
  </si>
  <si>
    <t>richtsnoeren, aanbevelingen en beste praktijken</t>
  </si>
  <si>
    <t>aanbeveling</t>
  </si>
  <si>
    <t>aanbeveling (EU)</t>
  </si>
  <si>
    <t>32016R0679:70:1:5</t>
  </si>
  <si>
    <t>…ie wat betreft bindende bedrijfsvoorschriften tussen verwerkingsverantwoordelijken, verwerkers, en toezichthoudende autoriteiten; d) uitvaardigen van richtsnoeren, aanbevelingen en beste praktijken inzake procedures voor het wissen van links, kopieën of reproducties van persoonsgegevens uit algemeen beschikbare communicatiediensten als bedoeld i…</t>
  </si>
  <si>
    <t>van de volgende besluiten</t>
  </si>
  <si>
    <t>een van de volgende besluiten</t>
  </si>
  <si>
    <t>32024R1689:76:3:3</t>
  </si>
  <si>
    <t>…gebracht of andere redenen heeft om aan te nemen dat niet aan de in de artikelen 60 en 61 bepaalde voorwaarden wordt voldaan, kan op haar grondgebied een van de volgende besluiten nemen, naargelang van het geval: a) de tests onder reële omstandigheden opschorten of beëindigen; b) aanbieders of potentiële aanbieders en gebruiksv…</t>
  </si>
  <si>
    <t>verplichtingen van die andere verwerker</t>
  </si>
  <si>
    <t>voor het nakomen van de verplichtingen van die andere verwerker</t>
  </si>
  <si>
    <t>verplichting</t>
  </si>
  <si>
    <t>contract</t>
  </si>
  <si>
    <t>32016R0679:28:4:5</t>
  </si>
  <si>
    <t>…plichtingen inzake gegevensbescherming niet nakomt, blijft de eerste verwerker ten aanzien van de verwerkingsverantwoordelijke volledig aansprakelijk voor het nakomen van de verplichtingen van die andere verwerker.</t>
  </si>
  <si>
    <t>voorschriften voor sancties en andere handhavingsmaatregelen</t>
  </si>
  <si>
    <t>de in lid 1 bedoelde voorschriften voor sancties en andere handhavingsmaatregelen</t>
  </si>
  <si>
    <t>voorschrift</t>
  </si>
  <si>
    <t>verordening</t>
  </si>
  <si>
    <t>32024R1689:99:2:5</t>
  </si>
  <si>
    <t>De lidstaten stellen de Commissie onverwijld en uiterlijk op de datum van toepassing in kennis van de in lid 1 bedoelde voorschriften voor sancties en andere handhavingsmaatregelen en delen haar onverwijld alle latere wijzigingen daarvan mee.</t>
  </si>
  <si>
    <t>compound</t>
  </si>
  <si>
    <t>doelstelling van algemeen belang</t>
  </si>
  <si>
    <t>aan een doelstelling van algemeen belang</t>
  </si>
  <si>
    <t>doelstelling</t>
  </si>
  <si>
    <t>telling</t>
  </si>
  <si>
    <t>32016R0679:6:3:3</t>
  </si>
  <si>
    <t>…erking, zoals die voor andere specifieke verwerkingssituaties als bedoeld in hoofdstuk IX. Het Unierecht of het lidstatelijke recht moet beantwoorden aan een doelstelling van algemeen belang en moet evenredig zijn met het nagestreefde gerechtvaardigde doel.</t>
  </si>
  <si>
    <t>eindverslag waarin de in de testomgeving uitgevoerde activiteiten en de daarmee verband houdende resultaten en leerresultaten worden beschreven</t>
  </si>
  <si>
    <t>een eindverslag waarin de in de testomgeving uitgevoerde activiteiten en de daarmee verband houdende resultaten en leerresultaten worden beschreven</t>
  </si>
  <si>
    <t>eindverslag</t>
  </si>
  <si>
    <t>32024R1689:57:7:12</t>
  </si>
  <si>
    <t>…kt de bevoegde autoriteit een schriftelijk bewijs van de met succes in de testomgeving uitgevoerde activiteiten. De bevoegde autoriteit verstrekt ook een eindverslag waarin de in de testomgeving uitgevoerde activiteiten en de daarmee verband houdende resultaten en leerresultaten worden beschreven. Aanbieders kunnen dergelijke documentatie gebruiken om bij het conformiteitsbeoordelingsproces of relevante markttoezicht-activiteiten aan te tonen …</t>
  </si>
  <si>
    <t>geïnformeerde toestemming</t>
  </si>
  <si>
    <t>De geïnformeerde toestemming</t>
  </si>
  <si>
    <t>toestemming</t>
  </si>
  <si>
    <t>stemming</t>
  </si>
  <si>
    <t>32024R1689:61:2:2</t>
  </si>
  <si>
    <t>De geïnformeerde toestemming wordt gedateerd en gedocumenteerd en er wordt een kopie verstrekt aan de proefpersonen of hun wettelijke vertegenwoordiger.</t>
  </si>
  <si>
    <t>of de doelstellingen worden verwezenlijkt</t>
  </si>
  <si>
    <t>of de doelstellingen daarvan worden verwezenlijkt</t>
  </si>
  <si>
    <t>32024R1689:56:6:9</t>
  </si>
  <si>
    <t>… en de AI-board beoordelen of de praktijkcodes betrekking hebben op de verplichtingen van de artikelen 53 en 55, en monitoren en evalueren regelmatig of de doelstellingen daarvan worden verwezenlijkt. Zij maken hun beoordeling of de praktijkcodes toereikend zijn bekend. De Commissie kan door middel van een uitvoeringshandeling een praktijkcode goe…</t>
  </si>
  <si>
    <t>opstelling van gedragscodes</t>
  </si>
  <si>
    <t>de opstelling van gedragscodes</t>
  </si>
  <si>
    <t>opstelling</t>
  </si>
  <si>
    <t>32016R0679:40:1:1</t>
  </si>
  <si>
    <t>De lidstaten, de toezichthoudende autoriteiten, het Comité en de Commissie bevorderen de opstelling van gedragscodes die, met inachtneming van de specifieke kenmerken van de diverse gegevensverwerkingssectoren en de specifieke behoeften van kleine, middelgrote en mi…</t>
  </si>
  <si>
    <t>opzetten en onderhouden van een EU-databank met de informatie betreffende bedoelde AI-systemen met een hoog risico die zijn geregistreerd en AI-systemen die niet als AI-systemen met een hoog risico worden beschouwd en die zijn geregistreerd</t>
  </si>
  <si>
    <t>het opzetten en onderhouden van een EU-databank met de in de leden 2 en 3 van dit artikel bedoelde informatie betreffende in artikel 6, lid 2, bedoelde AI-systemen met een hoog risico die overeenkomstig de artikelen 49 en 60 zijn geregistreerd en AI-systemen die niet als AI-systemen met een hoog risico worden beschouwd op grond van artikel 6, lid 3, en die zijn geregistreerd overeenkomstig artikel 6, lid 4 en artikel 49</t>
  </si>
  <si>
    <t>eudatabank</t>
  </si>
  <si>
    <t>databank</t>
  </si>
  <si>
    <t>gegevensbank</t>
  </si>
  <si>
    <t>32024R1689:71:1:3</t>
  </si>
  <si>
    <t>De Commissie zorgt in samenwerking met de lidstaten voor het opzetten en onderhouden van een EU-databank met de in de leden 2 en 3 van dit artikel bedoelde informatie betreffende in artikel 6, lid 2, bedoelde AI-systemen met een hoog risico die overeenkomstig de artikelen 49 en 60 zijn geregistreerd en AI-systemen die niet als AI-systemen met een hoog risico worden beschouwd op grond van artikel 6, lid 3, en die zijn geregistreerd overeenkomstig artikel 6, lid 4 en artikel 49. Bij het vaststellen van de functionele specificaties van een dergelijke databank raadpleegt de Commissie de deskundigen ter zake, en bij het bijwerk…</t>
  </si>
  <si>
    <t>regelgevingsspecificaties van elke sector, met de bestaande mechanismen voor governance, conformiteitsbeoordeling en handhaving en met de autoriteiten die zijn vastgesteld</t>
  </si>
  <si>
    <t>de regelgevingsspecificaties van elke sector, met de bestaande mechanismen voor governance, conformiteitsbeoordeling en handhaving en met de autoriteiten die daarin zijn vastgesteld</t>
  </si>
  <si>
    <t>regelgevingsspecificatie</t>
  </si>
  <si>
    <t>specificatie</t>
  </si>
  <si>
    <t>technische specificatie</t>
  </si>
  <si>
    <t>32024R1689:112:12:20</t>
  </si>
  <si>
    <t>…handelingen, die betrekking heeft op sectorale harmonisatie-wetgeving van de Unie zoals vermeld in bijlage I, afdeling B, wordt rekening gehouden met de regelgevingsspecificaties van elke sector, met de bestaande mechanismen voor governance, conformiteitsbeoordeling en handhaving en met de autoriteiten die daarin zijn vastgesteld.</t>
  </si>
  <si>
    <t>toestemming tot toestemming</t>
  </si>
  <si>
    <t>de toestemming of machtiging tot toestemming</t>
  </si>
  <si>
    <t>32016R0679:8:1:1</t>
  </si>
  <si>
    <t>…rechtmatig wanneer het kind ten minste 16 jaar is. Wanneer het kind jonger is dan 16 jaar is zulke verwerking slechts rechtmatig indien en voor zover de toestemming of machtiging tot toestemming in dit verband wordt verleend door de persoon die de ouderlijke verantwoordelijkheid voor het kind draagt. De lidstaten kunnen dienaangaande bij wet …</t>
  </si>
  <si>
    <t>transparantieverplichtingen</t>
  </si>
  <si>
    <t>de transparantieverplichtingen van dit lid</t>
  </si>
  <si>
    <t>transparantieverplichting</t>
  </si>
  <si>
    <t>32024R1689:50:4:9</t>
  </si>
  <si>
    <t>…zoeken of te vervolgen. Wanneer de content deel uitmaakt van een kennelijk artistiek, creatief, satirisch, fictief of analoog werk of programma, zijn de transparantieverplichtingen van dit lid beperkt tot de openbaarmaking van het bestaan van dergelijke gegenereerde of bewerkte content op een passende wijze die de weergave of het genot van …</t>
  </si>
  <si>
    <t>vastgelegde vertrouwelijkheidsverplichtingen</t>
  </si>
  <si>
    <t>de in artikel 78 vastgelegde vertrouwelijkheidsverplichtingen</t>
  </si>
  <si>
    <t>vertrouwelijkheidsverplichting</t>
  </si>
  <si>
    <t>32024R1689:70:5:9</t>
  </si>
  <si>
    <t>Bij de uitvoering van hun taken voldoen de nationale bevoegde autoriteiten aan de in artikel 78 vastgelegde vertrouwelijkheidsverplichtingen.</t>
  </si>
  <si>
    <t>embedding p20-47</t>
  </si>
  <si>
    <t>ontwikkeling van benchmarks en meetmethoden</t>
  </si>
  <si>
    <t>de ontwikkeling van benchmarks en meetmethoden</t>
  </si>
  <si>
    <t>ontwikkeling</t>
  </si>
  <si>
    <t>embedding</t>
  </si>
  <si>
    <t>onderzoek en ontwikkeling</t>
  </si>
  <si>
    <t>benchmarking</t>
  </si>
  <si>
    <t>32024R1689:15:2:2</t>
  </si>
  <si>
    <t>…en, moedigt de Commissie, in samenwerking met relevante belanghebbenden en organisaties, zoals metrologie- en benchmarkingautoriteiten, waar passend, de ontwikkeling van benchmarks en meetmethoden aan.</t>
  </si>
  <si>
    <t>handelingen</t>
  </si>
  <si>
    <t>handeling</t>
  </si>
  <si>
    <t>vondeling</t>
  </si>
  <si>
    <t>32016R0679:52:3:4</t>
  </si>
  <si>
    <t>De leden van toezichthoudende autoriteiten verrichten geen handelingen die onverenigbaar zijn met hun taken en verrichten gedurende hun ambtstermijn geen al dan niet bezoldigde beroepswerkzaamheden die onverenigbaar zijn…</t>
  </si>
  <si>
    <t>kopie</t>
  </si>
  <si>
    <t>een kopie</t>
  </si>
  <si>
    <t>fotokopie</t>
  </si>
  <si>
    <t>microkopie</t>
  </si>
  <si>
    <t>koe</t>
  </si>
  <si>
    <t>32024R1689:61:2:4</t>
  </si>
  <si>
    <t>rectificatie van hem betreffende onjuiste persoonsgegevens</t>
  </si>
  <si>
    <t>rectificatie</t>
  </si>
  <si>
    <t>richtlijn inzake het hergebruik van overheidsinformatie.</t>
  </si>
  <si>
    <t>recht op privacy</t>
  </si>
  <si>
    <t>beroep tot nietigverklaring (EU)</t>
  </si>
  <si>
    <t>32016R0679:16:whole:1</t>
  </si>
  <si>
    <t>De betrokkene heeft het recht om van de verwerkingsverantwoordelijke onverwijld rectificatie van hem betreffende onjuiste persoonsgegevens te verkrijgen. Met inachtneming van de doeleinden van de verwerking heeft de betrokkene het recht vervollediging van onvolledige persoonsgegevens te …</t>
  </si>
  <si>
    <t>mogelijkheid</t>
  </si>
  <si>
    <t>van die mogelijkheid</t>
  </si>
  <si>
    <t>aanbod</t>
  </si>
  <si>
    <t>bestemming</t>
  </si>
  <si>
    <t>beslissing</t>
  </si>
  <si>
    <t>32024R1689:43:3:5</t>
  </si>
  <si>
    <t>…ling door een derde partij, mits die fabrikant alle geharmoniseerde normen voor alle relevante voorschriften heeft toegepast, kan de fabrikant alleen van die mogelijkheid gebruikmaken als hij ook geharmoniseerde normen of in voorkomend geval gemeenschappelijke specificaties als bedoeld in artikel 41 heeft toegepast, vo…</t>
  </si>
  <si>
    <t>Omvattende registers van strafrechtelijke veroordelingen</t>
  </si>
  <si>
    <t>register</t>
  </si>
  <si>
    <t>strafregister</t>
  </si>
  <si>
    <t>voltrekking van de straf</t>
  </si>
  <si>
    <t>32016R0679:10:whole:2</t>
  </si>
  <si>
    <t>…g is toegestaan bij Unierechtelijke of lidstaatrechtelijke bepalingen die passende waarborgen voor de rechten en vrijheden van de betrokkenen bieden. Omvattende registers van strafrechtelijke veroordelingen mogen alleen worden bijgehouden onder toezicht van de overheid.</t>
  </si>
  <si>
    <t>positieve conformiteitsbeoordelingsresultaten</t>
  </si>
  <si>
    <t>conformiteitsbeoordelingsresultat</t>
  </si>
  <si>
    <t>conformiteitscontrole</t>
  </si>
  <si>
    <t>positieve arbeidsbeleving</t>
  </si>
  <si>
    <t>32024R1689:45:3:12</t>
  </si>
  <si>
    <t>…iteiten voor dezelfde soorten AI-systemen verrichten, relevante informatie over negatieve conformiteitsbeoordelingsresultaten, en op verzoek ook over positieve conformiteitsbeoordelingsresultaten.</t>
  </si>
  <si>
    <t>persoonsgegevens en alle informatie die noodzakelijk is voor de uitvoering van haar taken</t>
  </si>
  <si>
    <t>alle persoonsgegevens en alle informatie die noodzakelijk is voor de uitvoering van haar taken</t>
  </si>
  <si>
    <t>persoonsgegeven</t>
  </si>
  <si>
    <t>Registratie en beoordeling van en autorisatie en beperkingen ten aanzien van chemische stoffen</t>
  </si>
  <si>
    <t>persoonlijke gegevens</t>
  </si>
  <si>
    <t>gegevensbescherming</t>
  </si>
  <si>
    <t>32016R0679:58:1:4</t>
  </si>
  <si>
    <t>…r in kennis te stellen van een beweerde inbreuk op deze verordening; e) van de verwerkingsverantwoordelijke en de verwerker toegang te verkrijgen tot alle persoonsgegevens en alle informatie die noodzakelijk is voor de uitvoering van haar taken; en f) toegang te verkrijgen tot alle bedrijfsruimten van de verwerkingsverantwoordelijke en de verwerker, daaronder begrepen tot alle uitrustingen e…</t>
  </si>
  <si>
    <t>onderbouwing van het trainen</t>
  </si>
  <si>
    <t>een volledige en gedetailleerde beschrijving van het proces en de onderbouwing van het trainen, testen en valideren van het AI-systeem</t>
  </si>
  <si>
    <t>onderbouwing</t>
  </si>
  <si>
    <t>onderontwikkeling</t>
  </si>
  <si>
    <t>onderbezetting</t>
  </si>
  <si>
    <t>32024R1689:59:1:11</t>
  </si>
  <si>
    <t>…estomgeving worden bijgehouden voor de duur van de deelname aan de testomgeving, tenzij anders is bepaald in het Unierecht of het nationale recht; i) een volledige en gedetailleerde beschrijving van het proces en de onderbouwing van het trainen, testen en valideren van het AI-systeem wordt samen met de testresultaten bewaard als onderdeel van de in bijlage IV bedoelde technische documentatie; j) een korte samenvatting van het in d…</t>
  </si>
  <si>
    <t>of de maatregel gerechtvaardigd is</t>
  </si>
  <si>
    <t>maatregel</t>
  </si>
  <si>
    <t>rechtvaardigheid en verzoening</t>
  </si>
  <si>
    <t>aanbeveling van de Raad</t>
  </si>
  <si>
    <t>toebereid gerecht</t>
  </si>
  <si>
    <t>32024R1689:82:4:3</t>
  </si>
  <si>
    <t>…et de betrokken lidstaten en de betrokken operators en evalueert de genomen nationale maatregelen. Aan de hand van die evaluatie besluit de Commissie of de maatregel gerechtvaardigd is, en stelt zij zo nodig andere passende maatregelen voor.</t>
  </si>
  <si>
    <t>embedding p47-73</t>
  </si>
  <si>
    <t>beperkingen</t>
  </si>
  <si>
    <t>beperking</t>
  </si>
  <si>
    <t>beperking van de invoer</t>
  </si>
  <si>
    <t>beperking van de uitvoer</t>
  </si>
  <si>
    <t>afschaffing van beperkingen</t>
  </si>
  <si>
    <t>32024R1689:44:3:7</t>
  </si>
  <si>
    <t>…riften voldoet, gaat zij, rekening houdend met het evenredigheidsbeginsel, over tot schorsing of intrekking van het afgegeven certificaat of legt zij beperkingen op, tenzij de aanbieder van het systeem, met het oog op de naleving van deze voorschriften, binnen een door de aangemelde instantie vastgestelde pass…</t>
  </si>
  <si>
    <t>toepassing</t>
  </si>
  <si>
    <t>de toepassing van deze verordening</t>
  </si>
  <si>
    <t>voorwaarde voor toepassing</t>
  </si>
  <si>
    <t>gezamenlijke toepassing</t>
  </si>
  <si>
    <t>verbruik</t>
  </si>
  <si>
    <t>32016R0679:57:1:2</t>
  </si>
  <si>
    <t>…an deze verordening vastgestelde taken, verricht elke toezichthoudende autoriteit op haar grondgebied de volgende taken: a) zij monitort en handhaaft de toepassing van deze verordening; b) zij bevordert bij het brede publiek de bekendheid met en het inzicht in de risico's, regels, waarborgen en rechten in verband met de verwerking. …</t>
  </si>
  <si>
    <t>belangenverklaring</t>
  </si>
  <si>
    <t>een belangenverklaring</t>
  </si>
  <si>
    <t>belangengroep</t>
  </si>
  <si>
    <t>verklaring van communautair belang</t>
  </si>
  <si>
    <t>getuigenverklaring</t>
  </si>
  <si>
    <t>32024R1689:68:4:4</t>
  </si>
  <si>
    <t>…eiten verkrijgen. Zij vragen noch aanvaarden instructies van wie dan ook bij de uitoefening van hun taken uit hoofde van lid 3. Elke deskundige stelt een belangenverklaring op, die openbaar wordt gemaakt. Het AI-bureau zorgt voor systemen en procedures voor het actief beheren en voorkomen van mogelijke belangenconflicten…</t>
  </si>
  <si>
    <t>incident</t>
  </si>
  <si>
    <t>van dat incident</t>
  </si>
  <si>
    <t>IT-incident</t>
  </si>
  <si>
    <t>32024R1689:26:5:7</t>
  </si>
  <si>
    <t>…len zij ook onmiddellijk eerst de aanbieder hiervan in kennis, en vervolgens de importeur of distributeur en de betreffende markttoezichtautoriteiten van dat incident. Wanneer de gebruiksverantwoordelijke de aanbieder niet kan bereiken, is artikel 73 mutatis mutandis van toepassing. Deze verplichting geldt niet voo…</t>
  </si>
  <si>
    <t>juiste toepassing</t>
  </si>
  <si>
    <t>de juiste toepassing van deze verordening</t>
  </si>
  <si>
    <t>rechtstreekse toepasselijkheid</t>
  </si>
  <si>
    <t>32016R0679:70:1:1</t>
  </si>
  <si>
    <t>…gepast. Daartoe doet het Comité op eigen initiatief of, waar passend, op verzoek van de Commissie met name het volgende: a) toezien op en zorgen voor de juiste toepassing van deze verordening in de in de artikelen 64 en 65 bedoelde gevallen, onverminderd de taken van de nationale toezichthoudende autoriteiten; b) adviseren van de Commissie…</t>
  </si>
  <si>
    <t>nodige maatregelen</t>
  </si>
  <si>
    <t>de nodige maatregelen</t>
  </si>
  <si>
    <t>verzoek om steun</t>
  </si>
  <si>
    <t>behoefte aan kapitaal</t>
  </si>
  <si>
    <t>voedselbehoefte</t>
  </si>
  <si>
    <t>32024R1689:27:2:3</t>
  </si>
  <si>
    <t>…ysteem met een hoog risico ziet dat een van de in lid 1 vermelde elementen is gewijzigd of niet langer actueel is, neemt de gebruiksverantwoordelijke de nodige maatregelen om de informatie te actualiseren.</t>
  </si>
  <si>
    <t>kosteloos</t>
  </si>
  <si>
    <t>kosteloos onderwijs</t>
  </si>
  <si>
    <t>werkloze</t>
  </si>
  <si>
    <t>staatloze</t>
  </si>
  <si>
    <t>32016R0679:61:7:12</t>
  </si>
  <si>
    <t>De maatregelen die toezichthoudende autoriteiten tot wie een verzoek is gericht nemen uit hoofde van een verzoek om wederzijdse bijstand, zijn kosteloos. De toezichthoudende autoriteiten kunnen regels overeenkomen om elkaar te vergoeden voor specifieke uitgaven die voortvloeien uit het verstrekken van…</t>
  </si>
  <si>
    <t>opschorting van gegevensstromen</t>
  </si>
  <si>
    <t>de opschorting van gegevensstromen</t>
  </si>
  <si>
    <t>opschorting</t>
  </si>
  <si>
    <t>opschorting van de hulp</t>
  </si>
  <si>
    <t>opsporing van hulpbronnen</t>
  </si>
  <si>
    <t>opschorting van de straf</t>
  </si>
  <si>
    <t>32016R0679:58:2:17</t>
  </si>
  <si>
    <t>…heden van elke zaak, naast of in plaats van de in dit lid bedoelde maatregelen, een administratieve geldboete opleggen op grond van artikel 83; en j) de opschorting van gegevensstromen naar een ontvanger in een derde land of naar een internationale organisatie gelasten.</t>
  </si>
  <si>
    <t>sjabloon</t>
  </si>
  <si>
    <t>een sjabloon</t>
  </si>
  <si>
    <t>sojaboon</t>
  </si>
  <si>
    <t>32024R1689:5:6:14</t>
  </si>
  <si>
    <t>…sie jaarverslagen over dat gebruik in. Daartoe verstrekt de Commissie de lidstaten en de nationale markttoezicht- en gegevensbeschermingsautoriteiten een sjabloon, met informatie over het aantal besluiten dat is genomen door bevoegde gerechtelijke instanties of een onafhankelijke administratieve instantie, waar…</t>
  </si>
  <si>
    <t>verwerkingsdoeleinden waarvoor de persoonsgegevens zijn bestemd, en de rechtsgrond voor de verwerking</t>
  </si>
  <si>
    <t>de verwerkingsdoeleinden waarvoor de persoonsgegevens zijn bestemd, en de rechtsgrond voor de verwerking</t>
  </si>
  <si>
    <t>verwerkingsdoeleinden</t>
  </si>
  <si>
    <t>gegevensverwerking</t>
  </si>
  <si>
    <t>32016R0679:14:1:4</t>
  </si>
  <si>
    <t>…de vertegenwoordiger van de verwerkingsverantwoordelijke; b) in voorkomend geval, de contactgegevens van de functionaris voor gegevensbescherming; c) de verwerkingsdoeleinden waarvoor de persoonsgegevens zijn bestemd, en de rechtsgrond voor de verwerking; d) de betrokken categorieën van persoonsgegevens; e) in voorkomend geval, de ontvangers of categorieën van ontvangers van de persoonsgegevens; f) in…</t>
  </si>
  <si>
    <t>embedding p73-100</t>
  </si>
  <si>
    <t>administratieve geldboete</t>
  </si>
  <si>
    <t>een administratieve geldboete</t>
  </si>
  <si>
    <t>administratieve boete</t>
  </si>
  <si>
    <t>geldboete van de EU</t>
  </si>
  <si>
    <t>32016R0679:58:2:16</t>
  </si>
  <si>
    <t>…n de certificeringsvereisten wordt voldaan; i) naargelang de omstandigheden van elke zaak, naast of in plaats van de in dit lid bedoelde maatregelen, een administratieve geldboete opleggen op grond van artikel 83; en j) de opschorting van gegevensstromen naar een ontvanger in een derde land of naar een internationale organisati…</t>
  </si>
  <si>
    <t>verzoek</t>
  </si>
  <si>
    <t>aan het verzoek</t>
  </si>
  <si>
    <t>verzoekschrift</t>
  </si>
  <si>
    <t>verzoek om advies</t>
  </si>
  <si>
    <t>32016R0679:57:4:35</t>
  </si>
  <si>
    <t>… hun repetitieve karakter, kan de toezichthoudende autoriteit op basis van de administratieve kosten een redelijke vergoeding aanrekenen, of weigeren aan het verzoek gevolg te geven. Het is aan de toezichthoudende autoriteit om de kennelijk ongegronde of buitensporige aard van het verzoek aan te tonen.</t>
  </si>
  <si>
    <t>opgelegde geldboete</t>
  </si>
  <si>
    <t>de opgelegde geldboete</t>
  </si>
  <si>
    <t>bewarend beslag</t>
  </si>
  <si>
    <t>32024R1689:101:5:8</t>
  </si>
  <si>
    <t>…pese Unie heeft volledige rechtsmacht ter zake van beroep tegen besluiten waarbij de Commissie krachtens dit artikel een geldboete vaststelt. Het kan de opgelegde geldboete vernietigen, verlagen of verhogen.</t>
  </si>
  <si>
    <t>markttoezichtautoriteit</t>
  </si>
  <si>
    <t>de markttoezichtautoriteit</t>
  </si>
  <si>
    <t>markttoezicht</t>
  </si>
  <si>
    <t>overheidstoezicht</t>
  </si>
  <si>
    <t>toezicht op de onderneming</t>
  </si>
  <si>
    <t>32024R1689:27:3:5</t>
  </si>
  <si>
    <t>Zodra de in lid 1 van dit artikel bedoelde beoordeling is uitgevoerd, stelt de gebruiksverantwoordelijke de markttoezichtautoriteit in kennis van de resultaten ervan, en dient hij als onderdeel van de kennisgeving het in lid 5 van dit artikel bedoelde ingevulde sjabloon in. In het…</t>
  </si>
  <si>
    <t>wetgevingsbepalingen</t>
  </si>
  <si>
    <t>de wetgevingsbepalingen</t>
  </si>
  <si>
    <t>wetgevingsbepaling</t>
  </si>
  <si>
    <t>wettelijke bepaling</t>
  </si>
  <si>
    <t>nationale wetgeving</t>
  </si>
  <si>
    <t>wetgevingsprocedure van de Europese Unie</t>
  </si>
  <si>
    <t>32016R0679:83:9:10</t>
  </si>
  <si>
    <t>…istratieve geldboeten. De boeten zijn in elk geval doeltreffend, evenredig en afschrikkend. Die lidstaten delen de Commissie uiterlijk op 25 mei 2018 de wetgevingsbepalingen mee die zij op grond van dit lid vaststellen, alsmede onverwijld alle latere wijzigingen daarvan en alle daarop van invloed zijnde wijzigingswetgevin…</t>
  </si>
  <si>
    <t>administratieve geldboetes</t>
  </si>
  <si>
    <t>administratieve kosten</t>
  </si>
  <si>
    <t>32024R1689:57:12:26</t>
  </si>
  <si>
    <t>… waren bij het toezicht op het AI-systeem in de testomgeving en richtsnoeren voor naleving hebben verstrekt, worden met betrekking tot dat recht geen administratieve geldboetes opgelegd.</t>
  </si>
  <si>
    <t>gebruik</t>
  </si>
  <si>
    <t>het gebruik ervan</t>
  </si>
  <si>
    <t>gebruik van het water</t>
  </si>
  <si>
    <t>gebruik van de hulp</t>
  </si>
  <si>
    <t>32024R1689:49:3:5</t>
  </si>
  <si>
    <t>…ties, instellingen, organen of instanties van de Unie, of personen die namens hen optreden, zichzelf en selecteren zij het systeem en registreren zij het gebruik ervan in de in artikel 71 bedoelde EU-databank.</t>
  </si>
  <si>
    <t>vergadering</t>
  </si>
  <si>
    <t>een vergadering</t>
  </si>
  <si>
    <t>parlementaire vergadering</t>
  </si>
  <si>
    <t>parlementsvergadering</t>
  </si>
  <si>
    <t>recht van vergadering</t>
  </si>
  <si>
    <t>32024R1689:67:7:8</t>
  </si>
  <si>
    <t>Het adviesforum belegt minstens twee keer per jaar een vergadering. Het adviesforum kan deskundigen en andere belanghebbenden uitnodigen om zijn vergaderingen bij te wonen.</t>
  </si>
  <si>
    <t>beoordeling</t>
  </si>
  <si>
    <t>zijn beoordeling</t>
  </si>
  <si>
    <t>projectbeoordeling</t>
  </si>
  <si>
    <t>beoordelingsbevoegdheid</t>
  </si>
  <si>
    <t>beroepsbeoordeling</t>
  </si>
  <si>
    <t>32024R1689:6:4:3</t>
  </si>
  <si>
    <t>Een aanbieder die van mening is dat een in bijlage III bedoeld AI-systeem geen hoog risico inhoudt, documenteert zijn beoordeling voordat dat systeem in de handel wordt gebracht of in gebruik wordt gesteld. Die aanbieder is onderworpen aan de registratieverplichting van artikel …</t>
  </si>
  <si>
    <t>categorieën van persoonsgegevens</t>
  </si>
  <si>
    <t>de betrokken categorieën van persoonsgegevens</t>
  </si>
  <si>
    <t>categorie</t>
  </si>
  <si>
    <t>verzameling van gegevens</t>
  </si>
  <si>
    <t>32016R0679:14:1:5</t>
  </si>
  <si>
    <t>…unctionaris voor gegevensbescherming; c) de verwerkingsdoeleinden waarvoor de persoonsgegevens zijn bestemd, en de rechtsgrond voor de verwerking; d) de betrokken categorieën van persoonsgegevens; e) in voorkomend geval, de ontvangers of categorieën van ontvangers van de persoonsgegevens; f) in voorkomend geval, dat de verwerkingsverantwoordel…</t>
  </si>
  <si>
    <t>unmapped</t>
  </si>
  <si>
    <t>beschrijving van de conformiteitsbeoordelingsactiviteiten, de conformiteitsbeoordelingsmodule(s) en de soorten AI-systemen waarvoor de conformiteitsbeoordelingsinstantie verklaart bekwaam te zijn en, indien dit bestaat, van een accreditatiecertificaat dat is afgegeven door een nationale accreditatie-instantie, waarin wordt verklaard dat de conformiteitsbeoordelingsinstantie voldoet aan de eisen</t>
  </si>
  <si>
    <t>een beschrijving van de conformiteitsbeoordelingsactiviteiten, de conformiteitsbeoordelingsmodule(s) en de soorten AI-systemen waarvoor de conformiteitsbeoordelingsinstantie verklaart bekwaam te zijn en, indien dit bestaat, van een accreditatiecertificaat dat is afgegeven door een nationale accreditatie-instantie, waarin wordt verklaard dat de conformiteitsbeoordelingsinstantie voldoet aan de eisen van artikel 31</t>
  </si>
  <si>
    <t>beschrijving</t>
  </si>
  <si>
    <t>32024R1689:29:2:2</t>
  </si>
  <si>
    <t>Het verzoek om aanmelding gaat vergezeld van een beschrijving van de conformiteitsbeoordelingsactiviteiten, de conformiteitsbeoordelingsmodule(s) en de soorten AI-systemen waarvoor de conformiteitsbeoordelingsinstantie verklaart bekwaam te zijn en, indien dit bestaat, van een accreditatiecertificaat dat is afgegeven door een nationale accreditatie-instantie, waarin wordt verklaard dat de conformiteitsbeoordelingsinstantie voldoet aan de eisen van artikel 31. Geldige documenten met betrekking tot bestaande aanwijzingen van de verzoekende aangemelde instantie uit hoofde van andere harmonisatiewetgeving van…</t>
  </si>
  <si>
    <t>bevindingen van de AI-board</t>
  </si>
  <si>
    <t>de standpunten en bevindingen van de AI-board, het Europees Parlement, de Raad en van andere relevante instanties of bronnen</t>
  </si>
  <si>
    <t>bevinding</t>
  </si>
  <si>
    <t>32024R1689:112:9:17</t>
  </si>
  <si>
    <t>Bij de uitvoering van de in de leden 1 tot en met 7 vermelde evaluaties en toetsingen neemt de Commissie de standpunten en bevindingen van de AI-board, het Europees Parlement, de Raad en van andere relevante instanties of bronnen in aanmerking.</t>
  </si>
  <si>
    <t>criteria</t>
  </si>
  <si>
    <t>de volgende criteria</t>
  </si>
  <si>
    <t>criterium</t>
  </si>
  <si>
    <t>32024R1689:7:2:2</t>
  </si>
  <si>
    <t>Bij de beoordeling van de voorwaarde van lid 1, punt b), houdt de Commissie rekening met de volgende criteria: a) het beoogde doel van het AI-systeem; b) de mate waarin een AI-systeem is gebruikt of waarschijnlijk zal worden gebruikt; c) de aard van en de hoe…</t>
  </si>
  <si>
    <t>door haar geweigerde, opgeschorte of ingetrokken goedkeuringen voor kwaliteitsbeheersystemen</t>
  </si>
  <si>
    <t>kwaliteitsbeheersystemen</t>
  </si>
  <si>
    <t>32024R1689:45:2:7</t>
  </si>
  <si>
    <t>Elke aangemelde instantie brengt de andere aangemelde instanties op de hoogte van: a) door haar geweigerde, opgeschorte of ingetrokken goedkeuringen voor kwaliteitsbeheersystemen alsmede, op verzoek, van de door haar verleende goedkeuringen voor systemen voor kwaliteitsbeheer; b) beoordelingscertificaten van technische documen…</t>
  </si>
  <si>
    <t>latere wijzigingen en alle van invloed zijnde wijzigingswetgeving</t>
  </si>
  <si>
    <t>alle latere wijzigingen daarvan en alle daarop van invloed zijnde wijzigingswetgeving</t>
  </si>
  <si>
    <t>wijziging</t>
  </si>
  <si>
    <t>32016R0679:83:9:11</t>
  </si>
  <si>
    <t>…d. Die lidstaten delen de Commissie uiterlijk op 25 mei 2018 de wetgevingsbepalingen mee die zij op grond van dit lid vaststellen, alsmede onverwijld alle latere wijzigingen daarvan en alle daarop van invloed zijnde wijzigingswetgeving.</t>
  </si>
  <si>
    <t>niveaus van nauwkeurigheid en de relevante maatstaven voor de nauwkeurigheid van AI-systemen met een hoog risico</t>
  </si>
  <si>
    <t>De niveaus van nauwkeurigheid en de relevante maatstaven voor de nauwkeurigheid van AI-systemen met een hoog risico</t>
  </si>
  <si>
    <t>niveau</t>
  </si>
  <si>
    <t>32024R1689:15:3:3</t>
  </si>
  <si>
    <t>De niveaus van nauwkeurigheid en de relevante maatstaven voor de nauwkeurigheid van AI-systemen met een hoog risico worden vermeld in de bijbehorende gebruiksaanwijzingen.</t>
  </si>
  <si>
    <t>of meer ondersteunende AI-teststructuren van de Unie</t>
  </si>
  <si>
    <t>een of meer ondersteunende AI-teststructuren van de Unie</t>
  </si>
  <si>
    <t>aiteststructuren</t>
  </si>
  <si>
    <t>32024R1689:84:1:1</t>
  </si>
  <si>
    <t>De Commissie wijst een of meer ondersteunende AI-teststructuren van de Unie aan om op het gebied van AI de in artikel 21, lid 6, van Verordening (EU) 2019/1020 vermelde taken uit te voeren.</t>
  </si>
  <si>
    <t>opstellen en het bekendmaken van de criteria voor de accreditatie van een orgaan voor het toezicht op gedragscodes en van een certificeringsorgaan</t>
  </si>
  <si>
    <t>het opstellen en het bekendmaken van de criteria voor de accreditatie van een orgaan voor het toezicht op gedragscodes op grond van artikel 41 en van een certificeringsorgaan op grond van artikel 43</t>
  </si>
  <si>
    <t>32016R0679:57:1:26</t>
  </si>
  <si>
    <t>…ed; o) waar van toepassing verricht zij een periodieke toetsing van de overeenkomstig artikel 42, lid 7, afgegeven certificeringen; p) zij zorgt voor het opstellen en het bekendmaken van de criteria voor de accreditatie van een orgaan voor het toezicht op gedragscodes op grond van artikel 41 en van een certificeringsorgaan op grond van artikel 43; q) zij zorgt voor de accreditatie van een orgaan voor het toezicht op gedragscodes op grond van artikel 41 en van een certificeringsorgaan op grond …</t>
  </si>
  <si>
    <t>volledige beoordeling van de betrokken AI-systemen met een hoog risico</t>
  </si>
  <si>
    <t>een volledige beoordeling van de betrokken AI-systemen met een hoog risico</t>
  </si>
  <si>
    <t>32024R1689:36:3:5</t>
  </si>
  <si>
    <t>…rop die certificaten betrekking hebben, op zich zal nemen. Die laatste aangemelde instantie verricht vóór het einde van die periode van negen maanden een volledige beoordeling van de betrokken AI-systemen met een hoog risico, alvorens er nieuwe certificaten voor af te leveren. Ingeval de aangemelde instantie haar activiteiten heeft gestaakt, trekt de aanmeldende autoritei…</t>
  </si>
  <si>
    <t>weigering, beperking, schorsing of intrekking van een beoordelingscertificaat technische documentatie van de Unie of een goedkeuring voor systemen voor kwaliteitsbeheer afgegeven overeenkomstig de eisen</t>
  </si>
  <si>
    <t>weigering, beperking, schorsing of intrekking van een beoordelingscertificaat technische documentatie van de Unie of een goedkeuring voor systemen voor kwaliteitsbeheer afgegeven overeenkomstig de eisen van bijlage VII</t>
  </si>
  <si>
    <t>weigering</t>
  </si>
  <si>
    <t>32024R1689:45:1:2</t>
  </si>
  <si>
    <t>… de Unie, aanvullingen op die certificaten en goedkeuringen voor systemen voor kwaliteitsbeheer afgegeven overeenkomstig de eisen van bijlage VII; b) weigering, beperking, schorsing of intrekking van een beoordelingscertificaat technische documentatie van de Unie of een goedkeuring voor systemen voor kwaliteitsbeheer afgegeven overeenkomstig de eisen van bijlage VII; c) omstandigheden die van invloed zijn op het toepassingsgebied van of de voorwaarden voor de aanmelding; d) verzoeken om informatie over conformite…</t>
  </si>
  <si>
    <t>no</t>
  </si>
  <si>
    <t>aanbevelingen</t>
  </si>
  <si>
    <t>adviezen, aanbevelingen en schriftelijke bijdragen</t>
  </si>
  <si>
    <t>32024R1689:67:8:10</t>
  </si>
  <si>
    <t>Het adviesforum kan op verzoek van de AI-board of de Commissie adviezen, aanbevelingen en schriftelijke bijdragen opstellen.</t>
  </si>
  <si>
    <t>administratieve boetes</t>
  </si>
  <si>
    <t>boete</t>
  </si>
  <si>
    <t>administratief boete</t>
  </si>
  <si>
    <t>administratieve sanctie</t>
  </si>
  <si>
    <t>32024R1689:57:12:25</t>
  </si>
  <si>
    <t>…en voor hun deelname eerbiedigen en zich te goeder trouw houden aan de richtsnoeren van de nationale bevoegde autoriteit, leggen de autoriteiten geen administratieve boetes op voor de schending van deze verordening. Wanneer andere bevoegde autoriteiten die verantwoordelijk zijn voor ander Unierecht en nationaal recht act…</t>
  </si>
  <si>
    <t>advies</t>
  </si>
  <si>
    <t>technische ondersteuning, advies en instrumenten</t>
  </si>
  <si>
    <t>advies (EU)</t>
  </si>
  <si>
    <t>32024R1689:57:1:1</t>
  </si>
  <si>
    <t>…op 2 augustus 2026 operationeel is. Die testomgeving kan ook samen met de bevoegde autoriteiten van andere lidstaten worden opgezet. De Commissie kan technische ondersteuning, advies en instrumenten verstrekken voor de oprichting en werking van AI-testomgevingen voor regelgeving. Aan de verplichting uit hoofde van de eerste alinea kan ook worden …</t>
  </si>
  <si>
    <t>adviezen</t>
  </si>
  <si>
    <t>32024R1689:28:5:9</t>
  </si>
  <si>
    <t>Aanmeldende autoriteiten bieden of verrichten geen activiteiten die worden uitgevoerd door conformiteitsbeoordelingsinstanties en verlenen geen adviezen op commerciële of concurrentiële basis.</t>
  </si>
  <si>
    <t>agenda</t>
  </si>
  <si>
    <t>de agenda</t>
  </si>
  <si>
    <t>32024R1689:65:8:10</t>
  </si>
  <si>
    <t>…digers van de lidstaten. Het AI-bureau verzorgt het secretariaat van de AI-board, roept op verzoek van de voorzitter de vergaderingen bijeen en stelt de agenda op overeenkomstig de taken van de AI-board krachtens deze verordening en overeenkomstig zijn reglement.</t>
  </si>
  <si>
    <t>beroepsgeheim</t>
  </si>
  <si>
    <t>aan het beroepsgeheim</t>
  </si>
  <si>
    <t>32024R1689:31:7:6</t>
  </si>
  <si>
    <t>…bezit krijgen vertrouwelijk houden, behalve wanneer de openbaarmaking ervan wettelijk vereist is. Het personeel van aangemelde instanties is gebonden aan het beroepsgeheim ten aanzien van alle informatie waarvan het kennisneemt bij de uitoefening van de taken uit hoofde van deze verordening, behalve ten opzichte van de …</t>
  </si>
  <si>
    <t>beroepsprocedure</t>
  </si>
  <si>
    <t>een beroepsprocedure</t>
  </si>
  <si>
    <t>beroepsprocedure (EU)</t>
  </si>
  <si>
    <t>32024R1689:44:3:8</t>
  </si>
  <si>
    <t>…gestelde passende termijn adequate corrigerende actie onderneemt. De aangemelde instantie geeft de redenen voor haar besluit op. Er wordt voorzien in een beroepsprocedure tegen besluiten van de aangemelde instanties, ook inzake afgegeven conformiteitscertificaten.</t>
  </si>
  <si>
    <t>beslissingen</t>
  </si>
  <si>
    <t>32024R1689:14:5:2</t>
  </si>
  <si>
    <t>… als bedoeld in lid 3 van dit artikel zodanig dat zij waarborgen dat daarnaast door de gebruiksverantwoordelijke geen maatregelen worden getroffen of beslissingen worden genomen op basis van de identificatie door het systeem, tenzij deze identificatie door ten minste twee natuurlijke personen met de nodige bekw…</t>
  </si>
  <si>
    <t>bevoegdheden</t>
  </si>
  <si>
    <t>de in artikel 14, lid 4, punten d) en j), van die verordening bedoelde bevoegdheden</t>
  </si>
  <si>
    <t>bevoegdheid</t>
  </si>
  <si>
    <t>politieke bevoegdheid</t>
  </si>
  <si>
    <t>32024R1689:74:5:4</t>
  </si>
  <si>
    <t>… krachtens artikel 14 van Verordening (EU) 2019/1020 kunnen markttoezichtautoriteiten met het oog op de doeltreffende handhaving van deze verordening de in artikel 14, lid 4, punten d) en j), van die verordening bedoelde bevoegdheden naargelang van het geval op afstand uitoefenen.</t>
  </si>
  <si>
    <t>Comité</t>
  </si>
  <si>
    <t>de andere betrokken toezichthoudende autoriteiten, alsmede het Comité</t>
  </si>
  <si>
    <t>32016R0679:60:7:13</t>
  </si>
  <si>
    <t>…vast en deelt het mee aan de hoofdvestiging of de enige vestiging van de verwerkingsverantwoordelijke of de verwerker, naargelang het geval, en stelt de andere betrokken toezichthoudende autoriteiten, alsmede het Comité in kennis van het besluit in kwestie, voorzien van een samenvatting van de relevante feiten en gronden. De toezichthoudende autoriteit waarbij de kla…</t>
  </si>
  <si>
    <t>Europees Parlement</t>
  </si>
  <si>
    <t>europees</t>
  </si>
  <si>
    <t>europees parlement</t>
  </si>
  <si>
    <t>evaluatie</t>
  </si>
  <si>
    <t>een evaluatie</t>
  </si>
  <si>
    <t>evaluatiemethode</t>
  </si>
  <si>
    <t>32024R1689:112:2:3</t>
  </si>
  <si>
    <t>Uiterlijk op 2 augustus 2028 en vervolgens om de vier jaar verricht de Commissie een evaluatie en brengt zij verslag uit bij het Europees Parlement en de Raad over het volgende: a) de noodzaak om bestaande gebiedsrubrieken uit te breiden of nie…</t>
  </si>
  <si>
    <t>formulier</t>
  </si>
  <si>
    <t>het in dit lid bedoelde formulier</t>
  </si>
  <si>
    <t>32024R1689:11:1:3</t>
  </si>
  <si>
    <t>…nemingen. Kmo’s, met inbegrip van start-ups, die ervoor kiezen de in bijlage IV vereiste informatie op vereenvoudigde wijze te verstrekken, gebruiken het in dit lid bedoelde formulier. Aangemelde instanties aanvaarden het formulier met het oog op de conformiteitsbeoordeling.</t>
  </si>
  <si>
    <t>gedragscode</t>
  </si>
  <si>
    <t>de gedragscode</t>
  </si>
  <si>
    <t>gedragscood</t>
  </si>
  <si>
    <t>32016R0679:40:6:11</t>
  </si>
  <si>
    <t>Wanneer de ontwerpgedragscode, de wijziging of uitbreiding wordt goedgekeurd overeenkomstig lid 5, en indien de gedragscode in kwestie geen betrekking heeft op verwerkingsactiviteiten in verschillende lidstaten, registreert de toezichthoudende autoriteit de gedragscode en …</t>
  </si>
  <si>
    <t>geldboeten</t>
  </si>
  <si>
    <t>32024R1689:80:7:7</t>
  </si>
  <si>
    <t>… systeem is ingedeeld om de toepassing van de vereisten van hoofdstuk III, afdeling 2, te omzeilen, worden aan de aanbieder overeenkomstig artikel 99 geldboeten opgelegd.</t>
  </si>
  <si>
    <t>Informatie</t>
  </si>
  <si>
    <t>Informatie of documentatie</t>
  </si>
  <si>
    <t>32024R1689:53:7:13</t>
  </si>
  <si>
    <t>Uit hoofde van dit artikel verkregen informatie of documentatie, met inbegrip van bedrijfsgeheimen, worden verwerkt overeenkomstig de in artikel 78 vastgelegde vertrouwelijkheidsverplichtingen.</t>
  </si>
  <si>
    <t>ten minste de in lid 6 bepaalde informatie</t>
  </si>
  <si>
    <t>32024R1689:5:4:6</t>
  </si>
  <si>
    <t>…arkttoezichtautoriteit en de nationale gegevensbeschermingsautoriteit in overeenstemming met de in lid 5 bedoelde nationale regels. Die melding bevat ten minste de in lid 6 bepaalde informatie en bevat geen gevoelige operationele gegevens.</t>
  </si>
  <si>
    <t>jaarverslag</t>
  </si>
  <si>
    <t>een jaarverslag</t>
  </si>
  <si>
    <t>verslag over de werkzaamheden</t>
  </si>
  <si>
    <t>32016R0679:71:1:1</t>
  </si>
  <si>
    <t>Het Comité stelt een jaarverslag op over de bescherming van natuurlijke personen met betrekking tot de verwerking in de Unie en, in voorkomend geval, in derde landen en international…</t>
  </si>
  <si>
    <t>jaarverslagen</t>
  </si>
  <si>
    <t>32024R1689:5:6:15</t>
  </si>
  <si>
    <t>… van systemen voor biometrische identificatie op afstand in real time in openbare ruimten met het oog op de rechtshandhaving, dienen bij de Commissie jaarverslagen over dat gebruik in. Daartoe verstrekt de Commissie de lidstaten en de nationale markttoezicht- en gegevensbeschermingsautoriteiten een sjabloon, met…</t>
  </si>
  <si>
    <t>lidstaten</t>
  </si>
  <si>
    <t>de Commissie en de lidstaten</t>
  </si>
  <si>
    <t>lidstaat</t>
  </si>
  <si>
    <t>32024R1689:36:7:24</t>
  </si>
  <si>
    <t>…zulks om de voortdurende conformiteit van de in de handel gebrachte AI-systemen met een hoog risico te waarborgen; d) stelt de aanmeldende autoriteit de Commissie en de lidstaten in kennis van certificaten die moeten worden geschorst of ingetrokken; e) verstrekt de aanmeldende autoriteit de nationale bevoegde autoriteiten van …</t>
  </si>
  <si>
    <t>mandaat</t>
  </si>
  <si>
    <t>het mandaat</t>
  </si>
  <si>
    <t>32024R1689:22:4:3</t>
  </si>
  <si>
    <t>De gemachtigde beëindigt het mandaat indien hij van mening is of redenen heeft om aan te nemen dat de aanbieder in strijd met zijn verplichtingen op grond van deze verordening handelt. H…</t>
  </si>
  <si>
    <t>merk</t>
  </si>
  <si>
    <t>zijn naam of merk</t>
  </si>
  <si>
    <t>merken</t>
  </si>
  <si>
    <t>32024R1689:25:1:2</t>
  </si>
  <si>
    <t>…n aanbieder van een AI-systeem met een hoog risico en is hij onderworpen aan de verplichtingen van de aanbieder uit hoofde van artikel 16: a) hij zet zijn naam of merk op een AI-systeem met een hoog risico dat reeds in de handel is gebracht of in gebruik is gesteld, onverminderd contractuele regelingen waarin wordt …</t>
  </si>
  <si>
    <t>natuurlijke personen</t>
  </si>
  <si>
    <t>de natuurlijke personen</t>
  </si>
  <si>
    <t>persoon</t>
  </si>
  <si>
    <t>natuurlijk persoon</t>
  </si>
  <si>
    <t>natuurlijke persoon</t>
  </si>
  <si>
    <t>32024R1689:26:11:19</t>
  </si>
  <si>
    <t>…rdelijken van in bijlage III bedoelde AI-systemen met een hoog risico die beslissingen met betrekking tot natuurlijke personen nemen of helpen nemen, de natuurlijke personen dat het AI-systeem met een hoog risico op hen wordt toegepast. Op AI-systemen met een hoog risico die voor rechtshandhavingsdoeleinden worden gebruik…</t>
  </si>
  <si>
    <t>ondersteuning</t>
  </si>
  <si>
    <t>begeleiding, toezicht en ondersteuning</t>
  </si>
  <si>
    <t>economische steun</t>
  </si>
  <si>
    <t>32024R1689:57:6:8</t>
  </si>
  <si>
    <t>De bevoegde autoriteiten verstrekken in voorkomend geval begeleiding, toezicht en ondersteuning binnen de AI-testomgeving voor regelgeving met als doel om risico’s in kaart te brengen, met name met betrekking tot de grondrechten, gezondheid en v…</t>
  </si>
  <si>
    <t>overeenkomst</t>
  </si>
  <si>
    <t>De in de leden 3 en 4 bedoelde overeenkomst of andere rechtshandeling</t>
  </si>
  <si>
    <t>overeenkomst (EU)</t>
  </si>
  <si>
    <t>32016R0679:28:9:11</t>
  </si>
  <si>
    <t>De in de leden 3 en 4 bedoelde overeenkomst of andere rechtshandeling wordt in schriftelijke vorm, waaronder elektronische vorm, opgesteld.</t>
  </si>
  <si>
    <t>recht</t>
  </si>
  <si>
    <t>dat recht</t>
  </si>
  <si>
    <t>juridische wetenschap</t>
  </si>
  <si>
    <t>32016R0679:20:3:5</t>
  </si>
  <si>
    <t>De uitoefening van het in lid 1 van dit artikel bedoelde recht laat artikel 17 onverlet. Dat recht geldt niet voor de verwerking die noodzakelijk is voor de vervulling van een taak van algemeen belang of van een taak in het kader van de uitoefening…</t>
  </si>
  <si>
    <t>rechten</t>
  </si>
  <si>
    <t>zijn rechten uit hoofde van deze verordening</t>
  </si>
  <si>
    <t>32016R0679:26:3:3</t>
  </si>
  <si>
    <t>Ongeacht de voorwaarden van de in lid 1 bedoelde regeling, kan de betrokkene zijn rechten uit hoofde van deze verordening met betrekking tot en jegens iedere verwerkingsverantwoordelijke uitoefenen.</t>
  </si>
  <si>
    <t>reglement</t>
  </si>
  <si>
    <t>zijn reglement</t>
  </si>
  <si>
    <t>32024R1689:67:6:4</t>
  </si>
  <si>
    <t>Het adviesforum stelt zijn reglement vast. Het kiest uit zijn leden twee covoorzitters, op basis van de criteria van lid 2. De ambtstermijn van de covoorzitters bedraagt twee jaar en kan…</t>
  </si>
  <si>
    <t>risico</t>
  </si>
  <si>
    <t>op de relevante omstandigheden en risico’s</t>
  </si>
  <si>
    <t>gedekt risico</t>
  </si>
  <si>
    <t>32024R1689:15:5:5</t>
  </si>
  <si>
    <t>…van het systeem. De technische oplossingen die gericht zijn op het waarborgen van de cyberbeveiliging van AI-systemen met een hoog risico sluiten aan op de relevante omstandigheden en risico’s. De technische oplossingen voor het aanpakken van AI-specifieke kwetsbaarheden omvatten, waar passend, maatregelen voor het voorkomen, traceren, reag…</t>
  </si>
  <si>
    <t>samenvattingen</t>
  </si>
  <si>
    <t>die jaarverslagen of de samenvattingen daarvan</t>
  </si>
  <si>
    <t>samenvatting</t>
  </si>
  <si>
    <t>samenvatting van een tekst</t>
  </si>
  <si>
    <t>32024R1689:57:16:31</t>
  </si>
  <si>
    <t>…ing van andere regelgeving van de Unie onder toezicht van de bevoegde autoriteiten binnen de testomgeving. De nationale bevoegde autoriteiten stellen die jaarverslagen of de samenvattingen daarvan online beschikbaar voor het publiek. De Commissie houdt in voorkomend geval rekening met de jaarverslagen bij de uitoefening van haar taken uit hoofd…</t>
  </si>
  <si>
    <t>schade</t>
  </si>
  <si>
    <t>32024R1689:60:9:4</t>
  </si>
  <si>
    <t>De aanbieder of potentiële aanbieder zijn aansprakelijk op grond van het toepasselijke Unie- en nationale aansprakelijkheidsrecht voor schade die tijdens het testen onder reële omstandigheden wordt veroorzaakt.</t>
  </si>
  <si>
    <t>stemrecht</t>
  </si>
  <si>
    <t>uitsluitend stemrecht</t>
  </si>
  <si>
    <t>32016R0679:68:6:7</t>
  </si>
  <si>
    <t>In de in artikel 65 bedoelde gevallen heeft de Europese Toezichthouder voor gegevensbescherming uitsluitend stemrecht bij besluiten over op de instellingen, organen en instanties van de Unie toepasselijke beginselen en regels die inhoudelijk met die van de onderhavig…</t>
  </si>
  <si>
    <t>technische documentatie</t>
  </si>
  <si>
    <t>De technische documentatie</t>
  </si>
  <si>
    <t>technisch documentatie</t>
  </si>
  <si>
    <t>32024R1689:11:1:6</t>
  </si>
  <si>
    <t>De technische documentatie van een AI-systeem met een hoog risico wordt opgesteld voordat dit systeem in de handel wordt gebracht of in gebruik wordt gesteld, en wordt geactual…</t>
  </si>
  <si>
    <t>tests</t>
  </si>
  <si>
    <t>test</t>
  </si>
  <si>
    <t>proef</t>
  </si>
  <si>
    <t>32024R1689:60:2:1</t>
  </si>
  <si>
    <t>…bieders kunnen zelf of in samenwerking met een of meer gebruiksverantwoordelijken of potentiële gebruiksverantwoordelijken onder reële omstandigheden tests uitvoeren op in bijlage III bedoelde AI-systemen met een hoog risico op elk moment vóór het in de handel brengen of in gebruik nemen van het AI-syste…</t>
  </si>
  <si>
    <t>vergoeding</t>
  </si>
  <si>
    <t>een vergoeding</t>
  </si>
  <si>
    <t>32024R1689:69:2:2</t>
  </si>
  <si>
    <t>De lidstaten kan worden voorgeschreven dat zij een vergoeding betalen voor het advies en de ondersteuning van de deskundigen. De structuur en de hoogte van de vergoedingen en de schaal en structuur van de invord…</t>
  </si>
  <si>
    <t>Deze verplichting</t>
  </si>
  <si>
    <t>32024R1689:26:5:10</t>
  </si>
  <si>
    <t>…chtautoriteiten van dat incident. Wanneer de gebruiksverantwoordelijke de aanbieder niet kan bereiken, is artikel 73 mutatis mutandis van toepassing. Deze verplichting geldt niet voor gevoelige operationele gegevens van gebruiksverantwoordelijke van AI-systemen die de hoedanigheid van rechtshandhavingsinstanties heb…</t>
  </si>
  <si>
    <t>verplichtingen</t>
  </si>
  <si>
    <t>aan de verplichtingen krachtens artikel 16</t>
  </si>
  <si>
    <t>32024R1689:25:3:11</t>
  </si>
  <si>
    <t>… harmonisatiewetgeving van de Unie, wordt de productfabrikant beschouwd als de aanbieder van het AI-systeem met een hoog risico en is hij onderworpen aan de verplichtingen krachtens artikel 16 in een van de volgende situaties: a) het AI-systeem met een hoog risico wordt samen met het product onder de naam of het merk van de productfabrikant…</t>
  </si>
  <si>
    <t>vertegenwoordiger</t>
  </si>
  <si>
    <t>Elke vertegenwoordiger</t>
  </si>
  <si>
    <t>handelsvertegenwoordiger</t>
  </si>
  <si>
    <t>32024R1689:65:3:1</t>
  </si>
  <si>
    <t>Elke vertegenwoordiger wordt door zijn lidstaat aangewezen voor een periode van drie jaar, die eenmaal kan worden verlengd.</t>
  </si>
  <si>
    <t>vertrouwelijke informatie</t>
  </si>
  <si>
    <t>vertrouwelijk informatie</t>
  </si>
  <si>
    <t>vertrouwelijkheid</t>
  </si>
  <si>
    <t>32024R1689:78:5:5</t>
  </si>
  <si>
    <t>De Commissie en de lidstaten kunnen zo nodig en met inachtneming van de relevante bepalingen van internationale overeenkomsten en handelsakkoorden vertrouwelijke informatie uitwisselen met regelgevingsinstanties van derde landen waarmee zij bilaterale of multilaterale vertrouwelijkheidsovereenkomsten hebben gesloten die …</t>
  </si>
  <si>
    <t>voorschriften</t>
  </si>
  <si>
    <t>de voorschriften</t>
  </si>
  <si>
    <t>32024R1689:99:1:1</t>
  </si>
  <si>
    <t>Overeenkomstig de voorwaarden van deze verordening stellen de lidstaten de voorschriften vast voor sancties en andere handhavingsmaatregelen, die ook waarschuwingen en niet-monetaire maatregelen kunnen omvatten, die van toepassing zijn op…</t>
  </si>
  <si>
    <t>wederzijdse bijstand</t>
  </si>
  <si>
    <t>bijstand</t>
  </si>
  <si>
    <t>wederzijds bijstand</t>
  </si>
  <si>
    <t>32016R0679:57:1:13</t>
  </si>
  <si>
    <t>…dere toezichthoudende autoriteit noodzakelijk is; g) zij werkt samen met andere toezichthoudende autoriteiten, onder meer door informatie te delen en wederzijdse bijstand te bieden, teneinde de samenhang in de toepassing en de handhaving van deze verordening te waarborgen; h) zij verricht onderzoeken naar de toepassing…</t>
  </si>
  <si>
    <t>aan betrokkenen te verstrekken informatie</t>
  </si>
  <si>
    <t>De krachtens de artikelen 13 en 14 aan betrokkenen te verstrekken informatie</t>
  </si>
  <si>
    <t>32016R0679:12:7:15</t>
  </si>
  <si>
    <t>De krachtens de artikelen 13 en 14 aan betrokkenen te verstrekken informatie mag worden verstrekt met gebruikmaking van gestandaardiseerde iconen, om de betrokkene een nuttig overzicht, in een goed zichtbare, begrijpelijke en …</t>
  </si>
  <si>
    <t>aan derden toegebrachte schade</t>
  </si>
  <si>
    <t>voor aan derden toegebrachte schade</t>
  </si>
  <si>
    <t>32024R1689:57:12:24</t>
  </si>
  <si>
    <t>…e deelnemen aan de AI-testomgeving voor regelgeving blijven aansprakelijk uit hoofde van het toepasselijke Unie- en nationale aansprakelijkheidsrecht voor aan derden toegebrachte schade als gevolg van de experimenten in de testomgeving. Als de potentiële aanbieders echter het specifieke plan alsmede de voorwaarden voor hun deelname e…</t>
  </si>
  <si>
    <t>aan verwerkingen verbonden risico</t>
  </si>
  <si>
    <t>het aan verwerkingen verbonden risico</t>
  </si>
  <si>
    <t>32016R0679:39:2:9</t>
  </si>
  <si>
    <t>De functionaris voor gegevensbescherming houdt bij de uitvoering van zijn taken naar behoren rekening met het aan verwerkingen verbonden risico, en met de aard, de omvang, de context en de verwerkingsdoeleinden.</t>
  </si>
  <si>
    <t>aanbieder of importeur van het systeem en de autoriteiten die bevoegd zijn voor het betreffende AI-systeem met een hoog risico</t>
  </si>
  <si>
    <t>de aanbieder of importeur van het systeem en de autoriteiten die bevoegd zijn voor het betreffende AI-systeem met een hoog risico</t>
  </si>
  <si>
    <t>aanbieder</t>
  </si>
  <si>
    <t>provider</t>
  </si>
  <si>
    <t>32024R1689:24:4:5</t>
  </si>
  <si>
    <t>…jke corrigerende maatregelen treft. Indien het AI-systeem met een hoog risico een risico vormt in de zin van artikel 79, lid 1, stelt de distributeur de aanbieder of importeur van het systeem en de autoriteiten die bevoegd zijn voor het betreffende AI-systeem met een hoog risico hiervan onmiddellijk in kennis, waarbij hij in het bijzonder de non-conformiteit en de eventueel getroffen corrigerende maatregelen uitvoerig beschri…</t>
  </si>
  <si>
    <t>aanbieder of potentiële aanbieder in afwijking van de voorwaarden onder reële omstandigheden test</t>
  </si>
  <si>
    <t>dat de aanbieder of potentiële aanbieder in afwijking van de voorwaarden van artikel 60, lid 4, punten f) en g), onder reële omstandigheden test</t>
  </si>
  <si>
    <t>32024R1689:76:2:2</t>
  </si>
  <si>
    <t>…ageleefd als onderdeel van hun toezichthoudende rol voor de AI-testomgeving voor regelgeving. Deze autoriteiten kunnen, in voorkomend geval, toestaan dat de aanbieder of potentiële aanbieder in afwijking van de voorwaarden van artikel 60, lid 4, punten f) en g), onder reële omstandigheden test.</t>
  </si>
  <si>
    <t>aanbieder van dat specifieke AI-systeem</t>
  </si>
  <si>
    <t>32024R1689:25:2:6</t>
  </si>
  <si>
    <t>…standigheden, wordt de aanbieder die het AI-systeem voor het eerst in de handel heeft gebracht of in gebruik heeft gesteld, niet langer beschouwd als aanbieder van dat specifieke AI-systeem voor de toepassing van deze verordening. Die oorspronkelijke aanbieder werkt nauw samen met nieuwe aanbieders, stelt de nodige informatie beschikbaar…</t>
  </si>
  <si>
    <t>aanbieder van een AI-systeem met een hoog risico</t>
  </si>
  <si>
    <t>als een aanbieder van een AI-systeem met een hoog risico</t>
  </si>
  <si>
    <t>32024R1689:25:1:1</t>
  </si>
  <si>
    <t>In de volgende omstandigheden wordt een distributeur, importeur, gebruiksverantwoordelijke of derde voor de toepassing van deze verordening beschouwd als een aanbieder van een AI-systeem met een hoog risico en is hij onderworpen aan de verplichtingen van de aanbieder uit hoofde van artikel 16: a) hij zet zijn naam of merk op een AI-systeem met een hoog r…</t>
  </si>
  <si>
    <t>aanbieders en potentiële aanbieders die deelnemen aan de AI-testomgeving voor regelgeving</t>
  </si>
  <si>
    <t>32024R1689:57:7:11</t>
  </si>
  <si>
    <t>De bevoegde autoriteiten begeleiden aanbieders en potentiële aanbieders die deelnemen aan de AI-testomgeving voor regelgeving met betrekking tot verwachtingen die voortvloeien uit de regelgeving en de wijze waarop aan de in deze verordening vastgestelde eisen en verplichting…</t>
  </si>
  <si>
    <t>aanbieders van AI-modellen voor algemene doeleinden</t>
  </si>
  <si>
    <t>alle aanbieders van AI-modellen voor algemene doeleinden</t>
  </si>
  <si>
    <t>32024R1689:56:7:14</t>
  </si>
  <si>
    <t>Het AI-bureau kan alle aanbieders van AI-modellen voor algemene doeleinden uitnodigen zich aan de praktijkcodes te houden. Voor aanbieders van AI-modellen voor algemene doeleinden die geen systeemrisico’s inhouden, kan deze …</t>
  </si>
  <si>
    <t>aanbieders van AI-modellen voor algemene doeleinden en relevante nationale bevoegde autoriteiten</t>
  </si>
  <si>
    <t>alle aanbieders van AI-modellen voor algemene doeleinden en relevante nationale bevoegde autoriteiten</t>
  </si>
  <si>
    <t>32024R1689:56:3:2</t>
  </si>
  <si>
    <t>Het AI-bureau kan alle aanbieders van AI-modellen voor algemene doeleinden en relevante nationale bevoegde autoriteiten uitnodigen om deel te nemen aan het opstellen van praktijkcodes. Maatschappelijke organisaties, het bedrijfsleven, de academische wereld en andere re…</t>
  </si>
  <si>
    <t>aanvullende informatie over de non-conformiteit van het AI-systeem waarover zij beschikken</t>
  </si>
  <si>
    <t>32024R1689:79:7:6</t>
  </si>
  <si>
    <t>…cedure heeft geïnitieerd, brengen de Commissie en de andere lidstaten zonder onnodige vertraging op de hoogte van door hen genomen maatregelen en van aanvullende informatie over de non-conformiteit van het AI-systeem waarover zij beschikken, en van hun bezwaren indien zij het niet eens zijn met de aangemelde nationale maatregel.</t>
  </si>
  <si>
    <t>adequate technische en administratieve ondersteuning</t>
  </si>
  <si>
    <t>32024R1689:71:6:6</t>
  </si>
  <si>
    <t>De Commissie is voor de EU-databank de verantwoordelijke voor de verwerking. Zij stelt adequate technische en administratieve ondersteuning ter beschikking van aanbieders, potentiële aanbieders en gebruiksverantwoordelijken. De EU-databank voldoet aan de toepasselijke toegankelijkheidseis…</t>
  </si>
  <si>
    <t>administratieve geldboeten</t>
  </si>
  <si>
    <t>32024R1689:99:3:7</t>
  </si>
  <si>
    <t>Voor de niet-naleving van het verbod op de in artikel 5 bedoelde AI-praktijken gelden administratieve geldboeten tot 35 000 000 EUR of, indien de overtreder een onderneming is, tot 7 % van haar totale wereldwijde jaarlijkse omzet voor het voorafgaande boekjaar, …</t>
  </si>
  <si>
    <t>administratieve geldboeten die worden opgelegd voor de inbreuken op deze verordening</t>
  </si>
  <si>
    <t>de administratieve geldboeten die uit hoofde van dit artikel worden opgelegd voor de in de leden 4, 5 en 6 vermelde inbreuken op deze verordening</t>
  </si>
  <si>
    <t>32016R0679:83:1:1</t>
  </si>
  <si>
    <t>Elke toezichthoudende autoriteit zorgt ervoor dat de administratieve geldboeten die uit hoofde van dit artikel worden opgelegd voor de in de leden 4, 5 en 6 vermelde inbreuken op deze verordening in elke zaak doeltreffend, evenredig en afschrikkend zijn.</t>
  </si>
  <si>
    <t>advies over de uitvoering</t>
  </si>
  <si>
    <t>begeleiding bij en advies over de uitvoering van deze verordening</t>
  </si>
  <si>
    <t>32024R1689:70:8:13</t>
  </si>
  <si>
    <t>Nationale bevoegde autoriteiten kunnen begeleiding bij en advies over de uitvoering van deze verordening verstrekken, met name aan kmo’s, met inbegrip van start-ups, rekening houdend met de begeleiding en het advies van de AI-board en, indien nodig, de C…</t>
  </si>
  <si>
    <t>advies van het Comité</t>
  </si>
  <si>
    <t>het advies van het Comité</t>
  </si>
  <si>
    <t>32016R0679:64:7:13</t>
  </si>
  <si>
    <t>De in lid 1 bedoelde toezichthoudende autoriteit houdt maximaal rekening met het advies van het Comité en deelt de voorzitter van het Comité binnen twee weken na ontvangst van het advies langs elektronische weg door middel van een standaardformulier me…</t>
  </si>
  <si>
    <t>adviezen, richtsnoeren, aanbevelingen</t>
  </si>
  <si>
    <t>zijn adviezen, richtsnoeren, aanbevelingen en beste praktijken</t>
  </si>
  <si>
    <t>32016R0679:70:3:24</t>
  </si>
  <si>
    <t>Het Comité zendt zijn adviezen, richtsnoeren, aanbevelingen en beste praktijken toe aan de Commissie en aan het in artikel 93 bedoelde comité en maakt deze bekend.</t>
  </si>
  <si>
    <t>afsluitend verslag</t>
  </si>
  <si>
    <t>een afsluitend verslag</t>
  </si>
  <si>
    <t>32024R1689:57:16:30</t>
  </si>
  <si>
    <t>…ng van de AI-testomgeving voor regelgeving en vervolgens elk jaar tot de beëindiging ervan, bij het AI-bureau en de AI-board jaarverslagen in, alsook een afsluitend verslag. In deze verslagen wordt informatie verstrekt over de vooruitgang en de resultaten met betrekking tot de uitvoering van die testomgevingen, met inbeg…</t>
  </si>
  <si>
    <t>als bedoeld dringend advies of dringend bindend besluit</t>
  </si>
  <si>
    <t>een als in de leden 2 en 3 bedoeld dringend advies of dringend bindend besluit</t>
  </si>
  <si>
    <t>32016R0679:66:4:5</t>
  </si>
  <si>
    <t>In afwijking van artikel 64, lid 3, en van artikel 65, lid 2, wordt een als in de leden 2 en 3 bedoeld dringend advies of dringend bindend besluit binnen twee weken met gewone meerderheid van de leden van het Comité vastgesteld.</t>
  </si>
  <si>
    <t>analytische, administratieve en logistieke ondersteuning</t>
  </si>
  <si>
    <t>32016R0679:75:5:3</t>
  </si>
  <si>
    <t>Het secretariaat biedt het Comité analytische, administratieve en logistieke ondersteuning.</t>
  </si>
  <si>
    <t>bevoegdheden tot het nemen van corrigerende maatregelen</t>
  </si>
  <si>
    <t>alle volgende bevoegdheden tot het nemen van corrigerende maatregelen</t>
  </si>
  <si>
    <t>32016R0679:58:2:8</t>
  </si>
  <si>
    <t>Elk toezichthoudende autoriteit heeft alle volgende bevoegdheden tot het nemen van corrigerende maatregelen: a) de verwerkingsverantwoordelijke of de verwerker waarschuwen dat met de voorgenomen verwerkingen waarschijnlijk inbreuk op bepalingen van deze ver…</t>
  </si>
  <si>
    <t>bevoegdheid om gedelegeerde handelingen vast te stellen</t>
  </si>
  <si>
    <t>De bevoegdheid om gedelegeerde handelingen vast te stellen</t>
  </si>
  <si>
    <t>32024R1689:97:1:1</t>
  </si>
  <si>
    <t>De bevoegdheid om gedelegeerde handelingen vast te stellen, wordt aan de Commissie toegekend onder de in dit artikel neergelegde voorwaarden.</t>
  </si>
  <si>
    <t>bindende beslissingen</t>
  </si>
  <si>
    <t>32016R0679:70:1:17</t>
  </si>
  <si>
    <t>…ikel 64, lid 1, bedoelde coherentiemechanisme over aangelegenheden die overeenkomstig artikel 64, lid 2, ter sprake worden gebracht en uitbrengen van bindende beslissingen overeenkomstig artikel 65, met inbegrip van de in artikel 66 bedoelde gevallen; u) bevorderen van samenwerking en effectieve bilaterale en multilater…</t>
  </si>
  <si>
    <t>communicatie met andere instellingen</t>
  </si>
  <si>
    <t>de communicatie met andere instellingen en het brede publiek</t>
  </si>
  <si>
    <t>communicatie</t>
  </si>
  <si>
    <t>communicatiebeleid</t>
  </si>
  <si>
    <t>32016R0679:75:6:6</t>
  </si>
  <si>
    <t>… met name belast met: a) de dagelijkse werking van het Comité; b) de communicatie tussen de leden van het Comité, zijn voorzitter en de Commissie; c) de communicatie met andere instellingen en het brede publiek; d) het gebruik van elektronische middelen voor interne en externe communicatie; e) de vertaling van relevante informatie; f) de voorbereiding en fol…</t>
  </si>
  <si>
    <t>communicatie tussen de leden van het Comité</t>
  </si>
  <si>
    <t>de communicatie tussen de leden van het Comité, zijn voorzitter en de Commissie</t>
  </si>
  <si>
    <t>32016R0679:75:6:5</t>
  </si>
  <si>
    <t>Het secretariaat is met name belast met: a) de dagelijkse werking van het Comité; b) de communicatie tussen de leden van het Comité, zijn voorzitter en de Commissie; c) de communicatie met andere instellingen en het brede publiek; d) het gebruik van elektronische middelen voor interne en externe communicatie; e) …</t>
  </si>
  <si>
    <t>coördinerende ondersteuning van gezamenlijke onderzoeken</t>
  </si>
  <si>
    <t>32024R1689:74:11:10</t>
  </si>
  <si>
    <t>… twee of meer lidstaten een ernstig risico blijken te vormen, overeenkomstig artikel 9 van Verordening (EU) 2019/1020. Het AI-bureau draagt zorg voor coördinerende ondersteuning van gezamenlijke onderzoeken.</t>
  </si>
  <si>
    <t>definitief besluit</t>
  </si>
  <si>
    <t>een definitief besluit</t>
  </si>
  <si>
    <t>32016R0679:65:6:12</t>
  </si>
  <si>
    <t>…val, de toezichthoudende autoriteit waarbij de klacht is ingediend, stelt onverwijld en uiterlijk binnen één maand na de kennisgeving door het Comité een definitief besluit vast op basis van het in lid 1 van dit artikel bedoelde besluit. De leidende toezichthoudende autoriteit of, in voorkomend geval, de toezichthoudende…</t>
  </si>
  <si>
    <t>definitieve besluit</t>
  </si>
  <si>
    <t>aan het definitieve besluit</t>
  </si>
  <si>
    <t>32016R0679:65:6:15</t>
  </si>
  <si>
    <t>…sluit overeenkomstig lid 5 van dit artikel zal worden bekendgemaakt op de website van het Comité. Het in lid 1 van dit artikel bedoelde besluit wordt aan het definitieve besluit gehecht.</t>
  </si>
  <si>
    <t>dezelfde verplichtingen inzake gegevensbescherming</t>
  </si>
  <si>
    <t>32016R0679:28:4:6</t>
  </si>
  <si>
    <t>…viteiten te verrichten, worden aan deze andere verwerker bij een overeenkomst of een andere rechtshandeling krachtens Unierecht of lidstatelijk recht dezelfde verplichtingen inzake gegevensbescherming opgelegd als die welke in de in lid 3 bedoelde overeenkomst of andere rechtshandeling tussen de verwerkingsverantwoordelijke en de verwerker zijn opg…</t>
  </si>
  <si>
    <t>diensten die aan het inzetten voorafgaan, zoals begeleiding bij de uitvoering op andere diensten die waarde toevoegen, zoals hulp bij normalisatiedocumenten en certificering, test- en experimenteervoorzieningen, Europese digitale-innovatiehubs en kenniscentra</t>
  </si>
  <si>
    <t>diensten die aan het inzetten voorafgaan, zoals begeleiding bij de uitvoering van deze verordening, op andere diensten die waarde toevoegen, zoals hulp bij normalisatiedocumenten en certificering, test- en experimenteervoorzieningen, Europese digitale-innovatiehubs en kenniscentra</t>
  </si>
  <si>
    <t>dienst</t>
  </si>
  <si>
    <t>diensten</t>
  </si>
  <si>
    <t>32024R1689:58:3:4</t>
  </si>
  <si>
    <t>Potentiële aanbieders in de AI-testomgevingen voor regelgeving, met name kmo’s en start-ups, worden, indien van toepassing, gewezen op diensten die aan het inzetten voorafgaan, zoals begeleiding bij de uitvoering van deze verordening, op andere diensten die waarde toevoegen, zoals hulp bij normalisatiedocumenten en certificering, test- en experimenteervoorzieningen, Europese digitale-innovatiehubs en kenniscentra.</t>
  </si>
  <si>
    <t>discretionaire bevoegdheden</t>
  </si>
  <si>
    <t>hun discretionaire bevoegdheden</t>
  </si>
  <si>
    <t>32024R1689:57:11:21</t>
  </si>
  <si>
    <t>…. De nationale bevoegde autoriteiten oefenen hun toezichtsbevoegdheden binnen de grenzen van het toepasselijk recht uit, waarbij zij gebruikmaken van hun discretionaire bevoegdheden bij de uitvoering van wettelijke bepalingen met betrekking tot een specifiek project inzake een AI-testomgeving voor regelgeving, met als doel innova…</t>
  </si>
  <si>
    <t>documentatie van de beoordeling</t>
  </si>
  <si>
    <t>de documentatie van de beoordeling</t>
  </si>
  <si>
    <t>32024R1689:6:4:2</t>
  </si>
  <si>
    <t>…nbieder is onderworpen aan de registratieverplichting van artikel 49, lid 2. Op verzoek van de nationale bevoegde autoriteiten verstrekt de aanbieder de documentatie van de beoordeling.</t>
  </si>
  <si>
    <t>documenten met betrekking tot die aanwijzingen</t>
  </si>
  <si>
    <t>alle documenten en certificaten met betrekking tot die aanwijzingen</t>
  </si>
  <si>
    <t>document</t>
  </si>
  <si>
    <t>32024R1689:29:4:5</t>
  </si>
  <si>
    <t>Voor aangemelde instanties die uit hoofde van andere harmonisatiewetgeving van de Unie zijn aangewezen, kunnen waar passend alle documenten en certificaten met betrekking tot die aanwijzingen worden gebruikt om hun aanwijzingsprocedure krachtens deze verordening te ondersteunen. Om de voor aangemelde instanties verantwoordelijke autoriteit…</t>
  </si>
  <si>
    <t>doeltreffende voorziening in rechte</t>
  </si>
  <si>
    <t>een doeltreffende voorziening in rechte</t>
  </si>
  <si>
    <t>voorziening</t>
  </si>
  <si>
    <t>32016R0679:78:1:1</t>
  </si>
  <si>
    <t>…heeft iedere natuurlijke persoon of rechtspersoon het recht om tegen een hem betreffend juridisch bindend besluit van een toezichthoudende autoriteit een doeltreffende voorziening in rechte in te stellen.</t>
  </si>
  <si>
    <t>door de aanbieder opgestelde documentatie of eventuele aanvullende informatie</t>
  </si>
  <si>
    <t>de door de aanbieder overeenkomstig de artikelen 53 en 55 opgestelde documentatie of eventuele aanvullende informatie</t>
  </si>
  <si>
    <t>32024R1689:91:1:1</t>
  </si>
  <si>
    <t>De Commissie kan de aanbieder van het betrokken AI-model voor algemene doeleinden verzoeken de door de aanbieder overeenkomstig de artikelen 53 en 55 opgestelde documentatie of eventuele aanvullende informatie te verstrekken die nodig is om te beoordelen of hij deze verordening naleeft.</t>
  </si>
  <si>
    <t>door elke lidstaat aangewezen deskundigen</t>
  </si>
  <si>
    <t>de door elke lidstaat aangewezen deskundigen</t>
  </si>
  <si>
    <t>32024R1689:97:4:6</t>
  </si>
  <si>
    <t>Vóór de vaststelling van een gedelegeerde handeling raadpleegt de Commissie de door elke lidstaat aangewezen deskundigen overeenkomstig de beginselen die zijn neergelegd in het Interinstitutioneel Akkoord van 13 april 2016 over beter wetgeven.</t>
  </si>
  <si>
    <t>door hen verkregen informatie vertrouwelijk wordt behandeld</t>
  </si>
  <si>
    <t>dat de door hen verkregen informatie overeenkomstig artikel 78 vertrouwelijk wordt behandeld</t>
  </si>
  <si>
    <t>32024R1689:28:6:10</t>
  </si>
  <si>
    <t>Aanmeldende autoriteiten waarborgen dat de door hen verkregen informatie overeenkomstig artikel 78 vertrouwelijk wordt behandeld.</t>
  </si>
  <si>
    <t>door het Comité vastgestelde besluiten</t>
  </si>
  <si>
    <t>de door het Comité overeenkomstig artikel 65 vastgestelde besluiten</t>
  </si>
  <si>
    <t>32016R0679:74:1:3</t>
  </si>
  <si>
    <t>…e voorzitter heeft de volgende taken: a) bijeenroepen van de bijeenkomsten van het Comité en het opstellen van zijn agenda; b) ter kennis brengen van de door het Comité overeenkomstig artikel 65 vastgestelde besluiten aan de leidende toezichthoudende autoriteit en de betrokken toezichthoudende autoriteiten; c) ervoor zorgen dat de taken van het Comité tijdig worden…</t>
  </si>
  <si>
    <t>dringend advies of een dringend bindend besluit</t>
  </si>
  <si>
    <t>een dringend advies of een dringend bindend besluit</t>
  </si>
  <si>
    <t>32016R0679:66:3:4</t>
  </si>
  <si>
    <t>Een toezichthoudende autoriteit kan het Comité met opgave van redenen, waaronder de redenen waarom er dringend moet worden opgetreden, om een dringend advies of een dringend bindend besluit verzoeken wanneer de bevoegde toezichthoudende autoriteit geen passende maatregel heeft genomen in een situatie waarin er dringend moet worden opgetr…</t>
  </si>
  <si>
    <t>effecten en mogelijke wisselwerking die voortvloeien uit de gecombineerde toepassing van de uiteengezette eisen</t>
  </si>
  <si>
    <t>de effecten en mogelijke wisselwerking die voortvloeien uit de gecombineerde toepassing van de in deze afdeling uiteengezette eisen</t>
  </si>
  <si>
    <t>effect</t>
  </si>
  <si>
    <t>effecten</t>
  </si>
  <si>
    <t>32024R1689:9:4:5</t>
  </si>
  <si>
    <t>Ten aanzien van de in lid 2, punt d), bedoelde risicobeheersmaatregelen wordt naar behoren rekening gehouden met de effecten en mogelijke wisselwerking die voortvloeien uit de gecombineerde toepassing van de in deze afdeling uiteengezette eisen, teneinde de risico’s doeltreffender tot een minimum te beperken en tegelijkertijd een passend evenwicht te bereiken bij de uitvoering van de maatreg…</t>
  </si>
  <si>
    <t>eigen reglement van orde</t>
  </si>
  <si>
    <t>zijn eigen reglement van orde en zijn eigen werkregelingen</t>
  </si>
  <si>
    <t>32016R0679:72:2:2</t>
  </si>
  <si>
    <t>Het Comité stelt met een tweederdemeerderheid van zijn leden zijn eigen reglement van orde en zijn eigen werkregelingen vast.</t>
  </si>
  <si>
    <t>enkel technisch document</t>
  </si>
  <si>
    <t>een enkel technisch document</t>
  </si>
  <si>
    <t>32024R1689:11:2:11</t>
  </si>
  <si>
    <t>…at valt onder de in bijlage I, afdeling A, opgenomen harmonisatiewetgeving van de Unie in de handel wordt gebracht of in gebruik wordt gesteld, wordt een enkel technisch document opgesteld dat alle informatie bevat zoals uiteengezet in lid 1, alsook de informatie die vereist is op grond van die rechtshandelingen.</t>
  </si>
  <si>
    <t>evaluatie van de praktijkcodes</t>
  </si>
  <si>
    <t>de evaluatie en aanpassing van de praktijkcodes</t>
  </si>
  <si>
    <t>32024R1689:56:8:17</t>
  </si>
  <si>
    <t>Het AI-bureau stimuleert en faciliteert in voorkomend geval ook de evaluatie en aanpassing van de praktijkcodes, met name wanneer er nieuwe normen worden ingesteld. Het AI-bureau helpt bij de beoordeling van de beschikbare normen.</t>
  </si>
  <si>
    <t>evaluaties van het betrokken AI-model voor algemene doeleinden</t>
  </si>
  <si>
    <t>32024R1689:92:1:1</t>
  </si>
  <si>
    <t>Het AI-bureau kan na raadpleging van de AI-board evaluaties van het betrokken AI-model voor algemene doeleinden verrichten teneinde: a) te beoordelen of de aanbieder voldoet aan de verplichtingen van deze verordening indien de op grond van artikel 91 verzamelde…</t>
  </si>
  <si>
    <t>exclusieve bevoegdheden voor toezicht op en handhaving</t>
  </si>
  <si>
    <t>exclusieve bevoegdheden voor toezicht op en handhaving van hoofdstuk V</t>
  </si>
  <si>
    <t>32024R1689:88:1:1</t>
  </si>
  <si>
    <t>De Commissie heeft exclusieve bevoegdheden voor toezicht op en handhaving van hoofdstuk V, rekening houdend met de procedurele waarborgen krachtens artikel 94. De Commissie belast het AI-bureau met de uitvoering van deze taken, onverminder…</t>
  </si>
  <si>
    <t>gemakkelijk te gebruiken informatie met betrekking tot deze verordening</t>
  </si>
  <si>
    <t>32024R1689:62:3:6</t>
  </si>
  <si>
    <t>…ordening vallen, zoals gespecificeerd door de AI-board in zijn verzoek; b) het ontwikkelen en in stand houden van een centraal informatieplatform dat gemakkelijk te gebruiken informatie met betrekking tot deze verordening biedt aan alle operatoren in de hele Unie; c) het organiseren van passende voorlichtingscampagnes om meer bekendheid te geven aan de uit deze verorde…</t>
  </si>
  <si>
    <t>gemeenschappelijke opleidingsprogramma's</t>
  </si>
  <si>
    <t>opleidingsprogramma</t>
  </si>
  <si>
    <t>onderwijsprogramma</t>
  </si>
  <si>
    <t>32016R0679:70:1:19</t>
  </si>
  <si>
    <t>… en effectieve bilaterale en multilaterale uitwisseling van informatie en beste praktijken tussen de toezichthoudende autoriteiten; v) bevorderen van gemeenschappelijke opleidingsprogramma's en vergemakkelijken van uitwisselingen van personeelsleden tussen de toezichthoudende autoriteiten, en waar passend, met de toezichthoudende autorite…</t>
  </si>
  <si>
    <t>gemeenschappelijke specificatie</t>
  </si>
  <si>
    <t>een gemeenschappelijke specificatie</t>
  </si>
  <si>
    <t>32024R1689:41:6:6</t>
  </si>
  <si>
    <t>Wanneer een lidstaat van oordeel is dat een gemeenschappelijke specificatie niet volledig aan de eisen van afdeling 2 van dit hoofdstuk of, in voorkomend geval, de verplichtingen van hoofdstuk V, afdelingen 2 en 3, voldoet, s…</t>
  </si>
  <si>
    <t>gevoelige informatie die zij in de loop van haar onderzoeken ontvangt</t>
  </si>
  <si>
    <t>alle gevoelige informatie die zij in de loop van haar onderzoeken op grond van dit artikel ontvangt</t>
  </si>
  <si>
    <t>32024R1689:37:3:3</t>
  </si>
  <si>
    <t>De Commissie ziet erop toe dat alle gevoelige informatie die zij in de loop van haar onderzoeken op grond van dit artikel ontvangt, overeenkomstig artikel 78 vertrouwelijk wordt behandeld.</t>
  </si>
  <si>
    <t>gevraagde informatie</t>
  </si>
  <si>
    <t>de gevraagde informatie</t>
  </si>
  <si>
    <t>32024R1689:91:5:4</t>
  </si>
  <si>
    <t>De aanbieders van het betrokken AI-model voor algemene doeleinden of hun vertegenwoordiger verstrekken de gevraagde informatie. In het geval van rechtspersonen, bedrijven of firma’s, of indien de aanbieder geen rechtspersoonlijkheid heeft, verstrekken de personen die krachten…</t>
  </si>
  <si>
    <t>gezamenlijke vertegenwoordiger</t>
  </si>
  <si>
    <t>een gezamenlijke vertegenwoordiger</t>
  </si>
  <si>
    <t>32016R0679:68:4:2</t>
  </si>
  <si>
    <t>… autoriteit belast is met het toezicht op de toepassing van de bepalingen krachtens deze verordening, wordt overeenkomstig het recht van die lidstaat een gezamenlijke vertegenwoordiger aangewezen.</t>
  </si>
  <si>
    <t>informatie die het relevant acht om vast te stellen of een AI-systeem met een hoog risico non-conform is</t>
  </si>
  <si>
    <t>alle informatie die het relevant acht om vast te stellen of een AI-systeem met een hoog risico non-conform is</t>
  </si>
  <si>
    <t>32024R1689:75:3:3</t>
  </si>
  <si>
    <t>…t die informatie wordt afgedwongen. In dat geval verstrekt het AI-bureau de verzoekende autoriteit onverwijld, en in ieder geval binnen dertig dagen, alle informatie die het relevant acht om vast te stellen of een AI-systeem met een hoog risico non-conform is. Markttoezichtautoriteiten waarborgen dat de door hen verkregen informatie overeenkomstig artikel 78 van deze verordening vertrouwelijk wordt behande…</t>
  </si>
  <si>
    <t>informatie die is</t>
  </si>
  <si>
    <t>de informatie die is vervat in bijlage V</t>
  </si>
  <si>
    <t>32024R1689:47:2:5</t>
  </si>
  <si>
    <t>…vermeld dat het betreffende AI-systeem met een hoog risico aan de in afdeling 2 beschreven voorschriften voldoet. De EU-conformiteitsverklaring bevat de informatie die is vervat in bijlage V en wordt vertaald in een taal die de nationale bevoegde autoriteiten van de lidstaten waarin het AI-systeem met een hoog risico in de handel wordt ge…</t>
  </si>
  <si>
    <t>informatie die nodig is om aan te tonen dat aan de desbetreffende eis is voldaan</t>
  </si>
  <si>
    <t>de informatie die nodig is om aan te tonen dat aan de desbetreffende eis is voldaan</t>
  </si>
  <si>
    <t>32024R1689:52:1:3</t>
  </si>
  <si>
    <t>… in ieder geval binnen twee weken nadat aan die eis is voldaan of nadat bekend is geworden dat aan die eis zal worden voldaan. Die kennisgeving bevat de informatie die nodig is om aan te tonen dat aan de desbetreffende eis is voldaan. Als de Commissie kennis krijgt van een AI-model voor algemene doeleinden dat systeemrisico’s vertoont waarvan zij niet in kennis is gesteld, kan zij…</t>
  </si>
  <si>
    <t>informatie die vereist is voor de identificatie van de harmonisatiewetgeving van de Unie waarop de verklaring betrekking heeft</t>
  </si>
  <si>
    <t>alle informatie die vereist is voor de identificatie van de harmonisatiewetgeving van de Unie waarop de verklaring betrekking heeft</t>
  </si>
  <si>
    <t>32024R1689:47:3:9</t>
  </si>
  <si>
    <t>… één EU-conformiteitsverklaring ten aanzien van alle op het AI-systeem met een hoog risico toepasselijke Uniewetgeving opgesteld. De verklaring bevat alle informatie die vereist is voor de identificatie van de harmonisatiewetgeving van de Unie waarop de verklaring betrekking heeft.</t>
  </si>
  <si>
    <t>informatie die wordt verstrekt</t>
  </si>
  <si>
    <t>de informatie die op grond van artikel 13 van deze verordening wordt verstrekt</t>
  </si>
  <si>
    <t>32024R1689:26:9:18</t>
  </si>
  <si>
    <t>Indien van toepassing, gebruiken gebruiksverantwoordelijken van AI-systemen met een hoog risico de informatie die op grond van artikel 13 van deze verordening wordt verstrekt om hun verplichting na te komen om een gegevensbeschermingseffectbeoordeling uit te voeren op grond van artikel 35 van Verordening (EU) 2016/679 of a…</t>
  </si>
  <si>
    <t>informatie die zij tijdens conformiteitsbeoordelingsactiviteiten in hun bezit krijgen</t>
  </si>
  <si>
    <t>de informatie die zij tijdens conformiteitsbeoordelingsactiviteiten in hun bezit krijgen</t>
  </si>
  <si>
    <t>32024R1689:31:7:8</t>
  </si>
  <si>
    <t>… hun personeel, comités, dochterondernemingen, onderaannemers, geassocieerde instanties of personeel van externe instanties overeenkomstig artikel 78 de informatie die zij tijdens conformiteitsbeoordelingsactiviteiten in hun bezit krijgen vertrouwelijk houden, behalve wanneer de openbaarmaking ervan wettelijk vereist is. Het personeel van aangemelde instanties is gebonden aan het beroe…</t>
  </si>
  <si>
    <t>informatie en documentatie die noodzakelijk is om de overeenstemming van het AI-systeem met een hoog risico met de eisen aan te tonen</t>
  </si>
  <si>
    <t>alle informatie en documentatie die noodzakelijk is om de overeenstemming van het AI-systeem met een hoog risico met de eisen van afdeling 2 aan te tonen</t>
  </si>
  <si>
    <t>32024R1689:21:1:1</t>
  </si>
  <si>
    <t>Op een met redenen omkleed verzoek van een bevoegde autoriteit, verstrekken aanbieders van AI-systemen met een hoog risico die autoriteit alle informatie en documentatie die noodzakelijk is om de overeenstemming van het AI-systeem met een hoog risico met de eisen van afdeling 2 aan te tonen, in een eenvoudig door de instantie te begrijpen en door de betrokken lidstaat gekozen officiële taal van de instellingen van de Unie.</t>
  </si>
  <si>
    <t>Informatie of documentatie die overheidsinstanties of -organen wordt verkregen</t>
  </si>
  <si>
    <t>Informatie of documentatie die op grond van dit artikel door de in lid 1 van dit artikel bedoelde overheidsinstanties of -organen wordt verkregen</t>
  </si>
  <si>
    <t>32024R1689:77:4:10</t>
  </si>
  <si>
    <t>Informatie of documentatie die op grond van dit artikel door de in lid 1 van dit artikel bedoelde overheidsinstanties of -organen wordt verkregen, wordt verwerkt overeenkomstig de in artikel 78 beschreven vertrouwelijkheidsverplichtingen.</t>
  </si>
  <si>
    <t>informatie over dat andere doel en alle relevante verdere informatie</t>
  </si>
  <si>
    <t>informatie over dat andere doel en alle relevante verdere informatie als bedoeld in lid 2</t>
  </si>
  <si>
    <t>32016R0679:13:3:8</t>
  </si>
  <si>
    <t>…n ander doel dan dat waarvoor de persoonsgegevens zijn verzameld, verstrekt de verwerkingsverantwoordelijke de betrokkene vóór die verdere verwerking informatie over dat andere doel en alle relevante verdere informatie als bedoeld in lid 2.</t>
  </si>
  <si>
    <t>informatie over deze ontvangers</t>
  </si>
  <si>
    <t>32016R0679:19:whole:2</t>
  </si>
  <si>
    <t>… 17, lid 1, en artikel 18, tenzij dit onmogelijk blijkt of onevenredig veel inspanning vergt. De verwerkingsverantwoordelijke verstrekt de betrokkene informatie over deze ontvangers indien de betrokkene hierom verzoekt.</t>
  </si>
  <si>
    <t>Informatie over geldboeten die zijn opgelegd</t>
  </si>
  <si>
    <t>Informatie over geldboeten die uit hoofde van dit artikel zijn opgelegd</t>
  </si>
  <si>
    <t>32024R1689:101:4:7</t>
  </si>
  <si>
    <t>Informatie over geldboeten die uit hoofde van dit artikel zijn opgelegd, wordt in voorkomend geval ook aan de AI-board meegedeeld.</t>
  </si>
  <si>
    <t>informatie over het gevolg dat aan het verzoek is gegeven</t>
  </si>
  <si>
    <t>32016R0679:12:3:3</t>
  </si>
  <si>
    <t>…oordelijke verstrekt de betrokkene onverwijld en in ieder geval binnen een maand na ontvangst van het verzoek krachtens de artikelen 15 tot en met 22 informatie over het gevolg dat aan het verzoek is gegeven. Afhankelijk van de complexiteit van de verzoeken en van het aantal verzoeken kan die termijn indien nodig met nog eens twee maanden worden verlengd.…</t>
  </si>
  <si>
    <t>informatie waar de toezichthoudende autoriteit om verzoekt</t>
  </si>
  <si>
    <t>alle andere informatie waar de toezichthoudende autoriteit om verzoekt</t>
  </si>
  <si>
    <t>32016R0679:36:3:8</t>
  </si>
  <si>
    <t>…de contactgegevens van de functionaris voor gegevensbescherming; e) de gegevensbeschermingseffectbeoordeling waarin bij artikel 35 is voorzien; en f) alle andere informatie waar de toezichthoudende autoriteit om verzoekt.</t>
  </si>
  <si>
    <t>informatie, en het verstrekken van de communicatie en het treffen van de maatregelen</t>
  </si>
  <si>
    <t>Het verstrekken van de in de artikelen 13 en 14 bedoelde informatie, en het verstrekken van de communicatie en het treffen van de maatregelen bedoeld in de artikelen 15 tot en met 22 en artikel 34</t>
  </si>
  <si>
    <t>32016R0679:12:5:12</t>
  </si>
  <si>
    <t>Het verstrekken van de in de artikelen 13 en 14 bedoelde informatie, en het verstrekken van de communicatie en het treffen van de maatregelen bedoeld in de artikelen 15 tot en met 22 en artikel 34 geschieden kosteloos. Wanneer verzoeken van een betrokkene kennelijk ongegrond of buitensporig zijn, met name vanwege hun repetitieve karakter, mag d…</t>
  </si>
  <si>
    <t>jaarverslag over zijn activiteiten</t>
  </si>
  <si>
    <t>een jaarverslag over zijn activiteiten</t>
  </si>
  <si>
    <t>32024R1689:67:10:12</t>
  </si>
  <si>
    <t>Het adviesforum stelt een jaarverslag over zijn activiteiten op. Dat verslag wordt openbaar gemaakt.</t>
  </si>
  <si>
    <t>korte samenvatting van het in de testomgeving ontwikkelde AI-project en de doelstellingen en verwachte resultaten</t>
  </si>
  <si>
    <t>een korte samenvatting van het in de testomgeving ontwikkelde AI-project en de doelstellingen en verwachte resultaten ervan</t>
  </si>
  <si>
    <t>32024R1689:59:1:12</t>
  </si>
  <si>
    <t>…ten en valideren van het AI-systeem wordt samen met de testresultaten bewaard als onderdeel van de in bijlage IV bedoelde technische documentatie; j) een korte samenvatting van het in de testomgeving ontwikkelde AI-project en de doelstellingen en verwachte resultaten ervan worden op de website van de bevoegde autoriteiten gepubliceerd; deze verplichting heeft geen betrekking op gevoelige operationele gegevens in verband…</t>
  </si>
  <si>
    <t>krachtens deze verordening opgestelde of bijgehouden documentatie</t>
  </si>
  <si>
    <t>verordening (EU)</t>
  </si>
  <si>
    <t>32024R1689:77:1:1</t>
  </si>
  <si>
    <t>…iscriminatie, met betrekking tot het gebruik van de in bijlage III vermelde AI-systemen met een hoog risico controleren of handhaven, zijn bevoegd om krachtens deze verordening opgestelde of bijgehouden documentatie in een toegankelijke taal en een toegankelijk formaat aan te vragen en in te zien wanneer toegang tot die documentatie nodig is voor het doeltreffend…</t>
  </si>
  <si>
    <t>nodige documentatie</t>
  </si>
  <si>
    <t>alle nodige documentatie</t>
  </si>
  <si>
    <t>32016R0679:70:1:15</t>
  </si>
  <si>
    <t>…toren in dat derde land, of een internationale organisatie geen passend beschermingsniveau meer garandeert. Daartoe verstrekt de Commissie het Comité alle nodige documentatie, met inbegrip van correspondentie met de overheid van het derde land, ten aanzien van derde land, gebied of nader bepaalde sector of met de internati…</t>
  </si>
  <si>
    <t>nodige informatie</t>
  </si>
  <si>
    <t>de nodige informatie</t>
  </si>
  <si>
    <t>32024R1689:25:2:8</t>
  </si>
  <si>
    <t>…er van dat specifieke AI-systeem voor de toepassing van deze verordening. Die oorspronkelijke aanbieder werkt nauw samen met nieuwe aanbieders, stelt de nodige informatie beschikbaar en verstrekt de redelijkerwijs verwachte technische toegang en andere bijstand die nodig zijn om te voldoen aan de verplichtingen van dez…</t>
  </si>
  <si>
    <t>noodzakelijke en evenredige waarborgen</t>
  </si>
  <si>
    <t>noodzakelijke en evenredige waarborgen en voorwaarden</t>
  </si>
  <si>
    <t>waarborg</t>
  </si>
  <si>
    <t>vooruitbetaling</t>
  </si>
  <si>
    <t>32024R1689:5:2:1</t>
  </si>
  <si>
    <t>… in openbare ruimten met het oog op de rechtshandhaving voor de in lid 1, eerste alinea, punt h), genoemde doelstellingen in overeenstemming zijn met noodzakelijke en evenredige waarborgen en voorwaarden in verband met het gebruik in overeenstemming met het nationale recht dat het gebruik ervan toelaat, en met name ten aanzien van de beperking in de t…</t>
  </si>
  <si>
    <t>noodzakelijke, op heldere en begrijpelijke wijze gestelde informatie</t>
  </si>
  <si>
    <t>over de noodzakelijke, op heldere en begrijpelijke wijze gestelde informatie</t>
  </si>
  <si>
    <t>32024R1689:11:1:9</t>
  </si>
  <si>
    <t>…t AI-systeem met een hoog risico in overeenstemming is met de eisen van deze afdeling en dat nationale bevoegde autoriteiten en aangemelde instanties over de noodzakelijke, op heldere en begrijpelijke wijze gestelde informatie beschikken om de overeenstemming van het AI-systeem met deze voorschriften te kunnen beoordelen. De documentatie omvat ten minste de in bijlage IV ui…</t>
  </si>
  <si>
    <t>objectieve en participatieve methodologie</t>
  </si>
  <si>
    <t>een objectieve en participatieve methodologie</t>
  </si>
  <si>
    <t>methodologie</t>
  </si>
  <si>
    <t>onderzoeksmethode</t>
  </si>
  <si>
    <t>32024R1689:112:11:19</t>
  </si>
  <si>
    <t>Om de evaluaties en toetsingen als bedoeld in de leden 1 tot en met 7 van dit artikel uit te voeren, ontwikkelt het AI-bureau een objectieve en participatieve methodologie voor de evaluatie van de risiconiveaus, op basis van de in de desbetreffende artikelen beschreven criteria en opname van nieuwe systemen in: a) de li…</t>
  </si>
  <si>
    <t>onafhankelijk technisch of wetenschappelijk advies</t>
  </si>
  <si>
    <t>32024R1689:84:2:2</t>
  </si>
  <si>
    <t>Onverminderd de in lid 1 bedoelde taken, verstrekken de ondersteunende AI-teststructuren van de Unie ook onafhankelijk technisch of wetenschappelijk advies op verzoek van de AI-board, de Commissie of markttoezichtautoriteiten.</t>
  </si>
  <si>
    <t>op de markt aanbieden van het model</t>
  </si>
  <si>
    <t>het op de markt aanbieden van het model</t>
  </si>
  <si>
    <t>markt</t>
  </si>
  <si>
    <t>32024R1689:93:1:3</t>
  </si>
  <si>
    <t>…overeenkomstig artikel 92 verrichte evaluatie aanleiding heeft gegeven tot ernstige en concrete aanwijzingen voor een systeemrisico op Unieniveau; c) het op de markt aanbieden van het model te beperken, dan wel het uit de handel te nemen of terug te roepen.</t>
  </si>
  <si>
    <t>passende procedurele waarborgen overeenkomstig het Unierecht en het lidstatelijke recht, waaronder een doeltreffende voorziening in rechte en eerlijke rechtsbedeling</t>
  </si>
  <si>
    <t>32016R0679:83:8:9</t>
  </si>
  <si>
    <t>De uitoefening door de toezichthoudende autoriteit van haar bevoegdheden uit hoofde van dit artikel is onderworpen aan passende procedurele waarborgen overeenkomstig het Unierecht en het lidstatelijke recht, waaronder een doeltreffende voorziening in rechte en eerlijke rechtsbedeling.</t>
  </si>
  <si>
    <t>passende voorlichtingscampagnes</t>
  </si>
  <si>
    <t>voorlichtingscampagne</t>
  </si>
  <si>
    <t>bewustmaking van de burgers</t>
  </si>
  <si>
    <t>32024R1689:62:3:7</t>
  </si>
  <si>
    <t>…latform dat gemakkelijk te gebruiken informatie met betrekking tot deze verordening biedt aan alle operatoren in de hele Unie; c) het organiseren van passende voorlichtingscampagnes om meer bekendheid te geven aan de uit deze verordening voortvloeiende verplichtingen; d) het evalueren en bevorderen van de convergentie van beste p…</t>
  </si>
  <si>
    <t>passende voorstellen</t>
  </si>
  <si>
    <t>voorstel</t>
  </si>
  <si>
    <t>voorstel (EU)</t>
  </si>
  <si>
    <t>32024R1689:112:10:18</t>
  </si>
  <si>
    <t>Indien nodig dient de Commissie passende voorstellen in teneinde deze verordening te wijzigen, met name rekening houdend met ontwikkelingen in de technologie, het effect van AI-systemen op gezondheid en…</t>
  </si>
  <si>
    <t>passende waarborgen</t>
  </si>
  <si>
    <t>de passende waarborgen</t>
  </si>
  <si>
    <t>32016R0679:15:2:3</t>
  </si>
  <si>
    <t>…rsoonsgegevens worden doorgegeven aan een derde land of een internationale organisatie, heeft de betrokkene het recht in kennis te worden gesteld van de passende waarborgen overeenkomstig artikel 46 inzake de doorgifte.</t>
  </si>
  <si>
    <t>personeelslid van de verwerkingsverantwoordelijke</t>
  </si>
  <si>
    <t>een personeelslid van de verwerkingsverantwoordelijke of de verwerker</t>
  </si>
  <si>
    <t>personeelslid</t>
  </si>
  <si>
    <t>personeelslid (EU)</t>
  </si>
  <si>
    <t>32016R0679:37:6:8</t>
  </si>
  <si>
    <t>De functionaris voor gegevensbescherming kan een personeelslid van de verwerkingsverantwoordelijke of de verwerker zijn, of kan de taken op grond van een dienstverleningsovereenkomst verrichten.</t>
  </si>
  <si>
    <t>recht op bescherming van persoonsgegevens</t>
  </si>
  <si>
    <t>het recht op bescherming van persoonsgegevens</t>
  </si>
  <si>
    <t>32016R0679:85:1:1</t>
  </si>
  <si>
    <t>De lidstaten brengen het recht op bescherming van persoonsgegevens overeenkomstig deze verordening wettelijk in overeenstemming met het recht op vrijheid van meningsuiting en van informatie, daaronder begrepen de ver…</t>
  </si>
  <si>
    <t>recht op schadevergoeding</t>
  </si>
  <si>
    <t>het in artikel 82 bedoelde recht op schadevergoeding</t>
  </si>
  <si>
    <t>32016R0679:80:1:3</t>
  </si>
  <si>
    <t>…sgegevens, opdracht te geven de klacht namens hem in te dienen, namens hem de in artikelen 77, 78 en 79 bedoelde rechten uit te oefenen en namens hem het in artikel 82 bedoelde recht op schadevergoeding uit te oefenen, indien het lidstatelijke recht daarin voorziet.</t>
  </si>
  <si>
    <t>recht staat van de ontvangende toezichthoudende autoriteit</t>
  </si>
  <si>
    <t>het recht van de lidstaat van de ontvangende toezichthoudende autoriteit</t>
  </si>
  <si>
    <t>32016R0679:62:3:6</t>
  </si>
  <si>
    <t>…van de ontvangende toezichthoudende autoriteit. De leden of de personeelsleden van de ondersteunende toezichthoudende autoriteit zijn onderworpen aan het recht van de lidstaat van de ontvangende toezichthoudende autoriteit.</t>
  </si>
  <si>
    <t>recht van bezwaar</t>
  </si>
  <si>
    <t>zijn recht van bezwaar</t>
  </si>
  <si>
    <t>32016R0679:21:5:5</t>
  </si>
  <si>
    <t>In het kader van het gebruik van diensten van de informatiemaatschappij, en niettegenstaande Richtlijn 2002/58/EG, mag de betrokkene zijn recht van bezwaar uitoefenen via geautomatiseerde procedés waarbij wordt gebruikgemaakt van technische specificaties.</t>
  </si>
  <si>
    <t>recht van verdediging van de partijen</t>
  </si>
  <si>
    <t>Het recht van verdediging van de partijen</t>
  </si>
  <si>
    <t>32024R1689:100:5:8</t>
  </si>
  <si>
    <t>Het recht van verdediging van de partijen wordt in de loop van de procedure ten volle geëerbiedigd. Zij hebben recht op toegang tot het dossier van de Europese Toezichthouder voor gegevensbes…</t>
  </si>
  <si>
    <t>rechterlijke uitspraak en elk besluit van een administratieve autoriteit van een derde land op grond waarvan een verwerkingsverantwoordelijke of een verwerker persoonsgegevens moet doorgeven of verstrekken</t>
  </si>
  <si>
    <t>Elke rechterlijke uitspraak en elk besluit van een administratieve autoriteit van een derde land op grond waarvan een verwerkingsverantwoordelijke of een verwerker persoonsgegevens moet doorgeven of verstrekken</t>
  </si>
  <si>
    <t>uitspraak</t>
  </si>
  <si>
    <t>taalwetenschap</t>
  </si>
  <si>
    <t>32016R0679:48:whole:1</t>
  </si>
  <si>
    <t>Elke rechterlijke uitspraak en elk besluit van een administratieve autoriteit van een derde land op grond waarvan een verwerkingsverantwoordelijke of een verwerker persoonsgegevens moet doorgeven of verstrekken, mag alleen op enigerlei wijze worden erkend of afdwingbaar zijn indien zij gebaseerd zijn op een internationale overeenkomst, zoals een verdrag inza…</t>
  </si>
  <si>
    <t>redelijke vergoeding</t>
  </si>
  <si>
    <t>een redelijke vergoeding</t>
  </si>
  <si>
    <t>32016R0679:12:5:9</t>
  </si>
  <si>
    <t>…van een betrokkene kennelijk ongegrond of buitensporig zijn, met name vanwege hun repetitieve karakter, mag de verwerkingsverantwoordelijke ofwel: a) een redelijke vergoeding aanrekenen in het licht van de administratieve kosten waarmee het verstrekken van de gevraagde informatie of communicatie en het treffen van de gevra…</t>
  </si>
  <si>
    <t>reglement van orde van de AI-board</t>
  </si>
  <si>
    <t>het reglement van orde van de AI-board</t>
  </si>
  <si>
    <t>32024R1689:65:5:2</t>
  </si>
  <si>
    <t>De aangewezen vertegenwoordigers van de lidstaten stellen het reglement van orde van de AI-board met een tweederdemeerderheid vast. In het reglement van orde worden met name procedures vastgelegd voor de selectieprocedure, de duur van het mandaat…</t>
  </si>
  <si>
    <t>reikwijdte van de verplichtingen en rechten</t>
  </si>
  <si>
    <t>De reikwijdte van de verplichtingen en rechten als bedoeld in de artikelen 12 tot en met 22 en artikel 34, alsmede in artikel 5</t>
  </si>
  <si>
    <t>32016R0679:23:1:1</t>
  </si>
  <si>
    <t>De reikwijdte van de verplichtingen en rechten als bedoeld in de artikelen 12 tot en met 22 en artikel 34, alsmede in artikel 5 kan, voor zover de bepalingen van die artikelen overeenstemmen met de rechten en verplichtingen als bedoeld in de artikelen 12 tot en met 20, worden …</t>
  </si>
  <si>
    <t>relevante documentatie, waaronder de documentatie van de aanbieder</t>
  </si>
  <si>
    <t>alle relevante documentatie, waaronder de documentatie van de aanbieder</t>
  </si>
  <si>
    <t>32024R1689:34:3:5</t>
  </si>
  <si>
    <t>Aangemelde instanties stellen alle relevante documentatie, waaronder de documentatie van de aanbieder, ter beschikking van de in artikel 28 bedoelde aanmeldende autoriteit, en verstrekken die aan haar op verzoek, teneinde haar in staat te stellen haar…</t>
  </si>
  <si>
    <t>relevante informatie</t>
  </si>
  <si>
    <t>alle relevante informatie</t>
  </si>
  <si>
    <t>32024R1689:37:2:2</t>
  </si>
  <si>
    <t>De aanmeldende autoriteit verstrekt de Commissie op verzoek alle relevante informatie over de aanmelding of het op peil houden van de bekwaamheid van de betrokken aangemelde instantie.</t>
  </si>
  <si>
    <t>relevante informatie over de aangelegenheid</t>
  </si>
  <si>
    <t>alle relevante informatie over de aangelegenheid</t>
  </si>
  <si>
    <t>32016R0679:60:3:5</t>
  </si>
  <si>
    <t>De leidende toezichthoudende autoriteit deelt onverwijld alle relevante informatie over de aangelegenheid mee aan de andere betrokken toezichthoudende autoriteiten. Zij legt de andere betrokken toezichthoudende autoriteiten onverwijld te hunner beoordelin…</t>
  </si>
  <si>
    <t>relevante informatie over de certificaten waarvan zij de schorsing of intrekking heeft gelast</t>
  </si>
  <si>
    <t>alle relevante informatie over de certificaten waarvan zij de schorsing of intrekking heeft gelast</t>
  </si>
  <si>
    <t>32024R1689:36:7:25</t>
  </si>
  <si>
    <t>… verstrekt de aanmeldende autoriteit de nationale bevoegde autoriteiten van de lidstaat waar de aanbieder zijn geregistreerde vestigingsplaats heeft, alle relevante informatie over de certificaten waarvan zij de schorsing of intrekking heeft gelast; die autoriteit neemt de gepaste maatregelen die nodig zijn om een mogelijk risico voor de gezondheid, veiligheid of grondrechten af te wenden.</t>
  </si>
  <si>
    <t>relevante informatie over negatieve conformiteitsbeoordelingsresultaten</t>
  </si>
  <si>
    <t>32024R1689:45:3:11</t>
  </si>
  <si>
    <t>…tantie verstrekt de andere aangemelde instanties die soortgelijke conformiteitsbeoordelingsactiviteiten voor dezelfde soorten AI-systemen verrichten, relevante informatie over negatieve conformiteitsbeoordelingsresultaten, en op verzoek ook over positieve conformiteitsbeoordelingsresultaten.</t>
  </si>
  <si>
    <t>restrictievere wetgeving inzake het gebruik van systemen voor biometrische identificatie op afstand</t>
  </si>
  <si>
    <t>wetgeving</t>
  </si>
  <si>
    <t>32024R1689:5:5:12</t>
  </si>
  <si>
    <t>…ten stellen de Commissie uiterlijk dertig dagen na de vaststelling van die regels in kennis. De lidstaten kunnen in overeenstemming met het Unierecht restrictievere wetgeving inzake het gebruik van systemen voor biometrische identificatie op afstand invoeren.</t>
  </si>
  <si>
    <t>schade die door verwerking is veroorzaakt</t>
  </si>
  <si>
    <t>de schade die door verwerking is veroorzaakt</t>
  </si>
  <si>
    <t>32016R0679:82:2:3</t>
  </si>
  <si>
    <t>…aansprakelijk voor de schade die wordt veroorzaakt door verwerking die inbreuk maakt op deze verordening. Een verwerker is slechts aansprakelijk voor de schade die door verwerking is veroorzaakt wanneer bij de verwerking niet is voldaan aan de specifiek tot verwerkers gerichte verplichtingen van deze verordening of buiten dan wel in strijd me…</t>
  </si>
  <si>
    <t>schade die wordt veroorzaakt door verwerking die inbreuk maakt op deze verordening</t>
  </si>
  <si>
    <t>de schade die wordt veroorzaakt door verwerking die inbreuk maakt op deze verordening</t>
  </si>
  <si>
    <t>32016R0679:82:2:2</t>
  </si>
  <si>
    <t>Elke verwerkingsverantwoordelijke die bij verwerking is betrokken, is aansprakelijk voor de schade die wordt veroorzaakt door verwerking die inbreuk maakt op deze verordening. Een verwerker is slechts aansprakelijk voor de schade die door verwerking is veroorzaakt wanneer bij de verwerking niet is voldaan aan de specifiek …</t>
  </si>
  <si>
    <t>schriftelijk bewijs van de met succes in de testomgeving uitgevoerde activiteiten</t>
  </si>
  <si>
    <t>een schriftelijk bewijs van de met succes in de testomgeving uitgevoerde activiteiten</t>
  </si>
  <si>
    <t>bewijs</t>
  </si>
  <si>
    <t>32024R1689:57:7:9</t>
  </si>
  <si>
    <t>… eisen en verplichtingen moet worden voldaan. Op verzoek van de aanbieder of potentiële aanbieder van het AI-systeem verstrekt de bevoegde autoriteit een schriftelijk bewijs van de met succes in de testomgeving uitgevoerde activiteiten. De bevoegde autoriteit verstrekt ook een eindverslag waarin de in de testomgeving uitgevoerde activiteiten en de daarmee verband houdende resultaten…</t>
  </si>
  <si>
    <t>Significante risico’s voor de gezondheid en veiligheid</t>
  </si>
  <si>
    <t>technische documentatie van een AI-systeem met een hoog risico</t>
  </si>
  <si>
    <t>De technische documentatie van een AI-systeem met een hoog risico</t>
  </si>
  <si>
    <t>32024R1689:11:1:5</t>
  </si>
  <si>
    <t>De technische documentatie van een AI-systeem met een hoog risico wordt opgesteld voordat dit systeem in de handel wordt gebracht of in gebruik wordt gesteld, en wordt geactualiseerd. De technische documentatie word…</t>
  </si>
  <si>
    <t>technische documentatie van het model</t>
  </si>
  <si>
    <t>de technische documentatie van het model</t>
  </si>
  <si>
    <t>32024R1689:53:1:1</t>
  </si>
  <si>
    <t>Aanbieders van AI-modellen voor algemene doeleinden moeten: a) de technische documentatie van het model opstellen en up-to-date houden, inclusief het trainings- en testproces en de resultaten van de evaluatie ervan, die ten minste de in bijlage XI verme…</t>
  </si>
  <si>
    <t>technische ondersteuning</t>
  </si>
  <si>
    <t>technische oplossingen doeltreffend, interoperabel, robuust en betrouwbaar zijn</t>
  </si>
  <si>
    <t>hun technische oplossingen doeltreffend, interoperabel, robuust en betrouwbaar zijn</t>
  </si>
  <si>
    <t>oplossing</t>
  </si>
  <si>
    <t>fysisch procédé</t>
  </si>
  <si>
    <t>32024R1689:50:2:1</t>
  </si>
  <si>
    <t>…teem worden gemarkeerd in een machineleesbaar formaat en detecteerbaar zijn als kunstmatig gegenereerd of gemanipuleerd. Aanbieders zorgen ervoor dat hun technische oplossingen doeltreffend, interoperabel, robuust en betrouwbaar zijn voor zover dat technisch haalbaar is, rekening houdend met de specifieke kenmerken en beperkingen van de verschillende soorten content, de uitvoering…</t>
  </si>
  <si>
    <t>tests onder reële omstandigheden</t>
  </si>
  <si>
    <t>de tests onder reële omstandigheden</t>
  </si>
  <si>
    <t>32024R1689:76:3:4</t>
  </si>
  <si>
    <t>…n de artikelen 60 en 61 bepaalde voorwaarden wordt voldaan, kan op haar grondgebied een van de volgende besluiten nemen, naargelang van het geval: a) de tests onder reële omstandigheden opschorten of beëindigen; b) aanbieders of potentiële aanbieders en gebruiksverantwoordelijken of potentiële gebruiksverantwoordelijken voorschrijven…</t>
  </si>
  <si>
    <t>toezichthoudende of corrigerende bevoegdheden van de bevoegde autoriteiten die toezicht houden binnen de testomgevingen</t>
  </si>
  <si>
    <t>de toezichthoudende of corrigerende bevoegdheden van de bevoegde autoriteiten die toezicht houden binnen de testomgevingen</t>
  </si>
  <si>
    <t>32024R1689:57:11:23</t>
  </si>
  <si>
    <t>De AI-testomgevingen voor regelgeving laten de toezichthoudende of corrigerende bevoegdheden van de bevoegde autoriteiten die toezicht houden binnen de testomgevingen onverlet, ook op regionaal of lokaal niveau. Significante risico’s voor de gezondheid en veiligheid en de grondrechten die tijdens het ontwikkelen en…</t>
  </si>
  <si>
    <t>uitgewisselde informatie</t>
  </si>
  <si>
    <t>De uitgewisselde informatie</t>
  </si>
  <si>
    <t>32016R0679:61:3:6</t>
  </si>
  <si>
    <t>Verzoeken om bijstand bevatten alle nodige informatie, waaronder het doel van en de redenen voor het verzoek. De uitgewisselde informatie wordt alleen gebruikt voor het doel waarvoor om die informatie is verzocht.</t>
  </si>
  <si>
    <t>van de volgende informatie</t>
  </si>
  <si>
    <t>die persoonsgegevens en van de volgende informatie</t>
  </si>
  <si>
    <t>32016R0679:15:1:2</t>
  </si>
  <si>
    <t>…tsluitsel te verkrijgen over het al dan niet verwerken van hem betreffende persoonsgegevens en, wanneer dat het geval is, om inzage te verkrijgen van die persoonsgegevens en van de volgende informatie: a) de verwerkingsdoeleinden; b) de betrokken categorieën van persoonsgegevens; c) de ontvangers of categorieën van ontvangers aan wie de persoonsgeg…</t>
  </si>
  <si>
    <t>vastgelegde bevoegdheden</t>
  </si>
  <si>
    <t>de in deze afdeling vastgelegde bevoegdheden</t>
  </si>
  <si>
    <t>32024R1689:90:2:2</t>
  </si>
  <si>
    <t>Naar aanleiding van een dergelijke gekwalificeerde waarschuwing kan de Commissie via het AI-Bureau, na de AI-board in kennis gesteld te hebben, de in deze afdeling vastgelegde bevoegdheden uitoefenen om de aangelegenheid te beoordelen. Het AI-bureau stelt de AI-board in kennis van elke maatregel overeenkomstig de artikelen 91 tot en met…</t>
  </si>
  <si>
    <t>vastgestelde en geëvalueerde risico’s</t>
  </si>
  <si>
    <t>van op grond van lid 2 vastgestelde en geëvalueerde risico’s</t>
  </si>
  <si>
    <t>32024R1689:9:5:8</t>
  </si>
  <si>
    <t>…aanvaardbaar wordt geacht. Bij het vaststellen van de passendste risicobeheersmaatregelen wordt het volgende gewaarborgd: a) uitsluiting of beperking van op grond van lid 2 vastgestelde en geëvalueerde risico’s voor zover technisch haalbaar door middel van een adequaat ontwerp en ontwikkeling van het AI-systeem met een hoog risico; b) waar passend worden ade…</t>
  </si>
  <si>
    <t>vereenvoudigd formulier voor technische documentatie</t>
  </si>
  <si>
    <t>een vereenvoudigd formulier voor technische documentatie</t>
  </si>
  <si>
    <t>32024R1689:11:1:2</t>
  </si>
  <si>
    <t>…ups, kunnen de elementen van de in bijlage IV gespecificeerde technische documentatie op vereenvoudigde wijze verstrekken. Daartoe stelt de Commissie een vereenvoudigd formulier voor technische documentatie op dat is afgestemd op de behoeften van kleine en micro-ondernemingen. Kmo’s, met inbegrip van start-ups, die ervoor kiezen de in bijlage IV vereiste…</t>
  </si>
  <si>
    <t>vereiste informatie</t>
  </si>
  <si>
    <t>van op grond van artikel 13 vereiste informatie en waar passend opleiding</t>
  </si>
  <si>
    <t>32024R1689:9:5:10</t>
  </si>
  <si>
    <t>…nd worden adequate maatregelen voor beperking en controle genomen voor het aanpakken van risico’s die niet kunnen worden uitgesloten; c) verstrekking van op grond van artikel 13 vereiste informatie en waar passend opleiding voor gebruiksverantwoordelijken. Teneinde de risico’s in verband met het gebruik van het AI-systeem met een hoog risico weg te nemen of te beperken, …</t>
  </si>
  <si>
    <t>verplichting een systeem voor kwaliteitsbeheer in te voeren</t>
  </si>
  <si>
    <t>de verplichting een systeem voor kwaliteitsbeheer in te voeren</t>
  </si>
  <si>
    <t>32024R1689:17:4:7</t>
  </si>
  <si>
    <t>…cessen uit hoofde van het desbetreffende Unierecht inzake financiële diensten, wordt met uitzondering van lid 1, punten g), h) en i), van dit artikel de verplichting een systeem voor kwaliteitsbeheer in te voeren geacht te zijn vervuld door te voldoen aan de regels inzake interne governance, regelingen of processen uit hoofde van het desbetreffende Unierecht i…</t>
  </si>
  <si>
    <t>verplichting tot kennisgeving</t>
  </si>
  <si>
    <t>de verplichting tot kennisgeving</t>
  </si>
  <si>
    <t>32024R1689:27:3:7</t>
  </si>
  <si>
    <t>…geving het in lid 5 van dit artikel bedoelde ingevulde sjabloon in. In het in artikel 46, lid 1, bedoelde geval kunnen gebruiksverantwoordelijken van de verplichting tot kennisgeving worden vrijgesteld.</t>
  </si>
  <si>
    <t>verplichtingen van de aanbieder</t>
  </si>
  <si>
    <t>aan de verplichtingen van de aanbieder uit hoofde van artikel 16</t>
  </si>
  <si>
    <t>32024R1689:25:1:5</t>
  </si>
  <si>
    <t>…woordelijke of derde voor de toepassing van deze verordening beschouwd als een aanbieder van een AI-systeem met een hoog risico en is hij onderworpen aan de verplichtingen van de aanbieder uit hoofde van artikel 16: a) hij zet zijn naam of merk op een AI-systeem met een hoog risico dat reeds in de handel is gebracht of in gebruik is gesteld, onverminderd contrac…</t>
  </si>
  <si>
    <t>verslag over haar activiteiten</t>
  </si>
  <si>
    <t>een verslag over haar activiteiten</t>
  </si>
  <si>
    <t>32016R0679:59:whole:1</t>
  </si>
  <si>
    <t>Elke toezichthoudende autoriteit stelt jaarlijks een verslag over haar activiteiten op, met daarin mogelijk een lijst van de soorten gemelde inbreuken en de soorten maatregelen die overeenkomstig artikel 58, lid 2, worden genomen. Di…</t>
  </si>
  <si>
    <t>verslag over haar bevindingen</t>
  </si>
  <si>
    <t>een verslag over haar bevindingen</t>
  </si>
  <si>
    <t>32024R1689:36:7:20</t>
  </si>
  <si>
    <t>…aangemelde instantie afgegeven certificaten; b) dient de aanmeldende autoriteit binnen drie maanden na mededeling van de wijzigingen in de aanwijzing een verslag over haar bevindingen in bij de Commissie en de overige lidstaten; c) schrijft de aanmeldende autoriteit voor dat de aangemelde instantie binnen een redelijke, door de aut…</t>
  </si>
  <si>
    <t>vertaling van relevante informatie</t>
  </si>
  <si>
    <t>de vertaling van relevante informatie</t>
  </si>
  <si>
    <t>vertaling</t>
  </si>
  <si>
    <t>32016R0679:75:6:8</t>
  </si>
  <si>
    <t>…; c) de communicatie met andere instellingen en het brede publiek; d) het gebruik van elektronische middelen voor interne en externe communicatie; e) de vertaling van relevante informatie; f) de voorbereiding en follow-up van de bijeenkomsten van het Comité; g) de voorbereiding, opstelling en bekendmaking van adviezen, besluiten inzake…</t>
  </si>
  <si>
    <t>vertalingen van relevante informatie</t>
  </si>
  <si>
    <t>32016R0679:64:5:7</t>
  </si>
  <si>
    <t>…een standaardformulier in kennis van alle relevante informatie die het Comité heeft ontvangen. Het secretariaat van het Comité verstrekt indien nodig vertalingen van relevante informatie; en b) de, naargelang het geval, in de leden 1 en 2 bedoelde toezichthoudende autoriteit en de Commissie in kennis van het advies en maakt dat advies…</t>
  </si>
  <si>
    <t>vertrouwelijkheid van de informatie en gegevens die zij bij de uitvoering van hun taken en activiteiten verkrijgen</t>
  </si>
  <si>
    <t>de vertrouwelijkheid van de informatie en gegevens die zij bij de uitvoering van hun taken en activiteiten verkrijgen</t>
  </si>
  <si>
    <t>32024R1689:68:4:2</t>
  </si>
  <si>
    <t>De deskundigen in het wetenschappelijk panel voeren hun taken onpartijdig en objectief uit en waarborgen de vertrouwelijkheid van de informatie en gegevens die zij bij de uitvoering van hun taken en activiteiten verkrijgen. Zij vragen noch aanvaarden instructies van wie dan ook bij de uitoefening van hun taken uit hoofde van lid 3. Elke deskundige stelt een belangenverk…</t>
  </si>
  <si>
    <t>verwerkingen door gerechten bij de uitoefening van hun rechterlijke taken</t>
  </si>
  <si>
    <t>gerecht</t>
  </si>
  <si>
    <t>Gerecht (EU)</t>
  </si>
  <si>
    <t>32016R0679:55:3:5</t>
  </si>
  <si>
    <t>Toezichthoudende autoriteiten zijn niet competent toe te zien op verwerkingen door gerechten bij de uitoefening van hun rechterlijke taken.</t>
  </si>
  <si>
    <t>voldoende administratief, technisch, juridisch en wetenschappelijk personeel</t>
  </si>
  <si>
    <t>over voldoende administratief, technisch, juridisch en wetenschappelijk personeel</t>
  </si>
  <si>
    <t>personeel</t>
  </si>
  <si>
    <t>32024R1689:31:11:13</t>
  </si>
  <si>
    <t>…kundigheid om de namens hen door externe partijen verrichte taken doeltreffend te kunnen evalueren. De aangemelde instantie moet permanent beschikken over voldoende administratief, technisch, juridisch en wetenschappelijk personeel dat ervaring heeft met en kennis over de relevante soorten AI-systemen, gegevens en gegevensverwerking en de voorschriften van afdeling 2.</t>
  </si>
  <si>
    <t>voldoende gedetailleerde samenvatting</t>
  </si>
  <si>
    <t>een voldoende gedetailleerde samenvatting</t>
  </si>
  <si>
    <t>32024R1689:53:1:4</t>
  </si>
  <si>
    <t>…an geavanceerde technologieën, van een op grond van artikel 4, lid 3, van Richtlijn (EU) 2019/790 tot uitdrukking gebracht voorbehoud van rechten. d) een voldoende gedetailleerde samenvatting opstellen en openbaar maken over de voor het trainen van het AI-model voor algemene doeleinden gebruikte content, volgens een door het AI-bureau vers…</t>
  </si>
  <si>
    <t>voldoende permanent beschikbaar personeel</t>
  </si>
  <si>
    <t>32024R1689:70:3:7</t>
  </si>
  <si>
    <t>… beschikken om hun taken krachtens deze verordening op doeltreffende wijze uit te voeren. De nationale bevoegde autoriteiten beschikken met name over voldoende permanent beschikbaar personeel waarvan de competenties en expertise bestaan uit een grondig inzicht in AI-technologieën, gegevens en gegevensverwerking, bescherming van persoonsgeg…</t>
  </si>
  <si>
    <t>voor de uitvoering van haar taken vereiste informatie</t>
  </si>
  <si>
    <t>alle voor de uitvoering van haar taken vereiste informatie</t>
  </si>
  <si>
    <t>32016R0679:58:1:2</t>
  </si>
  <si>
    <t>…erkingsverantwoordelijke, de verwerker en, in voorkomend geval, de vertegenwoordiger van de verwerkingsverantwoordelijke of van verwerker te gelasten alle voor de uitvoering van haar taken vereiste informatie te verstrekken; b) onderzoeken te verrichten in de vorm van gegevensbeschermingscontroles; c) een toetsing te verrichten van de overeenkomstig artike…</t>
  </si>
  <si>
    <t>voorstel tot wijziging</t>
  </si>
  <si>
    <t>een voorstel tot wijziging van deze verordening</t>
  </si>
  <si>
    <t>32024R1689:112:3:7</t>
  </si>
  <si>
    <t>…van een Agentschap van de Unie om vastgestelde tekortkomingen op te lossen. Op basis van de bevindingen gaat dat verslag indien passend vergezeld van een voorstel tot wijziging van deze verordening. De verslagen worden openbaar gemaakt.</t>
  </si>
  <si>
    <t>vraag of het beoogde doel van het AI-systeem met een hoog risico waarschijnlijk negatieve gevolgen zal hebben voor personen jonger dan 18 jaar en, in voorkomend geval, voor andere kwetsbare groepen</t>
  </si>
  <si>
    <t>met de vraag of het beoogde doel van het AI-systeem met een hoog risico waarschijnlijk negatieve gevolgen zal hebben voor personen jonger dan 18 jaar en, in voorkomend geval, voor andere kwetsbare groepen</t>
  </si>
  <si>
    <t>vraag</t>
  </si>
  <si>
    <t>vraag en aanbod</t>
  </si>
  <si>
    <t>32024R1689:9:9:17</t>
  </si>
  <si>
    <t>Bij de uitvoering van het in de leden 1 tot en met 7 bepaalde systeem voor risicobeheer houden aanbieders rekening met de vraag of het beoogde doel van het AI-systeem met een hoog risico waarschijnlijk negatieve gevolgen zal hebben voor personen jonger dan 18 jaar en, in voorkomend geval, voor andere kwetsbare groepen.</t>
  </si>
  <si>
    <t>waar passend opleiding</t>
  </si>
  <si>
    <t>opleiding</t>
  </si>
  <si>
    <t>welke rol de gezamenlijke verwerkingsverantwoordelijken respectievelijk vervullen, en wat hun respectieve verhouding met de betrokkenen is</t>
  </si>
  <si>
    <t>32016R0679:26:2:1</t>
  </si>
  <si>
    <t>Uit de in lid 1 bedoelde regeling blijkt duidelijk welke rol de gezamenlijke verwerkingsverantwoordelijken respectievelijk vervullen, en wat hun respectieve verhouding met de betrokkenen is. De wezenlijke inhoud van de regeling wordt aan de betrokkene beschikbaar gesteld.</t>
  </si>
  <si>
    <t>zij technische oplossingen hebben gekozen die voldoen aan de voorschriften of, in voorkomend geval, aan de verplichtingen</t>
  </si>
  <si>
    <t>dat zij technische oplossingen hebben gekozen die voldoen aan de in afdeling 2 van dit hoofdstuk beschreven voorschriften of, in voorkomend geval, aan de verplichtingen van hoofdstuk V, afdelingen 2 en 3</t>
  </si>
  <si>
    <t>32024R1689:41:5:4</t>
  </si>
  <si>
    <t>…f AI-modellen voor algemene doeleinden niet voldoen aan de in lid 1 bedoelde gemeenschappelijke specificaties, moeten zij naar behoren rechtvaardigen dat zij technische oplossingen hebben gekozen die voldoen aan de in afdeling 2 van dit hoofdstuk beschreven voorschriften of, in voorkomend geval, aan de verplichtingen van hoofdstuk V, afdelingen 2 en 3, in een mate die minstens gelijkwaardig daarmee is.</t>
  </si>
  <si>
    <t>afzonderlijke, publieke jaarbegroting heeft</t>
  </si>
  <si>
    <t>dat het een afzonderlijke, publieke jaarbegroting heeft</t>
  </si>
  <si>
    <t>jaarbegroting</t>
  </si>
  <si>
    <t>begroting</t>
  </si>
  <si>
    <t>32016R0679:52:6:9</t>
  </si>
  <si>
    <t>…de autoriteit financieel toezicht wordt uitgeoefend zonder dat daarbij de onafhankelijkheid van de toezichthoudende autoriteit in het gedrang komt en dat het een afzonderlijke, publieke jaarbegroting heeft, die een onderdeel kan zijn van de algehele staats- of nationale begroting.</t>
  </si>
  <si>
    <t>begeleiding</t>
  </si>
  <si>
    <t>leiding</t>
  </si>
  <si>
    <t>leidingen</t>
  </si>
  <si>
    <t>betrokkene toestemming heeft gegeven voor de verwerking van zijn persoonsgegevens</t>
  </si>
  <si>
    <t>dat de betrokkene toestemming heeft gegeven voor de verwerking van zijn persoonsgegevens</t>
  </si>
  <si>
    <t>32016R0679:7:1:1</t>
  </si>
  <si>
    <t>Wanneer de verwerking berust op toestemming, moet de verwerkingsverantwoordelijke kunnen aantonen dat de betrokkene toestemming heeft gegeven voor de verwerking van zijn persoonsgegevens.</t>
  </si>
  <si>
    <t>beweerde inbreuk op deze verordening</t>
  </si>
  <si>
    <t>een beweerde inbreuk op deze verordening</t>
  </si>
  <si>
    <t>inbreuk</t>
  </si>
  <si>
    <t>breuk</t>
  </si>
  <si>
    <t>trauma</t>
  </si>
  <si>
    <t>32016R0679:58:1:3</t>
  </si>
  <si>
    <t>…chten van de overeenkomstig artikel 42, lid 7, afgegeven certificeringen; d) de verwerkingsverantwoordelijke of de verwerker in kennis te stellen van een beweerde inbreuk op deze verordening; e) van de verwerkingsverantwoordelijke en de verwerker toegang te verkrijgen tot alle persoonsgegevens en alle informatie die noodzakelijk is voor d…</t>
  </si>
  <si>
    <t>bindende bedrijfsvoorschriften</t>
  </si>
  <si>
    <t>bedrijfsvoorschrift</t>
  </si>
  <si>
    <t>32016R0679:47:1:1</t>
  </si>
  <si>
    <t>De bevoegde toezichthoudende autoriteit keurt in overeenstemming met het in artikel 63 bedoelde coherentiemechanism bindende bedrijfsvoorschriften goed, op voorwaarde dat deze: a) juridisch bindend zijn voor, van toepassing zijn op en worden gehandhaafd door alle betrokken leden van het concern,…</t>
  </si>
  <si>
    <t>binnen het toepassingsgebied van hun aanmelding verrichte conformiteitsbeoordelingsactiviteiten en andere activiteiten, waaronder grensoverschrijdende activiteiten en onderaanneming</t>
  </si>
  <si>
    <t>de binnen het toepassingsgebied van hun aanmelding verrichte conformiteitsbeoordelingsactiviteiten en andere activiteiten, waaronder grensoverschrijdende activiteiten en onderaanneming</t>
  </si>
  <si>
    <t>toepassingsgebied</t>
  </si>
  <si>
    <t>gebied</t>
  </si>
  <si>
    <t>32024R1689:45:1:5</t>
  </si>
  <si>
    <t>… de aanmelding; d) verzoeken om informatie over conformiteitsbeoordelingsactiviteiten die zij van markttoezichtautoriteiten ontvangen; e) op verzoek, de binnen het toepassingsgebied van hun aanmelding verrichte conformiteitsbeoordelingsactiviteiten en andere activiteiten, waaronder grensoverschrijdende activiteiten en onderaanneming.</t>
  </si>
  <si>
    <t>eindverslagen</t>
  </si>
  <si>
    <t>de eindverslagen</t>
  </si>
  <si>
    <t>32024R1689:57:8:14</t>
  </si>
  <si>
    <t>…ingen van artikel 78 en met instemming van de aanbieder of potentiële aanbieder zijn de Commissie en de AI-board gemachtigd om toegang te krijgen tot de eindverslagen en houden zij er in voorkomend geval rekening mee bij de uitoefening van hun taken uit hoofde van deze verordening. Indien zowel de aanbieder of pote…</t>
  </si>
  <si>
    <t>eindverslagen en de schriftelijke bewijzen die door de nationale bevoegde autoriteit worden verstrekt</t>
  </si>
  <si>
    <t>de eindverslagen en de schriftelijke bewijzen die door de nationale bevoegde autoriteit worden verstrekt</t>
  </si>
  <si>
    <t>32024R1689:57:7:10</t>
  </si>
  <si>
    <t>…n dat zij aan deze verordening voldoen. In dit verband houden markttoezichtautoriteiten en aangemelde instanties op een positieve manier rekening met de eindverslagen en de schriftelijke bewijzen die door de nationale bevoegde autoriteit worden verstrekt, teneinde de conformiteitsbeoordelingsprocedures in een redelijke mate te versnellen.</t>
  </si>
  <si>
    <t>evaluatieverslag</t>
  </si>
  <si>
    <t>dit evaluatieverslag</t>
  </si>
  <si>
    <t>32024R1689:112:5:10</t>
  </si>
  <si>
    <t>… relevant en noodzakelijk zou zijn om het AI-bureau en zijn handhavingsbevoegdheden op te schalen en zijn middelen uit te breiden. De Commissie dient dit evaluatieverslag in bij het Europees Parlement en bij de raad.</t>
  </si>
  <si>
    <t>eventuele inbreuk op deze verordening</t>
  </si>
  <si>
    <t>een bij haar ingediende klacht of een eventuele inbreuk op deze verordening</t>
  </si>
  <si>
    <t>32016R0679:56:2:2</t>
  </si>
  <si>
    <t>In afwijking van lid 1 is elke toezichthoudende autoriteit competent een bij haar ingediende klacht of een eventuele inbreuk op deze verordening te behandelen indien het onderwerp van die zaak alleen verband houdt met een vestiging in haar lidstaat of alleen voor betrokkenen in haar lidstaat w…</t>
  </si>
  <si>
    <t>gegevensbeschermingszegels</t>
  </si>
  <si>
    <t>alle certificeringsmechanismen en gegevensbeschermingszegels en -merktekens</t>
  </si>
  <si>
    <t>gegevensbeschermingszegel</t>
  </si>
  <si>
    <t>zegel</t>
  </si>
  <si>
    <t>officieel stempel</t>
  </si>
  <si>
    <t>32016R0679:42:8:8</t>
  </si>
  <si>
    <t>Het Comité verzamelt alle certificeringsmechanismen en gegevensbeschermingszegels en -merktekens in een register en maakt deze via de daartoe geëigende kanalen openbaar.</t>
  </si>
  <si>
    <t>inbreuk in verband met persoonsgegevens</t>
  </si>
  <si>
    <t>de inbreuk in verband met persoonsgegevens</t>
  </si>
  <si>
    <t>32016R0679:34:1:1</t>
  </si>
  <si>
    <t>Wanneer de inbreuk in verband met persoonsgegevens waarschijnlijk een hoog risico inhoudt voor de rechten en vrijheden van natuurlijke personen, deelt de verwerkingsverantwoordelijke de betrokkene de …</t>
  </si>
  <si>
    <t>instelling, het orgaan of de instantie van de Unie ten aanzien waarvan hij een procedure voert</t>
  </si>
  <si>
    <t>de instelling, het orgaan of de instantie van de Unie ten aanzien waarvan hij een procedure voert</t>
  </si>
  <si>
    <t>instelling</t>
  </si>
  <si>
    <t>32024R1689:100:4:4</t>
  </si>
  <si>
    <t>Alvorens een besluit op grond van dit artikel te nemen, stelt de Europese Toezichthouder voor gegevensbescherming de instelling, het orgaan of de instantie van de Unie ten aanzien waarvan hij een procedure voert, in de gelegenheid om te worden gehoord over de mogelijke inbreuk. De Europese Toezichthouder voor gegevens-bescherming baseert zijn besluiten uitslu…</t>
  </si>
  <si>
    <t>monitoringsverplichting</t>
  </si>
  <si>
    <t>de monitoringsverplichting overeenkomstig de eerste alinea</t>
  </si>
  <si>
    <t>32024R1689:26:5:9</t>
  </si>
  <si>
    <t>…rpen zijn aan eisen met betrekking tot hun interne governance, regelingen of processen uit hoofde van het Unierecht inzake financiële diensten, wordt de monitoringsverplichting overeenkomstig de eerste alinea geacht te zijn vervuld door te voldoen aan de regels inzake interne governance, regelingen of processen en -mechanismen uit hoofde van het desbetreff…</t>
  </si>
  <si>
    <t>of de deelnemers de doelstellingen van de praktijkcodes verwezenlijken en bijdragen aan de correcte toepassing</t>
  </si>
  <si>
    <t>of de deelnemers de doelstellingen van de praktijkcodes verwezenlijken en bijdragen aan de correcte toepassing van deze verordening</t>
  </si>
  <si>
    <t>32024R1689:56:6:7</t>
  </si>
  <si>
    <t>Het AI-bureau en de AI-board monitoren en evalueren regelmatig of de deelnemers de doelstellingen van de praktijkcodes verwezenlijken en bijdragen aan de correcte toepassing van deze verordening. Het AI-bureau en de AI-board beoordelen of de praktijkcodes betrekking hebben op de verplichtingen van de artikelen 53 en 55, en monitoren en evalue…</t>
  </si>
  <si>
    <t>opstelling van praktijkcodes</t>
  </si>
  <si>
    <t>de opstelling van praktijkcodes</t>
  </si>
  <si>
    <t>32024R1689:50:7:15</t>
  </si>
  <si>
    <t>Het AI-bureau stimuleert en faciliteert de opstelling van praktijkcodes op het niveau van de Unie om de doeltreffende uitvoering van de verplichtingen met betrekking tot de opsporing en het labelen van kunstmatig gegenere…</t>
  </si>
  <si>
    <t>overeenstemming</t>
  </si>
  <si>
    <t>de overeenstemming</t>
  </si>
  <si>
    <t>32024R1689:16:whole:10</t>
  </si>
  <si>
    <t>…en en verstrekken de uit hoofde van artikel 20 vereiste informatie; k) tonen op een met redenen omkleed verzoek van een nationale bevoegde autoriteit de overeenstemming aan van het AI-systeem met een hoog risico met de eisen van afdeling 2; l) zorgen ervoor dat het AI-systeem met een hoog risico voldoet aan de toegan…</t>
  </si>
  <si>
    <t>passende aansprakelijkheidsverzekering</t>
  </si>
  <si>
    <t>een passende aansprakelijkheidsverzekering</t>
  </si>
  <si>
    <t>aansprakelijkheidsverzekering</t>
  </si>
  <si>
    <t>verzekering</t>
  </si>
  <si>
    <t>32024R1689:31:9:10</t>
  </si>
  <si>
    <t>Aangemelde instanties sluiten voor hun conformiteitsbeoordelingsactiviteiten een passende aansprakelĳkheidsverzekering af, tenzij de wettelijke aansprakelijkheid krachtens het nationale recht door de lidstaat van vestiging wordt gedekt of die lidstaat zelf rechtstreeks verantwoordelijk is voor de co…</t>
  </si>
  <si>
    <t>plichten</t>
  </si>
  <si>
    <t>andere taken en plichten</t>
  </si>
  <si>
    <t>plicht</t>
  </si>
  <si>
    <t>licht</t>
  </si>
  <si>
    <t>aak</t>
  </si>
  <si>
    <t>32016R0679:38:6:10</t>
  </si>
  <si>
    <t>De functionaris voor gegevensbescherming kan andere taken en plichten vervullen. De verwerkingsverantwoordelijke of de verwerker zorgt ervoor dat deze taken of plichten niet tot een belangenconflict leiden.</t>
  </si>
  <si>
    <t>registratieverplichting</t>
  </si>
  <si>
    <t>de registratieverplichting van artikel 49, lid 2</t>
  </si>
  <si>
    <t>32024R1689:6:4:4</t>
  </si>
  <si>
    <t>… inhoudt, documenteert zijn beoordeling voordat dat systeem in de handel wordt gebracht of in gebruik wordt gesteld. Die aanbieder is onderworpen aan de registratieverplichting van artikel 49, lid 2. Op verzoek van de nationale bevoegde autoriteiten verstrekt de aanbieder de documentatie van de beoordeling.</t>
  </si>
  <si>
    <t>registratieverplichtingen</t>
  </si>
  <si>
    <t>de registratieverplichtingen als bedoeld in artikel 49, lid 1</t>
  </si>
  <si>
    <t>32024R1689:16:whole:7</t>
  </si>
  <si>
    <t>…e verpakking of in de bij het product gevoegde documentatie, om aan te geven dat aan deze verordening is voldaan, overeenkomstig artikel 48; i) leven de registratieverplichtingen als bedoeld in artikel 49, lid 1, na; j) nemen de noodzakelijke corrigerende maatregelen en verstrekken de uit hoofde van artikel 20 vereiste informatie; k) tonen op een met redenen …</t>
  </si>
  <si>
    <t>specifieke toestemming</t>
  </si>
  <si>
    <t>32016R0679:45:1:2</t>
  </si>
  <si>
    <t>…ctoren in dat derde land, of de internationale organisatie in kwestie een passend beschermingsniveau waarborgt. Voor een dergelijke doorgifte is geen specifieke toestemming nodig.</t>
  </si>
  <si>
    <t>zijn toestemming</t>
  </si>
  <si>
    <t>32016R0679:7:3:2</t>
  </si>
  <si>
    <t>De betrokkene heeft het recht zijn toestemming te allen tijde in te trekken. Het intrekken van de toestemming laat de rechtmatigheid van de verwerking op basis van de toestemming vóór de intrekkin…</t>
  </si>
  <si>
    <t>verwerkingsverantwoordelijke het voornemen heeft de persoonsgegevens door te geven aan een derde land of een internationale organisatie; of er al dan niet een adequaatheidsbesluit van de Commissie bestaat; of, in het geval van of artikel 49, lid 1, tweede alinea, bedoelde doorgiften, welke de passende of geschikte waarborgen zijn, hoe er een kopie van kan worden verkregen of waar ze kunnen worden geraadpleegd</t>
  </si>
  <si>
    <t>dat de verwerkingsverantwoordelijke het voornemen heeft de persoonsgegevens door te geven aan een derde land of een internationale organisatie; of er al dan niet een adequaatheidsbesluit van de Commissie bestaat; of, in het geval van in artikel 46, artikel 47 of artikel 49, lid 1, tweede alinea, bedoelde doorgiften, welke de passende of geschikte waarborgen zijn, hoe er een kopie van kan worden verkregen of waar ze kunnen worden geraadpleegd</t>
  </si>
  <si>
    <t>voornemen</t>
  </si>
  <si>
    <t>nemen</t>
  </si>
  <si>
    <t>Namen</t>
  </si>
  <si>
    <t>Neamt</t>
  </si>
  <si>
    <t>32016R0679:13:1:7</t>
  </si>
  <si>
    <t>…6, lid 1, punt f), is gebaseerd; d) in voorkomend geval, de ontvangers of categorieën van ontvangers van de persoonsgegevens; e) in voorkomend geval, dat de verwerkingsverantwoordelijke het voornemen heeft de persoonsgegevens door te geven aan een derde land of een internationale organisatie; of er al dan niet een adequaatheidsbesluit van de Commissie bestaat; of, in het geval van in artikel 46, artikel 47 of artikel 49, lid 1, tweede alinea, bedoelde doorgiften, welke de passende of geschikte waarborgen zijn, hoe er een kopie van kan worden verkregen of waar ze kunnen worden geraadpleegd.</t>
  </si>
  <si>
    <t>verwerkingsverantwoordelijke het voornemen heeft de persoonsgegevens door te geven aan een ontvanger in een derde land of aan een internationale organisatie; of er al dan niet een adequaatheidsbesluit van de Commissie bestaat; of, in het geval van de doorgiften, welke de passende of geschikte waarborgen zijn, hoe er een kopie van kan worden verkregen of waar ze kunnen worden geraadpleegd</t>
  </si>
  <si>
    <t>dat de verwerkingsverantwoordelijke het voornemen heeft de persoonsgegevens door te geven aan een ontvanger in een derde land of aan een internationale organisatie; of er al dan niet een adequaatheidsbesluit van de Commissie bestaat; of, in het geval van de in artikel 46, artikel 47 of artikel 49, lid 1, tweede alinea, bedoelde doorgiften, welke de passende of geschikte waarborgen zijn, hoe er een kopie van kan worden verkregen of waar ze kunnen worden geraadpleegd</t>
  </si>
  <si>
    <t>32016R0679:14:1:7</t>
  </si>
  <si>
    <t>…ategorieën van persoonsgegevens; e) in voorkomend geval, de ontvangers of categorieën van ontvangers van de persoonsgegevens; f) in voorkomend geval, dat de verwerkingsverantwoordelijke het voornemen heeft de persoonsgegevens door te geven aan een ontvanger in een derde land of aan een internationale organisatie; of er al dan niet een adequaatheidsbesluit van de Commissie bestaat; of, in het geval van de in artikel 46, artikel 47 of artikel 49, lid 1, tweede alinea, bedoelde doorgiften, welke de passende of geschikte waarborgen zijn, hoe er een kopie van kan worden verkregen of waar ze kunnen worden geraadpleegd.</t>
  </si>
  <si>
    <t>voorafgaande toestemming</t>
  </si>
  <si>
    <t>haar voorafgaande toestemming</t>
  </si>
  <si>
    <t>32016R0679:36:5:11</t>
  </si>
  <si>
    <t>…de lid 1 kunnen de verwerkingsverantwoordelijken lidstaatrechtelijk ertoe worden verplicht overleg met de toezichthoudende autoriteit te plegen en om haar voorafgaande toestemming te verzoeken wanneer zij met het oog op de vervulling van een taak van algemeen belang verwerken, onder meer wanneer verwerking verband houdt met soc…</t>
  </si>
  <si>
    <t>voornemen het advies van het Comité geheel of gedeeltelijk niet op te volgen</t>
  </si>
  <si>
    <t>haar voornemen het advies van het Comité geheel of gedeeltelijk niet op te volgen</t>
  </si>
  <si>
    <t>32016R0679:64:8:14</t>
  </si>
  <si>
    <t>…hthoudende autoriteit de voorzitter van het Comité binnen de in lid 7 van dit artikel bedoelde termijn, onder opgave van de redenen, kennis geeft van haar voornemen het advies van het Comité geheel of gedeeltelijk niet op te volgen, is artikel 65, lid 1, van toepassing.</t>
  </si>
  <si>
    <t>vrijwillig gegeven geïnformeerde toestemming</t>
  </si>
  <si>
    <t>32024R1689:61:1:1</t>
  </si>
  <si>
    <t>Met het oog op het testen onder reële omstandigheden overeenkomstig artikel 60 moet van de proefpersonen vrijwillig gegeven geïnformeerde toestemming worden verkregen voorafgaand aan hun deelname aan het testen en nadat zij naar behoren zijn geïnformeerd en beknopte, duidelijke, relevante en begrij…</t>
  </si>
  <si>
    <t>welke doelstellingen en voor welke strafbare feiten de bevoegde autoriteiten deze systemen mogen gebruiken met het oog op de rechtshandhaving</t>
  </si>
  <si>
    <t>voor welke doelstellingen van lid 1, eerste alinea, punt h), en voor welke strafbare feiten als bedoeld in punt h), iii), daarvan de bevoegde autoriteiten deze systemen mogen gebruiken met het oog op de rechtshandhaving</t>
  </si>
  <si>
    <t>32024R1689:5:5:13</t>
  </si>
  <si>
    <t>…en het gebruik van, evenals het toezicht en verslaglegging in verband met, de in lid 3 bedoelde vergunningen. In deze regels wordt ook gespecificeerd voor welke doelstellingen van lid 1, eerste alinea, punt h), en voor welke strafbare feiten als bedoeld in punt h), iii), daarvan de bevoegde autoriteiten deze systemen mogen gebruiken met het oog op de rechtshandhaving. De lidstaten stellen de Commissie uiterlijk dertig dagen na de vaststelling van die regels in kennis. De lidstaten kunnen in overeenstemming met het…</t>
  </si>
  <si>
    <t>relevante ontwikkelingen</t>
  </si>
  <si>
    <t>de relevante ontwikkelingen</t>
  </si>
  <si>
    <t>opkomende technologieën</t>
  </si>
  <si>
    <t>technische vooruitgang</t>
  </si>
  <si>
    <t>opkomende groeimarkten</t>
  </si>
  <si>
    <t>32016R0679:57:1:15</t>
  </si>
  <si>
    <t>…dening, onder meer op basis van informatie die zij van een andere toezichthoudende autoriteit of een andere overheidsinstantie ontvangt; i) zij volgt de relevante ontwikkelingen voor zover deze een impact hebben op de bescherming van persoonsgegevens, met name de ontwikkelingen in informatie- en communicatietechnologieën en h…</t>
  </si>
  <si>
    <t>systemen voor het actief beheren en voorkomen van mogelijke belangenconflicten</t>
  </si>
  <si>
    <t>systemen en procedures voor het actief beheren en voorkomen van mogelijke belangenconflicten</t>
  </si>
  <si>
    <t>systeem</t>
  </si>
  <si>
    <t>preventie van gewelddadige conflicten</t>
  </si>
  <si>
    <t>32024R1689:68:4:5</t>
  </si>
  <si>
    <t>…uitoefening van hun taken uit hoofde van lid 3. Elke deskundige stelt een belangenverklaring op, die openbaar wordt gemaakt. Het AI-bureau zorgt voor systemen en procedures voor het actief beheren en voorkomen van mogelijke belangenconflicten.</t>
  </si>
  <si>
    <t>rapportageregeling</t>
  </si>
  <si>
    <t>een andere rapportageregeling</t>
  </si>
  <si>
    <t>concurrentieregeling</t>
  </si>
  <si>
    <t>uitvoerregeling</t>
  </si>
  <si>
    <t>mededingingsregeling</t>
  </si>
  <si>
    <t>32016R0679:75:3:2</t>
  </si>
  <si>
    <t>…hthouder voor gegevensbescherming die betrokken zijn bij de uitvoering van de krachtens deze verordening aan het Comité opgedragen taken vallen onder een andere rapportageregeling dan de personeelsleden die betrokken zijn bij de uitvoering van de aan de Europese Toezichthouder voor gegevensbescherming opgedragen taken.</t>
  </si>
  <si>
    <t>Bijzondere aandacht</t>
  </si>
  <si>
    <t>aandacht</t>
  </si>
  <si>
    <t>eervolle onderscheiding</t>
  </si>
  <si>
    <t>algemeen belang</t>
  </si>
  <si>
    <t>volledige betrekking</t>
  </si>
  <si>
    <t>32016R0679:57:1:4</t>
  </si>
  <si>
    <t>…; b) zij bevordert bij het brede publiek de bekendheid met en het inzicht in de risico's, regels, waarborgen en rechten in verband met de verwerking. Bijzondere aandacht wordt besteed aan specifiek op kinderen gerichte activiteiten; c) zij verleent overeenkomstig het recht van de lidstaat, advies aan het nationale par…</t>
  </si>
  <si>
    <t>markering</t>
  </si>
  <si>
    <t>de markering</t>
  </si>
  <si>
    <t>legering</t>
  </si>
  <si>
    <t>32024R1689:48:3:3</t>
  </si>
  <si>
    <t>…en met een hoog risico aangebracht. Wanneer dit gezien de aard van het AI-systeem met een hoog risico niet mogelijk of niet gerechtvaardigd is, wordt de markering naargelang het geval op de verpakking of in de begeleidende documenten aangebracht.</t>
  </si>
  <si>
    <t>redenen voor haar besluit</t>
  </si>
  <si>
    <t>de redenen voor haar besluit</t>
  </si>
  <si>
    <t>reden</t>
  </si>
  <si>
    <t>oorzaak en gevolg</t>
  </si>
  <si>
    <t>32024R1689:44:3:6</t>
  </si>
  <si>
    <t>…chriften, binnen een door de aangemelde instantie vastgestelde passende termijn adequate corrigerende actie onderneemt. De aangemelde instantie geeft de redenen voor haar besluit op. Er wordt voorzien in een beroepsprocedure tegen besluiten van de aangemelde instanties, ook inzake afgegeven conformiteitscertificaten.</t>
  </si>
  <si>
    <t>voldoende interne deskundigheid</t>
  </si>
  <si>
    <t>over voldoende interne deskundigheid</t>
  </si>
  <si>
    <t>deskundigheid</t>
  </si>
  <si>
    <t>regelmatige toetsing van de kennis</t>
  </si>
  <si>
    <t>industriële opleiding</t>
  </si>
  <si>
    <t>gebrek aan regionaal evenwicht</t>
  </si>
  <si>
    <t>32024R1689:31:11:12</t>
  </si>
  <si>
    <t>Aangemelde instanties beschikken over voldoende interne deskundigheid om de namens hen door externe partijen verrichte taken doeltreffend te kunnen evalueren. De aangemelde instantie moet permanent beschikken over voldo…</t>
  </si>
  <si>
    <t>verwerking van genetische gegevens, biometrische gegevens met het oog op de unieke identificatie van een persoon</t>
  </si>
  <si>
    <t>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t>
  </si>
  <si>
    <t>verwerking</t>
  </si>
  <si>
    <t>genetische informatiedatabase</t>
  </si>
  <si>
    <t>32016R0679:9:1:1</t>
  </si>
  <si>
    <t>Verwerking van persoonsgegevens waaruit ras of etnische afkomst, politieke opvattingen, religieuze of levensbeschouwelijke overtuigingen, of het lidmaatschap van een vakbond blijken, en verwerking van genetische gegevens, biometrische gegevens met het oog op de unieke identificatie van een persoon, of gegevens over gezondheid, of gegevens met betrekking tot iemands seksueel gedrag of seksuele gerichtheid zijn verboden.</t>
  </si>
  <si>
    <t>accreditatie van certificeringsorganen</t>
  </si>
  <si>
    <t>de accreditatie van certificeringsorganen</t>
  </si>
  <si>
    <t>accreditatie</t>
  </si>
  <si>
    <t>erkenning van certificaten</t>
  </si>
  <si>
    <t>kwaliteitscertifiëring</t>
  </si>
  <si>
    <t>biologische certificering</t>
  </si>
  <si>
    <t>32016R0679:70:1:11</t>
  </si>
  <si>
    <t>…rtificeringsmechanismen voor gegevensbescherming en gegevensbeschermingszegels en -merktekens overeenkomstig de artikelen 40 en 42; o) verrichten van de accreditatie van certificeringsorganen en van de periodieke evaluatie daarvan overeenkomstig artikel 43, en houden van een openbaar register van geaccrediteerde organen conform artikel 43,…</t>
  </si>
  <si>
    <t>de, naargelang het geval bedoelde toezichthoudende autoriteit en de Commissie</t>
  </si>
  <si>
    <t>de, naargelang het geval, in de leden 1 en 2 bedoelde toezichthoudende autoriteit en de Commissie</t>
  </si>
  <si>
    <t>autoriteit</t>
  </si>
  <si>
    <t>EU-agentschappen en gedecentraliseerde organen</t>
  </si>
  <si>
    <t>Toezichthoudende Autoriteit van de EVA</t>
  </si>
  <si>
    <t>gedelegeerde verordening van de Commissie</t>
  </si>
  <si>
    <t>32016R0679:64:5:10</t>
  </si>
  <si>
    <t>…levante informatie die het Comité heeft ontvangen. Het secretariaat van het Comité verstrekt indien nodig vertalingen van relevante informatie; en b) de, naargelang het geval, in de leden 1 en 2 bedoelde toezichthoudende autoriteit en de Commissie in kennis van het advies en maakt dat advies bekend.</t>
  </si>
  <si>
    <t>zichzelf en dat systeem</t>
  </si>
  <si>
    <t>ontwerp en model</t>
  </si>
  <si>
    <t>plannings- en begrotings systeem</t>
  </si>
  <si>
    <t>verrekenings- en vereveningssysteem</t>
  </si>
  <si>
    <t>32024R1689:49:2:2</t>
  </si>
  <si>
    <t>… dat naar oordeel van de aanbieder geen hoog risico inhoudt volgens artikel 6, lid 3, registreert die aanbieder of in voorkomend geval de gemachtigde zichzelf en dat systeem in de in artikel 71 bedoelde EU-databank.</t>
  </si>
  <si>
    <t>leden van het adviesforum</t>
  </si>
  <si>
    <t>de leden van het adviesforum</t>
  </si>
  <si>
    <t>lid</t>
  </si>
  <si>
    <t>advies van de Raad</t>
  </si>
  <si>
    <t>advies van de Commissie</t>
  </si>
  <si>
    <t>32024R1689:67:3:1</t>
  </si>
  <si>
    <t>De Commissie benoemt de leden van het adviesforum, overeenkomstig de criteria van lid 2, uit belanghebbenden met erkende deskundigheid op het gebied van AI.</t>
  </si>
  <si>
    <t>respectieve vermelde beperkt toegankelijke gedeelten van de EU-databank</t>
  </si>
  <si>
    <t>de respectieve in de eerste alinea van dit lid vermelde beperkt toegankelijke gedeelten van de EU-databank</t>
  </si>
  <si>
    <t>gedeelte</t>
  </si>
  <si>
    <t>toegang tot EU-informatie</t>
  </si>
  <si>
    <t>beperkende maatregel van de EU</t>
  </si>
  <si>
    <t>tot de EU toetredende landen</t>
  </si>
  <si>
    <t>32024R1689:49:4:8</t>
  </si>
  <si>
    <t>…ge VIII; d) de punten 1, 2, 3 en 5 van bijlage IX. Alleen de Commissie en de in artikel 74, lid 8, bedoelde nationale autoriteiten hebben toegang tot de respectieve in de eerste alinea van dit lid vermelde beperkt toegankelijke gedeelten van de EU-databank.</t>
  </si>
  <si>
    <t>daarmee verband houdende veiligheidsmaatregelen</t>
  </si>
  <si>
    <t>verband</t>
  </si>
  <si>
    <t>openbare veiligheid</t>
  </si>
  <si>
    <t>veiligheid van het spoorverkeer</t>
  </si>
  <si>
    <t>veiligheid op het werk</t>
  </si>
  <si>
    <t>taakverdeling tussen de voorzitter en de vicevoorzitters</t>
  </si>
  <si>
    <t>de taakverdeling tussen de voorzitter en de vicevoorzitters</t>
  </si>
  <si>
    <t>taakverdeling</t>
  </si>
  <si>
    <t>vice-voorzitter van de instelling</t>
  </si>
  <si>
    <t>verdeling van de bevoegdheden</t>
  </si>
  <si>
    <t>32016R0679:74:2:5</t>
  </si>
  <si>
    <t>Het Comité stelt in zijn reglement van orde de taakverdeling tussen de voorzitter en de vicevoorzitters vast.</t>
  </si>
  <si>
    <t>vrijwillige modelvoorwaarden</t>
  </si>
  <si>
    <t>modelvoorwaard</t>
  </si>
  <si>
    <t>vrijwaringsmaatregel</t>
  </si>
  <si>
    <t>vrijwillig werk</t>
  </si>
  <si>
    <t>vrijwillige legerdienst</t>
  </si>
  <si>
    <t>32024R1689:25:4:13</t>
  </si>
  <si>
    <t>… of onderdelen dan AI-modellen voor algemene doeleinden onder een vrije en opensource licentie toegankelijk maken voor het publiek. Het AI-bureau kan vrijwillige modelvoorwaarden ontwikkelen en aanbevelen voor contracten tussen aanbieders van AI-systemen met een hoog risico en derden die instrumenten, diensten, componenten of …</t>
  </si>
  <si>
    <t>zichzelf en zijn systeem</t>
  </si>
  <si>
    <t>autonoom invoerstelsel</t>
  </si>
  <si>
    <t>32024R1689:49:1:1</t>
  </si>
  <si>
    <t>…lde AI-systemen met een hoog risico, in de handel te brengen of in gebruik te stellen, registreert de aanbieder of in voorkomend geval de gemachtigde zichzelf en zijn systeem in de in artikel 71 bedoelde EU-databank.</t>
  </si>
  <si>
    <t>passende statistische kenmerken</t>
  </si>
  <si>
    <t>de passende statistische kenmerken</t>
  </si>
  <si>
    <t>kenmerk</t>
  </si>
  <si>
    <t>demografische statistiek</t>
  </si>
  <si>
    <t>statistisch overzicht</t>
  </si>
  <si>
    <t>statistische nomenclatuur</t>
  </si>
  <si>
    <t>32024R1689:10:3:2</t>
  </si>
  <si>
    <t>…ests zijn relevant, voldoende representatief, en zoveel mogelijk foutenvrij en volledig met het oog op het beoogde doel. De datasets hebben bovendien de passende statistische kenmerken, onder meer, waar van toepassing, met betrekking tot de personen of groepen personen ten aanzien van wie de AI-systemen met een hoog risico moeten wo…</t>
  </si>
  <si>
    <t>nodige test- en rapportageprocessen en door hen verstrekte informatie en documentatie over hun product</t>
  </si>
  <si>
    <t>de nodige test- en rapportageprocessen en door hen verstrekte informatie en documentatie over hun product</t>
  </si>
  <si>
    <t>rapportageprocess</t>
  </si>
  <si>
    <t>informatie en documentatie</t>
  </si>
  <si>
    <t>32024R1689:8:2:4</t>
  </si>
  <si>
    <t>… zorgen voor consistentie, dubbel werk te voorkomen en de extra lasten tot een minimum te beperken, hebben aanbieders de keuze om in voorkomend geval de nodige test- en rapportageprocessen en door hen verstrekte informatie en documentatie over hun product op te nemen in de reeds bestaande documentatie en procedures die vereist zijn uit hoofde van de in bijlage I, afdeling A, bedoelde harmonisatiewetgev…</t>
  </si>
  <si>
    <t>secretariaat van de AI-board</t>
  </si>
  <si>
    <t>het secretariaat van de AI-board</t>
  </si>
  <si>
    <t>secretariaat</t>
  </si>
  <si>
    <t>secretariaat van de instelling</t>
  </si>
  <si>
    <t>secretariaat van de VN</t>
  </si>
  <si>
    <t>secretariaatspersoneel</t>
  </si>
  <si>
    <t>32024R1689:65:8:9</t>
  </si>
  <si>
    <t>De AI-board wordt voorgezeten door een van de vertegenwoordigers van de lidstaten. Het AI-bureau verzorgt het secretariaat van de AI-board, roept op verzoek van de voorzitter de vergaderingen bijeen en stelt de agenda op overeenkomstig de taken van de AI-board krachtens deze verordening …</t>
  </si>
  <si>
    <t>vervollediging van onvolledige persoonsgegevens</t>
  </si>
  <si>
    <t>vervollediging</t>
  </si>
  <si>
    <t>diefstal van identiteit</t>
  </si>
  <si>
    <t>misbruik van bevoegdheid</t>
  </si>
  <si>
    <t>onbegeleide minderjarige</t>
  </si>
  <si>
    <t>32016R0679:16:whole:2</t>
  </si>
  <si>
    <t>…catie van hem betreffende onjuiste persoonsgegevens te verkrijgen. Met inachtneming van de doeleinden van de verwerking heeft de betrokkene het recht vervollediging van onvolledige persoonsgegevens te verkrijgen, onder meer door een aanvullende verklaring te verstrekken.</t>
  </si>
  <si>
    <t>passende technische en organisatorische maatregelen</t>
  </si>
  <si>
    <t>aanpassing aan technische vooruitgang</t>
  </si>
  <si>
    <t>technische voorschriften</t>
  </si>
  <si>
    <t>aangepaste technologie</t>
  </si>
  <si>
    <t>32024R1689:26:1:1</t>
  </si>
  <si>
    <t>Gebruiksverantwoordelijken van AI-systemen met een hoog risico nemen passende technische en organisatorische maatregelen om te waarborgen dat zij dergelijke systemen gebruiken in overeenstemming met de gebruiksaanwijzingen die bij de systemen zijn gevoegd, op grond van …</t>
  </si>
  <si>
    <t>specifieke regels</t>
  </si>
  <si>
    <t>regel</t>
  </si>
  <si>
    <t>speciaal tarief</t>
  </si>
  <si>
    <t>prijsregels</t>
  </si>
  <si>
    <t>verkeersregels</t>
  </si>
  <si>
    <t>32016R0679:90:1:1</t>
  </si>
  <si>
    <t>…kelijk en evenredig is om het recht op bescherming van persoonsgegevens in overeenstemming te brengen met de geheimhoudingsplicht kunnen de lidstaten specifieke regels vaststellen voor de in artikel 58, lid 1, punten e) en f), bedoelde bevoegdheden van de toezichthoudende autoriteiten in verband met de verwerkingsve…</t>
  </si>
  <si>
    <t>noodzakelijke gedetailleerde regels</t>
  </si>
  <si>
    <t>de noodzakelijke gedetailleerde regels</t>
  </si>
  <si>
    <t>betere regelgeving</t>
  </si>
  <si>
    <t>verkeersvoorschriften</t>
  </si>
  <si>
    <t>32024R1689:5:5:10</t>
  </si>
  <si>
    <t>…binnen de grenzen en onder de voorwaarden van lid 1, eerste alinea, punt h), en de leden 2 en 3. De betrokken lidstaten leggen in hun nationale recht de noodzakelijke gedetailleerde regels vast voor het verzoek om en de afgifte en het gebruik van, evenals het toezicht en verslaglegging in verband met, de in lid 3 bedoelde vergunningen. …</t>
  </si>
  <si>
    <t>correctie</t>
  </si>
  <si>
    <t>de opsporing en correctie van vooringenomenheid</t>
  </si>
  <si>
    <t>successie</t>
  </si>
  <si>
    <t>confectie</t>
  </si>
  <si>
    <t>collocatie</t>
  </si>
  <si>
    <t>32024R1689:10:5:12</t>
  </si>
  <si>
    <t>…2016/679 en (EU) 2018/1725 en Richtlijn (EU) 2016/680 moeten voor een dergelijke verwerking alle volgende voorwaarden van toepassing zijn vervuld: a) de opsporing en correctie van vooringenomenheid kunnen niet doeltreffend worden vervuld door het verwerken van andere data, waaronder synthetische of geanonimiseerde data; b) de bijzondere categori…</t>
  </si>
  <si>
    <t>passende en specifieke maatregelen</t>
  </si>
  <si>
    <t>Programma voor gezonde en resultaatgerichte regelgeving</t>
  </si>
  <si>
    <t>alomvattende aanpak</t>
  </si>
  <si>
    <t>beveiliging en bewaking</t>
  </si>
  <si>
    <t>32016R0679:88:2:2</t>
  </si>
  <si>
    <t>Die regels omvatten passende en specifieke maatregelen ter waarborging van de menselijke waardigheid, de gerechtvaardigde belangen en de grondrechten van de betrokkene, met name wat betreft de transparant…</t>
  </si>
  <si>
    <t>follow-up</t>
  </si>
  <si>
    <t>de voorbereiding en follow-up van de bijeenkomsten van het Comité</t>
  </si>
  <si>
    <t>opvolging</t>
  </si>
  <si>
    <t>32016R0679:75:6:9</t>
  </si>
  <si>
    <t>…en en het brede publiek; d) het gebruik van elektronische middelen voor interne en externe communicatie; e) de vertaling van relevante informatie; f) de voorbereiding en follow-up van de bijeenkomsten van het Comité; g) de voorbereiding, opstelling en bekendmaking van adviezen, besluiten inzake beslechting van geschillen tussen toezichthoudende autoriteiten, en a…</t>
  </si>
  <si>
    <t>16 jaar</t>
  </si>
  <si>
    <t>ten minste 16 jaar</t>
  </si>
  <si>
    <t>jaar</t>
  </si>
  <si>
    <t>ouderdom</t>
  </si>
  <si>
    <t>Europees jaar</t>
  </si>
  <si>
    <t>minderjarige</t>
  </si>
  <si>
    <t>32016R0679:8:1:3</t>
  </si>
  <si>
    <t>…treeks aanbod van diensten van de informatiemaatschappij aan een kind, is de verwerking van persoonsgegevens van een kind rechtmatig wanneer het kind ten minste 16 jaar is. Wanneer het kind jonger is dan 16 jaar is zulke verwerking slechts rechtmatig indien en voor zover de toestemming of machtiging tot toestemming i…</t>
  </si>
  <si>
    <t>certificeringsmechanismen en -merktekens</t>
  </si>
  <si>
    <t>certificeringsmechanismen</t>
  </si>
  <si>
    <t>CE-conformiteitsmerk</t>
  </si>
  <si>
    <t>internationale samenwerking bij de handhaving van de wetgeving inzake de bescherming van persoonsgegevens</t>
  </si>
  <si>
    <t>de internationale samenwerking bij de handhaving van de wetgeving inzake de bescherming van persoonsgegevens</t>
  </si>
  <si>
    <t>samenwerking</t>
  </si>
  <si>
    <t>internationale samenwerking</t>
  </si>
  <si>
    <t>internationaal privaatrecht</t>
  </si>
  <si>
    <t>32016R0679:50:whole:5</t>
  </si>
  <si>
    <t>…ng van persoonsgegevens en andere grondrechten en fundamentele vrijheden bestaan; c) belanghebbenden te betrekken bij besprekingen en activiteiten om de internationale samenwerking bij de handhaving van de wetgeving inzake de bescherming van persoonsgegevens te bevorderen; en d) de uitwisseling en het documenteren van wetgeving en praktijken inzake de bescherming van persoonsgegevens te bevorderen, onder …</t>
  </si>
  <si>
    <t>oprichting van elke toezichthoudende autoriteit</t>
  </si>
  <si>
    <t>de oprichting van elke toezichthoudende autoriteit</t>
  </si>
  <si>
    <t>oprichting</t>
  </si>
  <si>
    <t>toezichthoudende bevoegdheid</t>
  </si>
  <si>
    <t>32016R0679:54:1:2</t>
  </si>
  <si>
    <t>Elke lidstaat regelt al het volgende bij wet: a) de oprichting van elke toezichthoudende autoriteit; b) de vereiste kwalificaties en voorwaarden om als lid te worden benoemd voor elke toezichthoudende autoriteit; c) de regels en procedures voor de b…</t>
  </si>
  <si>
    <t>verzoek van een toezichthoudende autoriteit om te mogen deelnemen</t>
  </si>
  <si>
    <t>het verzoek van een toezichthoudende autoriteit om te mogen deelnemen</t>
  </si>
  <si>
    <t>verzoek tot toetreding</t>
  </si>
  <si>
    <t>32016R0679:62:2:2</t>
  </si>
  <si>
    <t>… verzoekt de toezichthoudende autoriteit van elk van die lidstaten om deelname aan de gezamenlijke werkzaamheden in kwestie en beantwoordt onverwijld het verzoek van een toezichthoudende autoriteit om te mogen deelnemen.</t>
  </si>
  <si>
    <t>AI-bureau</t>
  </si>
  <si>
    <t>het AI-bureau</t>
  </si>
  <si>
    <t>aibureau</t>
  </si>
  <si>
    <t>informatiebureau</t>
  </si>
  <si>
    <t>Publicatiebureau</t>
  </si>
  <si>
    <t>Internationaal Arbeidsbureau</t>
  </si>
  <si>
    <t>32024R1689:54:5:3</t>
  </si>
  <si>
    <t>…redenen heeft om aan te nemen dat de aanbieder in strijd met zijn verplichtingen op grond van deze verordening handelt. In dat geval stelt hij tevens het AI-bureau onmiddellijk in kennis van de beëindiging van het mandaat en de redenen daarvoor.</t>
  </si>
  <si>
    <t>Certificaten</t>
  </si>
  <si>
    <t>certificaten</t>
  </si>
  <si>
    <t>charteren</t>
  </si>
  <si>
    <t>32024R1689:44:2:2</t>
  </si>
  <si>
    <t>Certificaten zijn geldig gedurende de daarin aangegeven periode, die niet meer dan vijf jaar mag bedragen voor AI-systemen die onder bijlage I vallen, en niet mee…</t>
  </si>
  <si>
    <t>of de toelating gerechtvaardigd is</t>
  </si>
  <si>
    <t>toelating</t>
  </si>
  <si>
    <t>toelating van vreemdelingen</t>
  </si>
  <si>
    <t>toelating tot het examen</t>
  </si>
  <si>
    <t>toelating op voet van gelijkheid</t>
  </si>
  <si>
    <t>32024R1689:46:5:9</t>
  </si>
  <si>
    <t>…taat. De betrokken operatoren worden geraadpleegd en hebben de mogelijkheid hun standpunten uiteen te zetten. Met het oog daarop besluit de Commissie of de toelating gerechtvaardigd is. De Commissie richt haar besluit aan de betrokken lidstaat en de relevante operatoren.</t>
  </si>
  <si>
    <t>procedures</t>
  </si>
  <si>
    <t>een structuur en procedures voor het waarborgen van de onpartijdigheid en voor het bevorderen en toepassen van de onpartijdigheidsbeginselen in hun gehele organisatie, onder het personeel en in de beoordelingsactiviteiten</t>
  </si>
  <si>
    <t>procedure</t>
  </si>
  <si>
    <t>algemene procedure</t>
  </si>
  <si>
    <t>administratieve procedure</t>
  </si>
  <si>
    <t>protocol</t>
  </si>
  <si>
    <t>32024R1689:31:6:3</t>
  </si>
  <si>
    <t>…dat de onafhankelijkheid, objectiviteit en onpartijdigheid van hun activiteiten gewaarborgd zijn. Aangemelde instanties documenteren en implementeren een structuur en procedures voor het waarborgen van de onpartijdigheid en voor het bevorderen en toepassen van de onpartijdigheidsbeginselen in hun gehele organisatie, onder het personeel en in de beoordelingsactiviteiten.</t>
  </si>
  <si>
    <t>aan een van de voorwaarden is voldaan</t>
  </si>
  <si>
    <t>dat aan een van de in lid 3 bedoelde voorwaarden is voldaan</t>
  </si>
  <si>
    <t>voorwaarde</t>
  </si>
  <si>
    <t>32016R0679:34:4:4</t>
  </si>
  <si>
    <t>…s dat de inbreuk in verband met persoonsgegevens een hoog risico met zich meebrengt, de verwerkingsverantwoordelijke daartoe verplichten of besluiten dat aan een van de in lid 3 bedoelde voorwaarden is voldaan.</t>
  </si>
  <si>
    <t>rechtsgrond voor de verwerking</t>
  </si>
  <si>
    <t>De rechtsgrond voor de in lid 1, punten c) en e), bedoelde verwerking</t>
  </si>
  <si>
    <t>rechtsgrond</t>
  </si>
  <si>
    <t>recht op verplaatsing</t>
  </si>
  <si>
    <t>verwerking van voedingsmiddelen</t>
  </si>
  <si>
    <t>32016R0679:6:3:1</t>
  </si>
  <si>
    <t>De rechtsgrond voor de in lid 1, punten c) en e), bedoelde verwerking moet worden vastgesteld bij: a) Unierecht; of b) lidstatelijk recht dat op de verwerkingsverantwoordelijke van toepassing is. Het doel van de verwerk…</t>
  </si>
  <si>
    <t>risicobeperkende maatregelen</t>
  </si>
  <si>
    <t>risicobeheer</t>
  </si>
  <si>
    <t>risicodragende belegging</t>
  </si>
  <si>
    <t>maatregelen tegen sociale uitsluiting</t>
  </si>
  <si>
    <t>32024R1689:93:1:2</t>
  </si>
  <si>
    <t>…assend kan de Commissie aanbieders erom verzoeken: a) passende maatregelen te nemen om te voldoen aan de verplichtingen van de artikelen 53 en 54; b) risicobeperkende maatregelen te nemen indien de overeenkomstig artikel 92 verrichte evaluatie aanleiding heeft gegeven tot ernstige en concrete aanwijzingen voor een systeemrisic…</t>
  </si>
  <si>
    <t>doeltreffende monitoringmechanismen</t>
  </si>
  <si>
    <t>monitoringmechanisem</t>
  </si>
  <si>
    <t>doeltreffend rechtsmiddel</t>
  </si>
  <si>
    <t>doelmatigheidscontrole</t>
  </si>
  <si>
    <t>monitoringverslag</t>
  </si>
  <si>
    <t>32024R1689:59:1:4</t>
  </si>
  <si>
    <t>…e eisen niet doeltreffend kunnen worden vervuld door het verwerken van geanonimiseerde, synthetische of andere niet persoonsgebonden data; c) er zijn doeltreffende monitoringmechanismen om vast te stellen of zich tijdens de experimenten in de testomgeving hoge risico’s voor de rechten en vrijheden van de betrokkenen als bedoeld in ar…</t>
  </si>
  <si>
    <t>gestructureerde dialoog</t>
  </si>
  <si>
    <t>een gestructureerde dialoog</t>
  </si>
  <si>
    <t>dialoog</t>
  </si>
  <si>
    <t>sociale dialoog</t>
  </si>
  <si>
    <t>interreligieuze dialoog</t>
  </si>
  <si>
    <t>trans-Atlantische dialoog</t>
  </si>
  <si>
    <t>32024R1689:91:2:2</t>
  </si>
  <si>
    <t>Alvorens het verzoek om informatie te verzenden, kan het AI-bureau een gestructureerde dialoog met de aanbieder van het AI-model voor algemene doeleinden aangaan.</t>
  </si>
  <si>
    <t>model</t>
  </si>
  <si>
    <t>dit model</t>
  </si>
  <si>
    <t>machine</t>
  </si>
  <si>
    <t>industriemodel</t>
  </si>
  <si>
    <t>32024R1689:52:1:2</t>
  </si>
  <si>
    <t>…mmissie kennis krijgt van een AI-model voor algemene doeleinden dat systeemrisico’s vertoont waarvan zij niet in kennis is gesteld, kan zij besluiten dit model aan te wijzen als een model met een systeemrisico.</t>
  </si>
  <si>
    <t>duidelijke, inhoudelijke uitleg</t>
  </si>
  <si>
    <t>uitleg</t>
  </si>
  <si>
    <t>uitklaring</t>
  </si>
  <si>
    <t>officiële verklaring</t>
  </si>
  <si>
    <t>32024R1689:86:1:1</t>
  </si>
  <si>
    <t>… of zij als nadelige gevolgen voor zijn of haar gezondheid, veiligheid of grondrechten beschouwt, heeft het recht om van de gebruiksverantwoordelijke duidelijke, inhoudelijke uitleg te verkrijgen bij de rol van het AI-systeem in de besluitvormingsprocedure en de voornaamste elementen van het genomen besluit.</t>
  </si>
  <si>
    <t>convergentie van beste praktijken</t>
  </si>
  <si>
    <t>de convergentie van beste praktijken</t>
  </si>
  <si>
    <t>convergentie</t>
  </si>
  <si>
    <t>convergentie van economische prestaties</t>
  </si>
  <si>
    <t>goede regelgevende praktijken</t>
  </si>
  <si>
    <t>32024R1689:62:3:8</t>
  </si>
  <si>
    <t>…ende voorlichtingscampagnes om meer bekendheid te geven aan de uit deze verordening voortvloeiende verplichtingen; d) het evalueren en bevorderen van de convergentie van beste praktijken bij openbare aanbestedingsprocedures met betrekking tot AI-systemen.</t>
  </si>
  <si>
    <t>middelen van de voorgenomen verwerking</t>
  </si>
  <si>
    <t>de doeleinden en de middelen van de voorgenomen verwerking</t>
  </si>
  <si>
    <t>middel</t>
  </si>
  <si>
    <t>toewijzing van middelen</t>
  </si>
  <si>
    <t>voorschriften voor de transacties</t>
  </si>
  <si>
    <t>32016R0679:36:3:4</t>
  </si>
  <si>
    <t>…elijke, bij de verwerking betrokken gezamenlijke verwerkingsverantwoordelijken en verwerkers, in het bijzonder voor verwerking binnen een concern; b) de doeleinden en de middelen van de voorgenomen verwerking; c) de maatregelen en waarborgen die worden geboden ter bescherming van de rechten en vrijheden van betrokkenen uit hoofde van deze verordening; d) i…</t>
  </si>
  <si>
    <t>relevante conformiteitsbeoordelingsprocedure</t>
  </si>
  <si>
    <t>de relevante conformiteitsbeoordelingsprocedure</t>
  </si>
  <si>
    <t>conformiteitsbeoordelingsprocedure</t>
  </si>
  <si>
    <t>conformiteitscertificaat</t>
  </si>
  <si>
    <t>raadplegingsprocedure</t>
  </si>
  <si>
    <t>32024R1689:43:3:4</t>
  </si>
  <si>
    <t>Voor AI-systemen met een hoog risico die onder de in afdeling A van bijlage I vermelde harmonisatiewetgeving van de Unie vallen, volgt de aanbieder de relevante conformiteitsbeoordelingsprocedure zoals vereist volgens die rechtshandelingen. De in afdeling 2 van dit hoofdstuk beschreven voorschriften zijn van toepassing op die AI-systemen met e…</t>
  </si>
  <si>
    <t>één aanmeldende autoriteit</t>
  </si>
  <si>
    <t>ten minste één aanmeldende autoriteit</t>
  </si>
  <si>
    <t>bevoegde nationale autoriteit</t>
  </si>
  <si>
    <t>toegewezen eenheid</t>
  </si>
  <si>
    <t>32024R1689:28:1:1</t>
  </si>
  <si>
    <t>Elke lidstaat wijst ten minste één aanmeldende autoriteit aan of richt een aanmeldende autoriteit op die verantwoordelijk is voor het opzetten en uitvoeren van de nodige procedures voor de beoordeling, aanwi…</t>
  </si>
  <si>
    <t>passende maatregelen</t>
  </si>
  <si>
    <t>32024R1689:73:8:9</t>
  </si>
  <si>
    <t>De markttoezichtautoriteit neemt passende maatregelen, zoals bedoeld in artikel 19 van Verordening (EU) 2019/1020, binnen zeven dagen na de datum waarop zij de in lid 1 van dit artikel bedoelde kennisgev…</t>
  </si>
  <si>
    <t>elektronische middelen voor interne en externe communicatie</t>
  </si>
  <si>
    <t>het gebruik van elektronische middelen voor interne en externe communicatie</t>
  </si>
  <si>
    <t>ongevraagde elektronische communicatie</t>
  </si>
  <si>
    <t>telecommunicatiemateriaal</t>
  </si>
  <si>
    <t>elektronische gegevensverwerking</t>
  </si>
  <si>
    <t>32016R0679:75:6:7</t>
  </si>
  <si>
    <t>… de communicatie tussen de leden van het Comité, zijn voorzitter en de Commissie; c) de communicatie met andere instellingen en het brede publiek; d) het gebruik van elektronische middelen voor interne en externe communicatie; e) de vertaling van relevante informatie; f) de voorbereiding en follow-up van de bijeenkomsten van het Comité; g) de voorbereiding, opstelling en b…</t>
  </si>
  <si>
    <t>uitgevoerde toezicht op de naleving van een gedragscode</t>
  </si>
  <si>
    <t>het op grond van artikel 40 uitgevoerde toezicht op de naleving van een gedragscode</t>
  </si>
  <si>
    <t>toezicht</t>
  </si>
  <si>
    <t>32016R0679:41:1:1</t>
  </si>
  <si>
    <t>Onverminderd de taken en bevoegdheden van de bevoegde toezichthoudende autoriteit uit hoofde van de artikelen 57 en 58, kan het op grond van artikel 40 uitgevoerde toezicht op de naleving van een gedragscode worden uitgeoefend door een orgaan dat over de passende deskundigheid met betrekking tot het onderwerp van de gedragscode beschikt en daartoe door de…</t>
  </si>
  <si>
    <t>geldigheidsduur van een certificaat</t>
  </si>
  <si>
    <t>de geldigheidsduur van een certificaat</t>
  </si>
  <si>
    <t>geldigheidsduur</t>
  </si>
  <si>
    <t>certificaat van echtheid</t>
  </si>
  <si>
    <t>certificaat van aandelen</t>
  </si>
  <si>
    <t>certificaat van oorsprong</t>
  </si>
  <si>
    <t>32024R1689:44:2:3</t>
  </si>
  <si>
    <t>…oor AI-systemen die onder bijlage I vallen, en niet meer dan vier jaar voor AI-systemen die onder bijlage III vallen. Op verzoek van de aanbieder kan de geldigheidsduur van een certificaat op grond van een herbeoordeling volgens de toepasselijke conformiteitsbeoordelingsprocedures worden verlengd met bijkomende perioden, die elk niet me…</t>
  </si>
  <si>
    <t>effectieve bilaterale en multilaterale uitwisseling van informatie en beste praktijken</t>
  </si>
  <si>
    <t>samenwerking en effectieve bilaterale en multilaterale uitwisseling van informatie en beste praktijken tussen de toezichthoudende autoriteiten</t>
  </si>
  <si>
    <t>uitwisseling</t>
  </si>
  <si>
    <t>uitwisseling van informatie</t>
  </si>
  <si>
    <t>bilaterale hulp</t>
  </si>
  <si>
    <t>32016R0679:70:1:18</t>
  </si>
  <si>
    <t>…en gebracht en uitbrengen van bindende beslissingen overeenkomstig artikel 65, met inbegrip van de in artikel 66 bedoelde gevallen; u) bevorderen van samenwerking en effectieve bilaterale en multilaterale uitwisseling van informatie en beste praktijken tussen de toezichthoudende autoriteiten; v) bevorderen van gemeenschappelijke opleidingsprogramma's en vergemakkelijken van uitwisselingen van personeelsleden tussen de toezichthoudende aut…</t>
  </si>
  <si>
    <t>omstandigheden die van invloed zijn op het toepassingsgebied van of de voorwaarden voor de aanmelding</t>
  </si>
  <si>
    <t>omstandigheid</t>
  </si>
  <si>
    <t>32024R1689:45:1:3</t>
  </si>
  <si>
    <t>…caat technische documentatie van de Unie of een goedkeuring voor systemen voor kwaliteitsbeheer afgegeven overeenkomstig de eisen van bijlage VII; c) omstandigheden die van invloed zijn op het toepassingsgebied van of de voorwaarden voor de aanmelding; d) verzoeken om informatie over conformiteitsbeoordelingsactiviteiten die zij van markttoezichtautoriteiten ontvangen; e) op verzoek, de binnen het …</t>
  </si>
  <si>
    <t>verwerkingsverantwoordelijke</t>
  </si>
  <si>
    <t>de verwerkingsverantwoordelijke</t>
  </si>
  <si>
    <t>verwerkingsindustrie</t>
  </si>
  <si>
    <t>uitvoerende bevoegdheid</t>
  </si>
  <si>
    <t>32016R0679:28:2:3</t>
  </si>
  <si>
    <t>De verwerker neemt geen andere verwerker in dienst zonder voorafgaande specifieke of algemene schriftelijke toestemming van de verwerkingsverantwoordelijke. In het geval van algemene schriftelijke toestemming licht de verwerker de verwerkingsverantwoordelijke in over beoogde veranderingen inzake de toevo…</t>
  </si>
  <si>
    <t>verwerkingsverantwoordelijken en de verwerkers</t>
  </si>
  <si>
    <t>de verwerkingsverantwoordelijken en de verwerkers</t>
  </si>
  <si>
    <t>verwerker</t>
  </si>
  <si>
    <t>rekening en verantwoording</t>
  </si>
  <si>
    <t>32016R0679:57:1:6</t>
  </si>
  <si>
    <t>… en bestuursmaatregelen in verband met de bescherming van de rechten en vrijheden van natuurlijke personen op het gebied van verwerking; d) zij maakt de verwerkingsverantwoordelijken en de verwerkers beter bekend met hun verplichtingen uit hoofde van deze verordening; e) zij verstrekt desgevraagd informatie aan iedere betrokkene over de uitoefenin…</t>
  </si>
  <si>
    <t>ontwerpgedragscode, die wijziging of uitbreiding</t>
  </si>
  <si>
    <t>deze ontwerpgedragscode, die wijziging of uitbreiding</t>
  </si>
  <si>
    <t>ontwerpgedragscode</t>
  </si>
  <si>
    <t>Commissie Bevolking en Ontwikkeling</t>
  </si>
  <si>
    <t>Verdrag inzake stabiliteit, coördinatie en bestuur</t>
  </si>
  <si>
    <t>EU-strategie voor groei en werkgelegenheid</t>
  </si>
  <si>
    <t>32016R0679:40:5:10</t>
  </si>
  <si>
    <t>…zichthoudende autoriteit brengt advies uit over de vraag of de ontwerpgedragscode, de wijziging of uitbreiding strookt met deze verordening, en keurt deze ontwerpgedragscode, die wijziging of uitbreiding goed indien zij van oordeel is dat de code voldoende passende waarborgen biedt.</t>
  </si>
  <si>
    <t>kennelijk ongegronde of buitensporige aard van het verzoek</t>
  </si>
  <si>
    <t>de kennelijk ongegronde of buitensporige aard van het verzoek</t>
  </si>
  <si>
    <t>aard</t>
  </si>
  <si>
    <t>beroep tot nietigverklaring</t>
  </si>
  <si>
    <t>buitengewone rechtspraak</t>
  </si>
  <si>
    <t>beroep wegens nalatigheid</t>
  </si>
  <si>
    <t>32016R0679:12:5:11</t>
  </si>
  <si>
    <t>…t treffen van de gevraagde maatregelen gepaard gaan; ofwel b) weigeren gevolg te geven aan het verzoek. Het is aan de verwerkingsverantwoordelijke om de kennelijk ongegronde of buitensporige aard van het verzoek aan te tonen.</t>
  </si>
  <si>
    <t>nieuwe conformiteitsbeoordelingsprocedure</t>
  </si>
  <si>
    <t>een nieuwe conformiteitsbeoordelingsprocedure</t>
  </si>
  <si>
    <t>32024R1689:43:4:6</t>
  </si>
  <si>
    <t>AI-systemen met een hoog risico die reeds aan een conformiteitsbeoordelingsprocedure zijn onderworpen, ondergaan een nieuwe conformiteitsbeoordelingsprocedure telkens wanneer zij substantieel zijn gewijzigd, ongeacht of het gewijzigde systeem bedoeld is om verder te worden gedistribueerd of door de huidige …</t>
  </si>
  <si>
    <t>dossiers van de betrokken aangemelde instantie</t>
  </si>
  <si>
    <t>de dossiers van de betrokken aangemelde instantie</t>
  </si>
  <si>
    <t>dossier</t>
  </si>
  <si>
    <t>Commissie Verdovende Middelen</t>
  </si>
  <si>
    <t>Justitie en Binnenlandse Zaken</t>
  </si>
  <si>
    <t>32024R1689:36:6:17</t>
  </si>
  <si>
    <t>Indien een aanwijzing wordt beperkt, geschorst of ingetrokken, onderneemt de aanmeldende autoriteit de nodige stappen om ervoor te zorgen dat de dossiers van de betrokken aangemelde instantie worden bewaard en op verzoek ter beschikking worden gesteld van aanmeldende autoriteiten in andere lidstaten en van markttoezichtautoriteiten.</t>
  </si>
  <si>
    <t>gemachtigde</t>
  </si>
  <si>
    <t>een gemachtigde</t>
  </si>
  <si>
    <t>beschuldigde</t>
  </si>
  <si>
    <t>hertachtige</t>
  </si>
  <si>
    <t>bejaarde</t>
  </si>
  <si>
    <t>32024R1689:22:1:1</t>
  </si>
  <si>
    <t>…e landen zijn gevestigd, wijzen voordat zij hun AI-systemen met een hoog risico in de Unie in de handel brengen, middels een schriftelijke machtiging een gemachtigde aan die is gevestigd in de Unie.</t>
  </si>
  <si>
    <t>adequate maatregelen voor beperking en controle</t>
  </si>
  <si>
    <t>maatregelen ter beperking van buitenlandse investeringen</t>
  </si>
  <si>
    <t>32024R1689:9:5:9</t>
  </si>
  <si>
    <t>…o’s voor zover technisch haalbaar door middel van een adequaat ontwerp en ontwikkeling van het AI-systeem met een hoog risico; b) waar passend worden adequate maatregelen voor beperking en controle genomen voor het aanpakken van risico’s die niet kunnen worden uitgesloten; c) verstrekking van op grond van artikel 13 vereiste informatie en waar p…</t>
  </si>
  <si>
    <t>eerste, onvolledige, melding</t>
  </si>
  <si>
    <t>een eerste, onvolledige, melding</t>
  </si>
  <si>
    <t>melding</t>
  </si>
  <si>
    <t>Gerecht van eerste aanleg</t>
  </si>
  <si>
    <t>eerste betrekking</t>
  </si>
  <si>
    <t>32024R1689:73:5:4</t>
  </si>
  <si>
    <t>Indien dit nodig is om tijdige melding te waarborgen, kan de aanbieder of, in voorkomend geval, de gebruiksverantwoordelijke een eerste, onvolledige, melding doen die wordt gevolgd door een volledige melding.</t>
  </si>
  <si>
    <t>op elke toezichthoudende autoriteit financieel toezicht wordt uitgeoefend zonder dat daarbij de onafhankelijkheid van de toezichthoudende autoriteit in het gedrang komt</t>
  </si>
  <si>
    <t>dat op elke toezichthoudende autoriteit financieel toezicht wordt uitgeoefend zonder dat daarbij de onafhankelijkheid van de toezichthoudende autoriteit in het gedrang komt</t>
  </si>
  <si>
    <t>financieel toezicht</t>
  </si>
  <si>
    <t>32016R0679:52:6:8</t>
  </si>
  <si>
    <t>Elke lidstaat zorgt ervoor dat op elke toezichthoudende autoriteit financieel toezicht wordt uitgeoefend zonder dat daarbij de onafhankelijkheid van de toezichthoudende autoriteit in het gedrang komt en dat het een afzonderlijke, publieke jaarbegroting heeft, die een onderdeel kan zijn van de algehele staats- of nationale begroting.</t>
  </si>
  <si>
    <t>uitvoeringshandelingen van algemene aard</t>
  </si>
  <si>
    <t>uitvoeringshandelingen</t>
  </si>
  <si>
    <t>gezamenlijke uitvoering</t>
  </si>
  <si>
    <t>uitvoeringsverordening</t>
  </si>
  <si>
    <t>32016R0679:67:whole:2</t>
  </si>
  <si>
    <t>De Commissie kan uitvoeringshandelingen van algemene aard vaststellen om d)de regelingen voor de elektronische uitwisseling van informatie tussen toezichthoudende autoriteiten onderling en tussen toezichthou…</t>
  </si>
  <si>
    <t>standpunten</t>
  </si>
  <si>
    <t>hun standpunten</t>
  </si>
  <si>
    <t>standpunt</t>
  </si>
  <si>
    <t>profielen</t>
  </si>
  <si>
    <t>gemeenschappelijk standpunt</t>
  </si>
  <si>
    <t>32024R1689:46:5:10</t>
  </si>
  <si>
    <t>…rond acht, treedt de Commissie onverwijld in overleg met de relevante lidstaat. De betrokken operatoren worden geraadpleegd en hebben de mogelijkheid hun standpunten uiteen te zetten. Met het oog daarop besluit de Commissie of de toelating gerechtvaardigd is. De Commissie richt haar besluit aan de betrokken lidsta…</t>
  </si>
  <si>
    <t>redenen</t>
  </si>
  <si>
    <t>de redenen daarvoor</t>
  </si>
  <si>
    <t>linnen</t>
  </si>
  <si>
    <t>wortelen</t>
  </si>
  <si>
    <t>denatureren</t>
  </si>
  <si>
    <t>32024R1689:54:5:4</t>
  </si>
  <si>
    <t>…ingen op grond van deze verordening handelt. In dat geval stelt hij tevens het AI-bureau onmiddellijk in kennis van de beëindiging van het mandaat en de redenen daarvoor.</t>
  </si>
  <si>
    <t>herzien ontwerpbesluit</t>
  </si>
  <si>
    <t>een herzien ontwerpbesluit</t>
  </si>
  <si>
    <t>herzien</t>
  </si>
  <si>
    <t>uitvoeringsbesluit</t>
  </si>
  <si>
    <t>besluitvorming</t>
  </si>
  <si>
    <t>kaderbesluit</t>
  </si>
  <si>
    <t>32016R0679:60:5:9</t>
  </si>
  <si>
    <t>…s is het ingediende relevante en gemotiveerde bezwaar te honoreren, legt zij de overige betrokken toezichthoudende autoriteiten te hunner beoordeling een herzien ontwerpbesluit voor. Dat herziene ontwerpbesluit wordt binnen een termijn van twee weken aan de in lid 4 bedoelde procedure onderworpen.</t>
  </si>
  <si>
    <t>aspecten</t>
  </si>
  <si>
    <t>ten minste de volgende aspecten</t>
  </si>
  <si>
    <t>aspect</t>
  </si>
  <si>
    <t>juridische aspecten</t>
  </si>
  <si>
    <t>32024R1689:17:1:3</t>
  </si>
  <si>
    <t>…. Dit systeem wordt op systematische en ordelijke wijze gedocumenteerd in de vorm van schriftelijke beleidslijnen, procedures en instructies en omvat ten minste de volgende aspecten: a) een strategie voor de naleving van de regelgeving, inclusief de naleving van de conformiteitsbeoordelingsprocedures en de procedures voor het beh…</t>
  </si>
  <si>
    <t>bindende en afdwingbare toezeggingen</t>
  </si>
  <si>
    <t>toezegging</t>
  </si>
  <si>
    <t>actief en ondersteund wonen</t>
  </si>
  <si>
    <t>32016R0679:40:3:6</t>
  </si>
  <si>
    <t>…oeld in artikel 46, lid 2, punt e). Die verwerkingsverantwoordelijken of verwerkers doen, via contractuele of andere juridisch bindende instrumenten, bindende en afdwingbare toezeggingen om die passende waarborgen toe te passen, ook wat betreft de rechten van de betrokkenen.</t>
  </si>
  <si>
    <t>AI-modellen voor algemene doeleinden met systeemrisico's</t>
  </si>
  <si>
    <t>op AI-modellen voor algemene doeleinden met systeemrisico's</t>
  </si>
  <si>
    <t>aimodellen</t>
  </si>
  <si>
    <t>Europees Comité voor systeemrisico's</t>
  </si>
  <si>
    <t>32024R1689:53:2:9</t>
  </si>
  <si>
    <t>…formatie over de modelarchitectuur en de informatie over het gebruik van het model, openbaar worden gemaakt. Deze uitzondering is niet van toepassing op AI-modellen voor algemene doeleinden met systeemrisico's.</t>
  </si>
  <si>
    <t>uiteengezette elementen</t>
  </si>
  <si>
    <t>ten minste de in bijlage IV uiteengezette elementen</t>
  </si>
  <si>
    <t>element</t>
  </si>
  <si>
    <t>samengesteld materiaal</t>
  </si>
  <si>
    <t>32024R1689:11:1:10</t>
  </si>
  <si>
    <t>…ijke wijze gestelde informatie beschikken om de overeenstemming van het AI-systeem met deze voorschriften te kunnen beoordelen. De documentatie omvat ten minste de in bijlage IV uiteengezette elementen. Kmo’s, met inbegrip van start-ups, kunnen de elementen van de in bijlage IV gespecificeerde technische documentatie op vereenvoudigde wijze verstrek…</t>
  </si>
  <si>
    <t>eisen</t>
  </si>
  <si>
    <t>de eisen van deze afdeling</t>
  </si>
  <si>
    <t>eis</t>
  </si>
  <si>
    <t>ei</t>
  </si>
  <si>
    <t>32024R1689:8:1:1</t>
  </si>
  <si>
    <t>AI-systemen met een hoog risico moeten voldoen aan de eisen van deze afdeling, rekening houdend met hun beoogde doel en de algemeen erkende stand van de techniek op het gebied van AI en AI-gerelateerde technologieën. Bij het wa…</t>
  </si>
  <si>
    <t>voor de uitvoering van de certificeringsprocedure noodzakelijke informatie</t>
  </si>
  <si>
    <t>de voor de uitvoering van de certificeringsprocedure noodzakelijke informatie</t>
  </si>
  <si>
    <t>uitvoering</t>
  </si>
  <si>
    <t>32016R0679:42:6:3</t>
  </si>
  <si>
    <t>…nisme onderwerpt, verstrekt aan het in artikel 43 bedoelde certificeringsorgaan, of, waar van toepassing, aan de bevoegde toezichthoudende autoriteit de voor de uitvoering van de certificeringsprocedure noodzakelijke informatie en verleent het orgaan of de autoriteit toegang tot zijn verwerkingsactiviteiten.</t>
  </si>
  <si>
    <t>die toelating</t>
  </si>
  <si>
    <t>botteling</t>
  </si>
  <si>
    <t>topontmoeting</t>
  </si>
  <si>
    <t>EG-toetreding</t>
  </si>
  <si>
    <t>32024R1689:46:2:2</t>
  </si>
  <si>
    <t>…ielebeschermingsautoriteiten een specifiek AI-systeem met een hoog risico in gebruik stellen zonder de in lid 1 bedoelde toelating, op voorwaarde dat die toelating tijdens of na het gebruik zonder onnodige vertraging wordt aangevraagd. Indien de in lid 1 bedoelde toelating wordt geweigerd, wordt het gebruik van …</t>
  </si>
  <si>
    <t>alternatieve passende wijzen van naleving</t>
  </si>
  <si>
    <t>naleving</t>
  </si>
  <si>
    <t>alternatieve geschillenbeslechting</t>
  </si>
  <si>
    <t>32024R1689:55:2:3</t>
  </si>
  <si>
    <t>… doeleinden met een systeemrisico die zich niet aan een goedgekeurde praktijkcode houden of niet voldoen aan een Europese geharmoniseerde norm, tonen alternatieve passende wijzen van naleving aan die door de Commissie moeten worden beoordeeld.</t>
  </si>
  <si>
    <t>contactpunt</t>
  </si>
  <si>
    <t>als contactpunt</t>
  </si>
  <si>
    <t>verkooppunt</t>
  </si>
  <si>
    <t>32016R0679:39:1:4</t>
  </si>
  <si>
    <t>…ect-beoordeling en toezien op de uitvoering daarvan in overeenstemming met artikel 35; d) met de toezichthoudende autoriteit samenwerken; e) optreden als contactpunt voor de toezichthoudende autoriteit inzake met verwerking verband houdende aangelegenheden, met inbegrip van de in artikel 36 bedoelde voorafgaande r…</t>
  </si>
  <si>
    <t>loggingcapaciteiten</t>
  </si>
  <si>
    <t>de loggingcapaciteiten</t>
  </si>
  <si>
    <t>loggingcapaciteit</t>
  </si>
  <si>
    <t>opslagcapaciteit</t>
  </si>
  <si>
    <t>productiecapaciteit</t>
  </si>
  <si>
    <t>32024R1689:12:3:2</t>
  </si>
  <si>
    <t>Voor AI-systemen met een hoog risico als bedoeld in punt 1, a), van bijlage III voorzien de loggingcapaciteiten ten minste in: a) de registratie van de duur van elk gebruik van het systeem (begindatum en -tijd en einddatum en -tijd van elk gebruik); b) de refer…</t>
  </si>
  <si>
    <t>mogelijkheid om klacht in te dienen bij een toezichthoudende autoriteit en beroep bij de rechter in te stellen</t>
  </si>
  <si>
    <t>de mogelijkheid om klacht in te dienen bij een toezichthoudende autoriteit en beroep bij de rechter in te stellen</t>
  </si>
  <si>
    <t>beroep bij het Hof van justitie</t>
  </si>
  <si>
    <t>administratieve klacht</t>
  </si>
  <si>
    <t>32016R0679:12:4:8</t>
  </si>
  <si>
    <t>…te onverwijld en uiterlijk binnen één maand na ontvangst van het verzoek mee waarom het verzoek zonder gevolg is gebleven, en informeert hij hem over de mogelijkheid om klacht in te dienen bij een toezichthoudende autoriteit en beroep bij de rechter in te stellen.</t>
  </si>
  <si>
    <t>passende beperkende maatregelen ten aanzien van het betrokken AI-systeem</t>
  </si>
  <si>
    <t>32024R1689:81:2:6</t>
  </si>
  <si>
    <t>Indien de Commissie de maatregel van de betrokken lidstaat gerechtvaardigd acht, zorgen alle lidstaten ervoor dat zij passende beperkende maatregelen ten aanzien van het betrokken AI-systeem nemen, zoals het zonder onnodige vertraging uit de handel nemen van het AI-systeem op hun markt, en stellen zij de Commissie daarvan in kennis. Indie…</t>
  </si>
  <si>
    <t>plan voor monitoring na het in de handel brengen</t>
  </si>
  <si>
    <t>een plan voor monitoring na het in de handel brengen</t>
  </si>
  <si>
    <t>plan</t>
  </si>
  <si>
    <t>voorbereiding op het in de handel brengen</t>
  </si>
  <si>
    <t>32024R1689:72:3:4</t>
  </si>
  <si>
    <t>Het systeem voor monitoring na het in de handel brengen is gebaseerd op een plan voor monitoring na het in de handel brengen. Het plan voor monitoring na het in de handel brengen maakt deel uit van de in bijlage IV bedoelde technische documentatie. De Commissie stelt uiterl…</t>
  </si>
  <si>
    <t>verantwoordelijkheid voor hun activiteiten, met inbegrip van de aansprakelijkheid voor alle door die personeelsleden bij de uitvoering van hun werkzaamheden veroorzaakte schade</t>
  </si>
  <si>
    <t>de verantwoordelijkheid voor hun activiteiten, met inbegrip van de aansprakelijkheid voor alle door die personeelsleden bij de uitvoering van hun werkzaamheden veroorzaakte schade</t>
  </si>
  <si>
    <t>verantwoordelijkheid</t>
  </si>
  <si>
    <t>verantwoordelijkheid van het bestuur</t>
  </si>
  <si>
    <t>aansprakelijkheid voor milieuschade</t>
  </si>
  <si>
    <t>32016R0679:62:4:8</t>
  </si>
  <si>
    <t>…toezichthoudende autoriteit overeenkomstig lid 1 actief zijn in een andere lidstaat, neemt de lidstaat van de ontvangende toezichthoudende autoriteit de verantwoordelijkheid voor hun activiteiten, met inbegrip van de aansprakelijkheid voor alle door die personeelsleden bij de uitvoering van hun werkzaamheden veroorzaakte schade, overeenkomstig het recht van de lidstaat op het grondgebied waarvan die personeelsleden actief zijn.</t>
  </si>
  <si>
    <t>overheidsinstanties of -organen</t>
  </si>
  <si>
    <t>de in lid 1 bedoelde overheidsinstanties of -organen</t>
  </si>
  <si>
    <t>overheidsinstantie</t>
  </si>
  <si>
    <t>organen Verenigde Naties</t>
  </si>
  <si>
    <t>overheid</t>
  </si>
  <si>
    <t>publieke instantie</t>
  </si>
  <si>
    <t>32024R1689:77:2:3</t>
  </si>
  <si>
    <t>Uiterlijk op 2 november 2024 stelt elke lidstaat de in lid 1 bedoelde overheidsinstanties of -organen vast en maakt de lijst openbaar. De lidstaten stellen de Commissie en de andere lidstaten in kennis van de lijst en houden deze up-to-date.</t>
  </si>
  <si>
    <t>geldigheid van de reeds van kracht zijnde gedelegeerde handelingen</t>
  </si>
  <si>
    <t>de geldigheid van de reeds van kracht zijnde gedelegeerde handelingen</t>
  </si>
  <si>
    <t>geldigheid</t>
  </si>
  <si>
    <t>geldigheid van de wet</t>
  </si>
  <si>
    <t>gedelegeerde wetgeving</t>
  </si>
  <si>
    <t>32024R1689:97:3:5</t>
  </si>
  <si>
    <t>…rdt van kracht op de dag na die van de bekendmaking ervan in het Publicatieblad van de Europese Unie of op een daarin genoemde latere datum. Het laat de geldigheid van de reeds van kracht zijnde gedelegeerde handelingen onverlet.</t>
  </si>
  <si>
    <t>wissing van hem betreffende persoonsgegevens</t>
  </si>
  <si>
    <t>32016R0679:17:1:1</t>
  </si>
  <si>
    <t>De betrokkene heeft het recht van de verwerkingsverantwoordelijke zonder onredelijke vertraging wissing van hem betreffende persoonsgegevens te verkrijgen en de verwerkingsverantwoordelijke is verplicht persoonsgegevens zonder onredelijke vertraging te wissen wanneer een van de volgende ge…</t>
  </si>
  <si>
    <t>twee permanente subgroepen</t>
  </si>
  <si>
    <t>subgroep</t>
  </si>
  <si>
    <t>Comité van permanente vertegenwoordigers</t>
  </si>
  <si>
    <t>permanente vorming</t>
  </si>
  <si>
    <t>permanente commissie</t>
  </si>
  <si>
    <t>32024R1689:65:6:4</t>
  </si>
  <si>
    <t>De AI-board richt twee permanente subgroepen op om een platform te bieden voor samenwerking en uitwisseling tussen markttoezichtautoriteiten en aanmeldende autoriteiten over kwesties betreffende…</t>
  </si>
  <si>
    <t>regels voor de benoeming of de leden van elke toezichthoudende autoriteit</t>
  </si>
  <si>
    <t>de regels en procedures voor de benoeming van het lid of de leden van elke toezichthoudende autoriteit</t>
  </si>
  <si>
    <t>benoeming van de leden</t>
  </si>
  <si>
    <t>lid van de Raad van toezicht</t>
  </si>
  <si>
    <t>32016R0679:54:1:4</t>
  </si>
  <si>
    <t>… elke toezichthoudende autoriteit; b) de vereiste kwalificaties en voorwaarden om als lid te worden benoemd voor elke toezichthoudende autoriteit; c) de regels en procedures voor de benoeming van het lid of de leden van elke toezichthoudende autoriteit; d) de ambtstermijn van het lid of de leden van elke toezichthoudende autoriteit, die ten minste vier jaar bedraagt, behoudens de eerste ambtstermijn…</t>
  </si>
  <si>
    <t>verantwoordelijke voor de verwerking</t>
  </si>
  <si>
    <t>de verantwoordelijke voor de verwerking</t>
  </si>
  <si>
    <t>informatieverwerking</t>
  </si>
  <si>
    <t>32024R1689:71:6:8</t>
  </si>
  <si>
    <t>De Commissie is voor de EU-databank de verantwoordelijke voor de verwerking. Zij stelt adequate technische en administratieve ondersteuning ter beschikking van aanbieders, potentiële aanbieders en gebruiksverantwoordelijken. …</t>
  </si>
  <si>
    <t>evenredig</t>
  </si>
  <si>
    <t>evenredige vertegenwoordiging</t>
  </si>
  <si>
    <t>32016R0679:6:3:4</t>
  </si>
  <si>
    <t>…ngssituaties als bedoeld in hoofdstuk IX. Het Unierecht of het lidstatelijke recht moet beantwoorden aan een doelstelling van algemeen belang en moet evenredig zijn met het nagestreefde gerechtvaardigde doel.</t>
  </si>
  <si>
    <t>combinatie van ondersteunende activiteiten door Europese ondersteunende structuren voor AI-testen en deskundigen uitvoeren</t>
  </si>
  <si>
    <t>de combinatie van ondersteunende activiteiten door Europese ondersteunende structuren voor AI-testen op grond van artikel 84 en deskundigen uit hoofde van dit artikel uitvoeren</t>
  </si>
  <si>
    <t>combinatie</t>
  </si>
  <si>
    <t>Europese samenwerking op het gebied van wetenschappelijk en technisch onderzoek</t>
  </si>
  <si>
    <t>32024R1689:69:3:5</t>
  </si>
  <si>
    <t>De Commissie vergemakkelijkt de tijdige toegang van de lidstaten tot de deskundigen, voor zover nodig, en zorgt ervoor dat de combinatie van ondersteunende activiteiten door Europese ondersteunende structuren voor AI-testen op grond van artikel 84 en deskundigen uit hoofde van dit artikel uitvoeren, efficiënt wordt georganiseerd en de best mogelijke toegevoegde waarde oplevert.</t>
  </si>
  <si>
    <t>lijst van aangemelde instanties</t>
  </si>
  <si>
    <t>de lijst van krachtens deze verordening aangemelde instanties</t>
  </si>
  <si>
    <t>lijst</t>
  </si>
  <si>
    <t>beschikking van de Commissie</t>
  </si>
  <si>
    <t>aanbeveling van de Commissie</t>
  </si>
  <si>
    <t>bevoegde nationale instantie</t>
  </si>
  <si>
    <t>32024R1689:35:2:2</t>
  </si>
  <si>
    <t>De Commissie maakt de lijst van krachtens deze verordening aangemelde instanties openbaar, onder vermelding van hun identificatienummers en de activiteiten waarvoor zij zijn aangemeld. De Commissie zorgt ervoor dat de lijst actuee…</t>
  </si>
  <si>
    <t>verwerking in overeenstemming met deze verordening wordt uitgevoerd</t>
  </si>
  <si>
    <t>dat de verwerking in overeenstemming met deze verordening wordt uitgevoerd</t>
  </si>
  <si>
    <t>32016R0679:24:1:2</t>
  </si>
  <si>
    <t>…atuurlijke personen, treft de verwerkingsverantwoordelijke passende technische en organisatorische maatregelen om te waarborgen en te kunnen aantonen dat de verwerking in overeenstemming met deze verordening wordt uitgevoerd. Die maatregelen worden geëvalueerd en indien nodig geactualiseerd.</t>
  </si>
  <si>
    <t>striktheid</t>
  </si>
  <si>
    <t>aan de striktheid en het beschermingsniveau</t>
  </si>
  <si>
    <t>rekeneenheid</t>
  </si>
  <si>
    <t>stiptheidsactie</t>
  </si>
  <si>
    <t>meeteenheid</t>
  </si>
  <si>
    <t>32024R1689:17:2:4</t>
  </si>
  <si>
    <t>De uitvoering van de in lid 1 bedoelde aspecten is evenredig aan de omvang van de organisatie van de aanbieder. Aanbieders voldoen hoe dan ook aan de striktheid en het beschermingsniveau die nodig zijn om te garanderen dat hun AI-systemen met een hoog risico aan deze verordening voldoen.</t>
  </si>
  <si>
    <t>melding van ernstige incidenten</t>
  </si>
  <si>
    <t>de melding van ernstige incidenten</t>
  </si>
  <si>
    <t>ernstige acute ondervoeding</t>
  </si>
  <si>
    <t>beheer van noodsituaties</t>
  </si>
  <si>
    <t>32024R1689:73:9:11</t>
  </si>
  <si>
    <t>…aanbieders die onderworpen zijn aan rechtsinstrumenten van de Unie met meldingsverplichtingen die gelijkwaardig zijn aan die van deze verordening, is de melding van ernstige incidenten beperkt tot de in artikel 3, punt 49), c), bedoelde incidenten.</t>
  </si>
  <si>
    <t>tijdige toegang staten tot de deskundigen</t>
  </si>
  <si>
    <t>de tijdige toegang van de lidstaten tot de deskundigen</t>
  </si>
  <si>
    <t>toegang</t>
  </si>
  <si>
    <t>werkbezoek van deskundigen</t>
  </si>
  <si>
    <t>toegang tot de rechter</t>
  </si>
  <si>
    <t>toegang tot de informatie</t>
  </si>
  <si>
    <t>32024R1689:69:3:4</t>
  </si>
  <si>
    <t>De Commissie vergemakkelijkt de tijdige toegang van de lidstaten tot de deskundigen, voor zover nodig, en zorgt ervoor dat de combinatie van ondersteunende activiteiten door Europese ondersteunende structuren voor AI-testen op grond …</t>
  </si>
  <si>
    <t>mogelijkheid haar standpunten kenbaar te maken</t>
  </si>
  <si>
    <t>haar de mogelijkheid haar standpunten kenbaar te maken</t>
  </si>
  <si>
    <t>oproep tot het indienen van voorstellen</t>
  </si>
  <si>
    <t>openbaarheid van de debatten</t>
  </si>
  <si>
    <t>weigering aan te bieden</t>
  </si>
  <si>
    <t>32024R1689:36:4:9</t>
  </si>
  <si>
    <t>…wijld zo zorgvuldig mogelijk onderzoeken. In die context stelt zij de betrokken aangemelde instantie in kennis van de geopperde bezwaren en biedt zij haar de mogelijkheid haar standpunten kenbaar te maken. Als de aanmeldende autoriteit tot de conclusie komt dat de aangemelde instantie niet meer aan de eisen van artikel 31 voldoet of haar verplichtingen…</t>
  </si>
  <si>
    <t>De in lid 1 bedoelde melding</t>
  </si>
  <si>
    <t>manifest</t>
  </si>
  <si>
    <t>32024R1689:73:2:2</t>
  </si>
  <si>
    <t>De in lid 1 bedoelde melding wordt gedaan onmiddellijk nadat de aanbieder een oorzakelijk verband tussen het AI-systeem en het ernstige incident of de redelijke waarschijnlijkhei…</t>
  </si>
  <si>
    <t>AI-systeem met een hoog risico</t>
  </si>
  <si>
    <t>het AI-systeem met een hoog risico</t>
  </si>
  <si>
    <t>aisysteem</t>
  </si>
  <si>
    <t>32024R1689:16:whole:12</t>
  </si>
  <si>
    <t>…en met een hoog risico: a) zorgen ervoor dat hun AI-systemen met een hoog risico in overeenstemming zijn met de eisen van afdeling 2; b) vermelden op het AI-systeem met een hoog risico of, wanneer dit niet mogelijk is, op de verpakking of in de bij het product gevoegde documentatie, naargelang het geval, hun naam, geregistreerde han…</t>
  </si>
  <si>
    <t>kader van de testomgeving verwerkte persoonsgegevens</t>
  </si>
  <si>
    <t>in het kader van de testomgeving verwerkte persoonsgegevens</t>
  </si>
  <si>
    <t>kader</t>
  </si>
  <si>
    <t>32024R1689:59:1:9</t>
  </si>
  <si>
    <t>…rokkenen, noch gevolgen hebben voor de toepassing van hun rechten die zijn vastgelegd in het Unierecht inzake de bescherming van persoonsgegevens; g) in het kader van de testomgeving verwerkte persoonsgegevens worden beschermd met passende technische en organisatorische maatregelen en worden gewist nadat de deelname aan de testomgeving is beëindigd of de pe…</t>
  </si>
  <si>
    <t>datum</t>
  </si>
  <si>
    <t>de datum</t>
  </si>
  <si>
    <t>32016R0679:65:6:13</t>
  </si>
  <si>
    <t>…uit. De leidende toezichthoudende autoriteit of, in voorkomend geval, de toezichthoudende autoriteit waarbij de klacht is ingediend, deelt het Comité de datum mee waarop haar definitieve besluit ter kennis wordt gebracht van respectievelijk de verwerkingsverantwoordelijke of de verwerker en van de betrokken…</t>
  </si>
  <si>
    <t>goedgekeurde gedragscodes die algemeen geldig zijn verklaard</t>
  </si>
  <si>
    <t>bij overeenkomstig lid 5 van dit artikel goedgekeurde gedragscodes die overeenkomstig lid 9 van dit artikel algemeen geldig zijn verklaard</t>
  </si>
  <si>
    <t>32016R0679:40:3:5</t>
  </si>
  <si>
    <t>Behalve door verwerkingsverantwoordelijken of verwerkers die onder deze verordening vallen, kan bij overeenkomstig lid 5 van dit artikel goedgekeurde gedragscodes die overeenkomstig lid 9 van dit artikel algemeen geldig zijn verklaard, eveneens worden aangesloten door verwerkingsverantwoordelijken of verwerkers die overeenkomstig artikel 3 niet onder deze verordening vallen, om te …</t>
  </si>
  <si>
    <t>bevoegde autoriteiten ten minste één AI-testomgeving voor regelgeving op nationaal niveau opzetten</t>
  </si>
  <si>
    <t>hun bevoegde autoriteiten ten minste één AI-testomgeving voor regelgeving op nationaal niveau opzetten</t>
  </si>
  <si>
    <t>32024R1689:57:1:2</t>
  </si>
  <si>
    <t>De lidstaten zorgen ervoor dat hun bevoegde autoriteiten ten minste één AI-testomgeving voor regelgeving op nationaal niveau opzetten, die uiterlijk op 2 augustus 2026 operationeel is. Die testomgeving kan ook samen met de bevoegde autoriteiten van andere lidstaten worden opgezet. D…</t>
  </si>
  <si>
    <t>procedures voor de uitwisseling van informatie over bindende bedrijfsvoorschriften</t>
  </si>
  <si>
    <t>het model en de procedures voor de uitwisseling van informatie over bindende bedrijfsvoorschriften in de zin van dit artikel</t>
  </si>
  <si>
    <t>32016R0679:47:3:3</t>
  </si>
  <si>
    <t>De Commissie kan het model en de procedures voor de uitwisseling van informatie over bindende bedrijfsvoorschriften in de zin van dit artikel tussen verwerkingsverantwoordelijken, verwerkers en toezichthoudende autoriteiten nader bepalen. Deze uitvoeringshandelingen worden vastgesteld volge…</t>
  </si>
  <si>
    <t>coherentiemechanisme</t>
  </si>
  <si>
    <t>het in artikel 63 bedoelde coherentiemechanisme</t>
  </si>
  <si>
    <t>conditionaliteitsmechanisme</t>
  </si>
  <si>
    <t>prijsmechanisme</t>
  </si>
  <si>
    <t>32016R0679:35:6:9</t>
  </si>
  <si>
    <t>…ersoonsgegevens in de Unie wezenlijk kunnen beïnvloeden, past de bevoegde toezichthoudende autoriteit voorafgaand aan de vaststelling van die lijsten het in artikel 63 bedoelde coherentiemechanisme toe.</t>
  </si>
  <si>
    <t>Aanvullingen op een certificaat</t>
  </si>
  <si>
    <t>aanvulling</t>
  </si>
  <si>
    <t>aanvullende prestatie</t>
  </si>
  <si>
    <t>aanvullende voeding</t>
  </si>
  <si>
    <t>toevoeging van alcohol</t>
  </si>
  <si>
    <t>32024R1689:44:2:4</t>
  </si>
  <si>
    <t>…er dan vijf jaar mogen bedragen voor AI-systemen die onder bijlage I vallen en niet meer dan vier jaar voor AI-systemen die onder bijlage III vallen. Aanvullingen op een certificaat blijven geldig zolang het certificaat dat zij aanvullen geldig blijft.</t>
  </si>
  <si>
    <t>onterecht afgegeven certificaten</t>
  </si>
  <si>
    <t>certificat</t>
  </si>
  <si>
    <t>illegale uitvoer van afvalstoffen</t>
  </si>
  <si>
    <t>onwettige afstamming</t>
  </si>
  <si>
    <t>uitvoercertificaat</t>
  </si>
  <si>
    <t>32024R1689:36:7:22</t>
  </si>
  <si>
    <t>… overige lidstaten; c) schrijft de aanmeldende autoriteit voor dat de aangemelde instantie binnen een redelijke, door de autoriteit bepaalde termijn, onterecht afgegeven certificaten schorst of intrekt, zulks om de voortdurende conformiteit van de in de handel gebrachte AI-systemen met een hoog risico te waarborgen; d) stelt de aa…</t>
  </si>
  <si>
    <t>uitvoeringshandeling tot vaststelling van de betrokken gemeenschappelijke specificatie</t>
  </si>
  <si>
    <t>de uitvoeringshandeling tot vaststelling van de betrokken gemeenschappelijke specificatie</t>
  </si>
  <si>
    <t>uitvoeringshandeling</t>
  </si>
  <si>
    <t>32024R1689:41:6:5</t>
  </si>
  <si>
    <t>… 3, voldoet, stelt deze lidstaat de Commissie daarvan in kennis met een gedetailleerde toelichting. De Commissie beoordeelt die informatie en wijzigt de uitvoeringshandeling tot vaststelling van de betrokken gemeenschappelijke specificatie zo nodig.</t>
  </si>
  <si>
    <t>beoordeling en het toezicht te laten uitvoeren door een nationale accreditatie-instantie</t>
  </si>
  <si>
    <t>de beoordeling en het toezicht als bedoeld in lid 1 overeenkomstig Verordening (EG) nr. 765/2008 te laten uitvoeren door een nationale accreditatie-instantie in de zin van die verordening</t>
  </si>
  <si>
    <t>nationale bevoegde instantie</t>
  </si>
  <si>
    <t>administratief toezicht</t>
  </si>
  <si>
    <t>32024R1689:28:2:5</t>
  </si>
  <si>
    <t>De lidstaten kunnen besluiten de beoordeling en het toezicht als bedoeld in lid 1 overeenkomstig Verordening (EG) nr. 765/2008 te laten uitvoeren door een nationale accreditatie-instantie in de zin van die verordening.</t>
  </si>
  <si>
    <t>of meer AI-systemen</t>
  </si>
  <si>
    <t>op een of meer AI-systemen</t>
  </si>
  <si>
    <t>aisystemen</t>
  </si>
  <si>
    <t>aangevulde realiteit</t>
  </si>
  <si>
    <t>aanvullend werk</t>
  </si>
  <si>
    <t>32024R1689:95:3:2</t>
  </si>
  <si>
    <t>…n en hun representatieve organisaties, met inbegrip van maatschappelijke organisaties en de academische wereld. Gedragscodes kunnen betrekking hebben op een of meer AI-systemen, gelet op de gelijkenis qua beoogd doel van de betrokken systemen.</t>
  </si>
  <si>
    <t>alle certificeringsmechanismen en gegevensbeschermingszegels</t>
  </si>
  <si>
    <t>financieringsmechanisme</t>
  </si>
  <si>
    <t>32016R0679:43:6:9</t>
  </si>
  <si>
    <t>…voudig toegankelijke vorm openbaar gemaakt. De toezichthoudende autoriteiten delen die eisen en criteria ook mee aan het Comité. Het Comité verzamelt alle certificeringsmechanismen en gegevensbeschermingszegels in een register en maakt deze via geëigende kanalen openbaar.</t>
  </si>
  <si>
    <t>gevolg te geven aan het verzoek van de betrokkene om diens rechten uit te oefenen</t>
  </si>
  <si>
    <t>gevolg te geven aan het verzoek van de betrokkene om diens rechten uit hoofde van de artikelen 15 tot en met 22 uit te oefenen</t>
  </si>
  <si>
    <t>gevolg</t>
  </si>
  <si>
    <t>beschikking van de Raad</t>
  </si>
  <si>
    <t>32016R0679:12:2:1</t>
  </si>
  <si>
    <t>…rokkene uit hoofde van de artikelen 15 tot en met 22. In de in artikel 11, lid 2, bedoelde gevallen mag de verwerkingsverantwoordelijke niet weigeren gevolg te geven aan het verzoek van de betrokkene om diens rechten uit hoofde van de artikelen 15 tot en met 22 uit te oefenen, tenzij de verwerkingsverantwoordelijke aantoont dat hij niet in staat is de betrokkene te identificeren.</t>
  </si>
  <si>
    <t>doeleinden</t>
  </si>
  <si>
    <t>doeleinde</t>
  </si>
  <si>
    <t>dolfijn</t>
  </si>
  <si>
    <t>deelneming</t>
  </si>
  <si>
    <t>met reden dringend noodzakelijk</t>
  </si>
  <si>
    <t>het met reden dringend noodzakelijk</t>
  </si>
  <si>
    <t>met redenen omkleed advies</t>
  </si>
  <si>
    <t>32016R0679:60:11:27</t>
  </si>
  <si>
    <t>Indien, in buitengewone omstandigheden, een betrokken toezichthoudende autoriteit het met reden dringend noodzakelijk acht dat in het belang van bescherming van de belangen van betrokkenen wordt opgetreden, is de in artikel 66 bedoelde spoedprocedure van toepassing.</t>
  </si>
  <si>
    <t>aan een certificeringsorgaan afgegeven accreditatie</t>
  </si>
  <si>
    <t>de overeenkomstig lid 1 van dit artikel aan een certificeringsorgaan afgegeven accreditatie</t>
  </si>
  <si>
    <t>32016R0679:43:7:11</t>
  </si>
  <si>
    <t>… inbreuk maken op deze verordening trekt de bevoegde toezichthoudende autoriteit of de nationale accreditatie-instantie, onverminderd hoofdstuk VIII, de overeenkomstig lid 1 van dit artikel aan een certificeringsorgaan afgegeven accreditatie in.</t>
  </si>
  <si>
    <t>inzicht in de risico's, regels, waarborgen en rechten in verband met de verwerking</t>
  </si>
  <si>
    <t>de bekendheid met en het inzicht in de risico's, regels, waarborgen en rechten in verband met de verwerking</t>
  </si>
  <si>
    <t>inzicht</t>
  </si>
  <si>
    <t>32016R0679:57:1:3</t>
  </si>
  <si>
    <t>…riteit op haar grondgebied de volgende taken: a) zij monitort en handhaaft de toepassing van deze verordening; b) zij bevordert bij het brede publiek de bekendheid met en het inzicht in de risico's, regels, waarborgen en rechten in verband met de verwerking. Bijzondere aandacht wordt besteed aan specifiek op kinderen gerichte activiteiten; c) zij verleent overeenkomstig het recht van de lidstaat, advies …</t>
  </si>
  <si>
    <t>aanvullende gegevens ter identificatie van de betrokkene bij te houden, te verkrijgen of te verwerken</t>
  </si>
  <si>
    <t>gegeven</t>
  </si>
  <si>
    <t>verzamelen van gegevens</t>
  </si>
  <si>
    <t>32016R0679:11:1:1</t>
  </si>
  <si>
    <t>… verwerkt, niet of niet meer vereisen dat hij een betrokkene identificeert, is hij niet verplicht om, uitsluitend om aan deze verordening te voldoen, aanvullende gegevens ter identificatie van de betrokkene bij te houden, te verkrijgen of te verwerken.</t>
  </si>
  <si>
    <t>Het in de leden 1 en 2 bedoelde register</t>
  </si>
  <si>
    <t>reserve</t>
  </si>
  <si>
    <t>zaakregister</t>
  </si>
  <si>
    <t>protest</t>
  </si>
  <si>
    <t>32016R0679:30:3:5</t>
  </si>
  <si>
    <t>Het in de leden 1 en 2 bedoelde register is in schriftelijke vorm, waaronder in elektronische vorm, opgesteld.</t>
  </si>
  <si>
    <t>striktheid en het beschermingsniveau die nodig zijn</t>
  </si>
  <si>
    <t>de striktheid en het beschermingsniveau die nodig zijn</t>
  </si>
  <si>
    <t>ruimte van vrijheid, veiligheid en rechtvaardigheid</t>
  </si>
  <si>
    <t>32024R1689:34:2:3</t>
  </si>
  <si>
    <t>…sten voor micro- en kleine ondernemingen in de zin van Aanbeveling 2003/361/EG tot een minimum te beperken. De aangemelde instantie eerbiedigt echter de striktheid en het beschermingsniveau die nodig zijn opdat het AI-systeem met een hoog risico voldoet aan de eisen van deze verordening.</t>
  </si>
  <si>
    <t>instellen en naar behoren uitvoeren van passende coördinatie en samenwerking</t>
  </si>
  <si>
    <t>het instellen en naar behoren uitvoeren van passende coördinatie en samenwerking</t>
  </si>
  <si>
    <t>behoren</t>
  </si>
  <si>
    <t>coördinatie van financieringen</t>
  </si>
  <si>
    <t>32024R1689:38:1:1</t>
  </si>
  <si>
    <t>Ten aanzien van AI-systemen met een hoog risico zorgt de Commissie voor het instellen en naar behoren uitvoeren van passende coördinatie en samenwerking tussen aangemelde instanties die zich bezighouden met de conformiteitsbeoordelingsprocedures krachtens deze verordening in de vorm van een sectorale …</t>
  </si>
  <si>
    <t>activiteiten van een aangemelde instantie</t>
  </si>
  <si>
    <t>de activiteiten van een aangemelde instantie</t>
  </si>
  <si>
    <t>activiteit</t>
  </si>
  <si>
    <t>overzicht van activiteiten</t>
  </si>
  <si>
    <t>werking van de instelling</t>
  </si>
  <si>
    <t>32024R1689:30:4:4</t>
  </si>
  <si>
    <t>De betrokken conformiteitsbeoordelingsinstantie mag de activiteiten van een aangemelde instantie alleen verrichten als de Commissie en de andere lidstaten binnen twee weken na aanmelding door een aanmeldende autoriteit indien een accreditatiecert…</t>
  </si>
  <si>
    <t>functionaris voor gegevensbescherming naar behoren en tijdig wordt betrokken bij alle aangelegenheden die verband houden met de bescherming van persoonsgegevens</t>
  </si>
  <si>
    <t>dat de functionaris voor gegevensbescherming naar behoren en tijdig wordt betrokken bij alle aangelegenheden die verband houden met de bescherming van persoonsgegevens</t>
  </si>
  <si>
    <t>functionaris</t>
  </si>
  <si>
    <t>32016R0679:38:1:1</t>
  </si>
  <si>
    <t>De verwerkingsverantwoordelijke en de verwerker zorgen ervoor dat de functionaris voor gegevensbescherming naar behoren en tijdig wordt betrokken bij alle aangelegenheden die verband houden met de bescherming van persoonsgegevens.</t>
  </si>
  <si>
    <t>regels inzake interne governance, regelingen of processen uit hoofde van het desbetreffende Unierecht inzake financiële diensten</t>
  </si>
  <si>
    <t>de regels inzake interne governance, regelingen of processen uit hoofde van het desbetreffende Unierecht inzake financiële diensten</t>
  </si>
  <si>
    <t>financiële wetgeving</t>
  </si>
  <si>
    <t>financiële diensten</t>
  </si>
  <si>
    <t>32024R1689:17:4:6</t>
  </si>
  <si>
    <t>…lid 1, punten g), h) en i), van dit artikel de verplichting een systeem voor kwaliteitsbeheer in te voeren geacht te zijn vervuld door te voldoen aan de regels inzake interne governance, regelingen of processen uit hoofde van het desbetreffende Unierecht inzake financiële diensten. Daartoe wordt rekening gehouden met eventuele geharmoniseerde normen als bedoeld in artikel 40.</t>
  </si>
  <si>
    <t>kopie van het door de aangemelde instantie afgegeven certificaat</t>
  </si>
  <si>
    <t>een kopie van het door de aangemelde instantie afgegeven certificaat</t>
  </si>
  <si>
    <t>afvaardiging van de Commissie</t>
  </si>
  <si>
    <t>32024R1689:23:5:5</t>
  </si>
  <si>
    <t>Importeurs bewaren gedurende een periode van tien jaar nadat het AI-systeem met een hoog risico in de handel is gebracht of in gebruik is gesteld, een kopie van het door de aangemelde instantie afgegeven certificaat, en in voorkomend geval tevens een kopie van de gebruiksaanwijzing en van de in artikel 47 bedoelde EU-conformiteitsverklaring.</t>
  </si>
  <si>
    <t>testproces</t>
  </si>
  <si>
    <t>het testproces of de deelname aan de testomgeving</t>
  </si>
  <si>
    <t>32024R1689:57:11:19</t>
  </si>
  <si>
    <t>…n testen van dergelijke AI-systemen worden vastgesteld, worden op adequate wijze beperkt. De nationale bevoegde autoriteiten hebben de bevoegdheid om het testproces of de deelname aan de testomgeving tijdelijk of permanent op te schorten indien doeltreffende beperkende maatregelen niet mogelijk zijn, en zij stellen het AI-bureau van een dergelijk …</t>
  </si>
  <si>
    <t>voldoende onderbouwde argumenten</t>
  </si>
  <si>
    <t>argument</t>
  </si>
  <si>
    <t>32024R1689:52:2:4</t>
  </si>
  <si>
    <t>…aanbieder van een AI-model voor algemene doeleinden dat voldoet aan de in artikel 51, lid 1, punt a), bedoelde voorwaarden, kan bij zijn kennisgeving voldoende onderbouwde argumenten aanvoeren om aan te tonen dat het AI-model voor algemene doeleinden, hoewel het voldoet aan die eis, bij wijze van uitzondering, vanwege zijn specifi…</t>
  </si>
  <si>
    <t>van andere relevante instanties of bronnen</t>
  </si>
  <si>
    <t>instantie</t>
  </si>
  <si>
    <t>bron van de hulp</t>
  </si>
  <si>
    <t>adequate corrigerende maatregelen</t>
  </si>
  <si>
    <t>32024R1689:80:6:6</t>
  </si>
  <si>
    <t>Indien de aanbieder van het betrokken AI-systeem niet binnen de in lid 2 van dit artikel bedoelde termijn adequate corrigerende maatregelen neemt, is artikel 79, leden 5 tot en met 9, van toepassing.</t>
  </si>
  <si>
    <t>passende corrigerende maatregelen</t>
  </si>
  <si>
    <t>32024R1689:80:2:3</t>
  </si>
  <si>
    <t>…enstemming te brengen met de vereisten en verplichtingen van deze verordening, en binnen een termijn die de markttoezichtautoriteit kan voorschrijven passende corrigerende maatregelen neemt.</t>
  </si>
  <si>
    <t>relevante wijzigingen in de aanmelding van een aangemelde instantie</t>
  </si>
  <si>
    <t>alle relevante wijzigingen in de aanmelding van een aangemelde instantie</t>
  </si>
  <si>
    <t>wijziging van een overeenkomst</t>
  </si>
  <si>
    <t>32024R1689:36:1:1</t>
  </si>
  <si>
    <t>…anmeldende autoriteit stelt de Commissie en de andere lidstaten via het in artikel 30, lid 2, bedoelde elektronische aanmeldingssysteem in kennis van alle relevante wijzigingen in de aanmelding van een aangemelde instantie.</t>
  </si>
  <si>
    <t>beoordeling van de beschikbare normen</t>
  </si>
  <si>
    <t>bij de beoordeling van de beschikbare normen</t>
  </si>
  <si>
    <t>harmonisatie van de normen</t>
  </si>
  <si>
    <t>evaluatie van de hulpbronnen</t>
  </si>
  <si>
    <t>32024R1689:56:8:19</t>
  </si>
  <si>
    <t>…eert in voorkomend geval ook de evaluatie en aanpassing van de praktijkcodes, met name wanneer er nieuwe normen worden ingesteld. Het AI-bureau helpt bij de beoordeling van de beschikbare normen.</t>
  </si>
  <si>
    <t>valideren</t>
  </si>
  <si>
    <t>kalibreren</t>
  </si>
  <si>
    <t>goederen</t>
  </si>
  <si>
    <t>AI-bureau met de uitvoering van deze taken</t>
  </si>
  <si>
    <t>het AI-bureau met de uitvoering van deze taken</t>
  </si>
  <si>
    <t>uitvoeringsbesluit van de Commissie</t>
  </si>
  <si>
    <t>Bureau voor toenadering tussen ondernemingen</t>
  </si>
  <si>
    <t>32024R1689:88:1:2</t>
  </si>
  <si>
    <t>…bevoegdheden voor toezicht op en handhaving van hoofdstuk V, rekening houdend met de procedurele waarborgen krachtens artikel 94. De Commissie belast het AI-bureau met de uitvoering van deze taken, onverminderd de organisatiebevoegdheden van de Commissie en de bevoegdheidsverdeling tussen de lidstaten en de Unie op grond van de Verdragen.</t>
  </si>
  <si>
    <t>toegang tot het betrokken AI-model voor algemene doeleinden</t>
  </si>
  <si>
    <t>toegang tot het arbeidsproces</t>
  </si>
  <si>
    <t>32024R1689:92:3:4</t>
  </si>
  <si>
    <t>Voor de toepassing van lid 1 kan de Commissie verzoeken om toegang tot het betrokken AI-model voor algemene doeleinden via API’s of andere passende technische middelen en instrumenten, waaronder de broncode.</t>
  </si>
  <si>
    <t>vereiste kwalificaties en voorwaarden om als lid te worden benoemd voor elke toezichthoudende autoriteit</t>
  </si>
  <si>
    <t>de vereiste kwalificaties en voorwaarden om als lid te worden benoemd voor elke toezichthoudende autoriteit</t>
  </si>
  <si>
    <t>kwalificatie</t>
  </si>
  <si>
    <t>32016R0679:54:1:3</t>
  </si>
  <si>
    <t>Elke lidstaat regelt al het volgende bij wet: a) de oprichting van elke toezichthoudende autoriteit; b) de vereiste kwalificaties en voorwaarden om als lid te worden benoemd voor elke toezichthoudende autoriteit; c) de regels en procedures voor de benoeming van het lid of de leden van elke toezichthoudende autoriteit; d) de ambtstermijn van het lid of de lede…</t>
  </si>
  <si>
    <t>door andere toezichthoudende autoriteiten gevraagde informatie</t>
  </si>
  <si>
    <t>de door andere toezichthoudende autoriteiten gevraagde informatie</t>
  </si>
  <si>
    <t>raadpleging van informatie</t>
  </si>
  <si>
    <t>32016R0679:61:6:10</t>
  </si>
  <si>
    <t>Toezichthoudende autoriteiten tot wie het verzoek is gericht delen in de regel de door andere toezichthoudende autoriteiten gevraagde informatie langs elektronische weg mee door middel van een standaardformulier.</t>
  </si>
  <si>
    <t>functioneel gescheiden, geïsoleerde en beschermde omgeving voor dataverwerking</t>
  </si>
  <si>
    <t>in een functioneel gescheiden, geïsoleerde en beschermde omgeving voor dataverwerking</t>
  </si>
  <si>
    <t>omgeving</t>
  </si>
  <si>
    <t>beschermde arbeidsplaats</t>
  </si>
  <si>
    <t>32024R1689:59:1:5</t>
  </si>
  <si>
    <t>…nmiddellijk te beperken en indien nodig de verwerking stop te zetten; d) in het kader van de testomgeving te verwerken persoonsgegevens bevinden zich in een functioneel gescheiden, geïsoleerde en beschermde omgeving voor dataverwerking onder de controle van de potentiële aanbieder, waarbij alleen bevoegde personen toegang hebben tot deze data; e) aanbieders kunnen de oorspronkelijk …</t>
  </si>
  <si>
    <t>certificeringsorganen</t>
  </si>
  <si>
    <t>certificeringsorgan</t>
  </si>
  <si>
    <t>32016R0679:58:3:22</t>
  </si>
  <si>
    <t>… recht wordt voorgeschreven; d) overeenkomstig artikel 40, lid 5, advies uit te brengen over en goedkeuring te hechten aan de ontwerpgedragscodes; e) certificeringsorganen te accrediteren overeenkomstig artikel 43; f) certificeringen af te geven en certificeringscriteria goed te keuren overeenkomstig artikel 42, lid 5; …</t>
  </si>
  <si>
    <t>vrij van al dan niet rechtstreekse externe invloed</t>
  </si>
  <si>
    <t>invloed</t>
  </si>
  <si>
    <t>rechtstreekse werking</t>
  </si>
  <si>
    <t>32016R0679:52:2:3</t>
  </si>
  <si>
    <t>…uitvoering van hun taken en de uitoefening van hun bevoegdheden overeenkomstig deze verordening blijven de leden van elke toezichthoudende autoriteit vrij van al dan niet rechtstreekse externe invloed en vragen noch aanvaarden zij instructies van wie dan ook.</t>
  </si>
  <si>
    <t>structuren</t>
  </si>
  <si>
    <t>procedures en structuren</t>
  </si>
  <si>
    <t>structuur</t>
  </si>
  <si>
    <t>structureel fonds</t>
  </si>
  <si>
    <t>32016R0679:41:2:8</t>
  </si>
  <si>
    <t>… houden op de naleving van de bepalingen van de gedragscode door deze laatsten en het de werking van de gedragscode op gezette tijden kan toetsen; c) procedures en structuren heeft vastgesteld om klachten te behandelen over inbreuken op de gedragscode of over de wijze waarop daaraan uitvoering is of wordt gegeven door een …</t>
  </si>
  <si>
    <t>vereisten</t>
  </si>
  <si>
    <t>de in artikel 43, lid 3, bedoelde vereisten</t>
  </si>
  <si>
    <t>vereiste kwalificaties</t>
  </si>
  <si>
    <t>vetmesten</t>
  </si>
  <si>
    <t>32016R0679:70:1:13</t>
  </si>
  <si>
    <t>…geaccrediteerde verwerkingsverantwoordelijken of verwerkers die in derde landen zijn gevestigd, overeenkomstig artikel 42, lid 7; p) specificeren van de in artikel 43, lid 3, bedoelde vereisten met het oog op de accreditatie van certificeringsorganen overeenkomstig artikel 42; q) uitbrengen van een advies ten behoeve van de Commissie over de…</t>
  </si>
  <si>
    <t>verwerkingsverantwoordelijke of de verwerker en de werknemers die verwerken</t>
  </si>
  <si>
    <t>de verwerkingsverantwoordelijke of de verwerker en de werknemers die verwerken</t>
  </si>
  <si>
    <t>ter beschikking gestelde werknemer</t>
  </si>
  <si>
    <t>varend en vliegend personeel</t>
  </si>
  <si>
    <t>werknemer</t>
  </si>
  <si>
    <t>32016R0679:39:1:8</t>
  </si>
  <si>
    <t>De functionaris voor gegevensbescherming vervult ten minste de volgende taken: a) de verwerkingsverantwoordelijke of de verwerker en de werknemers die verwerken, informeren en adviseren over hun verplichtingen uit hoofde van deze verordening en andere Unierechtelijke of lidstaatrechtelijke gegevensbescherming…</t>
  </si>
  <si>
    <t>logs</t>
  </si>
  <si>
    <t>de in artikel 19 bedoelde logs</t>
  </si>
  <si>
    <t>logboek</t>
  </si>
  <si>
    <t>32024R1689:16:whole:4</t>
  </si>
  <si>
    <t>…hikken over een systeem voor kwaliteitsbeheer dat in overeenstemming is met artikel 17; d) bewaren de in artikel 18 bedoelde documentatie; e) bewaren de in artikel 19 bedoelde logs die automatisch door hun AI-systemen met een hoog risico zijn gegenereerd, wanneer zij hierover de controle hebben; f) zorgen ervoor dat voor het AI-…</t>
  </si>
  <si>
    <t>permanente of tijdelijke subgroepen</t>
  </si>
  <si>
    <t>andere permanente of tijdelijke subgroepen</t>
  </si>
  <si>
    <t>tijdelijk personeel</t>
  </si>
  <si>
    <t>32024R1689:65:6:6</t>
  </si>
  <si>
    <t>…tratieve-samenwerkingsgroep (ADCO) voor deze verordening in de zin van artikel 30 van Verordening (EU) 2019/1020. De AI-board kan in voorkomend geval andere permanente of tijdelijke subgroepen oprichten om specifieke kwesties te onderzoeken. In voorkomend geval kunnen vertegenwoordigers van het in artikel 67 bedoelde adviesforum als waarnem…</t>
  </si>
  <si>
    <t>eventueel getroffen corrigerende maatregelen</t>
  </si>
  <si>
    <t>de non-conformiteit en de eventueel getroffen corrigerende maatregelen</t>
  </si>
  <si>
    <t>beleid inzake klimaatverandering</t>
  </si>
  <si>
    <t>32024R1689:24:4:6</t>
  </si>
  <si>
    <t>… en de autoriteiten die bevoegd zijn voor het betreffende AI-systeem met een hoog risico hiervan onmiddellijk in kennis, waarbij hij in het bijzonder de non-conformiteit en de eventueel getroffen corrigerende maatregelen uitvoerig beschrijft.</t>
  </si>
  <si>
    <t>administratieve-samenwerkingsgroep (ADCO) voor deze verordening</t>
  </si>
  <si>
    <t>als de administratieve-samenwerkingsgroep (ADCO) voor deze verordening in de zin van artikel 30 van Verordening (EU) 2019/1020</t>
  </si>
  <si>
    <t>administratieve-samenwerkingsgroep</t>
  </si>
  <si>
    <t>uitvoeringsverordening van de Raad</t>
  </si>
  <si>
    <t>functiegroep AD</t>
  </si>
  <si>
    <t>32024R1689:65:6:5</t>
  </si>
  <si>
    <t>…utoriteiten over kwesties betreffende respectievelijk markttoezicht en aangemelde instanties. De permanente subgroep voor markttoezicht moet fungeren als de administratieve-samenwerkingsgroep (ADCO) voor deze verordening in de zin van artikel 30 van Verordening (EU) 2019/1020. De AI-board kan in voorkomend geval andere permanente of tijdelijke subgroepen oprichten om specifieke kwesties te onderzoeken. In voorkomend geval …</t>
  </si>
  <si>
    <t>bedrijfsruimten van de verwerkingsverantwoordelijke</t>
  </si>
  <si>
    <t>alle bedrijfsruimten van de verwerkingsverantwoordelijke en de verwerker</t>
  </si>
  <si>
    <t>bedrijfsruimte</t>
  </si>
  <si>
    <t>kantoorruimte</t>
  </si>
  <si>
    <t>commerciële ruimte</t>
  </si>
  <si>
    <t>32016R0679:58:1:5</t>
  </si>
  <si>
    <t>…ang te verkrijgen tot alle persoonsgegevens en alle informatie die noodzakelijk is voor de uitvoering van haar taken; en f) toegang te verkrijgen tot alle bedrijfsruimten van de verwerkingsverantwoordelijke en de verwerker, daaronder begrepen tot alle uitrustingen en middelen voor gegevensverwerking, in overeenstemming met het uniale of lidstatelijke procesrecht.</t>
  </si>
  <si>
    <t>corrigerende maatregelen</t>
  </si>
  <si>
    <t>dergelijke corrigerende maatregelen</t>
  </si>
  <si>
    <t>verbetering van de regelgeving</t>
  </si>
  <si>
    <t>32024R1689:24:4:10</t>
  </si>
  <si>
    <t>…ze eisen, uit de handel te nemen of terug te roepen of zorgt ervoor dat de aanbieder, de importeur of een eventuele betrokken operator, waar passend, dergelijke corrigerende maatregelen treft. Indien het AI-systeem met een hoog risico een risico vormt in de zin van artikel 79, lid 1, stelt de distributeur de aanbieder of importeur va…</t>
  </si>
  <si>
    <t>door haar verleende goedkeuringen voor systemen voor kwaliteitsbeheer</t>
  </si>
  <si>
    <t>de door haar verleende goedkeuringen voor systemen voor kwaliteitsbeheer</t>
  </si>
  <si>
    <t>goedkeuring</t>
  </si>
  <si>
    <t>32024R1689:45:2:8</t>
  </si>
  <si>
    <t>…instanties op de hoogte van: a) door haar geweigerde, opgeschorte of ingetrokken goedkeuringen voor kwaliteitsbeheersystemen alsmede, op verzoek, van de door haar verleende goedkeuringen voor systemen voor kwaliteitsbeheer; b) beoordelingscertificaten van technische documentatie van de Unie of aanvullingen daarop die zij heeft geweigerd, ingetrokken, opgeschort of ander…</t>
  </si>
  <si>
    <t>AI-systemen met een hoog risico</t>
  </si>
  <si>
    <t>32024R1689:9:6:12</t>
  </si>
  <si>
    <t>AI-systemen met een hoog risico worden getest met het oog op het vaststellen van de passendste en gerichte risicobeheersmaatregelen. De tests zorgen ervoor dat AI-systemen met een h…</t>
  </si>
  <si>
    <t>in voorkomend geval, van de vertegenwoordiger van de verwerkingsverantwoordelijke</t>
  </si>
  <si>
    <t>de identiteit en de contactgegevens van de verwerkingsverantwoordelijke en, in voorkomend geval, van de vertegenwoordiger van de verwerkingsverantwoordelijke</t>
  </si>
  <si>
    <t>geval</t>
  </si>
  <si>
    <t>Raadgevend Comité van de EER</t>
  </si>
  <si>
    <t>lid van de Rekenkamer EG</t>
  </si>
  <si>
    <t>32016R0679:13:1:2</t>
  </si>
  <si>
    <t>…on worden verzameld, verstrekt de verwerkingsverantwoordelijke de betrokkene bij de verkrijging van de persoonsgegevens al de volgende informatie: a) de identiteit en de contactgegevens van de verwerkingsverantwoordelijke en, in voorkomend geval, van de vertegenwoordiger van de verwerkingsverantwoordelijke; b) in voorkomend geval, de contactgegevens van de functionaris voor gegevensbescherming; c) de verwerkingsdoeleinden waarvoor de persoonsgegevens zi…</t>
  </si>
  <si>
    <t>nationale identificatienummer van algemene aard</t>
  </si>
  <si>
    <t>het nationale identificatienummer of enige andere identificator van algemene aard</t>
  </si>
  <si>
    <t>identificatienummer</t>
  </si>
  <si>
    <t>nationale identiteit</t>
  </si>
  <si>
    <t>32016R0679:87:whole:2</t>
  </si>
  <si>
    <t>…aarden voor de verwerking van een nationaal identificatienummer of enige andere identificator van algemene aard nader vaststellen. In dat geval wordt het nationale identificatienummer of enige andere identificator van algemene aard alleen gebruikt met passende waarborgen voor de rechten en vrijheden van de betrokkene uit hoofde van deze verordening.</t>
  </si>
  <si>
    <t>één enkel identificatienummer</t>
  </si>
  <si>
    <t>identiteitsbewijs</t>
  </si>
  <si>
    <t>enkel administratief document</t>
  </si>
  <si>
    <t>32024R1689:35:1:1</t>
  </si>
  <si>
    <t>De Commissie kent elke aangemelde instantie één enkel identificatienummer toe, zelfs wanneer een instantie op grond van meer dan één handeling van de Unie is aangemeld.</t>
  </si>
  <si>
    <t>tijdelijke of definitieve verwerkingsbeperking, waaronder een verwerkingsverbod</t>
  </si>
  <si>
    <t>een tijdelijke of definitieve verwerkingsbeperking, waaronder een verwerkingsverbod</t>
  </si>
  <si>
    <t>verwerkingsbeperking</t>
  </si>
  <si>
    <t>tijdelijke uitvoer</t>
  </si>
  <si>
    <t>32016R0679:58:2:13</t>
  </si>
  <si>
    <t>…ngen van deze verordening; e) de verwerkingsverantwoordelijke gelasten een inbreuk in verband met persoonsgegevens aan de betrokkene mee te delen; f) een tijdelijke of definitieve verwerkingsbeperking, waaronder een verwerkingsverbod, opleggen; g) het rectificeren of wissen van persoonsgegevens of het beperken van verwerking uit hoofde van de artikelen 16, 17 en 18 gelasten, alsme…</t>
  </si>
  <si>
    <t>ontwerpgedragscode, de wijziging of uitbreiding</t>
  </si>
  <si>
    <t>de ontwerpgedragscode, de wijziging of uitbreiding</t>
  </si>
  <si>
    <t>wijzigingsvoorstel</t>
  </si>
  <si>
    <t>ontwerp</t>
  </si>
  <si>
    <t>32016R0679:40:5:8</t>
  </si>
  <si>
    <t>…e verenigingen en andere organen die voornemens zijn een gedragscode op te stellen of een bestaande gedragscode te wijzigen of uit te breiden, leggen de ontwerpgedragscode, de wijziging of uitbreiding voor aan de overeenkomstig artikel 51 bevoegde toezichthoudende autoriteit. De toezichthoudende autoriteit brengt advies uit over de vraag of de ontw…</t>
  </si>
  <si>
    <t>instructies</t>
  </si>
  <si>
    <t>instructie</t>
  </si>
  <si>
    <t>32024R1689:68:4:3</t>
  </si>
  <si>
    <t>…gen de vertrouwelijkheid van de informatie en gegevens die zij bij de uitvoering van hun taken en activiteiten verkrijgen. Zij vragen noch aanvaarden instructies van wie dan ook bij de uitoefening van hun taken uit hoofde van lid 3. Elke deskundige stelt een belangenverklaring op, die openbaar wordt gemaakt. H…</t>
  </si>
  <si>
    <t>opzetten en uitvoeren van de nodige procedures voor de beoordeling, aanwijzing en aanmelding van conformiteitsbeoordelingsinstanties en voor het toezicht</t>
  </si>
  <si>
    <t>voor het opzetten en uitvoeren van de nodige procedures voor de beoordeling, aanwijzing en aanmelding van conformiteitsbeoordelingsinstanties en voor het toezicht erop</t>
  </si>
  <si>
    <t>32024R1689:28:1:3</t>
  </si>
  <si>
    <t>Elke lidstaat wijst ten minste één aanmeldende autoriteit aan of richt een aanmeldende autoriteit op die verantwoordelijk is voor het opzetten en uitvoeren van de nodige procedures voor de beoordeling, aanwijzing en aanmelding van conformiteitsbeoordelingsinstanties en voor het toezicht erop. Deze procedures worden ontwikkeld in samenwerking tussen de aanmeldende autoriteiten van alle lidstaten.</t>
  </si>
  <si>
    <t>regels inzake andere sancties</t>
  </si>
  <si>
    <t>de regels inzake andere sancties</t>
  </si>
  <si>
    <t>internationale sanctie</t>
  </si>
  <si>
    <t>32016R0679:84:1:1</t>
  </si>
  <si>
    <t>De lidstaten stellen de regels inzake andere sancties vast die van toepassing zijn op inbreuken op deze verordening, in het bijzonder op inbreuken die niet aan administratieve geldboeten onderworpen zijn…</t>
  </si>
  <si>
    <t>systemen</t>
  </si>
  <si>
    <t>met het gebruik van dergelijke systemen</t>
  </si>
  <si>
    <t>styreen</t>
  </si>
  <si>
    <t>systeemexpert</t>
  </si>
  <si>
    <t>32024R1689:5:2:4</t>
  </si>
  <si>
    <t>…eft uitgevoerd en het systeem volgens artikel 49 in de EU-databank heeft geregistreerd. In naar behoren gemotiveerde spoedeisende gevallen kan echter met het gebruik van dergelijke systemen worden begonnen zonder de systemen in de EU-databank te registreren, op voorwaarde dat die registratie zonder onnodige vertraging wordt voltooid.</t>
  </si>
  <si>
    <t>schriftelijke machineleesbare, fysieke of elektronisch ondertekende EU-conformiteitsverklaring</t>
  </si>
  <si>
    <t>een schriftelijke machineleesbare, fysieke of elektronisch ondertekende EU-conformiteitsverklaring</t>
  </si>
  <si>
    <t>euconformiteitsverklaring</t>
  </si>
  <si>
    <t>elektronische handtekening</t>
  </si>
  <si>
    <t>32024R1689:47:1:1</t>
  </si>
  <si>
    <t>De aanbieder stelt voor elk AI-systeem met een hoog risico een schriftelijke machineleesbare, fysieke of elektronisch ondertekende EU-conformiteitsverklaring op en houdt deze verklaring tot tien jaar na het in de handel brengen of het in gebruik stellen van het AI-systeem met een hoog risico ter beschikkin…</t>
  </si>
  <si>
    <t>of de praktijkcodes betrekking hebben op de verplichtingen</t>
  </si>
  <si>
    <t>of de praktijkcodes betrekking hebben op de verplichtingen van de artikelen 53 en 55</t>
  </si>
  <si>
    <t>praktijkcode</t>
  </si>
  <si>
    <t>praktijkopleiding</t>
  </si>
  <si>
    <t>32024R1689:56:6:8</t>
  </si>
  <si>
    <t>…lstellingen van de praktijkcodes verwezenlijken en bijdragen aan de correcte toepassing van deze verordening. Het AI-bureau en de AI-board beoordelen of de praktijkcodes betrekking hebben op de verplichtingen van de artikelen 53 en 55, en monitoren en evalueren regelmatig of de doelstellingen daarvan worden verwezenlijkt. Zij maken hun beoordeling of de praktijkcodes toereikend zij…</t>
  </si>
  <si>
    <t>doorgifte van persoonsgegevens aan een derde land of een internationale organisatie</t>
  </si>
  <si>
    <t>Een doorgifte van persoonsgegevens aan een derde land of een internationale organisatie</t>
  </si>
  <si>
    <t>doorgifte</t>
  </si>
  <si>
    <t>32016R0679:45:1:1</t>
  </si>
  <si>
    <t>Een doorgifte van persoonsgegevens aan een derde land of een internationale organisatie kan plaatsvinden wanneer de Commissie heeft besloten dat het derde land, een gebied of één of meerdere nader bepaalde sectoren in dat derde land, of …</t>
  </si>
  <si>
    <t>taken en bevoegdheden niet tot een belangenconflict leiden</t>
  </si>
  <si>
    <t>dat zijn taken en bevoegdheden niet tot een belangenconflict leiden</t>
  </si>
  <si>
    <t>taak</t>
  </si>
  <si>
    <t>evenwicht tussen de bevoegdheden</t>
  </si>
  <si>
    <t>32016R0679:41:2:11</t>
  </si>
  <si>
    <t>…rocedures en structuren voor betrokkenen en het publiek transparant te maken; en d) ten genoegen van de bevoegde toezichthoudende autoriteit aantoont dat zijn taken en bevoegdheden niet tot een belangenconflict leiden.</t>
  </si>
  <si>
    <t>AI-board</t>
  </si>
  <si>
    <t>de AI-board</t>
  </si>
  <si>
    <t>aiboard</t>
  </si>
  <si>
    <t>AI</t>
  </si>
  <si>
    <t>32024R1689:71:1:2</t>
  </si>
  <si>
    <t>…n dergelijke databank raadpleegt de Commissie de deskundigen ter zake, en bij het bijwerken van die functionele specificaties raadpleegt de Commissie de AI-board.</t>
  </si>
  <si>
    <t>evenredigheid van de verwerkingen met betrekking tot de doeleinden</t>
  </si>
  <si>
    <t>een beoordeling van de noodzaak en de evenredigheid van de verwerkingen met betrekking tot de doeleinden</t>
  </si>
  <si>
    <t>evenredigheid</t>
  </si>
  <si>
    <t>evenredigheidsbeginsel</t>
  </si>
  <si>
    <t>32016R0679:35:7:12</t>
  </si>
  <si>
    <t>… de verwerkingsdoeleinden, waaronder, in voorkomend geval, de gerechtvaardigde belangen die door de verwerkingsverantwoordelijke worden behartigd; b) een beoordeling van de noodzaak en de evenredigheid van de verwerkingen met betrekking tot de doeleinden; c) een beoordeling van de in lid 1 bedoelde risico's voor de rechten en vrijheden van betrokkenen; en d) de beoogde maatregelen om de risico's aan t…</t>
  </si>
  <si>
    <t>gepaste maatregelen die nodig zijn om een mogelijk risico voor de gezondheid, veiligheid of grondrechten af te wenden</t>
  </si>
  <si>
    <t>de gepaste maatregelen die nodig zijn om een mogelijk risico voor de gezondheid, veiligheid of grondrechten af te wenden</t>
  </si>
  <si>
    <t>gezondheidsregels</t>
  </si>
  <si>
    <t>32024R1689:36:7:26</t>
  </si>
  <si>
    <t>…erde vestigingsplaats heeft, alle relevante informatie over de certificaten waarvan zij de schorsing of intrekking heeft gelast; die autoriteit neemt de gepaste maatregelen die nodig zijn om een mogelijk risico voor de gezondheid, veiligheid of grondrechten af te wenden.</t>
  </si>
  <si>
    <t>vijf jaar</t>
  </si>
  <si>
    <t>32016R0679:73:2:2</t>
  </si>
  <si>
    <t>De ambtstermijn van de voorzitter en de vicevoorzitters bedraagt vijf jaar en kan eenmaal worden verlengd.</t>
  </si>
  <si>
    <t>inbreuken in verband met persoonsgegevens, met inbegrip van de feiten omtrent de inbreuk in verband met persoonsgegevens, de gevolgen en de genomen corrigerende maatregelen</t>
  </si>
  <si>
    <t>alle inbreuken in verband met persoonsgegevens, met inbegrip van de feiten omtrent de inbreuk in verband met persoonsgegevens, de gevolgen daarvan en de genomen corrigerende maatregelen</t>
  </si>
  <si>
    <t>inbreuk op de informatiebeveiliging</t>
  </si>
  <si>
    <t>32016R0679:33:5:5</t>
  </si>
  <si>
    <t>De verwerkingsverantwoordelijke documenteert alle inbreuken in verband met persoonsgegevens, met inbegrip van de feiten omtrent de inbreuk in verband met persoonsgegevens, de gevolgen daarvan en de genomen corrigerende maatregelen. Die documentatie stelt de toezichthoudende autoriteit in staat de naleving van dit artikel te controleren.</t>
  </si>
  <si>
    <t>openbaar register van geaccrediteerde organen</t>
  </si>
  <si>
    <t>een openbaar register van geaccrediteerde organen</t>
  </si>
  <si>
    <t>openbaar lichaam</t>
  </si>
  <si>
    <t>bevolkingsregister</t>
  </si>
  <si>
    <t>32016R0679:70:1:12</t>
  </si>
  <si>
    <t>…40 en 42; o) verrichten van de accreditatie van certificeringsorganen en van de periodieke evaluatie daarvan overeenkomstig artikel 43, en houden van een openbaar register van geaccrediteerde organen conform artikel 43, lid 6, en van de geaccrediteerde verwerkingsverantwoordelijken of verwerkers die in derde landen zijn gevestigd, overeenkomstig a…</t>
  </si>
  <si>
    <t>structuur voor het waarborgen van de onpartijdigheid en voor het bevorderen en toepassen van de onpartijdigheidsbeginselen in hun gehele organisatie, onder het personeel</t>
  </si>
  <si>
    <t>structuur van de arbeidskrachten</t>
  </si>
  <si>
    <t>gevolg voor de door de aangemelde instantie afgegeven certificaten</t>
  </si>
  <si>
    <t>het gevolg voor de door de aangemelde instantie afgegeven certificaten</t>
  </si>
  <si>
    <t>gevolg van de toetreding</t>
  </si>
  <si>
    <t>32024R1689:36:7:19</t>
  </si>
  <si>
    <t>In geval van beperking, schorsing of intrekking van een aanwijzing: a) beoordeelt de aanmeldende autoriteit het gevolg voor de door de aangemelde instantie afgegeven certificaten; b) dient de aanmeldende autoriteit binnen drie maanden na mededeling van de wijzigingen in de aanwijzing een verslag over haar bevindingen in bij de…</t>
  </si>
  <si>
    <t>door hem met het oog op de naleving van het besluit getroffen maatregelen</t>
  </si>
  <si>
    <t>de door hem met het oog op de naleving van het besluit getroffen maatregelen</t>
  </si>
  <si>
    <t>uitvoeringsbesluit van de Raad</t>
  </si>
  <si>
    <t>32016R0679:60:10:25</t>
  </si>
  <si>
    <t>…t betreft de verwerkingsactiviteiten binnen al zijn vestigingen binnen de Unie te doen naleven. De verwerkingsverantwoordelijke of de verwerker deelt de door hem met het oog op de naleving van het besluit getroffen maatregelen mee aan de leidende toezichthoudende autoriteit, die de andere betrokken toezichthoudende autoriteiten ervan in kennis stelt.</t>
  </si>
  <si>
    <t>logbestanden van de verwerking van persoonsgegevens in het kader van de testomgeving</t>
  </si>
  <si>
    <t>de logbestanden van de verwerking van persoonsgegevens in het kader van de testomgeving</t>
  </si>
  <si>
    <t>32024R1689:59:1:10</t>
  </si>
  <si>
    <t>…gelen en worden gewist nadat de deelname aan de testomgeving is beëindigd of de periode van bewaring van de persoonsgegevens ten einde is gekomen; h) de logbestanden van de verwerking van persoonsgegevens in het kader van de testomgeving worden bijgehouden voor de duur van de deelname aan de testomgeving, tenzij anders is bepaald in het Unierecht of het nationale recht; i) een volledi…</t>
  </si>
  <si>
    <t>opschorting van het testen onder reële omstandigheden</t>
  </si>
  <si>
    <t>de opschorting of beëindiging van het testen onder reële omstandigheden en van de eindresultaten</t>
  </si>
  <si>
    <t>32024R1689:60:8:3</t>
  </si>
  <si>
    <t>…otentiële aanbieders stellen de nationale markttoezichtautoriteit in de lidstaat waar er onder reële omstandigheden moet worden getest, in kennis van de opschorting of beëindiging van het testen onder reële omstandigheden en van de eindresultaten.</t>
  </si>
  <si>
    <t>substantiële wijziging</t>
  </si>
  <si>
    <t>een substantiële wijziging</t>
  </si>
  <si>
    <t>kabinetswijziging</t>
  </si>
  <si>
    <t>sociale verandering</t>
  </si>
  <si>
    <t>32024R1689:25:1:3</t>
  </si>
  <si>
    <t>…cht of in gebruik is gesteld, onverminderd contractuele regelingen waarin wordt bepaald dat de verplichtingen anders worden toegewezen; b) hij brengt een substantiële wijziging aan in een AI-systeem met een hoog risico dat reeds in de handel is gebracht of reeds in gebruik is gesteld op zodanige wijze dat het systeem een AI-…</t>
  </si>
  <si>
    <t>hoogte te zijn van actuele relevante normen</t>
  </si>
  <si>
    <t>op de hoogte te zijn van actuele relevante normen</t>
  </si>
  <si>
    <t>hoogte</t>
  </si>
  <si>
    <t>32024R1689:31:12:16</t>
  </si>
  <si>
    <t>…iten als bedoeld in artikel 38. Zij nemen ook rechtstreeks deel aan of worden vertegenwoordigd in Europese normalisatie-instellingen of zorgen ervoor op de hoogte te zijn van actuele relevante normen.</t>
  </si>
  <si>
    <t>maatregelen om ervoor te zorgen dat de verwerkte persoonsgegevens worden beveiligd, beschermd met passende waarborgen, waaronder strikte controles en documentatie van de toegang, om misbruik te voorkomen en ervoor te zorgen dat alleen personen die gemachtigd zijn toegang tot die persoonsgegevens hebben met passende vertrouwelijkheidsverplichtingen</t>
  </si>
  <si>
    <t>aan maatregelen om ervoor te zorgen dat de verwerkte persoonsgegevens worden beveiligd, beschermd met passende waarborgen, waaronder strikte controles en documentatie van de toegang ertoe, om misbruik te voorkomen en ervoor te zorgen dat alleen personen die gemachtigd zijn toegang tot die persoonsgegevens hebben met passende vertrouwelijkheidsverplichtingen</t>
  </si>
  <si>
    <t>32024R1689:10:5:8</t>
  </si>
  <si>
    <t>…vanceerde beveiligings- en privacybeschermingsmaatregelen, waaronder pseudonimisering; c) de bijzondere categorieën persoonsgegevens zijn onderworpen aan maatregelen om ervoor te zorgen dat de verwerkte persoonsgegevens worden beveiligd, beschermd met passende waarborgen, waaronder strikte controles en documentatie van de toegang ertoe, om misbruik te voorkomen en ervoor te zorgen dat alleen personen die gemachtigd zijn toegang tot die persoonsgegevens hebben met passende vertrouwelijkheidsverplichtingen; d) de bijzondere categorieën persoonsgegevens worden niet verzonden, doorgegeven of anderszins geraadpleegd door andere partijen; e) de bijzondere c…</t>
  </si>
  <si>
    <t>richtsnoeren</t>
  </si>
  <si>
    <t>snoeien</t>
  </si>
  <si>
    <t>32024R1689:6:5:5</t>
  </si>
  <si>
    <t>De Commissie verstrekt na raadpleging van de Europese raad voor artificiële intelligentie (de “AI-board”) en uiterlijk op 2 februari 2026 richtsnoeren voor de praktische uitvoering van dit artikel in overeenstemming met artikel 96, samen met een uitgebreide lijst van praktische voorbeelden van gebru…</t>
  </si>
  <si>
    <t>codes</t>
  </si>
  <si>
    <t>die codes</t>
  </si>
  <si>
    <t>code</t>
  </si>
  <si>
    <t>codeur</t>
  </si>
  <si>
    <t>32016R0679:40:2:3</t>
  </si>
  <si>
    <t>Verenigingen en andere organen die categorieën van verwerkingsverantwoordelijken of verwerkers vertegenwoordigen, kunnen gedragscodes opstellen, of die codes wijzigen of uitbreiden, teneinde de toepassing van deze verordening nader toe te lichten, zoals met betrekking tot: a) behoorlijke en transparante ve…</t>
  </si>
  <si>
    <t>verantwoordelijk voor de naleving</t>
  </si>
  <si>
    <t>verantwoordelijk voor de naleving van lid 1</t>
  </si>
  <si>
    <t>nalevingsgerichte controle</t>
  </si>
  <si>
    <t>nalatenschap</t>
  </si>
  <si>
    <t>nalevingsachterstand</t>
  </si>
  <si>
    <t>32016R0679:5:2:1</t>
  </si>
  <si>
    <t>De verwerkingsverantwoordelijke is verantwoordelijk voor de naleving van lid 1 en kan deze aantonen („verantwoordingsplicht”).</t>
  </si>
  <si>
    <t>openbaar elektronisch register van besluiten van toezichthoudende autoriteiten en gerechten</t>
  </si>
  <si>
    <t>een openbaar elektronisch register van besluiten van toezichthoudende autoriteiten en gerechten</t>
  </si>
  <si>
    <t>elektronische overheid</t>
  </si>
  <si>
    <t>32016R0679:70:1:22</t>
  </si>
  <si>
    <t>…riteiten van de hele wereld; x) uitbrengen van adviezen over op Unieniveau opgestelde gedragscodes overeenkomstig artikel 40, lid 9; en y) houden van een openbaar elektronisch register van besluiten van toezichthoudende autoriteiten en gerechten over in het kader van het coherentiemechanisme behandelde aangelegenheden.</t>
  </si>
  <si>
    <t>rechtsgrondslag en het doel en de redenen van het verzoek, de termijn waarbinnen de toegang moet worden verleend, en de geldboeten voor het niet bieden van toegang</t>
  </si>
  <si>
    <t>de rechtsgrondslag en het doel en de redenen van het verzoek, de termijn waarbinnen de toegang moet worden verleend, en de in artikel 101 bepaalde geldboeten voor het niet bieden van toegang</t>
  </si>
  <si>
    <t>rechtsgrondslag</t>
  </si>
  <si>
    <t>recht van toegang</t>
  </si>
  <si>
    <t>32024R1689:92:4:5</t>
  </si>
  <si>
    <t>Het verzoek om informatie vermeldt de rechtsgrondslag en het doel en de redenen van het verzoek, de termijn waarbinnen de toegang moet worden verleend, en de in artikel 101 bepaalde geldboeten voor het niet bieden van toegang.</t>
  </si>
  <si>
    <t>verwerkingsverantwoordelijke of de verwerker</t>
  </si>
  <si>
    <t>de verwerkingsverantwoordelijke of de verwerker</t>
  </si>
  <si>
    <t>32016R0679:58:2:9</t>
  </si>
  <si>
    <t>Elk toezichthoudende autoriteit heeft alle volgende bevoegdheden tot het nemen van corrigerende maatregelen: a) de verwerkingsverantwoordelijke of de verwerker waarschuwen dat met de voorgenomen verwerkingen waarschijnlijk inbreuk op bepalingen van deze verordening wordt gemaakt; b) de verwerkingsverantwoord…</t>
  </si>
  <si>
    <t>technische beperkingen voor het hergebruik van persoonsgegevens, en geavanceerde beveiligings- en privacybeschermingsmaatregelen, waaronder pseudonimisering</t>
  </si>
  <si>
    <t>aan technische beperkingen voor het hergebruik van persoonsgegevens, en geavanceerde beveiligings- en privacybeschermingsmaatregelen, waaronder pseudonimisering</t>
  </si>
  <si>
    <t>32024R1689:10:5:7</t>
  </si>
  <si>
    <t>…ld door het verwerken van andere data, waaronder synthetische of geanonimiseerde data; b) de bijzondere categorieën persoonsgegevens zijn onderworpen aan technische beperkingen voor het hergebruik van persoonsgegevens, en geavanceerde beveiligings- en privacybeschermingsmaatregelen, waaronder pseudonimisering; c) de bijzondere categorieën persoonsgegevens zijn onderworpen aan maatregelen om ervoor te zorgen dat de verwerkte persoonsgegevens worden beveilig…</t>
  </si>
  <si>
    <t>gerechtvaardigde belangen van de verwerkingsverantwoordelijke of van een derde</t>
  </si>
  <si>
    <t>de gerechtvaardigde belangen van de verwerkingsverantwoordelijke of van een derde</t>
  </si>
  <si>
    <t>belang</t>
  </si>
  <si>
    <t>recht op een doeltreffende voorziening in rechte</t>
  </si>
  <si>
    <t>32016R0679:13:1:5</t>
  </si>
  <si>
    <t>…ionaris voor gegevensbescherming; c) de verwerkingsdoeleinden waarvoor de persoonsgegevens zijn bestemd, alsook de rechtsgrond voor de verwerking; d) de gerechtvaardigde belangen van de verwerkingsverantwoordelijke of van een derde, indien de verwerking op artikel 6, lid 1, punt f), is gebaseerd; d) in voorkomend geval, de ontvangers of categorieën van ontvangers van de persoons…</t>
  </si>
  <si>
    <t>kopie van de EU-conformiteitsverklaring</t>
  </si>
  <si>
    <t>een kopie van de EU-conformiteitsverklaring</t>
  </si>
  <si>
    <t>uitwerking van EU-wetgeving</t>
  </si>
  <si>
    <t>aanbeveling van de Europese Centrale Bank</t>
  </si>
  <si>
    <t>32024R1689:47:1:3</t>
  </si>
  <si>
    <t>…nale bevoegde autoriteiten. In de EU-conformiteitsverklaring wordt vermeld voor welk AI-systeem met een hoog risico ze is opgesteld. Op verzoek wordt een kopie van de EU-conformiteitsverklaring aan de relevante nationale bevoegde autoriteiten voorgelegd.</t>
  </si>
  <si>
    <t>standaardbepalingen inzake gegevensbescherming</t>
  </si>
  <si>
    <t>de in artikel 28, lid 8, en artikel 46, lid 2, punt d), bedoelde standaardbepalingen inzake gegevensbescherming</t>
  </si>
  <si>
    <t>standaardbepaling</t>
  </si>
  <si>
    <t>rechtsregels voor informatie</t>
  </si>
  <si>
    <t>informatiebeveiliging</t>
  </si>
  <si>
    <t>32016R0679:58:3:25</t>
  </si>
  <si>
    <t>… accrediteren overeenkomstig artikel 43; f) certificeringen af te geven en certificeringscriteria goed te keuren overeenkomstig artikel 42, lid 5; g) de in artikel 28, lid 8, en artikel 46, lid 2, punt d), bedoelde standaardbepalingen inzake gegevensbescherming aan te nemen; h) toestemming te verlenen voor de in artikel 46, lid 3, punt a), bedoelde contractbepalingen; i) toestemming te verlenen voor de in ar…</t>
  </si>
  <si>
    <t>passende beperkende maatregelen</t>
  </si>
  <si>
    <t>de passende beperkende maatregelen</t>
  </si>
  <si>
    <t>beperkte verspreiding</t>
  </si>
  <si>
    <t>32024R1689:79:9:8</t>
  </si>
  <si>
    <t>De markttoezichtautoriteiten zorgen ervoor dat ten aanzien van het betrokken product of AI-systeem zonder onnodige vertraging de passende beperkende maatregelen worden genomen, zoals het uit de handel nemen van het product of het AI-systeem op hun markt.</t>
  </si>
  <si>
    <t>technische toegang</t>
  </si>
  <si>
    <t>de nodige informatie, capaciteiten, technische toegang en andere bijstand</t>
  </si>
  <si>
    <t>technische hulp</t>
  </si>
  <si>
    <t>32024R1689:25:4:12</t>
  </si>
  <si>
    <t>…essen voor AI-systemen levert die worden gebruikt of geïntegreerd in een AI-systeem met een hoog risico, preciseren in een schriftelijke overeenkomst de nodige informatie, capaciteiten, technische toegang en andere bijstand, op basis van de algemeen erkende stand van de techniek, om de aanbieder van het AI-systeem met een hoog risico in staat te stellen volledig te voldo…</t>
  </si>
  <si>
    <t>standaardcontractbepalingen</t>
  </si>
  <si>
    <t>op de in de leden 7 en 8 van dit artikel bedoelde standaardcontractbepalingen</t>
  </si>
  <si>
    <t>contractbepaling</t>
  </si>
  <si>
    <t>standaardopbrengst</t>
  </si>
  <si>
    <t>ondertekening van een contract</t>
  </si>
  <si>
    <t>32016R0679:28:6:8</t>
  </si>
  <si>
    <t>…ordelijke en de verwerker kan de in de leden 3 en 4 van dit artikel bedoelde overeenkomst of andere rechtshandeling geheel of ten dele gebaseerd zijn op de in de leden 7 en 8 van dit artikel bedoelde standaardcontractbepalingen, ook indien zij deel uitmaken van de certificering die door een verwerkingsverantwoordelijke of verwerker uit hoofde van de artikelen 42 en 43 is ver…</t>
  </si>
  <si>
    <t>acties</t>
  </si>
  <si>
    <t>de volgende acties</t>
  </si>
  <si>
    <t>actie</t>
  </si>
  <si>
    <t>actieprogramma</t>
  </si>
  <si>
    <t>humanitaire actie</t>
  </si>
  <si>
    <t>representatieve actie</t>
  </si>
  <si>
    <t>32024R1689:62:3:3</t>
  </si>
  <si>
    <t>Het AI-bureau onderneemt de volgende acties: a) het verstrekken van gestandaardiseerde sjablonen voor de gebieden die onder deze verordening vallen, zoals gespecificeerd door de AI-board in zij…</t>
  </si>
  <si>
    <t>non-conformiteit</t>
  </si>
  <si>
    <t>nonconformiteit</t>
  </si>
  <si>
    <t>niet-gebondenheid</t>
  </si>
  <si>
    <t>non-proliferatie van bewapening</t>
  </si>
  <si>
    <t>beginsel van non-refoulement</t>
  </si>
  <si>
    <t>nodige deskundigheid</t>
  </si>
  <si>
    <t>de nodige deskundigheid</t>
  </si>
  <si>
    <t>digitale kennis</t>
  </si>
  <si>
    <t>32024R1689:28:7:12</t>
  </si>
  <si>
    <t>…en toereikend aantal bekwame personeelsleden om hun taken naar behoren uit te voeren. Bekwame personeelsleden beschikken, indien van toepassing, over de nodige deskundigheid voor hun functies op gebieden als informatietechnologie, AI en recht, met inbegrip van het toezicht op de grondrechten.</t>
  </si>
  <si>
    <t>beoordeling van de noodzaak</t>
  </si>
  <si>
    <t>risicobeoordeling</t>
  </si>
  <si>
    <t>evaluatie van de steun</t>
  </si>
  <si>
    <t>lijst van hun dochterondernemingen</t>
  </si>
  <si>
    <t>een lijst van hun dochterondernemingen</t>
  </si>
  <si>
    <t>dochteronderneming</t>
  </si>
  <si>
    <t>gemeenschappelijke dochteronderneming</t>
  </si>
  <si>
    <t>familiebedrijf</t>
  </si>
  <si>
    <t>32024R1689:33:3:5</t>
  </si>
  <si>
    <t>…iteiten mogen uitsluitend met instemming van de aanbieder door een onderaannemer of dochteronderneming worden uitgevoerd. Aangemelde instanties maken een lijst van hun dochterondernemingen openbaar.</t>
  </si>
  <si>
    <t>nodige procedures</t>
  </si>
  <si>
    <t>de nodige procedures</t>
  </si>
  <si>
    <t>vereenvoudigde procedure</t>
  </si>
  <si>
    <t>32024R1689:31:8:9</t>
  </si>
  <si>
    <t>Aangemelde instanties beschikken over de nodige procedures voor de uitoefening van hun activiteiten, waarin voldoende rekening wordt gehouden met de omvang van een aanbieder, de sector waarin deze actief is, …</t>
  </si>
  <si>
    <t>AI-systemen</t>
  </si>
  <si>
    <t>computersystemen</t>
  </si>
  <si>
    <t>RFID-systemen</t>
  </si>
  <si>
    <t>computersysteem</t>
  </si>
  <si>
    <t>32024R1689:59:1:2</t>
  </si>
  <si>
    <t>…tmatig voor andere doeleinden verzamelde persoonsgegevens uitsluitend worden verwerkt ten behoeve van het ontwikkelen, trainen en testen van bepaalde AI-systemen in de testomgeving indien aan alle volgende voorwaarden is voldaan: a) Er worden AI-systemen ontwikkeld zodat een overheidsinstantie of een andere na…</t>
  </si>
  <si>
    <t>Inbreuken op onderstaande bepalingen</t>
  </si>
  <si>
    <t>bepaling</t>
  </si>
  <si>
    <t>inbreuk op de wet</t>
  </si>
  <si>
    <t>inbreuk op het EU-recht</t>
  </si>
  <si>
    <t>32016R0679:83:5:6</t>
  </si>
  <si>
    <t>Inbreuken op onderstaande bepalingen zijn overeenkomstig lid 2 onderworpen aan administratieve geldboeten tot 20 000 000 EUR of, voor een onderneming, tot 4 % van de totale wereldwijde j…</t>
  </si>
  <si>
    <t>toereikend aantal bekwame personeelsleden</t>
  </si>
  <si>
    <t>een toereikend aantal bekwame personeelsleden</t>
  </si>
  <si>
    <t>aantal</t>
  </si>
  <si>
    <t>personeelsafgevaardigde</t>
  </si>
  <si>
    <t>aanpasbaarheid van het personeel</t>
  </si>
  <si>
    <t>verplegend personeel</t>
  </si>
  <si>
    <t>32024R1689:28:7:11</t>
  </si>
  <si>
    <t>Aanmeldende autoriteiten beschikken over een toereikend aantal bekwame personeelsleden om hun taken naar behoren uit te voeren. Bekwame personeelsleden beschikken, indien van toepassing, over de nodige deskundigheid voor hun functies op…</t>
  </si>
  <si>
    <t>De structuur en de hoogte van de vergoedingen en de schaal en structuur van de invorderbare kosten</t>
  </si>
  <si>
    <t>structuurbeleid</t>
  </si>
  <si>
    <t>institutionele structuur</t>
  </si>
  <si>
    <t>structuur van de onderneming</t>
  </si>
  <si>
    <t>32024R1689:69:2:3</t>
  </si>
  <si>
    <t>De lidstaten kan worden voorgeschreven dat zij een vergoeding betalen voor het advies en de ondersteuning van de deskundigen. De structuur en de hoogte van de vergoedingen en de schaal en structuur van de invorderbare kosten worden in de in artikel 68, lid 1 bedoelde uitvoeringshandeling vermeld, rekening houdend met de doelstellingen van een Adequate uitvoering van deze …</t>
  </si>
  <si>
    <t>kopie van de persoonsgegevens die worden verwerkt</t>
  </si>
  <si>
    <t>een kopie van de persoonsgegevens die worden verwerkt</t>
  </si>
  <si>
    <t>32016R0679:15:3:4</t>
  </si>
  <si>
    <t>De verwerkingsverantwoordelijke verstrekt de betrokkene een kopie van de persoonsgegevens die worden verwerkt. Indien de betrokkene om bijkomende kopieën verzoekt, kan de verwerkingsverantwoordelijke op basis van de administratieve kosten een redelijke vergoe…</t>
  </si>
  <si>
    <t>ontwikkelingen landen en internationale organisaties</t>
  </si>
  <si>
    <t>op ontwikkelingen in derde landen en internationale organisaties</t>
  </si>
  <si>
    <t>internationale organisatie</t>
  </si>
  <si>
    <t>uitbreiding van een internationale organisatie</t>
  </si>
  <si>
    <t>32016R0679:45:4:3</t>
  </si>
  <si>
    <t>De Commissie houdt doorlopend toezicht op ontwikkelingen in derde landen en internationale organisaties die mogelijk gevolgen hebben voor het functioneren van krachtens lid 3 van dit artikel vastgestelde besluiten en van op grond van artikel 25, lid 6, …</t>
  </si>
  <si>
    <t>taken op grond van een dienstverleningsovereenkomst</t>
  </si>
  <si>
    <t>de taken op grond van een dienstverleningsovereenkomst</t>
  </si>
  <si>
    <t>dienstverleningscontract</t>
  </si>
  <si>
    <t>concessieovereenkomsten voor dienstverlening</t>
  </si>
  <si>
    <t>overeenkomst tussen ondernemingen</t>
  </si>
  <si>
    <t>32016R0679:37:6:9</t>
  </si>
  <si>
    <t>AI-systeem</t>
  </si>
  <si>
    <t>het betrokken AI-systeem</t>
  </si>
  <si>
    <t>VN-systeem</t>
  </si>
  <si>
    <t>TARGET-systeem</t>
  </si>
  <si>
    <t>32024R1689:80:1:1</t>
  </si>
  <si>
    <t>…anbieder is ingedeeld als een AI-systeem dat geen hoog risico met zich meebrengt op grond van artikel 6, lid 3, wél een hoog risico vormt, toetst zij het betrokken AI-systeem aan de classificatie ervan als AI-systeem met een hoog risico op grond van de voorwaarden van artikel 6, lid 3, en de richtsnoeren van de Commissie.</t>
  </si>
  <si>
    <t>klacht</t>
  </si>
  <si>
    <t>een klacht</t>
  </si>
  <si>
    <t>aanklacht</t>
  </si>
  <si>
    <t>krant</t>
  </si>
  <si>
    <t>32024R1689:89:2:2</t>
  </si>
  <si>
    <t>Aanbieders verder in de AI-waardeketen hebben het recht een klacht in te dienen wegens inbreuk op deze verordening. Klachten moeten terdege worden gemotiveerd en moeten ten minste het volgende vermelden of bevatten: …</t>
  </si>
  <si>
    <t>strafbare feiten</t>
  </si>
  <si>
    <t>feit</t>
  </si>
  <si>
    <t>strafbare nalatigheid</t>
  </si>
  <si>
    <t>strafvordering</t>
  </si>
  <si>
    <t>strafgevangenis</t>
  </si>
  <si>
    <t>Activiteiten</t>
  </si>
  <si>
    <t>vrijwilligerswerk</t>
  </si>
  <si>
    <t>EU-activiteit</t>
  </si>
  <si>
    <t>32024R1689:33:3:4</t>
  </si>
  <si>
    <t>Activiteiten mogen uitsluitend met instemming van de aanbieder door een onderaannemer of dochteronderneming worden uitgevoerd. Aangemelde instanties maken een lij…</t>
  </si>
  <si>
    <t>conformiteitsbeoordelingsactiviteiten</t>
  </si>
  <si>
    <t>haar conformiteitsbeoordelingsactiviteiten</t>
  </si>
  <si>
    <t>conformiteitsbeoordelingsactiviteit</t>
  </si>
  <si>
    <t>32024R1689:36:3:7</t>
  </si>
  <si>
    <t>Indien een aangemelde instantie besluit haar conformiteitsbeoordelingsactiviteiten stop te zetten, brengt zij de aanmeldende autoriteit en de betrokken aanbieders zo snel mogelijk, en in het geval van een geplande stopzetting minste…</t>
  </si>
  <si>
    <t>daaraan blootgestelde natuurlijke personen</t>
  </si>
  <si>
    <t>de daaraan blootgestelde natuurlijke personen</t>
  </si>
  <si>
    <t>belasting van natuurlijke personen</t>
  </si>
  <si>
    <t>met uitsterving bedreigde soort</t>
  </si>
  <si>
    <t>32024R1689:50:3:4</t>
  </si>
  <si>
    <t>Gebruiksverantwoordelijken van een systeem voor het herkennen van emoties of een systeem voor biometrische categorisering informeren de daaraan blootgestelde natuurlijke personen over de werking van het systeem en verwerken de persoonsgegevens in overeenstemming met Verordening (EU) 2016/679, Verordening (EU) 2018/1725 en Rich…</t>
  </si>
  <si>
    <t>een praktijkcode</t>
  </si>
  <si>
    <t>communicatie in de praktijk</t>
  </si>
  <si>
    <t>32024R1689:56:6:11</t>
  </si>
  <si>
    <t>…worden verwezenlijkt. Zij maken hun beoordeling of de praktijkcodes toereikend zijn bekend. De Commissie kan door middel van een uitvoeringshandeling een praktijkcode goedkeuren en deze binnen de Unie een algemene geldigheid verlenen. Die uitvoeringshandeling wordt vastgesteld volgens de in artikel 98, lid 2, bedoe…</t>
  </si>
  <si>
    <t>schriftelijke bijdragen</t>
  </si>
  <si>
    <t>bijdrage</t>
  </si>
  <si>
    <t>financiële bijdrage</t>
  </si>
  <si>
    <t>schriftelijke vraag</t>
  </si>
  <si>
    <t>fiscale bijdrage</t>
  </si>
  <si>
    <t>relevante autoriteit</t>
  </si>
  <si>
    <t>een andere relevante autoriteit</t>
  </si>
  <si>
    <t>Hoge Autoriteit</t>
  </si>
  <si>
    <t>32024R1689:74:3:1</t>
  </si>
  <si>
    <t>…voor markttoezichtactiviteiten uit hoofde van die rechtshandelingen. In afwijking van de eerste alinea kunnen de lidstaten in passende omstandigheden een andere relevante autoriteit aanwijzen om als markttoezichtautoriteit op te treden, mits zij zorgen voor coördinatie met de relevante sectorale markttoezichtautoriteiten die vera…</t>
  </si>
  <si>
    <t>criteria voor certificering</t>
  </si>
  <si>
    <t>de criteria voor certificering uit hoofde van artikel 42, lid 5</t>
  </si>
  <si>
    <t>32016R0679:57:1:24</t>
  </si>
  <si>
    <t>…ng van certificeringsmechanismen voor gegevensbescherming en van gegevensbeschermingszegels en -merktekens overeenkomstig artikel 42, lid 1, en keurt de criteria voor certificering uit hoofde van artikel 42, lid 5, goed; o) waar van toepassing verricht zij een periodieke toetsing van de overeenkomstig artikel 42, lid 7, afgegeven certificeringen; p) zij zorgt v…</t>
  </si>
  <si>
    <t>de maatregel</t>
  </si>
  <si>
    <t>disciplinaire maatregel</t>
  </si>
  <si>
    <t>bestuursmaatregel</t>
  </si>
  <si>
    <t>maatschap</t>
  </si>
  <si>
    <t>32024R1689:81:2:7</t>
  </si>
  <si>
    <t>Indien de Commissie de maatregel van de betrokken lidstaat gerechtvaardigd acht, zorgen alle lidstaten ervoor dat zij passende beperkende maatregelen ten aanzien van het betrokken AI…</t>
  </si>
  <si>
    <t>van de eindresultaten</t>
  </si>
  <si>
    <t>eindresultat</t>
  </si>
  <si>
    <t>uitslag van de stemming</t>
  </si>
  <si>
    <t>uitkomst van het onderzoek</t>
  </si>
  <si>
    <t>bedrijfsresultaat</t>
  </si>
  <si>
    <t>functionaris voor gegevensbescherming</t>
  </si>
  <si>
    <t>een functionaris voor gegevensbescherming</t>
  </si>
  <si>
    <t>Europese Toezichthouder voor gegevensbescherming</t>
  </si>
  <si>
    <t>bescherming van informanten</t>
  </si>
  <si>
    <t>32016R0679:37:1:1</t>
  </si>
  <si>
    <t>De verwerkingsverantwoordelijke en de verwerker wijzen een functionaris voor gegevensbescherming aan in elk geval waarin: a) de verwerking wordt verricht door een overheidsinstantie of overheidsorgaan, behalve in het geval van gerechten bij de ui…</t>
  </si>
  <si>
    <t>samenwerking tussen de toezichthoudende autoriteiten</t>
  </si>
  <si>
    <t>samenwerking tussen Instellingen</t>
  </si>
  <si>
    <t>samenwerking tussen ondernemingen</t>
  </si>
  <si>
    <t>samenwerking tussen gemeenten</t>
  </si>
  <si>
    <t>benodigde middelen</t>
  </si>
  <si>
    <t>de benodigde middelen</t>
  </si>
  <si>
    <t>aanvullende middelen</t>
  </si>
  <si>
    <t>eigen middelen</t>
  </si>
  <si>
    <t>32016R0679:38:2:4</t>
  </si>
  <si>
    <t>…ing bij de vervulling van de in artikel 39 bedoelde taken door hem toegang te verschaffen tot persoonsgegevens en verwerkingsactiviteiten en door hem de benodigde middelen ter beschikking te stellen voor het vervullen van deze taken en het in stand houden van zijn deskundigheid.</t>
  </si>
  <si>
    <t>beste praktijken</t>
  </si>
  <si>
    <t>de uitwisseling van kennis en beste praktijken</t>
  </si>
  <si>
    <t>praktijk</t>
  </si>
  <si>
    <t>politieke praktijk</t>
  </si>
  <si>
    <t>32024R1689:38:3:3</t>
  </si>
  <si>
    <t>De Commissie voorziet in de uitwisseling van kennis en beste praktijken tussen aanmeldende autoriteiten.</t>
  </si>
  <si>
    <t>lagere leeftijd</t>
  </si>
  <si>
    <t>in een lagere leeftijd</t>
  </si>
  <si>
    <t>leeftijd</t>
  </si>
  <si>
    <t>minimumleeftijd</t>
  </si>
  <si>
    <t>leeftijdsklasse</t>
  </si>
  <si>
    <t>32016R0679:8:1:2</t>
  </si>
  <si>
    <t>…erband wordt verleend door de persoon die de ouderlijke verantwoordelijkheid voor het kind draagt. De lidstaten kunnen dienaangaande bij wet voorzien in een lagere leeftijd, op voorwaarde dat die leeftijd niet onder 13 jaar ligt.</t>
  </si>
  <si>
    <t>verwerking van hem betreffende persoonsgegevens</t>
  </si>
  <si>
    <t>de verwerking van hem betreffende persoonsgegevens</t>
  </si>
  <si>
    <t>opslag van gegevens</t>
  </si>
  <si>
    <t>32016R0679:21:1:1</t>
  </si>
  <si>
    <t>De betrokkene heeft te allen tijde het recht om vanwege met zijn specifieke situatie verband houdende redenen bezwaar te maken tegen de verwerking van hem betreffende persoonsgegevens op basis van artikel 6, lid 1, onder e) of f), van artikel 6, lid 1, met inbegrip van profilering op basis van die bepalingen. De verwerkingsverantwo…</t>
  </si>
  <si>
    <t>nationale bevoegde autoriteiten over voldoende technische, financiële en personele middelen en over passende infrastructuur beschikken</t>
  </si>
  <si>
    <t>hun nationale bevoegde autoriteiten over voldoende technische, financiële en personele middelen en over passende infrastructuur beschikken</t>
  </si>
  <si>
    <t>institutionele bevoegdheid</t>
  </si>
  <si>
    <t>32024R1689:70:3:6</t>
  </si>
  <si>
    <t>De lidstaten zorgen ervoor dat hun nationale bevoegde autoriteiten over voldoende technische, financiële en personele middelen en over passende infrastructuur beschikken om hun taken krachtens deze verordening op doeltreffende wijze uit te voeren. De nationale bevoegde autoriteiten beschikken met name over voldoende p…</t>
  </si>
  <si>
    <t>CE-markering</t>
  </si>
  <si>
    <t>de CE-markering</t>
  </si>
  <si>
    <t>cemarkering</t>
  </si>
  <si>
    <t>32024R1689:16:whole:6</t>
  </si>
  <si>
    <t>… in de handel wordt gebracht of in gebruik wordt gesteld; g) stellen een EU-conformiteitsverklaring op, in overeenstemming met artikel 47; h) brengen de CE-markering aan op het AI-systeem met een hoog risico of, wanneer dit niet mogelijk is, op de verpakking of in de bij het product gevoegde documentatie, om aan t…</t>
  </si>
  <si>
    <t>voorwaarden</t>
  </si>
  <si>
    <t>arbeidsvoorwaarden</t>
  </si>
  <si>
    <t>prijsovereenkomst</t>
  </si>
  <si>
    <t>belanghebbenden</t>
  </si>
  <si>
    <t>belangenconflict</t>
  </si>
  <si>
    <t>32016R0679:50:whole:4</t>
  </si>
  <si>
    <t>…n informatie, voor zover er passende waarborgen voor de bescherming van persoonsgegevens en andere grondrechten en fundamentele vrijheden bestaan; c) belanghebbenden te betrekken bij besprekingen en activiteiten om de internationale samenwerking bij de handhaving van de wetgeving inzake de bescherming van persoons…</t>
  </si>
  <si>
    <t>leden van elke toezichthoudende autoriteit</t>
  </si>
  <si>
    <t>de ambtstermijn van het lid of de leden van elke toezichthoudende autoriteit</t>
  </si>
  <si>
    <t>32016R0679:54:1:5</t>
  </si>
  <si>
    <t>… voor elke toezichthoudende autoriteit; c) de regels en procedures voor de benoeming van het lid of de leden van elke toezichthoudende autoriteit; d) de ambtstermijn van het lid of de leden van elke toezichthoudende autoriteit, die ten minste vier jaar bedraagt, behoudens de eerste ambtstermijn na 24 mei 2016, die korter kan zijn wanneer dat nodig is om de onafhankelijkheid…</t>
  </si>
  <si>
    <t>juiste beoordeling</t>
  </si>
  <si>
    <t>de juiste beoordeling</t>
  </si>
  <si>
    <t>beoordeling van het personeel</t>
  </si>
  <si>
    <t>rechtvaardige transitie</t>
  </si>
  <si>
    <t>32016R0679:43:4:3</t>
  </si>
  <si>
    <t>De in lid 1 bedoelde certificeringsorganen zijn verantwoordelijk voor de juiste beoordeling, die tot certificering of de intrekking van die certificering leidt, onverminderd de verantwoordelijkheid van de verwerkingsverantwoordelijke of de v…</t>
  </si>
  <si>
    <t>digitale CE-markering</t>
  </si>
  <si>
    <t>alleen een digitale CE-markering</t>
  </si>
  <si>
    <t>digitale geletterdheid</t>
  </si>
  <si>
    <t>digitale handtekening</t>
  </si>
  <si>
    <t>32024R1689:48:2:1</t>
  </si>
  <si>
    <t>Voor digitaal aangeboden AI-systemen met een hoog risico wordt alleen een digitale CE-markering gebruikt als deze gemakkelijk toegankelijk is via de interface waarmee toegang wordt verkregen tot dat systeem of via een gemakkelijk toegankelijke m…</t>
  </si>
  <si>
    <t>contactgegevens van de functionaris voor gegevensbescherming</t>
  </si>
  <si>
    <t>de contactgegevens van de functionaris voor gegevensbescherming</t>
  </si>
  <si>
    <t>contactgegeven</t>
  </si>
  <si>
    <t>32016R0679:13:1:3</t>
  </si>
  <si>
    <t>…ns van de verwerkingsverantwoordelijke en, in voorkomend geval, van de vertegenwoordiger van de verwerkingsverantwoordelijke; b) in voorkomend geval, de contactgegevens van de functionaris voor gegevensbescherming; c) de verwerkingsdoeleinden waarvoor de persoonsgegevens zijn bestemd, alsook de rechtsgrond voor de verwerking; d) de gerechtvaardigde belangen van…</t>
  </si>
  <si>
    <t>in de beoordelingsactiviteiten</t>
  </si>
  <si>
    <t>beoordelingsactiviteiot</t>
  </si>
  <si>
    <t>toezicht op de invoer</t>
  </si>
  <si>
    <t>uitvoering van de begroting</t>
  </si>
  <si>
    <t>32024R1689:50:7:13</t>
  </si>
  <si>
    <t>…e verplichtingen met betrekking tot de opsporing en het labelen van kunstmatig gegenereerde of bewerkte content te vergemakkelijken. De Commissie kan uitvoeringshandelingen vaststellen om die praktijkcodes overeenkomstig de procedure van artikel 56, lid 6, goed te keuren. Indien zij de code ontoereikend acht, kan de Comm…</t>
  </si>
  <si>
    <t>bevindingen van die beoordeling</t>
  </si>
  <si>
    <t>de bevindingen van die beoordeling</t>
  </si>
  <si>
    <t>uitspraak van het Hof</t>
  </si>
  <si>
    <t>32024R1689:112:1:2</t>
  </si>
  <si>
    <t>…gatie eenmaal per jaar of de lijst van bijlage III en de lijst van de verboden AI-praktijken in artikel 5 moeten worden gewijzigd. De Commissie deelt de bevindingen van die beoordeling mee aan het Europees Parlement en de Raad.</t>
  </si>
  <si>
    <t>kennisgevingsprocedures</t>
  </si>
  <si>
    <t>de kennisgevingsprocedures</t>
  </si>
  <si>
    <t>goedkeuringsprocedure</t>
  </si>
  <si>
    <t>wetgevende procedure</t>
  </si>
  <si>
    <t>32024R1689:73:8:10</t>
  </si>
  <si>
    <t>…van Verordening (EU) 2019/1020, binnen zeven dagen na de datum waarop zij de in lid 1 van dit artikel bedoelde kennisgeving heeft ontvangen, en volgt de kennisgevingsprocedures waarin die verordening voorziet.</t>
  </si>
  <si>
    <t>wettelijke bepalingen die hij vaststelt</t>
  </si>
  <si>
    <t>de wettelijke bepalingen die hij overeenkomstig dit hoofdstuk vaststelt</t>
  </si>
  <si>
    <t>32016R0679:51:4:6</t>
  </si>
  <si>
    <t>Elke lidstaat stelt de Commissie uiterlijk op 25 mei 2018 in kennis van de wettelijke bepalingen die hij overeenkomstig dit hoofdstuk vaststelt, alsmede, onverwijld, van alle latere wijzigingen daarvan.</t>
  </si>
  <si>
    <t>bekendheid</t>
  </si>
  <si>
    <t>bekendmaking</t>
  </si>
  <si>
    <t>persoonlijkheid</t>
  </si>
  <si>
    <t>publiciteit</t>
  </si>
  <si>
    <t>maatregelen of besluiten</t>
  </si>
  <si>
    <t>tot maatregelen of besluiten</t>
  </si>
  <si>
    <t>32024R1689:59:1:8</t>
  </si>
  <si>
    <t>…n aangemaakt mogen niet buiten de testomgeving worden gedeeld; f) de verwerking van persoonsgegevens in het kader van de testomgeving mag niet leiden tot maatregelen of besluiten die gevolgen hebben voor de betrokkenen, noch gevolgen hebben voor de toepassing van hun rechten die zijn vastgelegd in het Unierecht inzake de besch…</t>
  </si>
  <si>
    <t>regels</t>
  </si>
  <si>
    <t>32024R1689:99:8:13</t>
  </si>
  <si>
    <t>Elke lidstaat stelt regels vast betreffende de vraag in hoeverre administratieve geldboeten kunnen worden opgelegd aan in die lidstaat gevestigde overheidsinstanties of -organe…</t>
  </si>
  <si>
    <t>specifieke bepalingen</t>
  </si>
  <si>
    <t>uitzonderingsbepaling</t>
  </si>
  <si>
    <t>bijzondere wetgevingsprocedure</t>
  </si>
  <si>
    <t>32016R0679:6:3:5</t>
  </si>
  <si>
    <t>…n een taak van algemeen belang of voor de uitoefening van het openbaar gezag dat aan de verwerkingsverantwoordelijke is verleend. Die rechtsgrond kan specifieke bepalingen bevatten om de toepassing van de regels van deze verordening aan te passen, met inbegrip van de algemene voorwaarden inzake de rechtmatigheid van ver…</t>
  </si>
  <si>
    <t>twee vicevoorzitters</t>
  </si>
  <si>
    <t>een voorzitter en twee vicevoorzitters</t>
  </si>
  <si>
    <t>vicevoorzitter</t>
  </si>
  <si>
    <t>Conferentie van voorzitters</t>
  </si>
  <si>
    <t>tweekamerstelsel</t>
  </si>
  <si>
    <t>32016R0679:73:1:1</t>
  </si>
  <si>
    <t>Het Comité kiest met gewone meerderheid een voorzitter en twee vicevoorzitters uit zijn leden.</t>
  </si>
  <si>
    <t>twee jaar</t>
  </si>
  <si>
    <t>Stuurgroep II</t>
  </si>
  <si>
    <t>32024R1689:67:4:2</t>
  </si>
  <si>
    <t>De ambtstermijn van de leden van het adviesforum bedraagt twee jaar en kan met ten hoogste vier jaar worden verlengd.</t>
  </si>
  <si>
    <t>volledige verantwoordelijkheid</t>
  </si>
  <si>
    <t>de volledige verantwoordelijkheid</t>
  </si>
  <si>
    <t>openbare verantwoordelijkheid</t>
  </si>
  <si>
    <t>uitgebreide producentenverantwoordelijkheid</t>
  </si>
  <si>
    <t>32024R1689:33:2:3</t>
  </si>
  <si>
    <t>Aangemelde instanties nemen de volledige verantwoordelijkheid op zich voor de door onderaannemers of dochterondernemingen verrichte taken.</t>
  </si>
  <si>
    <t>dagelijkse werking van het Comité</t>
  </si>
  <si>
    <t>de dagelijkse werking van het Comité</t>
  </si>
  <si>
    <t>werking</t>
  </si>
  <si>
    <t>32016R0679:75:6:4</t>
  </si>
  <si>
    <t>Het secretariaat is met name belast met: a) de dagelijkse werking van het Comité; b) de communicatie tussen de leden van het Comité, zijn voorzitter en de Commissie; c) de communicatie met andere instellingen en het brede publiek;…</t>
  </si>
  <si>
    <t>klachten</t>
  </si>
  <si>
    <t>dergelijke klachten</t>
  </si>
  <si>
    <t>ziekte</t>
  </si>
  <si>
    <t>32024R1689:85:whole:1</t>
  </si>
  <si>
    <t>…d op de bepalingen van deze verordening, klachten indienen bij de relevante markttoezichtautoriteit. Overeenkomstig Verordening (EU) 2019/1020 worden dergelijke klachten in aanmerking genomen ter uitvoering van markttoezichtactiviteiten en worden zij behandeld in overeenstemming met de specifieke procedures die de mar…</t>
  </si>
  <si>
    <t>deskundigen ter zake</t>
  </si>
  <si>
    <t>de deskundigen ter zake</t>
  </si>
  <si>
    <t>zaak</t>
  </si>
  <si>
    <t>deskundigengroep (EU)</t>
  </si>
  <si>
    <t>deskundig onderzoek</t>
  </si>
  <si>
    <t>ontologieën</t>
  </si>
  <si>
    <t>32024R1689:71:1:1</t>
  </si>
  <si>
    <t>…ereenkomstig artikel 6, lid 4 en artikel 49. Bij het vaststellen van de functionele specificaties van een dergelijke databank raadpleegt de Commissie de deskundigen ter zake, en bij het bijwerken van die functionele specificaties raadpleegt de Commissie de AI-board.</t>
  </si>
  <si>
    <t>gemeenschappelijke regels</t>
  </si>
  <si>
    <t>gemeenschappelijke strategie</t>
  </si>
  <si>
    <t>gemeenschappelijk tariefbeleid</t>
  </si>
  <si>
    <t>gemeenschappelijk prijsbeleid</t>
  </si>
  <si>
    <t>32024R1689:56:9:21</t>
  </si>
  <si>
    <t>…et AI-bureau deze na zijn beoordeling uit hoofde van lid 6 van dit artikel ontoereikend acht, kan de Commissie door middel van uitvoeringshandelingen gemeenschappelijke regels vaststellen voor de uitvoering van de verplichtingen waarin de artikelen 53 en 55 voorzien, met inbegrip van de in lid 2 van dit artikel genoemde zak…</t>
  </si>
  <si>
    <t>uitwisselingen van personeelsleden tussen de toezichthoudende autoriteiten</t>
  </si>
  <si>
    <t>uitwisseling van arbeidskrachten</t>
  </si>
  <si>
    <t>uitwisseling van docenten</t>
  </si>
  <si>
    <t>transitionele personeelshervorming</t>
  </si>
  <si>
    <t>32016R0679:70:1:20</t>
  </si>
  <si>
    <t>…matie en beste praktijken tussen de toezichthoudende autoriteiten; v) bevorderen van gemeenschappelijke opleidingsprogramma's en vergemakkelijken van uitwisselingen van personeelsleden tussen de toezichthoudende autoriteiten, en waar passend, met de toezichthoudende autoriteiten van derde landen of met internationale organisaties; w) bevorderen van de uitwisseling van ken…</t>
  </si>
  <si>
    <t>deskundigheid en capaciteiten</t>
  </si>
  <si>
    <t>beroepsonkundigheid</t>
  </si>
  <si>
    <t>spreekvaardigheid</t>
  </si>
  <si>
    <t>32024R1689:64:1:1</t>
  </si>
  <si>
    <t>De Commissie ontwikkelt deskundigheid en capaciteiten op Unieniveau op het gebied van AI via het AI-bureau.</t>
  </si>
  <si>
    <t>verwerkers</t>
  </si>
  <si>
    <t>verbruiker</t>
  </si>
  <si>
    <t>mijnwerker</t>
  </si>
  <si>
    <t>32016R0679:28:1:1</t>
  </si>
  <si>
    <t>Wanneer een verwerking namens een verwerkingsverantwoordelijke wordt verricht, doet de verwerkingsverantwoordelijke uitsluitend een beroep op verwerkers die afdoende garanties met betrekking tot het toepassen van passende technische en organisatorische maatregelen bieden opdat de verwerking aan de ver…</t>
  </si>
  <si>
    <t>vermoeden van overeenstemming</t>
  </si>
  <si>
    <t>een vermoeden van overeenstemming</t>
  </si>
  <si>
    <t>vermoed</t>
  </si>
  <si>
    <t>gebrek aan overeenstemming</t>
  </si>
  <si>
    <t>vermoeden van onschuld</t>
  </si>
  <si>
    <t>overeenstemmingsprocedure</t>
  </si>
  <si>
    <t>32024R1689:55:2:2</t>
  </si>
  <si>
    <t>…verplichtingen aan te tonen, totdat er een geharmoniseerde norm is gepubliceerd. Door Europese geharmoniseerde normen na te leven genieten aanbieders een vermoeden van overeenstemming, voor zover die normen ook die verplichtingen dekken. Aanbieders van AI-modellen voor algemene doeleinden met een systeemrisico die zich niet aan een…</t>
  </si>
  <si>
    <t>bijkomende voorwaarden, waaronder beperkingen</t>
  </si>
  <si>
    <t>overeenkomst inzake beperking</t>
  </si>
  <si>
    <t>gebied met specifieke beperkingen</t>
  </si>
  <si>
    <t>32016R0679:9:4:4</t>
  </si>
  <si>
    <t>De lidstaten kunnen bijkomende voorwaarden, waaronder beperkingen, met betrekking tot de verwerking van genetische gegevens, biometrische gegevens of gegevens over gezondheid handhaven of invoeren.</t>
  </si>
  <si>
    <t>benodigde competenties</t>
  </si>
  <si>
    <t>de in dit lid bedoelde benodigde competenties en middelen</t>
  </si>
  <si>
    <t>competentie</t>
  </si>
  <si>
    <t>ondersteunende bevoegdheid</t>
  </si>
  <si>
    <t>32024R1689:70:3:8</t>
  </si>
  <si>
    <t>…chten, gezondheids- en veiligheidsrisico’s en kennis van bestaande normen en wettelijke eisen. De lidstaten beoordelen en, indien nodig, actualiseren de in dit lid bedoelde benodigde competenties en middelen jaarlijks.</t>
  </si>
  <si>
    <t>nationale overheidsinstanties of -organen</t>
  </si>
  <si>
    <t>de in artikel 77, lid 1, bedoelde nationale overheidsinstanties of -organen</t>
  </si>
  <si>
    <t>nationale regering</t>
  </si>
  <si>
    <t>32024R1689:73:7:5</t>
  </si>
  <si>
    <t>… ontvangst van een melding met betrekking tot een ernstig incident als bedoeld in artikel 3, punt 49), c), stelt de betrokken markttoezichtautoriteit de in artikel 77, lid 1, bedoelde nationale overheidsinstanties of -organen in kennis. De Commissie ontwikkelt specifieke richtsnoeren om nakoming van de in lid 1 van dit artikel vermelde verplichtingen te vergemakkelijken. D…</t>
  </si>
  <si>
    <t>rechtmatig voor andere doeleinden verzamelde persoonsgegevens</t>
  </si>
  <si>
    <t>32024R1689:59:1:1</t>
  </si>
  <si>
    <t>In de aI-testomgeving voor regelgeving mogen rechtmatig voor andere doeleinden verzamelde persoonsgegevens uitsluitend worden verwerkt ten behoeve van het ontwikkelen, trainen en testen van bepaalde AI-systemen in de testomgeving indien aan alle volgende v…</t>
  </si>
  <si>
    <t>certificeringsorgaan</t>
  </si>
  <si>
    <t>het certificeringsorgaan</t>
  </si>
  <si>
    <t>controleorgaan</t>
  </si>
  <si>
    <t>32016R0679:58:2:18</t>
  </si>
  <si>
    <t>…elingen aan ontvangers aan wie de persoonsgegevens zijn verstrekt, overeenkomstig artikel 17, lid 2, en artikel 19; h) een certificering intrekken of het certificeringsorgaan gelasten een uit hoofde van de artikelen 42 en 43 afgegeven certificering in te trekken, of het certificeringsorgaan te gelasten geen certificering a…</t>
  </si>
  <si>
    <t>coördinatie</t>
  </si>
  <si>
    <t>de coördinatie</t>
  </si>
  <si>
    <t>coöperatie</t>
  </si>
  <si>
    <t>opencoördinatiemethode</t>
  </si>
  <si>
    <t>32024R1689:74:10:8</t>
  </si>
  <si>
    <t>De lidstaten faciliteren de coördinatie tussen krachtens deze verordening aangewezen markttoezichtautoriteiten en andere relevante nationale autoriteiten of instanties die toezicht houden o…</t>
  </si>
  <si>
    <t>Persoonsgegevens in officiële documenten</t>
  </si>
  <si>
    <t>persoonsgegevens</t>
  </si>
  <si>
    <t>publieke gegevens</t>
  </si>
  <si>
    <t>registratie van documenten</t>
  </si>
  <si>
    <t>32016R0679:86:whole:1</t>
  </si>
  <si>
    <t>Persoonsgegevens in officiële documenten die voor de uitvoering van een taak van algemeen belang in het bezit zijn van een overheidsinstantie, een overheidsorgaan of een particulier orgaan, …</t>
  </si>
  <si>
    <t>autorisatie- en adviesbevoegdheden</t>
  </si>
  <si>
    <t>alle autorisatie- en adviesbevoegdheden</t>
  </si>
  <si>
    <t>adviesbevoegdhed</t>
  </si>
  <si>
    <t>beslissingsbevoegdheid</t>
  </si>
  <si>
    <t>32016R0679:58:3:19</t>
  </si>
  <si>
    <t>Elke toezichthoudende autoriteit heeft alle autorisatie- en adviesbevoegdheden om: a) de verwerkingsverantwoordelijke advies te verstrekken in overeenstemming met de procedure van voorafgaande raadpleging van artikel 36; b) op e…</t>
  </si>
  <si>
    <t>beoordeling van de risico's voor de rechten en vrijheden van betrokkenen</t>
  </si>
  <si>
    <t>een beoordeling van de in lid 1 bedoelde risico's voor de rechten en vrijheden van betrokkenen</t>
  </si>
  <si>
    <t>bescherming van de rechten van de mens</t>
  </si>
  <si>
    <t>bescherming van vrijheden</t>
  </si>
  <si>
    <t>32016R0679:35:7:13</t>
  </si>
  <si>
    <t>…gsverantwoordelijke worden behartigd; b) een beoordeling van de noodzaak en de evenredigheid van de verwerkingen met betrekking tot de doeleinden; c) een beoordeling van de in lid 1 bedoelde risico's voor de rechten en vrijheden van betrokkenen; en d) de beoogde maatregelen om de risico's aan te pakken, waaronder waarborgen, veiligheidsmaatregelen en mechanismen om de bescherming van persoon…</t>
  </si>
  <si>
    <t>gevolg te geven aan het verzoek</t>
  </si>
  <si>
    <t>verzoek om financiële steun</t>
  </si>
  <si>
    <t>32016R0679:12:5:10</t>
  </si>
  <si>
    <t>…osten waarmee het verstrekken van de gevraagde informatie of communicatie en het treffen van de gevraagde maatregelen gepaard gaan; ofwel b) weigeren gevolg te geven aan het verzoek. Het is aan de verwerkingsverantwoordelijke om de kennelijk ongegronde of buitensporige aard van het verzoek aan te tonen.</t>
  </si>
  <si>
    <t>Gedragscodes</t>
  </si>
  <si>
    <t>gedragscodes</t>
  </si>
  <si>
    <t>32024R1689:95:3:1</t>
  </si>
  <si>
    <t>Gedragscodes kunnen door individuele aanbieders of gebruiksverantwoordelijken van AI-systemen of door organisaties die hen vertegenwoordigen, of allebei, worden o…</t>
  </si>
  <si>
    <t>ontwerpgedragscodes</t>
  </si>
  <si>
    <t>de ontwerpgedragscodes</t>
  </si>
  <si>
    <t>ontwerp-begroting</t>
  </si>
  <si>
    <t>32016R0679:58:3:29</t>
  </si>
  <si>
    <t>…ming door het lidstatelijke recht wordt voorgeschreven; d) overeenkomstig artikel 40, lid 5, advies uit te brengen over en goedkeuring te hechten aan de ontwerpgedragscodes; e) certificeringsorganen te accrediteren overeenkomstig artikel 43; f) certificeringen af te geven en certificeringscriteria goed te keuren overeenk…</t>
  </si>
  <si>
    <t>toetsing</t>
  </si>
  <si>
    <t>een toetsing</t>
  </si>
  <si>
    <t>proefneming</t>
  </si>
  <si>
    <t>toelatingsexamen</t>
  </si>
  <si>
    <t>rechterlijke toetsing</t>
  </si>
  <si>
    <t>32016R0679:35:11:18</t>
  </si>
  <si>
    <t>Indien nodig verricht de verwerkingsverantwoordelijke een toetsing om te beoordelen of de verwerking overeenkomstig de gegevensbeschermingseffectbeoordeling wordt uitgevoerd, zulks ten minste wanneer sprake is van ee…</t>
  </si>
  <si>
    <t>voorwaarden voor die tests</t>
  </si>
  <si>
    <t>de voorwaarden voor die tests</t>
  </si>
  <si>
    <t>toelatingsvoorwaarde voor examen</t>
  </si>
  <si>
    <t>voorwaarde van hulpverlening</t>
  </si>
  <si>
    <t>32024R1689:58:4:5</t>
  </si>
  <si>
    <t>…n, onder toezicht in het kader van een op grond van dit artikel op te richten AI-testomgeving voor regelgeving, komen zij specifiek met de deelnemers de voorwaarden voor die tests overeen, en met name de passende waarborgen ter bescherming van de grondrechten, de gezondheid en de veiligheid. In voorkomend geval werken zij samen…</t>
  </si>
  <si>
    <t>deskundigen van het wetenschappelijk panel</t>
  </si>
  <si>
    <t>op deskundigen van het wetenschappelijk panel</t>
  </si>
  <si>
    <t>panel</t>
  </si>
  <si>
    <t>deskundigengroep van de Commissie</t>
  </si>
  <si>
    <t>wetenschappelijke expertise</t>
  </si>
  <si>
    <t>wetenschappelijk personeel</t>
  </si>
  <si>
    <t>32024R1689:69:1:1</t>
  </si>
  <si>
    <t>De lidstaten kunnen een beroep doen op deskundigen van het wetenschappelijk panel ter ondersteuning van hun handhavingsactiviteiten in het kader van deze verordening.</t>
  </si>
  <si>
    <t>bezwaren</t>
  </si>
  <si>
    <t>hun bezwaren</t>
  </si>
  <si>
    <t>bezwaar</t>
  </si>
  <si>
    <t>bewaring</t>
  </si>
  <si>
    <t>gezworene</t>
  </si>
  <si>
    <t>ijzerwaren</t>
  </si>
  <si>
    <t>32024R1689:79:7:7</t>
  </si>
  <si>
    <t>… de hoogte van door hen genomen maatregelen en van aanvullende informatie over de non-conformiteit van het AI-systeem waarover zij beschikken, en van hun bezwaren indien zij het niet eens zijn met de aangemelde nationale maatregel.</t>
  </si>
  <si>
    <t>toepasselijke toegankelijkheidseisen</t>
  </si>
  <si>
    <t>aan de toepasselijke toegankelijkheidseisen</t>
  </si>
  <si>
    <t>toegankelijkheidsei</t>
  </si>
  <si>
    <t>toegankelijkheid</t>
  </si>
  <si>
    <t>32024R1689:50:5:12</t>
  </si>
  <si>
    <t>…van de eerste interactie of blootstelling op duidelijke en te onderscheiden wijze aan de betrokken natuurlijke personen verstrekt. De informatie moet aan de toepasselijke toegankelijkheidseisen voldoen.</t>
  </si>
  <si>
    <t>aangemelde instantie</t>
  </si>
  <si>
    <t>de betrokken aangemelde instantie</t>
  </si>
  <si>
    <t>32024R1689:36:4:13</t>
  </si>
  <si>
    <t>…of haar verplichtingen niet nakomt, moet de aanmeldende autoriteit de kwestie onverwijld zo zorgvuldig mogelijk onderzoeken. In die context stelt zij de betrokken aangemelde instantie in kennis van de geopperde bezwaren en biedt zij haar de mogelijkheid haar standpunten kenbaar te maken. Als de aanmeldende autoriteit tot de conclus…</t>
  </si>
  <si>
    <t>aanmeldende autoriteit</t>
  </si>
  <si>
    <t>een aanmeldende autoriteit</t>
  </si>
  <si>
    <t>aanmelding van kartel</t>
  </si>
  <si>
    <t>32024R1689:28:1:2</t>
  </si>
  <si>
    <t>Elke lidstaat wijst ten minste één aanmeldende autoriteit aan of richt een aanmeldende autoriteit op die verantwoordelijk is voor het opzetten en uitvoeren van de nodige procedures voor de beoordeling, aanwijzing en aanmelding van conformiteitsbeo…</t>
  </si>
  <si>
    <t>conformiteitsbeoordelingsinstanties</t>
  </si>
  <si>
    <t>conformiteitsbeoordelingsinstantie</t>
  </si>
  <si>
    <t>32024R1689:30:1:1</t>
  </si>
  <si>
    <t>Aanmeldende autoriteiten mogen uitsluitend conformiteitsbeoordelingsinstanties aanmelden die aan de eisen van artikel 31 voldoen.</t>
  </si>
  <si>
    <t>hoogte van de vergoedingen en de schaal en structuur van de invorderbare kosten</t>
  </si>
  <si>
    <t>vergoedingen en onkosten</t>
  </si>
  <si>
    <t>prijsstelling en vergoeding van geneesmiddelen</t>
  </si>
  <si>
    <t>betaalbaarstelling van de uitgaven</t>
  </si>
  <si>
    <t>kwesties die betrekking hebben op de toepassing</t>
  </si>
  <si>
    <t>kwesties die betrekking hebben op de toepassing van deze verordening</t>
  </si>
  <si>
    <t>kwestie</t>
  </si>
  <si>
    <t>grensoverschrijdende kwestie</t>
  </si>
  <si>
    <t>betrekking van de Europese Unie</t>
  </si>
  <si>
    <t>32016R0679:70:1:6</t>
  </si>
  <si>
    <t>…n als bedoeld in artikel 17, lid 2; e) onderzoeken, op eigen initiatief of op verzoek van een van zijn leden dan wel op verzoek van de Commissie, van kwesties die betrekking hebben op de toepassing van deze verordening, en uitvaardigen van richtsnoeren, aanbevelingen en beste praktijken om te bevorderen dat deze verordening consequent wordt toegepast; f) uitvaardige…</t>
  </si>
  <si>
    <t>naam, geregistreerde handelsnaam of geregistreerd merk</t>
  </si>
  <si>
    <t>hun naam, geregistreerde handelsnaam of geregistreerd merk</t>
  </si>
  <si>
    <t>naam</t>
  </si>
  <si>
    <t>handelsnaam</t>
  </si>
  <si>
    <t>Wetboek van Koophandel</t>
  </si>
  <si>
    <t>handelsvergunning</t>
  </si>
  <si>
    <t>32024R1689:16:whole:1</t>
  </si>
  <si>
    <t>…-systeem met een hoog risico of, wanneer dit niet mogelijk is, op de verpakking of in de bij het product gevoegde documentatie, naargelang het geval, hun naam, geregistreerde handelsnaam of geregistreerd merk en hun contactadres; c) beschikken over een systeem voor kwaliteitsbeheer dat in overeenstemming is met artikel 17; d) bewaren de in artikel 18 bedoe…</t>
  </si>
  <si>
    <t>één EU-conformiteitsverklaring</t>
  </si>
  <si>
    <t>publicatie van de Europese Unie</t>
  </si>
  <si>
    <t>32024R1689:47:3:8</t>
  </si>
  <si>
    <t>… AI-systemen met een hoog risico onder andere harmonisatiewetgeving van de Unie vallen, waarvoor ook een EU-conformiteitsverklaring is vereist, wordt één EU-conformiteitsverklaring ten aanzien van alle op het AI-systeem met een hoog risico toepasselijke Uniewetgeving opgesteld. De verklaring bevat alle informatie die vereist is …</t>
  </si>
  <si>
    <t>eigen en zelfgekozen personeelsleden</t>
  </si>
  <si>
    <t>personeellid</t>
  </si>
  <si>
    <t>afstemming van werk en privé</t>
  </si>
  <si>
    <t>32016R0679:52:5:7</t>
  </si>
  <si>
    <t>Elke lidstaat zorgt ervoor dat elke toezichthoudende autoriteit eigen en zelfgekozen personeelsleden heeft, die onder de exclusieve leiding van het lid of de leden van de betrokken toezichthoudende autoriteit staan.</t>
  </si>
  <si>
    <t>aangelegenheid</t>
  </si>
  <si>
    <t>de aangelegenheid</t>
  </si>
  <si>
    <t>ontvankelijkheid</t>
  </si>
  <si>
    <t>32016R0679:60:4:8</t>
  </si>
  <si>
    <t>…erpt de leidende toezichthoudende autoriteit, indien zij het relevante en gemotiveerde bezwaar afwijst of het niet relevant of niet gemotiveerd acht, de aangelegenheid aan het in artikel 63 bedoelde coherentiemechanisme.</t>
  </si>
  <si>
    <t>certificeringscriteria</t>
  </si>
  <si>
    <t>certificeringscriterium</t>
  </si>
  <si>
    <t>toetredingscriteria</t>
  </si>
  <si>
    <t>kwaliteitscriterium</t>
  </si>
  <si>
    <t>32016R0679:58:3:24</t>
  </si>
  <si>
    <t>…dkeuring te hechten aan de ontwerpgedragscodes; e) certificeringsorganen te accrediteren overeenkomstig artikel 43; f) certificeringen af te geven en certificeringscriteria goed te keuren overeenkomstig artikel 42, lid 5; g) de in artikel 28, lid 8, en artikel 46, lid 2, punt d), bedoelde standaardbepalingen inzake gegev…</t>
  </si>
  <si>
    <t>bijzondere aandacht</t>
  </si>
  <si>
    <t>bijzondere commissie</t>
  </si>
  <si>
    <t>speciale prijs</t>
  </si>
  <si>
    <t>instelling met bijzonder statuut</t>
  </si>
  <si>
    <t>32024R1689:96:1:2</t>
  </si>
  <si>
    <t>…ng van de definitie van een AI-systeem als gedefinieerd in artikel 3, punt 1). Bij het uitvaardigen van dergelijke richtsnoeren besteedt de Commissie bijzondere aandacht aan de behoeften van kmo’s, met inbegrip van start-ups, lokale overheidsinstanties en sectoren die het waarschijnlijkst door deze verordening zullen …</t>
  </si>
  <si>
    <t>gekwalificeerde waarschuwing</t>
  </si>
  <si>
    <t>een gekwalificeerde waarschuwing</t>
  </si>
  <si>
    <t>waarschuwing</t>
  </si>
  <si>
    <t>gekwalificeerde meerderheid</t>
  </si>
  <si>
    <t>verouderde kwalificatie</t>
  </si>
  <si>
    <t>nota van toelichting</t>
  </si>
  <si>
    <t>32024R1689:90:1:1</t>
  </si>
  <si>
    <t>Het wetenschappelijk panel kan het AI-bureau een gekwalificeerde waarschuwing geven indien het redenen heeft om te vermoeden dat: a) een AI-model voor algemene doeleinden een concreet aanwijsbaar risico op Unieniveau vormt, of …</t>
  </si>
  <si>
    <t>menselijk toezicht</t>
  </si>
  <si>
    <t>het menselijk toezicht</t>
  </si>
  <si>
    <t>toezicht op het milieu</t>
  </si>
  <si>
    <t>32024R1689:26:2:2</t>
  </si>
  <si>
    <t>Gebruiksverantwoordelijken dragen het menselijk toezicht op aan natuurlijke personen die over de nodige bekwaamheid, opleiding en autoriteit beschikken en de nodige ondersteuning krijgen.</t>
  </si>
  <si>
    <t>geschil- of gerechtelijke procedures</t>
  </si>
  <si>
    <t>alle geschil- of gerechtelijke procedures</t>
  </si>
  <si>
    <t>strafrechtelijke procedure</t>
  </si>
  <si>
    <t>scheidsrechterlijke procedure</t>
  </si>
  <si>
    <t>judiciële rechtspraak</t>
  </si>
  <si>
    <t>32024R1689:100:7:10</t>
  </si>
  <si>
    <t>…r gegevensbescherming stelt de Commissie jaarlijks in kennis van de administratieve geldboeten die hij op grond van dit artikel heeft opgelegd en van alle geschil- of gerechtelijke procedures die hij heeft ingeleid.</t>
  </si>
  <si>
    <t>opsporing van vooringenomenheid</t>
  </si>
  <si>
    <t>opsporing</t>
  </si>
  <si>
    <t>misbruik van voorkennis</t>
  </si>
  <si>
    <t>opsporingsvergunning</t>
  </si>
  <si>
    <t>voorkoming van verontreiniging</t>
  </si>
  <si>
    <t>betrokkene</t>
  </si>
  <si>
    <t>de betrokkene</t>
  </si>
  <si>
    <t>betrokkenheid van burgers</t>
  </si>
  <si>
    <t>politieke betrokkenheid</t>
  </si>
  <si>
    <t>participatie</t>
  </si>
  <si>
    <t>32016R0679:11:2:2</t>
  </si>
  <si>
    <t>Wanneer de verwerkingsverantwoordelijke in de in lid 1 van dit artikel bedoelde gevallen kan aantonen dat hij de betrokkene niet kan identificeren, stelt hij de betrokkene daarvan indien mogelijk in kennis. In dergelijke gevallen zijn de artikelen 15 tot en met 20 niet van…</t>
  </si>
  <si>
    <t>bepalingen van de gedragscode door deze laatsten</t>
  </si>
  <si>
    <t>op de naleving van de bepalingen van de gedragscode door deze laatsten</t>
  </si>
  <si>
    <t>32016R0679:41:2:6</t>
  </si>
  <si>
    <t>…t kan beoordelen of de betrokken verwerkingsverantwoordelijken en verwerkers in aanmerking komen om de gedragscode toe te passen, toezicht kan houden op de naleving van de bepalingen van de gedragscode door deze laatsten en het de werking van de gedragscode op gezette tijden kan toetsen; c) procedures en structuren heeft vastgesteld om klachten te behandelen over inbr…</t>
  </si>
  <si>
    <t>beschermingsniveau</t>
  </si>
  <si>
    <t>beschermingsmiddel</t>
  </si>
  <si>
    <t>tarifaire bescherming</t>
  </si>
  <si>
    <t>opleidingsniveau</t>
  </si>
  <si>
    <t>conformiteitsbeoordelingsprocedure op basis van interne controle</t>
  </si>
  <si>
    <t>de in bijlage VI bedoelde conformiteitsbeoordelingsprocedure op basis van interne controle</t>
  </si>
  <si>
    <t>32024R1689:43:2:1</t>
  </si>
  <si>
    <t>Voor AI-systemen met een hoog risico als bedoeld in de punten 2 tot en met 8 van bijlage III volgen aanbieders de in bijlage VI bedoelde conformiteitsbeoordelingsprocedure op basis van interne controle, waarvoor de betrokkenheid van een aangemelde instantie niet nodig is.</t>
  </si>
  <si>
    <t>testprocedure</t>
  </si>
  <si>
    <t>de testprocedure</t>
  </si>
  <si>
    <t>comitéprocedure</t>
  </si>
  <si>
    <t>douaneprocedure</t>
  </si>
  <si>
    <t>32024R1689:77:3:7</t>
  </si>
  <si>
    <t>…arkttoezichtautoriteit indienen om het AI-systeem met een hoog risico met technische middelen te mogen testen. De markttoezichtautoriteit organiseert de testprocedure binnen een redelijke termijn na het verzoek en met nauwe betrokkenheid van de verzoekende overheidsinstantie of het verzoekende overheidsorgaan.</t>
  </si>
  <si>
    <t>verlenging</t>
  </si>
  <si>
    <t>tot afgifte en verlenging van het certificaat</t>
  </si>
  <si>
    <t>verzuring</t>
  </si>
  <si>
    <t>verwonding</t>
  </si>
  <si>
    <t>vereffening</t>
  </si>
  <si>
    <t>32016R0679:43:1:1</t>
  </si>
  <si>
    <t>…a kennisgeving aan de toezichthoudende autoriteit met het oog op de uitoefening van haar bevoegdheden overeenkomstig artikel 58, lid 2, punt h), over tot afgifte en verlenging van het certificaat. De lidstaten zorgen ervoor dat die certificeringsorganen worden geaccrediteerd door één van de volgende instanties: a) de toezichthoudende autoritei…</t>
  </si>
  <si>
    <t>certificaat</t>
  </si>
  <si>
    <t>Het certificaat</t>
  </si>
  <si>
    <t>kwaliteitscertificaat</t>
  </si>
  <si>
    <t>citaat</t>
  </si>
  <si>
    <t>32016R0679:42:7:5</t>
  </si>
  <si>
    <t>Het certificaat wordt afgegeven aan een verwerkingsverantwoordelijke of een verwerker voor een maximumperiode van drie jaar en kan worden verlengd onder dezelfde voo…</t>
  </si>
  <si>
    <t>bezoldigde beroepswerkzaamheden</t>
  </si>
  <si>
    <t>al dan niet bezoldigde beroepswerkzaamheden</t>
  </si>
  <si>
    <t>beroepswerkzaamheden</t>
  </si>
  <si>
    <t>beroepsloopbaan</t>
  </si>
  <si>
    <t>beroepsverbod</t>
  </si>
  <si>
    <t>beroepskwalificatie</t>
  </si>
  <si>
    <t>32016R0679:52:3:5</t>
  </si>
  <si>
    <t>…eden van toezichthoudende autoriteiten verrichten geen handelingen die onverenigbaar zijn met hun taken en verrichten gedurende hun ambtstermijn geen al dan niet bezoldigde beroepswerkzaamheden die onverenigbaar zijn met hun taken.</t>
  </si>
  <si>
    <t>het dossier</t>
  </si>
  <si>
    <t>medisch dossier</t>
  </si>
  <si>
    <t>32024R1689:100:5:7</t>
  </si>
  <si>
    <t>Het recht van verdediging van de partijen wordt in de loop van de procedure ten volle geëerbiedigd. Zij hebben recht op toegang tot het dossier van de Europese Toezichthouder voor gegevensbescherming, onder voorbehoud van het gerechtvaardigde belang van andere natuurlijke personen of ondernem…</t>
  </si>
  <si>
    <t>gedocumenteerde procedures</t>
  </si>
  <si>
    <t>over gedocumenteerde procedures</t>
  </si>
  <si>
    <t>32024R1689:31:7:7</t>
  </si>
  <si>
    <t>Aangemelde instanties beschikken over gedocumenteerde procedures die waarborgen dat hun personeel, comités, dochterondernemingen, onderaannemers, geassocieerde instanties of personeel van externe instanties overeen…</t>
  </si>
  <si>
    <t>De procedure van hoofdstuk VI van Verordening (EU) 2019/1020</t>
  </si>
  <si>
    <t>internationale procedure</t>
  </si>
  <si>
    <t>32024R1689:75:3:5</t>
  </si>
  <si>
    <t>…rkttoezichtautoriteiten waarborgen dat de door hen verkregen informatie overeenkomstig artikel 78 van deze verordening vertrouwelijk wordt behandeld. De procedure van hoofdstuk VI van Verordening (EU) 2019/1020 is van overeenkomstige toepassing.</t>
  </si>
  <si>
    <t>gegevensbeschermingseffectbeoordeling waarin is voorzien</t>
  </si>
  <si>
    <t>de gegevensbeschermingseffectbeoordeling waarin bij artikel 35 is voorzien</t>
  </si>
  <si>
    <t>gegevensbeschermingseffectbeoordeling</t>
  </si>
  <si>
    <t>32016R0679:36:3:7</t>
  </si>
  <si>
    <t>…jheden van betrokkenen uit hoofde van deze verordening; d) indien van toepassing, de contactgegevens van de functionaris voor gegevensbescherming; e) de gegevensbeschermingseffectbeoordeling waarin bij artikel 35 is voorzien; en f) alle andere informatie waar de toezichthoudende autoriteit om verzoekt.</t>
  </si>
  <si>
    <t>de toepassing en de werking van</t>
  </si>
  <si>
    <t>arbeid</t>
  </si>
  <si>
    <t>arbeider</t>
  </si>
  <si>
    <t>32016R0679:97:2:3</t>
  </si>
  <si>
    <t>In het kader van de in lid 1 bedoelde evaluaties en toetsingen beoordeelt de Commissie met name de toepassing en de werking van: a) hoofdstuk V betreffende de doorgifte van persoonsgegevens aan derde landen of internationale organisaties, in het bijzonder met betrekking tot kr…</t>
  </si>
  <si>
    <t>of de nationale maatregel gerechtvaardigd is</t>
  </si>
  <si>
    <t>nationale uitvoeringsmaatregel</t>
  </si>
  <si>
    <t>nationaal recht</t>
  </si>
  <si>
    <t>nationaal recht-internationaal recht</t>
  </si>
  <si>
    <t>32024R1689:81:1:3</t>
  </si>
  <si>
    <t>…en in geval van niet-naleving van het verbod op de in artikel 5 bedoelde AI-praktijken, met ingang van de in artikel 79, lid 5, bedoelde kennisgeving of de nationale maatregel gerechtvaardigd is, en deelt zij haar besluit aan de markttoezichtautoriteit van de betrokken lidstaat mee. De Commissie stelt ook alle andere markttoezichtautoriteiten…</t>
  </si>
  <si>
    <t>brede publiek</t>
  </si>
  <si>
    <t>publiek</t>
  </si>
  <si>
    <t>brede maatschappelijke discussie</t>
  </si>
  <si>
    <t>publiek entrepot</t>
  </si>
  <si>
    <t>publiek gebouw</t>
  </si>
  <si>
    <t>argumenten</t>
  </si>
  <si>
    <t>deze argumenten</t>
  </si>
  <si>
    <t>besprekingen</t>
  </si>
  <si>
    <t>32024R1689:52:3:5</t>
  </si>
  <si>
    <t>…e aanbieder niet kan aantonen dat het AI-model voor algemene doeleinden vanwege zijn specifieke kenmerken geen systeemrisico’s vertoont, verwerpt zij deze argumenten en wordt het AI-model voor algemene doeleinden beschouwd als een AI-model voor algemene doeleinden met een systeemrisico.</t>
  </si>
  <si>
    <t>eigen werkregelingen</t>
  </si>
  <si>
    <t>werkregeling</t>
  </si>
  <si>
    <t>regeling van de eigendom</t>
  </si>
  <si>
    <t>zelfbeheer van arbeiders</t>
  </si>
  <si>
    <t>voorbereiding van de bijeenkomsten van het Comité</t>
  </si>
  <si>
    <t>voorbereiding</t>
  </si>
  <si>
    <t>verslag van de vergadering</t>
  </si>
  <si>
    <t>van de onderstaande feiten</t>
  </si>
  <si>
    <t>een van de onderstaande feiten</t>
  </si>
  <si>
    <t>onderdaan van de Europese Unie</t>
  </si>
  <si>
    <t>32024R1689:83:1:2</t>
  </si>
  <si>
    <t>Indien de markttoezichtautoriteit van een lidstaat een van de onderstaande feiten vaststelt, schrijft zij de betrokken aanbieder voor dat deze binnen een door haar vast te stellen termijn een einde maakt aan deze non-conformiteit: …</t>
  </si>
  <si>
    <t>elementen</t>
  </si>
  <si>
    <t>de volgende elementen</t>
  </si>
  <si>
    <t>chemisch element</t>
  </si>
  <si>
    <t>elektron</t>
  </si>
  <si>
    <t>stoffen</t>
  </si>
  <si>
    <t>32024R1689:18:1:1</t>
  </si>
  <si>
    <t>De aanbieder houdt gedurende een periode van tien jaar nadat het AI-systeem met een hoog risico in de handel is gebracht of in gebruik is gesteld de volgende elementen ter beschikking van de nationale bevoegde autoriteiten: a) de technische documentatie als bedoeld in artikel 11; b) de documentatie betreffende het i…</t>
  </si>
  <si>
    <t>Raad</t>
  </si>
  <si>
    <t>raad</t>
  </si>
  <si>
    <t>Raad EG</t>
  </si>
  <si>
    <t>Arad</t>
  </si>
  <si>
    <t>Raadsformatie</t>
  </si>
  <si>
    <t>ernstig incident</t>
  </si>
  <si>
    <t>elk ernstig incident</t>
  </si>
  <si>
    <t>ongeval thuis</t>
  </si>
  <si>
    <t>verzachtende omstandigheid</t>
  </si>
  <si>
    <t>32024R1689:73:11:14</t>
  </si>
  <si>
    <t>Voor AI-systemen met een hoog risico die veiligheidscomponenten van apparaten zijn of zelf apparaten zijn die onder de Verordeningen (EU) 2017/745 en (EU) 2017/746 vallen, wordt de melding van ernstige incidenten beperkt tot de in artikel 3, punt 49), c), van de onderhavige verordening bedoelde inci…</t>
  </si>
  <si>
    <t>gebeurtenissen te registreren</t>
  </si>
  <si>
    <t>gebeurtenis</t>
  </si>
  <si>
    <t>registratie van een voertuig</t>
  </si>
  <si>
    <t>bevolkingsregistratie</t>
  </si>
  <si>
    <t>32024R1689:12:2:1</t>
  </si>
  <si>
    <t>… met een hoog risico een niveau van traceerbaarheid heeft dat passend is voor het beoogde doel van het systeem, maken loggingfuncties het mogelijk om gebeurtenissen te registreren die relevant zijn ter: a) identificatie van situaties die ertoe kunnen leiden dat het AI-systeem met een hoog risico een risico vormt in de zin van a…</t>
  </si>
  <si>
    <t>proces</t>
  </si>
  <si>
    <t>het proces</t>
  </si>
  <si>
    <t>proceskosten</t>
  </si>
  <si>
    <t>procestermijn</t>
  </si>
  <si>
    <t>procescontrole</t>
  </si>
  <si>
    <t>32024R1689:56:3:3</t>
  </si>
  <si>
    <t>…sleven, de academische wereld en andere relevante belanghebbenden, zoals aanbieders verder in de AI-waardeketen en onafhankelijke deskundigen, kunnen het proces ondersteunen.</t>
  </si>
  <si>
    <t>doel van de verwerking</t>
  </si>
  <si>
    <t>Het doel van de verwerking</t>
  </si>
  <si>
    <t>doel</t>
  </si>
  <si>
    <t>32016R0679:6:3:2</t>
  </si>
  <si>
    <t>…e), bedoelde verwerking moet worden vastgesteld bij: a) Unierecht; of b) lidstatelijk recht dat op de verwerkingsverantwoordelijke van toepassing is. Het doel van de verwerking wordt in die rechtsgrond vastgesteld of is met betrekking tot de in lid 1, punt e), bedoelde verwerking noodzakelijk voor de vervulling van een taak …</t>
  </si>
  <si>
    <t>inhoud van de klacht</t>
  </si>
  <si>
    <t>de inhoud van de klacht</t>
  </si>
  <si>
    <t>inhoud</t>
  </si>
  <si>
    <t>klacht aan de Commissie</t>
  </si>
  <si>
    <t>32016R0679:57:1:10</t>
  </si>
  <si>
    <t>…en in andere lidstaten; f) zij behandelt klachten van betrokkenen, of van organen, organisaties of verenigingen overeenkomstig artikel 80, onderzoekt de inhoud van de klacht in de mate waarin dat gepast is en stelt de klager binnen een redelijke termijn in kennis van de vooruitgang en het resultaat van het onderzoek, met …</t>
  </si>
  <si>
    <t>contactgegevens van de verwerkingsverantwoordelijke</t>
  </si>
  <si>
    <t>gegevensbeheer</t>
  </si>
  <si>
    <t>uitoefening van de rechten van de betrokkene</t>
  </si>
  <si>
    <t>de uitoefening van de rechten van de betrokkene uit hoofde van de artikelen 15 tot en met 22</t>
  </si>
  <si>
    <t>uitoefening</t>
  </si>
  <si>
    <t>rechten van het individu</t>
  </si>
  <si>
    <t>rechten van de verdachte</t>
  </si>
  <si>
    <t>aantasting van de rechten van de mens</t>
  </si>
  <si>
    <t>32016R0679:12:2:2</t>
  </si>
  <si>
    <t>De verwerkingsverantwoordelijke faciliteert de uitoefening van de rechten van de betrokkene uit hoofde van de artikelen 15 tot en met 22. In de in artikel 11, lid 2, bedoelde gevallen mag de verwerkingsverantwoordelijke niet weigeren gevolg te geven aan het verzoek van de betrokkene om…</t>
  </si>
  <si>
    <t>afgifte van het certificaat</t>
  </si>
  <si>
    <t>afgifte</t>
  </si>
  <si>
    <t>relevante omstandigheden van de specifieke situatie</t>
  </si>
  <si>
    <t>alle relevante omstandigheden van de specifieke situatie</t>
  </si>
  <si>
    <t>sociaal-economische omstandigheden</t>
  </si>
  <si>
    <t>atmosferische omstandigheden</t>
  </si>
  <si>
    <t>32024R1689:99:7:11</t>
  </si>
  <si>
    <t>…an niet een administratieve geldboete op te leggen en bij het bepalen van het bedrag van de administratieve geldboete in elk individueel geval worden alle relevante omstandigheden van de specifieke situatie in aanmerking genomen en wordt naargelang van het geval rekening gehouden met het volgende: a) de aard, ernst en duur van de inbreuk en de gevolgen e…</t>
  </si>
  <si>
    <t>centraal informatieplatform</t>
  </si>
  <si>
    <t>een centraal informatieplatform</t>
  </si>
  <si>
    <t>informatieplatform</t>
  </si>
  <si>
    <t>gecentraliseerde informatie</t>
  </si>
  <si>
    <t>centrale gegevensbank</t>
  </si>
  <si>
    <t>centrale overheid</t>
  </si>
  <si>
    <t>32024R1689:62:3:5</t>
  </si>
  <si>
    <t>… voor de gebieden die onder deze verordening vallen, zoals gespecificeerd door de AI-board in zijn verzoek; b) het ontwikkelen en in stand houden van een centraal informatieplatform dat gemakkelijk te gebruiken informatie met betrekking tot deze verordening biedt aan alle operatoren in de hele Unie; c) het organiseren van passend…</t>
  </si>
  <si>
    <t>redelijkerwijs verwachte technische toegang en andere bijstand</t>
  </si>
  <si>
    <t>de redelijkerwijs verwachte technische toegang en andere bijstand</t>
  </si>
  <si>
    <t>redelijkerwijs</t>
  </si>
  <si>
    <t>technische bijstand</t>
  </si>
  <si>
    <t>technologische vooruitzichten</t>
  </si>
  <si>
    <t>32024R1689:25:2:9</t>
  </si>
  <si>
    <t>…ssing van deze verordening. Die oorspronkelijke aanbieder werkt nauw samen met nieuwe aanbieders, stelt de nodige informatie beschikbaar en verstrekt de redelijkerwijs verwachte technische toegang en andere bijstand die nodig zijn om te voldoen aan de verplichtingen van deze verordening, met name wat betreft de naleving van de conformiteitsbeoordeling van AI-syst…</t>
  </si>
  <si>
    <t>personeelsleden van de ondersteunende toezichthoudende autoriteit</t>
  </si>
  <si>
    <t>de leden of de personeelsleden van de ondersteunende toezichthoudende autoriteit</t>
  </si>
  <si>
    <t>leidinggevend administratief personeel</t>
  </si>
  <si>
    <t>leidinggevend personeel</t>
  </si>
  <si>
    <t>32016R0679:62:3:7</t>
  </si>
  <si>
    <t>…nnen, onder meer in verband met het voeren van onderzoek, of, voor zover het nationale recht de ontvangende toezichthoudende autoriteit dat toestaat, de leden of de personeelsleden van de ondersteunende toezichthoudende autoriteit toestaan om hun onderzoeksbevoegdheden overeenkomstig het nationale recht van de ondersteunende toezichthoudende autoriteit uit te oefenen. Deze onde…</t>
  </si>
  <si>
    <t>één functionaris voor gegevensbescherming</t>
  </si>
  <si>
    <t>32016R0679:37:2:2</t>
  </si>
  <si>
    <t>Een concern kan één functionaris voor gegevensbescherming benoemen, mits de functionaris voor gegevensbescherming vanuit elke vestiging makkelijk te contacteren is.</t>
  </si>
  <si>
    <t>machtiging</t>
  </si>
  <si>
    <t>wettiging</t>
  </si>
  <si>
    <t>hereniging</t>
  </si>
  <si>
    <t>mededinging</t>
  </si>
  <si>
    <t>geen andere verwerker</t>
  </si>
  <si>
    <t>thuiswerker</t>
  </si>
  <si>
    <t>32016R0679:28:2:2</t>
  </si>
  <si>
    <t>De verwerker neemt geen andere verwerker in dienst zonder voorafgaande specifieke of algemene schriftelijke toestemming van de verwerkingsverantwoordelijke. In het geval van algemene schrift…</t>
  </si>
  <si>
    <t>onnodige lasten</t>
  </si>
  <si>
    <t>last</t>
  </si>
  <si>
    <t>ongeoorloofde reclame</t>
  </si>
  <si>
    <t>niet-terugbetaalbare hulp</t>
  </si>
  <si>
    <t>onbetaalde arbeid</t>
  </si>
  <si>
    <t>32024R1689:34:2:2</t>
  </si>
  <si>
    <t>Aangemelde instanties vermijden onnodige lasten voor aanbieders bij de uitvoering van hun activiteiten en houden terdege rekening met de omvang van de aanbieder, de sector waarin hij actief is, zij…</t>
  </si>
  <si>
    <t>taken van een lid</t>
  </si>
  <si>
    <t>De taken van een lid</t>
  </si>
  <si>
    <t>mandaat van de leden</t>
  </si>
  <si>
    <t>lid van een jury</t>
  </si>
  <si>
    <t>32016R0679:53:3:4</t>
  </si>
  <si>
    <t>De taken van een lid eindigen bij het verstrijken van de ambtstermijn, bij ontslag of bij verplichte pensionering overeenkomstig de wetgeving van de lidstaat in kwestie.</t>
  </si>
  <si>
    <t>consequente toepassing in de hele Unie</t>
  </si>
  <si>
    <t>de consequente toepassing van deze verordening in de hele Unie</t>
  </si>
  <si>
    <t>toetreding tot de Europese Unie</t>
  </si>
  <si>
    <t>32016R0679:51:2:2</t>
  </si>
  <si>
    <t>Elke toezichthoudende autoriteit draagt bij tot de consequente toepassing van deze verordening in de hele Unie. Daartoe werken de toezichthoudende autoriteiten onderling en met de Commissie samen overeenkomstig hoofdstuk VII.</t>
  </si>
  <si>
    <t>gevoelige operationele gegevens</t>
  </si>
  <si>
    <t>transactionele gegevens</t>
  </si>
  <si>
    <t>gevoelig gebied</t>
  </si>
  <si>
    <t>machineleesbare gegevens</t>
  </si>
  <si>
    <t>32024R1689:5:4:7</t>
  </si>
  <si>
    <t>…gsautoriteit in overeenstemming met de in lid 5 bedoelde nationale regels. Die melding bevat ten minste de in lid 6 bepaalde informatie en bevat geen gevoelige operationele gegevens.</t>
  </si>
  <si>
    <t>termijn voor maatregelen om de schorsing of beperking te ondervangen</t>
  </si>
  <si>
    <t>in een termijn voor maatregelen om de schorsing of beperking te ondervangen</t>
  </si>
  <si>
    <t>termijn</t>
  </si>
  <si>
    <t>termijn voor toepassing van de wet</t>
  </si>
  <si>
    <t>termijn voor omzetting</t>
  </si>
  <si>
    <t>32024R1689:36:8:28</t>
  </si>
  <si>
    <t>…ing of beperking van toepassing is, geen risico’s voor de gezondheid, veiligheid of grondrechten bestaan, en de aanmeldende autoriteit heeft voorzien in een termijn voor maatregelen om de schorsing of beperking te ondervangen, of b) de aanmeldende autoriteit heeft bevestigd dat er geen certificaten in verband met de schorsing zullen worden afgegeven, gewijzigd, of opnieuw …</t>
  </si>
  <si>
    <t>deelname aan de testomgeving</t>
  </si>
  <si>
    <t>deelname</t>
  </si>
  <si>
    <t>deelname aan de Gemeenschap</t>
  </si>
  <si>
    <t>deelneming aan de verkiezing</t>
  </si>
  <si>
    <t>deelnemende lidstaat</t>
  </si>
  <si>
    <t>lijsten</t>
  </si>
  <si>
    <t>die lijsten</t>
  </si>
  <si>
    <t>stemming op lijsten</t>
  </si>
  <si>
    <t>32016R0679:35:4:5</t>
  </si>
  <si>
    <t>…en waarvoor een gegevensbeschermingseffectbeoordeling overeenkomstig lid 1 verplicht is, en maakt deze openbaar. De toezichthoudende autoriteit deelt die lijsten mee aan het in artikel 68 bedoelde Comité.</t>
  </si>
  <si>
    <t>periodieke toetsing van de afgegeven certificeringen</t>
  </si>
  <si>
    <t>een periodieke toetsing van de overeenkomstig artikel 42, lid 7, afgegeven certificeringen</t>
  </si>
  <si>
    <t>32016R0679:57:1:25</t>
  </si>
  <si>
    <t>…overeenkomstig artikel 42, lid 1, en keurt de criteria voor certificering uit hoofde van artikel 42, lid 5, goed; o) waar van toepassing verricht zij een periodieke toetsing van de overeenkomstig artikel 42, lid 7, afgegeven certificeringen; p) zij zorgt voor het opstellen en het bekendmaken van de criteria voor de accreditatie van een orgaan voor het toezicht op gedragscodes op grond va…</t>
  </si>
  <si>
    <t>gezamenlijke activiteiten, waaronder gezamenlijke onderzoeken</t>
  </si>
  <si>
    <t>gemeenschappelijk onderzoekprogramma</t>
  </si>
  <si>
    <t>wetenschappelijk onderzoek</t>
  </si>
  <si>
    <t>32024R1689:74:11:9</t>
  </si>
  <si>
    <t>Markttoezichtautoriteiten en de Commissie kunnen gezamenlijke activiteiten, waaronder gezamenlijke onderzoeken, voorstellen die door markttoezichtautoriteiten alleen of gezamenlijk met de Commissie moeten worden uitgevoerd, met als doel de naleving te bevorder…</t>
  </si>
  <si>
    <t>die lijst</t>
  </si>
  <si>
    <t>prijslijst</t>
  </si>
  <si>
    <t>kiezerslijst</t>
  </si>
  <si>
    <t>32024R1689:52:6:9</t>
  </si>
  <si>
    <t>De Commissie zorgt ervoor dat er een lijst met AI-modellen voor algemene doeleinden met een systeemrisico wordt gepubliceerd en houdt die lijst actueel, onverminderd de noodzaak om intellectuele-eigendomsrechten en vertrouwelijke bedrijfsinformatie of bedrijfsgeheimen te eerbiedigen en te bes…</t>
  </si>
  <si>
    <t>nieuwe certificaten</t>
  </si>
  <si>
    <t>nieuwe technologie</t>
  </si>
  <si>
    <t>nieuw materiaal</t>
  </si>
  <si>
    <t>32024R1689:36:3:6</t>
  </si>
  <si>
    <t>…tie verricht vóór het einde van die periode van negen maanden een volledige beoordeling van de betrokken AI-systemen met een hoog risico, alvorens er nieuwe certificaten voor af te leveren. Ingeval de aangemelde instantie haar activiteiten heeft gestaakt, trekt de aanmeldende autoriteit de aanwijzing in.</t>
  </si>
  <si>
    <t>persoonsgegevens of volledige categorieën van persoonsgegevens die in het register zijn opgeslagen</t>
  </si>
  <si>
    <t>alle persoonsgegevens of volledige categorieën van persoonsgegevens die in het register zijn opgeslagen</t>
  </si>
  <si>
    <t>32016R0679:49:2:4</t>
  </si>
  <si>
    <t>Een doorgifte overeenkomstig lid 1, eerste alinea, onder g), mag geen betrekking hebben op alle persoonsgegevens of volledige categorieën van persoonsgegevens die in het register zijn opgeslagen. Wanneer een register bedoeld is om door personen met een gerechtvaardigd belang te worden geraadpleegd, kan de doorgifte slechts plaatsvinden op ver…</t>
  </si>
  <si>
    <t>Gerechtelijke procedures voor het uitoefenen van het recht op schadevergoeding</t>
  </si>
  <si>
    <t>vordering tot schadevergoeding</t>
  </si>
  <si>
    <t>32016R0679:82:6:7</t>
  </si>
  <si>
    <t>Gerechtelijke procedures voor het uitoefenen van het recht op schadevergoeding worden gevoerd voor de in artikel 79, lid 2, bedoelde lidstaatrechtelijk bevoegde gerechten.</t>
  </si>
  <si>
    <t>nodige corrigerende maatregelen</t>
  </si>
  <si>
    <t>de nodige corrigerende maatregelen</t>
  </si>
  <si>
    <t>32024R1689:20:1:1</t>
  </si>
  <si>
    <t>…or hen in de handel gebracht of in gebruik gesteld AI-systeem met een hoog risico niet in overeenstemming is met deze verordening, nemen onmiddellijk de nodige corrigerende maatregelen om dat systeem naargelang het geval in overeenstemming te brengen, uit de handel te nemen, te deactiveren of terug te roepen. Zij stellen de distribu…</t>
  </si>
  <si>
    <t>passende bekendheid</t>
  </si>
  <si>
    <t>benoemingsbevoegdheid</t>
  </si>
  <si>
    <t>verkiesbaarheid</t>
  </si>
  <si>
    <t>32016R0679:40:10:16</t>
  </si>
  <si>
    <t>De Commissie zorgt ervoor dat aan de goedgekeurde codes die zij overeenkomstig lid 9 algemeen geldig heeft verklaard, passende bekendheid wordt verleend.</t>
  </si>
  <si>
    <t>procedure tegen een toezichthoudende autoriteit</t>
  </si>
  <si>
    <t>Een procedure tegen een toezichthoudende autoriteit</t>
  </si>
  <si>
    <t>32016R0679:78:3:3</t>
  </si>
  <si>
    <t>Een procedure tegen een toezichthoudende autoriteit wordt ingesteld bij de gerechten van de lidstaat waar de toezichthoudende autoriteit is gevestigd.</t>
  </si>
  <si>
    <t>testprocedures</t>
  </si>
  <si>
    <t>De testprocedures</t>
  </si>
  <si>
    <t>32024R1689:9:7:14</t>
  </si>
  <si>
    <t>De testprocedures kunnen onder meer bestaan in testen onder reële omstandigheden overeenkomstig artikel 60.</t>
  </si>
  <si>
    <t>persoonsgegevens die in de testomgeving worden aangemaakt</t>
  </si>
  <si>
    <t>32024R1689:59:1:7</t>
  </si>
  <si>
    <t>…data; e) aanbieders kunnen de oorspronkelijk verzamelde gegevens alleen verder delen in overeenstemming met het Unierecht inzake gegevensbescherming; persoonsgegevens die in de testomgeving worden aangemaakt mogen niet buiten de testomgeving worden gedeeld; f) de verwerking van persoonsgegevens in het kader van de testomgeving mag niet leiden tot maatrege…</t>
  </si>
  <si>
    <t>instrumenten</t>
  </si>
  <si>
    <t>instrument</t>
  </si>
  <si>
    <t>muziekinstrument</t>
  </si>
  <si>
    <t>medisch instrument</t>
  </si>
  <si>
    <t>internationaal instrument</t>
  </si>
  <si>
    <t>doorgifte of een reeks van doorgiften van persoonsgegevens</t>
  </si>
  <si>
    <t>een doorgifte of een reeks van doorgiften van persoonsgegevens</t>
  </si>
  <si>
    <t>reeks</t>
  </si>
  <si>
    <t>doorgeven van informatie</t>
  </si>
  <si>
    <t>32016R0679:49:1:3</t>
  </si>
  <si>
    <t>…sbesluit overeenkomstig artikel 45, lid 3, of van passende waarborgen overeenkomstig artikel 46, met inbegrip van bindende bedrijfsvoorschriften, kan een doorgifte of een reeks van doorgiften van persoonsgegevens aan een derde land of een internationale organisatie slechts plaatsvinden mits aan één van de volgende voorwaarden is voldaan: a) de betrokkene heeft…</t>
  </si>
  <si>
    <t>hem betreffende persoonsgegevens, die hij aan een verwerkingsverantwoordelijke heeft verstrekt</t>
  </si>
  <si>
    <t>de hem betreffende persoonsgegevens, die hij aan een verwerkingsverantwoordelijke heeft verstrekt</t>
  </si>
  <si>
    <t>32016R0679:20:1:1</t>
  </si>
  <si>
    <t>De betrokkene heeft het recht de hem betreffende persoonsgegevens, die hij aan een verwerkingsverantwoordelijke heeft verstrekt, in een gestructureerde, gangbare en machineleesbare vorm te verkrijgen, en hij heeft het recht die gegevens aan een andere verwerkingsverantwoordeli…</t>
  </si>
  <si>
    <t>ernstige incidenten</t>
  </si>
  <si>
    <t>grootschalige projecten</t>
  </si>
  <si>
    <t>32024R1689:73:1:1</t>
  </si>
  <si>
    <t>Aanbieders van in de Unie in de handel gebrachte AI-systemen met een hoog risico melden ernstige incidenten bij de markttoezichtautoriteiten van de lidstaten waarin dat incident heeft plaatsgevonden.</t>
  </si>
  <si>
    <t>relevante omstandigheden ’s</t>
  </si>
  <si>
    <t>onafhankelijkheid met betrekking tot het onderwerp van de gedragscode</t>
  </si>
  <si>
    <t>zijn onafhankelijkheid en deskundigheid met betrekking tot het onderwerp van de gedragscode</t>
  </si>
  <si>
    <t>onafhankelijkheid</t>
  </si>
  <si>
    <t>vrijheid van zelfbeschikking</t>
  </si>
  <si>
    <t>onafhankelijkheidssituatie van oudere personen</t>
  </si>
  <si>
    <t>32016R0679:41:2:3</t>
  </si>
  <si>
    <t>…orden geaccrediteerd om toezicht te houden op de naleving van een gedragscode indien het: a) ten genoegen van de bevoegde toezichthoudende autoriteit zijn onafhankelijkheid en deskundigheid met betrekking tot het onderwerp van de gedragscode heeft aangetoond; b) procedures heeft vastgesteld op grond waarvan het kan beoordelen of de betrokken verwerkingsverantwoordelijken en verwerkers in …</t>
  </si>
  <si>
    <t>gesprekspartner</t>
  </si>
  <si>
    <t>de enige gesprekspartner</t>
  </si>
  <si>
    <t>gesprekstarief</t>
  </si>
  <si>
    <t>communicatiemiddel</t>
  </si>
  <si>
    <t>32016R0679:56:6:6</t>
  </si>
  <si>
    <t>De leidende toezichthoudende autoriteit is voor de verwerkingsverantwoordelijke of de verwerker de enige gesprekspartner bij grensoverschrijdende verwerking door die verwerkingsverantwoordelijke of verwerker.</t>
  </si>
  <si>
    <t>nodige stappen</t>
  </si>
  <si>
    <t>de nodige stappen</t>
  </si>
  <si>
    <t>stap</t>
  </si>
  <si>
    <t>32024R1689:36:6:16</t>
  </si>
  <si>
    <t>Indien een aanwijzing wordt beperkt, geschorst of ingetrokken, onderneemt de aanmeldende autoriteit de nodige stappen om ervoor te zorgen dat de dossiers van de betrokken aangemelde instantie worden bewaard en op verzoek ter beschikking worden gesteld van aanmeldende…</t>
  </si>
  <si>
    <t>rectificeren of wissen van persoonsgegevens of het beperken van verwerking</t>
  </si>
  <si>
    <t>het rectificeren of wissen van persoonsgegevens of het beperken van verwerking uit hoofde van de artikelen 16, 17 en 18</t>
  </si>
  <si>
    <t>wissen</t>
  </si>
  <si>
    <t>recht op hergebruik van informatie</t>
  </si>
  <si>
    <t>32016R0679:58:2:14</t>
  </si>
  <si>
    <t>…persoonsgegevens aan de betrokkene mee te delen; f) een tijdelijke of definitieve verwerkingsbeperking, waaronder een verwerkingsverbod, opleggen; g) het rectificeren of wissen van persoonsgegevens of het beperken van verwerking uit hoofde van de artikelen 16, 17 en 18 gelasten, alsmede de kennisgeving van dergelijke handelingen aan ontvangers aan wie de persoonsgegevens zijn verstrekt, overeenkomstig artikel 17, li…</t>
  </si>
  <si>
    <t>elke in dit artikel bedoelde boete</t>
  </si>
  <si>
    <t>boetvaardige</t>
  </si>
  <si>
    <t>32024R1689:99:6:10</t>
  </si>
  <si>
    <t>In het geval van kmo’s, met inbegrip van start-ups, komt elke in dit artikel bedoelde boete neer op de percentages of, indien dat lager is, het bedrag als bedoeld in de leden 3, 4 en 5.</t>
  </si>
  <si>
    <t>maatregelen en waarborgen die worden geboden ter bescherming van de rechten en vrijheden van betrokkenen</t>
  </si>
  <si>
    <t>de maatregelen en waarborgen die worden geboden ter bescherming van de rechten en vrijheden van betrokkenen uit hoofde van deze verordening</t>
  </si>
  <si>
    <t>Verdrag tot bescherming van de rechten van de mens en de fundamentele vrijheden</t>
  </si>
  <si>
    <t>32016R0679:36:3:5</t>
  </si>
  <si>
    <t>…antwoordelijken en verwerkers, in het bijzonder voor verwerking binnen een concern; b) de doeleinden en de middelen van de voorgenomen verwerking; c) de maatregelen en waarborgen die worden geboden ter bescherming van de rechten en vrijheden van betrokkenen uit hoofde van deze verordening; d) indien van toepassing, de contactgegevens van de functionaris voor gegevensbescherming; e) de gegevensbeschermingseffectbeoordeling waarin bij ar…</t>
  </si>
  <si>
    <t>uitwisseling en het documenteren van wetgeving en praktijken inzake de bescherming van persoonsgegevens</t>
  </si>
  <si>
    <t>de uitwisseling en het documenteren van wetgeving en praktijken inzake de bescherming van persoonsgegevens</t>
  </si>
  <si>
    <t>32016R0679:50:whole:6</t>
  </si>
  <si>
    <t>… en activiteiten om de internationale samenwerking bij de handhaving van de wetgeving inzake de bescherming van persoonsgegevens te bevorderen; en d) de uitwisseling en het documenteren van wetgeving en praktijken inzake de bescherming van persoonsgegevens te bevorderen, onder meer betreffende jurisdictiegeschillen met derde landen.</t>
  </si>
  <si>
    <t>bedoeld conformiteitsbeoordelingsinstantie</t>
  </si>
  <si>
    <t>elke in lid 1 bedoeld conformiteitsbeoordelingsinstantie</t>
  </si>
  <si>
    <t>32024R1689:30:2:2</t>
  </si>
  <si>
    <t>Aanmeldende autoriteiten melden elke in lid 1 bedoeld conformiteitsbeoordelingsinstantie aan bij de Commissie en de andere lidstaten door middel van het door de Commissie ontwikkelde en beheerde elektronische aanmeldingssysteem.</t>
  </si>
  <si>
    <t>betrokkene die een beperking van de verwerking heeft verkregen</t>
  </si>
  <si>
    <t>Een betrokkene die overeenkomstig lid 1 een beperking van de verwerking heeft verkregen</t>
  </si>
  <si>
    <t>betrokken</t>
  </si>
  <si>
    <t>beperking op het auteursrecht</t>
  </si>
  <si>
    <t>32016R0679:18:3:3</t>
  </si>
  <si>
    <t>Een betrokkene die overeenkomstig lid 1 een beperking van de verwerking heeft verkregen, wordt door de verwerkingsverantwoordelijke op de hoogte gebracht voordat de beperking van de verwerking wordt opgeheven.</t>
  </si>
  <si>
    <t>categorieën van ontvangers van de persoonsgegevens</t>
  </si>
  <si>
    <t>de ontvangers of categorieën van ontvangers van de persoonsgegevens</t>
  </si>
  <si>
    <t>sociaal-professionele categorie</t>
  </si>
  <si>
    <t>32016R0679:13:1:6</t>
  </si>
  <si>
    <t>…langen van de verwerkingsverantwoordelijke of van een derde, indien de verwerking op artikel 6, lid 1, punt f), is gebaseerd; d) in voorkomend geval, de ontvangers of categorieën van ontvangers van de persoonsgegevens; e) in voorkomend geval, dat de verwerkingsverantwoordelijke het voornemen heeft de persoonsgegevens door te geven aan een derde land of een internat…</t>
  </si>
  <si>
    <t>de kwestie</t>
  </si>
  <si>
    <t>kwestie-Kaliningrad</t>
  </si>
  <si>
    <t>32024R1689:36:4:8</t>
  </si>
  <si>
    <t>…te zijn dat een aangemelde instantie niet meer aan de eisen van artikel 31 voldoet of haar verplichtingen niet nakomt, moet de aanmeldende autoriteit de kwestie onverwijld zo zorgvuldig mogelijk onderzoeken. In die context stelt zij de betrokken aangemelde instantie in kennis van de geopperde bezwaren en bied…</t>
  </si>
  <si>
    <t>passende controles</t>
  </si>
  <si>
    <t>controle</t>
  </si>
  <si>
    <t>beheerscontrole</t>
  </si>
  <si>
    <t>statistische controle</t>
  </si>
  <si>
    <t>32024R1689:80:8:8</t>
  </si>
  <si>
    <t>…gdheid om op de toepassing van dit artikel toe te zien, en overeenkomstig artikel 11 van Verordening (EU) 2019/1020, kunnen markttoezichtautoriteiten passende controles verrichten waarbij zij met name informatie die is opgeslagen in de in artikel 71 van deze verordening bedoelde EU-databank in aanmerking nemen.</t>
  </si>
  <si>
    <t>nodige corrigerende maatregelen te nemen</t>
  </si>
  <si>
    <t>de nodige corrigerende maatregelen te nemen</t>
  </si>
  <si>
    <t>32024R1689:37:4:5</t>
  </si>
  <si>
    <t>…de instantie niet of niet meer aan de aanmeldingseisen voldoet, brengt zij de aanmeldende lidstaat daarvan op de hoogte en verzoekt zij deze lidstaat de nodige corrigerende maatregelen te nemen, en zo nodig de aanmelding te schorsen of in te trekken. Indien de lidstaat niet de nodige corrigerende actie onderneemt, kan de Commissie door midde…</t>
  </si>
  <si>
    <t>resultaten van dat gebruik</t>
  </si>
  <si>
    <t>alle resultaten en outputs van dat gebruik</t>
  </si>
  <si>
    <t>resultaat</t>
  </si>
  <si>
    <t>gebruiken en tradities</t>
  </si>
  <si>
    <t>32024R1689:46:2:4</t>
  </si>
  <si>
    <t>…de in lid 1 bedoelde toelating wordt geweigerd, wordt het gebruik van het AI-systeem met een hoog risico met onmiddellijke ingang stopgezet en worden alle resultaten en outputs van dat gebruik onmiddellijk verwijderd.</t>
  </si>
  <si>
    <t>maatregelen</t>
  </si>
  <si>
    <t>32024R1689:4:whole:1</t>
  </si>
  <si>
    <t>Aanbieders en gebruiksverantwoordelijken van AI-systemen nemen maatregelen om, zoveel als mogelijk, te zorgen voor een toereikend niveau van AI-geletterdheid bij hun personeel en andere personen die namens hen AI-systemen ex…</t>
  </si>
  <si>
    <t>verwerkingsdoeleinden waarvoor de persoonsgegevens zijn bestemd, alsook de rechtsgrond voor de verwerking</t>
  </si>
  <si>
    <t>de verwerkingsdoeleinden waarvoor de persoonsgegevens zijn bestemd, alsook de rechtsgrond voor de verwerking</t>
  </si>
  <si>
    <t>32016R0679:13:1:4</t>
  </si>
  <si>
    <t>…de vertegenwoordiger van de verwerkingsverantwoordelijke; b) in voorkomend geval, de contactgegevens van de functionaris voor gegevensbescherming; c) de verwerkingsdoeleinden waarvoor de persoonsgegevens zijn bestemd, alsook de rechtsgrond voor de verwerking; d) de gerechtvaardigde belangen van de verwerkingsverantwoordelijke of van een derde, indien de verwerking op artikel 6, lid 1, punt f), is gebaseer…</t>
  </si>
  <si>
    <t>uitzonderlijk bijzondere categorieën persoonsgegevens</t>
  </si>
  <si>
    <t>bijzondere trekkingsrechten</t>
  </si>
  <si>
    <t>32024R1689:10:5:6</t>
  </si>
  <si>
    <t>…in verband met de AI-systemen met een hoog risico overeenkomstig lid 2, punten f) en g), van dit artikel, mogen de aanbieders van dergelijke systemen uitzonderlijk bijzondere categorieën persoonsgegevens verwerken, mits passende waarborgen worden geboden voor de grondrechten en fundamentele vrijheden van natuurlijke personen. Naast de bepalingen van V…</t>
  </si>
  <si>
    <t>van een certificeringsorgaan</t>
  </si>
  <si>
    <t>de accreditatie van een orgaan voor het toezicht op gedragscodes op grond van artikel 41 en van een certificeringsorgaan op grond van artikel 43</t>
  </si>
  <si>
    <t>32016R0679:57:1:27</t>
  </si>
  <si>
    <t>… toetsing van de overeenkomstig artikel 42, lid 7, afgegeven certificeringen; p) zij zorgt voor het opstellen en het bekendmaken van de criteria voor de accreditatie van een orgaan voor het toezicht op gedragscodes op grond van artikel 41 en van een certificeringsorgaan op grond van artikel 43; q) zij zorgt voor de accreditatie van een orgaan voor het toezicht op gedragscodes op grond van artikel 41 en van een certificeringsorgaan op grond …</t>
  </si>
  <si>
    <t>ontvangers</t>
  </si>
  <si>
    <t>ontvanger</t>
  </si>
  <si>
    <t>ontvanger van hulp</t>
  </si>
  <si>
    <t>communautaire ontvangsten</t>
  </si>
  <si>
    <t>vergoedingen</t>
  </si>
  <si>
    <t>die vergoedingen</t>
  </si>
  <si>
    <t>vergoeding naar prestatie</t>
  </si>
  <si>
    <t>32024R1689:62:2:2</t>
  </si>
  <si>
    <t>…nbegrip van start-ups, worden in aanmerking genomen bij het bepalen van de vergoedingen voor conformiteitsbeoordelingen krachtens artikel 43, waarbij die vergoedingen naar evenredigheid van hun omvang, de omvang van de markt en andere relevante indicatoren worden verlaagd.</t>
  </si>
  <si>
    <t>besluiten</t>
  </si>
  <si>
    <t>zijn besluiten</t>
  </si>
  <si>
    <t>32024R1689:100:4:5</t>
  </si>
  <si>
    <t>…j een procedure voert, in de gelegenheid om te worden gehoord over de mogelijke inbreuk. De Europese Toezichthouder voor gegevens-bescherming baseert zijn besluiten uitsluitend op elementen en omstandigheden waarover de betrokken partijen opmerkingen hebben kunnen maken. Eventuele indieners van klachten worden na…</t>
  </si>
  <si>
    <t>gedrag</t>
  </si>
  <si>
    <t>gedragspsychologie</t>
  </si>
  <si>
    <t>32016R0679:40:2:2</t>
  </si>
  <si>
    <t>Verenigingen en andere organen die categorieën van verwerkingsverantwoordelijken of verwerkers vertegenwoordigen, kunnen gedragscodes opstellen, of die codes wijzigen of uitbreiden, teneinde de toepassing van deze verordening nader toe te lichten, zoals met betrekking tot: a) behoor…</t>
  </si>
  <si>
    <t>internationale wederzijdse bijstand</t>
  </si>
  <si>
    <t>internationale hulp</t>
  </si>
  <si>
    <t>Raad voor wederzijdse economische bijstand</t>
  </si>
  <si>
    <t>32016R0679:50:whole:3</t>
  </si>
  <si>
    <t>…ale samenwerking te ontwikkelen, zodat de effectieve handhaving van de wetgeving inzake de bescherming van persoonsgegevens wordt vergemakkelijkt; b) internationale wederzijdse bijstand te bieden bij de handhaving van de wetgeving inzake de bescherming van persoonsgegevens, onder meer door kennisgeving, doorverwijzing van klachten, b…</t>
  </si>
  <si>
    <t>verzamelde gegevens</t>
  </si>
  <si>
    <t>de verzamelde gegevens</t>
  </si>
  <si>
    <t>32024R1689:78:2:4</t>
  </si>
  <si>
    <t>…oeltreffende cyberbeveiligingsmaatregelen ter bescherming van de veiligheid en de vertrouwelijkheid van de verkregen informatie en gegevens en wissen de verzamelde gegevens zodra die niet langer nodig zijn voor het doel waarvoor zij zijn verkregen, overeenkomstig het toepasselijke Unierecht of nationale recht.</t>
  </si>
  <si>
    <t>bevoegdheidsdelegatie</t>
  </si>
  <si>
    <t>De in artikel 12, lid 8, en artikel 43, lid 8, bedoelde bevoegdheidsdelegatie</t>
  </si>
  <si>
    <t>delegatie van bevoegdheid</t>
  </si>
  <si>
    <t>administratieve bevoegdheid</t>
  </si>
  <si>
    <t>32016R0679:92:2:2</t>
  </si>
  <si>
    <t>De in artikel 12, lid 8, en artikel 43, lid 8, bedoelde bevoegdheidsdelegatie wordt aan de Commissie toegekend voor onbepaalde tijd met ingang van 24 mei 2016.</t>
  </si>
  <si>
    <t>uitwisseling van kennis</t>
  </si>
  <si>
    <t>uitwisseling van publikaties</t>
  </si>
  <si>
    <t>kennisoverdracht</t>
  </si>
  <si>
    <t>verzoek om aanmelding</t>
  </si>
  <si>
    <t>een verzoek om aanmelding</t>
  </si>
  <si>
    <t>32024R1689:29:1:1</t>
  </si>
  <si>
    <t>Conformiteitsbeoordelingsinstanties dienen een verzoek om aanmelding in bij de aanmeldende autoriteit van de lidstaat waar zij zijn gevestigd.</t>
  </si>
  <si>
    <t>met redenen omkleed verzoek</t>
  </si>
  <si>
    <t>een met redenen omkleed verzoek</t>
  </si>
  <si>
    <t>met redenen omkleed advies van het EP</t>
  </si>
  <si>
    <t>32024R1689:75:3:1</t>
  </si>
  <si>
    <t>…e informatie met betrekking tot het AI-model voor algemene doeleinden, hoewel zij al het nodige heeft gedaan om die informatie te verkrijgen, kan zij een met redenen omkleed verzoek indienen bij het AI-bureau, waarmee de toegang tot die informatie wordt afgedwongen. In dat geval verstrekt het AI-bureau de verzoekende autoriteit o…</t>
  </si>
  <si>
    <t>verslagen</t>
  </si>
  <si>
    <t>Die verslagen</t>
  </si>
  <si>
    <t>32016R0679:59:whole:2</t>
  </si>
  <si>
    <t>…en op, met daarin mogelijk een lijst van de soorten gemelde inbreuken en de soorten maatregelen die overeenkomstig artikel 58, lid 2, worden genomen. Die verslagen worden toegezonden aan het nationale parlement, de regering en elke andere autoriteit die daartoe in het lidstatelijke recht is aangewezen. Zij worde…</t>
  </si>
  <si>
    <t>nodige kwalificaties</t>
  </si>
  <si>
    <t>de nodige kwalificaties, ervaring en vaardigheden</t>
  </si>
  <si>
    <t>32016R0679:53:2:3</t>
  </si>
  <si>
    <t>Elk lid beschikt over de nodige kwalificaties, ervaring en vaardigheden, met name op het gebied van de bescherming van persoonsgegevens, voor het uitvoeren van zijn taken en het uitoefenen van zijn bevoegdheden.</t>
  </si>
  <si>
    <t>werking van de gedragscode</t>
  </si>
  <si>
    <t>de werking van de gedragscode</t>
  </si>
  <si>
    <t>32016R0679:41:2:7</t>
  </si>
  <si>
    <t>…n aanmerking komen om de gedragscode toe te passen, toezicht kan houden op de naleving van de bepalingen van de gedragscode door deze laatsten en het de werking van de gedragscode op gezette tijden kan toetsen; c) procedures en structuren heeft vastgesteld om klachten te behandelen over inbreuken op de gedragscode of over de wi…</t>
  </si>
  <si>
    <t>de persoonsgegevens</t>
  </si>
  <si>
    <t>32024R1689:50:3:5</t>
  </si>
  <si>
    <t>…of een systeem voor biometrische categorisering informeren de daaraan blootgestelde natuurlijke personen over de werking van het systeem en verwerken de persoonsgegevens in overeenstemming met Verordening (EU) 2016/679, Verordening (EU) 2018/1725 en Richtlijn (EU) 2016/680, indien van toepassing. Deze verplichting is …</t>
  </si>
  <si>
    <t>toegang tot die informatie</t>
  </si>
  <si>
    <t>de toegang tot die informatie</t>
  </si>
  <si>
    <t>toegang tot voedsel</t>
  </si>
  <si>
    <t>32024R1689:75:3:2</t>
  </si>
  <si>
    <t>…n, hoewel zij al het nodige heeft gedaan om die informatie te verkrijgen, kan zij een met redenen omkleed verzoek indienen bij het AI-bureau, waarmee de toegang tot die informatie wordt afgedwongen. In dat geval verstrekt het AI-bureau de verzoekende autoriteit onverwijld, en in ieder geval binnen dertig dagen, alle informatie …</t>
  </si>
  <si>
    <t>beperking van de verwerking</t>
  </si>
  <si>
    <t>de beperking van de verwerking</t>
  </si>
  <si>
    <t>beperking van commercialisering</t>
  </si>
  <si>
    <t>32016R0679:18:1:1</t>
  </si>
  <si>
    <t>De betrokkene heeft het recht van de verwerkingsverantwoordelijke de beperking van de verwerking te verkrijgen indien een van de volgende elementen van toepassing is: a) de juistheid van de persoonsgegevens wordt betwist door de betrokkene, gedur…</t>
  </si>
  <si>
    <t>goedkeuring van de wet</t>
  </si>
  <si>
    <t>goedkeuring van de begroting</t>
  </si>
  <si>
    <t>32016R0679:58:3:27</t>
  </si>
  <si>
    <t>…en die voorafgaande toestemming door het lidstatelijke recht wordt voorgeschreven; d) overeenkomstig artikel 40, lid 5, advies uit te brengen over en goedkeuring te hechten aan de ontwerpgedragscodes; e) certificeringsorganen te accrediteren overeenkomstig artikel 43; f) certificeringen af te geven en certific…</t>
  </si>
  <si>
    <t>verzoek om informatie</t>
  </si>
  <si>
    <t>een verzoek om informatie</t>
  </si>
  <si>
    <t>oproepen van gegevens</t>
  </si>
  <si>
    <t>32024R1689:91:3:3</t>
  </si>
  <si>
    <t>Op een terdege gemotiveerd verzoek van het wetenschappelijk panel kan de Commissie een verzoek om informatie tot een aanbieder van een AI-model voor algemene doeleinden richten, indien de toegang tot informatie noodzakelijk en evenredig is voor de uitvoering…</t>
  </si>
  <si>
    <t>bevindingen van het Europees Parlement</t>
  </si>
  <si>
    <t>de standpunten en bevindingen van het Europees Parlement, van de Raad, en van andere relevante instanties of bronnen</t>
  </si>
  <si>
    <t>resolutie van het Europees Parlement</t>
  </si>
  <si>
    <t>besluit van het Europees Parlement</t>
  </si>
  <si>
    <t>verordening van het Europees Parlement</t>
  </si>
  <si>
    <t>32016R0679:97:4:5</t>
  </si>
  <si>
    <t>Bij de uitvoering van de in de leden 1 en 2 vermelde evaluaties en toetsingen neemt de Commissie de standpunten en bevindingen van het Europees Parlement, van de Raad, en van andere relevante instanties of bronnen in aanmerking.</t>
  </si>
  <si>
    <t>nationale maatregel</t>
  </si>
  <si>
    <t>de nationale maatregel</t>
  </si>
  <si>
    <t>nationale norm</t>
  </si>
  <si>
    <t>32024R1689:81:1:1</t>
  </si>
  <si>
    <t>…reedt de Commissie zonder onnodige vertraging in overleg met de markttoezichtautoriteit van de betrokken lidstaat en de operator(s), en evalueert zij de nationale maatregel. Op grond van de resultaten van die evaluatie besluit de Commissie binnen zes maanden, of binnen zestig dagen in geval van niet-naleving van het verb…</t>
  </si>
  <si>
    <t>moeder</t>
  </si>
  <si>
    <t>registratie</t>
  </si>
  <si>
    <t>de in de leden 1, 2 en 3 van dit artikel bedoelde registratie</t>
  </si>
  <si>
    <t>registratierecht</t>
  </si>
  <si>
    <t>inschrijving</t>
  </si>
  <si>
    <t>32024R1689:49:4:6</t>
  </si>
  <si>
    <t>…en hoog risico als bedoeld in de punten 1, 6 en 7 van bijlage III, op het gebied van rechtshandhaving, migratie, asiel en grenstoezichtsbeheer, vindt de in de leden 1, 2 en 3 van dit artikel bedoelde registratie plaats in een beveiligd niet-openbaar gedeelte van de in artikel 71 bedoelde EU-databank en bevat deze alleen de volgende informatie, voor zover van …</t>
  </si>
  <si>
    <t>taken van de nationale bevoegde autoriteiten</t>
  </si>
  <si>
    <t>nationale bevoegde autoriteit</t>
  </si>
  <si>
    <t>bevoegdheid van de lidstaten</t>
  </si>
  <si>
    <t>totale geldboete</t>
  </si>
  <si>
    <t>de totale geldboete</t>
  </si>
  <si>
    <t>totale toegestane vangst</t>
  </si>
  <si>
    <t>32016R0679:83:3:4</t>
  </si>
  <si>
    <t>…id met betrekking tot dezelfde of daarmee verband houdende verwerkingsactiviteiten een inbreuk pleegt op meerdere bepalingen van deze verordening, is de totale geldboete niet hoger dan die voor de zwaarste inbreuk.</t>
  </si>
  <si>
    <t>systeem voor risicobeheer</t>
  </si>
  <si>
    <t>het in artikel 9 bedoelde systeem voor risicobeheer</t>
  </si>
  <si>
    <t>wetenschappelijk risicobeheer</t>
  </si>
  <si>
    <t>bedrijfsbeheerssysteem</t>
  </si>
  <si>
    <t>32024R1689:8:1:2</t>
  </si>
  <si>
    <t>… van de techniek op het gebied van AI en AI-gerelateerde technologieën. Bij het waarborgen van de naleving van deze eisen wordt rekening gehouden met het in artikel 9 bedoelde systeem voor risicobeheer.</t>
  </si>
  <si>
    <t>verwerking van de persoonsgegevens</t>
  </si>
  <si>
    <t>de verwerking van de persoonsgegevens</t>
  </si>
  <si>
    <t>32016R0679:21:1:2</t>
  </si>
  <si>
    <t>…ikel 6, lid 1, onder e) of f), van artikel 6, lid 1, met inbegrip van profilering op basis van die bepalingen. De verwerkingsverantwoordelijke staakt de verwerking van de persoonsgegevens tenzij hij dwingende gerechtvaardigde gronden voor de verwerking aanvoert die zwaarder wegen dan de belangen, rechten en vrijheden van de betrokkene …</t>
  </si>
  <si>
    <t>voorzitter en de Commissie</t>
  </si>
  <si>
    <t>voorzitter</t>
  </si>
  <si>
    <t>voorzitter van de Commissie</t>
  </si>
  <si>
    <t>voorstel van de Commissie</t>
  </si>
  <si>
    <t>de uitvoering daarvan</t>
  </si>
  <si>
    <t>32016R0679:39:1:3</t>
  </si>
  <si>
    <t>…kken personeel en de betreffende audits; c) desgevraagd advies verstrekken met betrekking tot de gegevensbeschermingseffect-beoordeling en toezien op de uitvoering daarvan in overeenstemming met artikel 35; d) met de toezichthoudende autoriteit samenwerken; e) optreden als contactpunt voor de toezichthoudende autoriteit…</t>
  </si>
  <si>
    <t>wetgevingsvoorstellen</t>
  </si>
  <si>
    <t>wetsvoorstel</t>
  </si>
  <si>
    <t>aangenomen wetsvoorstel</t>
  </si>
  <si>
    <t>32016R0679:98:whole:1</t>
  </si>
  <si>
    <t>Indien passend dient de Commissie wetgevingsvoorstellen in teneinde andere Unierechtshandelingen betreffende de bescherming van persoonsgegevens te wijzigen en aldus een uniforme en consequente bescherming…</t>
  </si>
  <si>
    <t>onderzoeken</t>
  </si>
  <si>
    <t>onderzoeker</t>
  </si>
  <si>
    <t>32016R0679:57:1:14</t>
  </si>
  <si>
    <t>… delen en wederzijdse bijstand te bieden, teneinde de samenhang in de toepassing en de handhaving van deze verordening te waarborgen; h) zij verricht onderzoeken naar de toepassing van deze verordening, onder meer op basis van informatie die zij van een andere toezichthoudende autoriteit of een andere overheid…</t>
  </si>
  <si>
    <t>Persoonsgegevens</t>
  </si>
  <si>
    <t>invoer van gegevens</t>
  </si>
  <si>
    <t>32016R0679:44:whole:1</t>
  </si>
  <si>
    <t>Persoonsgegevens die worden verwerkt of die zijn bestemd om na doorgifte aan een derde land of een internationale organisatie te worden verwerkt, mogen slechts worden…</t>
  </si>
  <si>
    <t>toezichthoudende autoriteit</t>
  </si>
  <si>
    <t>de toezichthoudende autoriteit</t>
  </si>
  <si>
    <t>32016R0679:33:5:6</t>
  </si>
  <si>
    <t>… van de feiten omtrent de inbreuk in verband met persoonsgegevens, de gevolgen daarvan en de genomen corrigerende maatregelen. Die documentatie stelt de toezichthoudende autoriteit in staat de naleving van dit artikel te controleren.</t>
  </si>
  <si>
    <t>procedures voor internationale samenwerking</t>
  </si>
  <si>
    <t>samenwerkingsprocedure</t>
  </si>
  <si>
    <t>32016R0679:50:whole:2</t>
  </si>
  <si>
    <t>Ten aanzien van derde landen en internationale organisaties nemen de Commissie en de toezichthoudende autoriteiten de nodige maatregelen om: a) procedures voor internationale samenwerking te ontwikkelen, zodat de effectieve handhaving van de wetgeving inzake de bescherming van persoonsgegevens wordt vergemakkelijkt; b) internationale w…</t>
  </si>
  <si>
    <t>toezichthoudende autoriteit, naast de bevoegdheden bijkomende bevoegdheden heeft</t>
  </si>
  <si>
    <t>dat zijn toezichthoudende autoriteit, naast de in lid 1, 2 en 3 bedoelde bevoegdheden bijkomende bevoegdheden heeft</t>
  </si>
  <si>
    <t>32016R0679:58:6:30</t>
  </si>
  <si>
    <t>Elke lidstaat kan bij wet bepalen dat zijn toezichthoudende autoriteit, naast de in lid 1, 2 en 3 bedoelde bevoegdheden bijkomende bevoegdheden heeft. De uitoefening van die bevoegdheden doet geen afbreuk aan de doeltreffende werking van hoofdstuk VII.</t>
  </si>
  <si>
    <t>ontwerpbesluit</t>
  </si>
  <si>
    <t>een ontwerpbesluit</t>
  </si>
  <si>
    <t>32016R0679:60:3:6</t>
  </si>
  <si>
    <t>…ee aan de andere betrokken toezichthoudende autoriteiten. Zij legt de andere betrokken toezichthoudende autoriteiten onverwijld te hunner beoordeling een ontwerpbesluit voor en houdt naar behoren rekening met hun standpunten.</t>
  </si>
  <si>
    <t>markttoezichtautoriteiten</t>
  </si>
  <si>
    <t>alle andere markttoezichtautoriteiten</t>
  </si>
  <si>
    <t>toezicht op financiële instellingen</t>
  </si>
  <si>
    <t>32024R1689:81:1:5</t>
  </si>
  <si>
    <t>…ationale maatregel gerechtvaardigd is, en deelt zij haar besluit aan de markttoezichtautoriteit van de betrokken lidstaat mee. De Commissie stelt ook alle andere markttoezichtautoriteiten van haar besluit in kennis.</t>
  </si>
  <si>
    <t>identiteit</t>
  </si>
  <si>
    <t>persoonlijke identiteit</t>
  </si>
  <si>
    <t>culturele identiteit</t>
  </si>
  <si>
    <t>toezichtsbevoegdheden</t>
  </si>
  <si>
    <t>hun toezichtsbevoegdheden</t>
  </si>
  <si>
    <t>toezichtsbevoegdhed</t>
  </si>
  <si>
    <t>begrotingsbevoegdheid</t>
  </si>
  <si>
    <t>32024R1689:57:11:20</t>
  </si>
  <si>
    <t>…perkende maatregelen niet mogelijk zijn, en zij stellen het AI-bureau van een dergelijk besluit in kennis. De nationale bevoegde autoriteiten oefenen hun toezichtsbevoegdheden binnen de grenzen van het toepasselijk recht uit, waarbij zij gebruikmaken van hun discretionaire bevoegdheden bij de uitvoering van wettelijke bepal…</t>
  </si>
  <si>
    <t>de verantwoordelijkheid</t>
  </si>
  <si>
    <t>politieke verantwoordelijkheid</t>
  </si>
  <si>
    <t>32024R1689:47:4:10</t>
  </si>
  <si>
    <t>Met het opstellen van de EU-conformiteitsverklaring neemt de aanbieder de verantwoordelijkheid op zich om de in afdeling 2 beschreven voorschriften na te leven. De aanbieder houdt de EU-conformiteitsverklaring voor zover dienstig up-to-date.</t>
  </si>
  <si>
    <t>uitsluitsel</t>
  </si>
  <si>
    <t>uitsluiting</t>
  </si>
  <si>
    <t>opsluiting</t>
  </si>
  <si>
    <t>32016R0679:15:1:1</t>
  </si>
  <si>
    <t>De betrokkene heeft het recht om van de verwerkingsverantwoordelijke uitsluitsel te verkrijgen over het al dan niet verwerken van hem betreffende persoonsgegevens en, wanneer dat het geval is, om inzage te verkrijgen van die perso…</t>
  </si>
  <si>
    <t>vaardigheden</t>
  </si>
  <si>
    <t>ontwikkeling van vaardigheden</t>
  </si>
  <si>
    <t>taalvaardigheid</t>
  </si>
  <si>
    <t>deel van de schadevergoeding</t>
  </si>
  <si>
    <t>het deel van de schadevergoeding</t>
  </si>
  <si>
    <t>deel</t>
  </si>
  <si>
    <t>vergoeding van slachtoffers</t>
  </si>
  <si>
    <t>32016R0679:82:5:6</t>
  </si>
  <si>
    <t>…goed, kan deze verwerkingsverantwoordelijke of verwerker op andere verwerkingsverantwoordelijken of verwerkers die bij de verwerking waren betrokken, het deel van de schadevergoeding verhalen dat overeenkomt met hun deel van de aansprakelijkheid voor de schade, overeenkomstig de in lid 2 gestelde voorwaarden.</t>
  </si>
  <si>
    <t>overleg</t>
  </si>
  <si>
    <t>overlegprocedure</t>
  </si>
  <si>
    <t>overlegdemocratie</t>
  </si>
  <si>
    <t>sociaal overleg</t>
  </si>
  <si>
    <t>32016R0679:36:5:10</t>
  </si>
  <si>
    <t>Niettegenstaande lid 1 kunnen de verwerkingsverantwoordelijken lidstaatrechtelijk ertoe worden verplicht overleg met de toezichthoudende autoriteit te plegen en om haar voorafgaande toestemming te verzoeken wanneer zij met het oog op de vervulling van een taak v…</t>
  </si>
  <si>
    <t>uitzonderingen</t>
  </si>
  <si>
    <t>uitzonderingen of afwijkingen</t>
  </si>
  <si>
    <t>uitzondering</t>
  </si>
  <si>
    <t>uitzonderingstoestand</t>
  </si>
  <si>
    <t>uitzondering op het auteursrecht</t>
  </si>
  <si>
    <t>32016R0679:85:2:2</t>
  </si>
  <si>
    <t>Voor verwerking voor journalistieke doeleinden of ten behoeve van academische, artistieke of literaire uitdrukkingsvormen stellen de lidstaten uitzonderingen of afwijkingen vast van hoofdstuk II (beginselen), hoofdstuk III (rechten van de betrokkene), hoofdstuk IV (de verwerkingsverantwoordelijke en de verwerker), hoofds…</t>
  </si>
  <si>
    <t>bedoelde bevoegdheidsdelegatie</t>
  </si>
  <si>
    <t>de in artikel 6, leden 6 en 7, artikel 7, leden 1 en 3, artikel 11, lid 3, artikel 43, leden 5 en 6, artikel 47, lid 5, artikel 51, lid 3, artikel 52, lid 4, en artikel 53, leden 5 en 6, bedoelde bevoegdheidsdelegatie</t>
  </si>
  <si>
    <t>verordenende bevoegdheid</t>
  </si>
  <si>
    <t>32024R1689:97:3:2</t>
  </si>
  <si>
    <t>Het Europees Parlement of de Raad kan de in artikel 6, leden 6 en 7, artikel 7, leden 1 en 3, artikel 11, lid 3, artikel 43, leden 5 en 6, artikel 47, lid 5, artikel 51, lid 3, artikel 52, lid 4, en artikel 53, leden 5 en 6, bedoelde bevoegdheidsdelegatie te allen tijde intrekken. Het besluit tot intrekking beëindigt de delegatie van de in dat besluit genoemde bevoegdheid. Het wordt van kracht op de da…</t>
  </si>
  <si>
    <t>machineleesbaar</t>
  </si>
  <si>
    <t>machinetaal</t>
  </si>
  <si>
    <t>machineontwerp</t>
  </si>
  <si>
    <t>32016R0679:12:7:14</t>
  </si>
  <si>
    <t>…htbare, begrijpelijke en duidelijk leesbare vorm, van de voorgenomen verwerking te bieden. Wanneer de iconen elektronisch worden weergegeven, zijn ze machineleesbaar.</t>
  </si>
  <si>
    <t>van de Raad</t>
  </si>
  <si>
    <t>uitwisseling van ervaringen</t>
  </si>
  <si>
    <t>de uitwisseling van ervaringen</t>
  </si>
  <si>
    <t>uitwisseling van jongeren</t>
  </si>
  <si>
    <t>32024R1689:70:7:12</t>
  </si>
  <si>
    <t>De Commissie bevordert de uitwisseling van ervaringen tussen de nationale bevoegde autoriteiten.</t>
  </si>
  <si>
    <t>gebruiksinstructies</t>
  </si>
  <si>
    <t>gebruiksinstructie</t>
  </si>
  <si>
    <t>gebruiksaanwijzing</t>
  </si>
  <si>
    <t>hulp aan de gebruiker</t>
  </si>
  <si>
    <t>32024R1689:13:2:1</t>
  </si>
  <si>
    <t>AI-systemen met een hoog risico gaan vergezeld van gebruiksinstructies in een passend digitaal of ander formaat dat beknopte, volledige, juiste en duidelijke informatie bevat die relevant, toegankelijk en begrijpelijk is…</t>
  </si>
  <si>
    <t>toegang tot de eigendom</t>
  </si>
  <si>
    <t>32016R0679:38:2:3</t>
  </si>
  <si>
    <t>…erantwoordelijke en de verwerker ondersteunen de functionaris voor gegevensbescherming bij de vervulling van de in artikel 39 bedoelde taken door hem toegang te verschaffen tot persoonsgegevens en verwerkingsactiviteiten en door hem de benodigde middelen ter beschikking te stellen voor het vervullen van de…</t>
  </si>
  <si>
    <t>toezichthoudende autoriteiten</t>
  </si>
  <si>
    <t>andere betrokken toezichthoudende autoriteiten</t>
  </si>
  <si>
    <t>32016R0679:60:2:3</t>
  </si>
  <si>
    <t>De leidende toezichthoudende autoriteit kan te allen tijde andere betrokken toezichthoudende autoriteiten verzoeken wederzijdse bijstand overeenkomstig artikel 61 te verlenen, en kan gezamenlijke werkzaamheden ondernemen overeenkomstig artikel 62, in het …</t>
  </si>
  <si>
    <t>leden van het Comité en de Commissie</t>
  </si>
  <si>
    <t>de leden van het Comité en de Commissie</t>
  </si>
  <si>
    <t>Lid van de Europese Commissie</t>
  </si>
  <si>
    <t>32016R0679:64:5:9</t>
  </si>
  <si>
    <t>De voorzitter van het Comité stelt onverwijld langs elektronische weg: a) de leden van het Comité en de Commissie door middel van een standaardformulier in kennis van alle relevante informatie die het Comité heeft ontvangen. Het secretariaat van het Comité verstr…</t>
  </si>
  <si>
    <t>een bijdrage</t>
  </si>
  <si>
    <t>sociale bijdrage</t>
  </si>
  <si>
    <t>32016R0679:57:1:30</t>
  </si>
  <si>
    <t>…ikel 46, lid 3, bedoelde contractuele en andere bepalingen; s) zij keurt overeenkomstig artikel 47 bindende bedrijfsvoorschriften goed; t) zij levert een bijdrage aan de activiteiten van het Comité; u) zij houdt interne registers bij van inbreuken op deze verordening en van overeenkomstig artikel 58, lid 2, get…</t>
  </si>
  <si>
    <t>financiële bijstand</t>
  </si>
  <si>
    <t>sociale bijstand</t>
  </si>
  <si>
    <t>rechtsbijstand</t>
  </si>
  <si>
    <t>kamervoorzitter</t>
  </si>
  <si>
    <t>bestuurder</t>
  </si>
  <si>
    <t>voorzitter van de instelling</t>
  </si>
  <si>
    <t>gezamenlijke werkzaamheden</t>
  </si>
  <si>
    <t>werkzaamheid</t>
  </si>
  <si>
    <t>gezamenlijke ontwikkeling</t>
  </si>
  <si>
    <t>gebied van gezamenlijke actie</t>
  </si>
  <si>
    <t>32016R0679:60:2:4</t>
  </si>
  <si>
    <t>…riteit kan te allen tijde andere betrokken toezichthoudende autoriteiten verzoeken wederzijdse bijstand overeenkomstig artikel 61 te verlenen, en kan gezamenlijke werkzaamheden ondernemen overeenkomstig artikel 62, in het bijzonder voor het uitvoeren van onderzoeken of voor het toezicht op de uitvoering van een maatregel bet…</t>
  </si>
  <si>
    <t>ambtstermijn</t>
  </si>
  <si>
    <t>einde van de ambtstermijn</t>
  </si>
  <si>
    <t>ambtenaar</t>
  </si>
  <si>
    <t>diplomatiek ambt</t>
  </si>
  <si>
    <t>aanvullende verklaring</t>
  </si>
  <si>
    <t>een aanvullende verklaring</t>
  </si>
  <si>
    <t>verklaring</t>
  </si>
  <si>
    <t>aanvullende uitkering</t>
  </si>
  <si>
    <t>aanvullende begroting</t>
  </si>
  <si>
    <t>32016R0679:16:whole:3</t>
  </si>
  <si>
    <t>…ming van de doeleinden van de verwerking heeft de betrokkene het recht vervollediging van onvolledige persoonsgegevens te verkrijgen, onder meer door een aanvullende verklaring te verstrekken.</t>
  </si>
  <si>
    <t>bedrag van de schade</t>
  </si>
  <si>
    <t>het bedrag van de in lid 4 bedoelde schade</t>
  </si>
  <si>
    <t>bedrag</t>
  </si>
  <si>
    <t>schadeverzekering</t>
  </si>
  <si>
    <t>kosten van gezondheidsschade</t>
  </si>
  <si>
    <t>32016R0679:62:6:11</t>
  </si>
  <si>
    <t>…oefening van zijn rechten tegenover derden en met uitzondering van het in lid 5 bepaalde, ziet elke lidstaat er in het in lid 1 bedoelde geval van af het bedrag van de in lid 4 bedoelde schade op een andere lidstaat te verhalen.</t>
  </si>
  <si>
    <t>activiteiten</t>
  </si>
  <si>
    <t>verplaatsing van activiteiten</t>
  </si>
  <si>
    <t>communautaire activiteit</t>
  </si>
  <si>
    <t>32024R1689:28:5:7</t>
  </si>
  <si>
    <t>EU-conformiteitsverklaring</t>
  </si>
  <si>
    <t>een EU-conformiteitsverklaring</t>
  </si>
  <si>
    <t>Europese convergentie</t>
  </si>
  <si>
    <t>EU-wetgevingsprocedure</t>
  </si>
  <si>
    <t>adequaatheidsbesluit (EU)</t>
  </si>
  <si>
    <t>32024R1689:16:whole:5</t>
  </si>
  <si>
    <t>… bedoelde conformiteitsbeoordelingsprocedure wordt uitgevoerd voordat dit systeem in de handel wordt gebracht of in gebruik wordt gesteld; g) stellen een EU-conformiteitsverklaring op, in overeenstemming met artikel 47; h) brengen de CE-markering aan op het AI-systeem met een hoog risico of, wanneer dit niet mogelijk is, op de v…</t>
  </si>
  <si>
    <t>afwijkingen van de rechten</t>
  </si>
  <si>
    <t>afwijkingen van de in de artikelen 15, 16, 18 en 21 genoemde rechten</t>
  </si>
  <si>
    <t>afwijking</t>
  </si>
  <si>
    <t>afwijking van de wet</t>
  </si>
  <si>
    <t>afwijking van het recht van de Europese Unie</t>
  </si>
  <si>
    <t>ontzetting uit de rechten</t>
  </si>
  <si>
    <t>32016R0679:89:2:5</t>
  </si>
  <si>
    <t>…tenschappelijk of historisch onderzoek of statistische doeleinden worden verwerkt, kan in het Unierecht of het lidstatelijke recht worden voorzien in afwijkingen van de in de artikelen 15, 16, 18 en 21 genoemde rechten, behoudens de in lid 1 van dit artikel bedoelde voorwaarden en waarborgen, voor zover die rechten de verwezenlijking van de specifieke doeleinden onm…</t>
  </si>
  <si>
    <t>contactadres</t>
  </si>
  <si>
    <t>hun naam, geregistreerde handelsnaam of geregistreerd merk en hun contactadres</t>
  </si>
  <si>
    <t>contactadre</t>
  </si>
  <si>
    <t>internetadres</t>
  </si>
  <si>
    <t>32024R1689:23:3:3</t>
  </si>
  <si>
    <t>Importeurs vermelden hun naam, geregistreerde handelsnaam of geregistreerd merk en hun contactadres voor het AI-systeem met een hoog risico op de verpakking of in de bij het product gevoegde documentatie, indien van toepassing.</t>
  </si>
  <si>
    <t>afwijkingen</t>
  </si>
  <si>
    <t>aangeboren afwijking</t>
  </si>
  <si>
    <t>afwijkingsindicator</t>
  </si>
  <si>
    <t>gevraagde toegang</t>
  </si>
  <si>
    <t>de gevraagde toegang</t>
  </si>
  <si>
    <t>toetredingsaanvraag</t>
  </si>
  <si>
    <t>32024R1689:92:5:7</t>
  </si>
  <si>
    <t>…de aanbieder geen rechtspersoonlijkheid heeft, verlenen de personen die krachtens de wet of hun statuten gemachtigd zijn om hen te vertegenwoordigen, de gevraagde toegang namens de aanbieder van het betrokken AI-model voor algemene doeleinden.</t>
  </si>
  <si>
    <t>voorlopige maatregelen</t>
  </si>
  <si>
    <t>voorlopige begroting</t>
  </si>
  <si>
    <t>voorlopige hechtenis</t>
  </si>
  <si>
    <t>voorlopige antidumpingheffing</t>
  </si>
  <si>
    <t>32016R0679:66:1:1</t>
  </si>
  <si>
    <t>…te beschermen, in afwijking van het in de artikelen 63, 64 en 65 bedoelde coherentiemechanisme of van de in artikel 60 bedoelde procedure, onverwijld voorlopige maatregelen met een bepaalde geldigheidsduur van ten hoogste drie maanden nemen die beogen rechtsgevolgen in het leven te roepen op het eigen grondgebied. De toe…</t>
  </si>
  <si>
    <t>deze verklaring</t>
  </si>
  <si>
    <t>32024R1689:47:1:2</t>
  </si>
  <si>
    <t>…oor elk AI-systeem met een hoog risico een schriftelijke machineleesbare, fysieke of elektronisch ondertekende EU-conformiteitsverklaring op en houdt deze verklaring tot tien jaar na het in de handel brengen of het in gebruik stellen van het AI-systeem met een hoog risico ter beschikking van de nationale bevoegde …</t>
  </si>
  <si>
    <t>gegevens over gezondheid, of gegevens</t>
  </si>
  <si>
    <t>medische gegevens</t>
  </si>
  <si>
    <t>gezondheid</t>
  </si>
  <si>
    <t>taken die verband houden met de bescherming van persoonsgegevens</t>
  </si>
  <si>
    <t>alle andere taken die verband houden met de bescherming van persoonsgegevens</t>
  </si>
  <si>
    <t>32016R0679:57:1:32</t>
  </si>
  <si>
    <t>… zij houdt interne registers bij van inbreuken op deze verordening en van overeenkomstig artikel 58, lid 2, getroffen maatregelen; en v) zij verricht alle andere taken die verband houden met de bescherming van persoonsgegevens.</t>
  </si>
  <si>
    <t>beëindiging</t>
  </si>
  <si>
    <t>bedrijfsbeëindiging</t>
  </si>
  <si>
    <t>onteigening</t>
  </si>
  <si>
    <t>delegatie van de in dat besluit genoemde bevoegdheid</t>
  </si>
  <si>
    <t>de delegatie van de in dat besluit genoemde bevoegdheid</t>
  </si>
  <si>
    <t>delegatie</t>
  </si>
  <si>
    <t>gedelegeerd besluit van de Commissie</t>
  </si>
  <si>
    <t>delegatie van de Commissie</t>
  </si>
  <si>
    <t>32024R1689:97:3:3</t>
  </si>
  <si>
    <t>… lid 3, artikel 52, lid 4, en artikel 53, leden 5 en 6, bedoelde bevoegdheidsdelegatie te allen tijde intrekken. Het besluit tot intrekking beëindigt de delegatie van de in dat besluit genoemde bevoegdheid. Het wordt van kracht op de dag na die van de bekendmaking ervan in het Publicatieblad van de Europese Unie of op een daarin genoemde latere datum. H…</t>
  </si>
  <si>
    <t>gegevens</t>
  </si>
  <si>
    <t>De in afdelingen A en B van bijlage VIII vermelde gegevens</t>
  </si>
  <si>
    <t>32024R1689:71:2:4</t>
  </si>
  <si>
    <t>De in afdelingen A en B van bijlage VIII vermelde gegevens worden in de EU-databank ingevoerd door de aanbieder of, in voorkomend geval, de gemachtigde.</t>
  </si>
  <si>
    <t>volledige bedrag</t>
  </si>
  <si>
    <t>het volledige bedrag</t>
  </si>
  <si>
    <t>volledige tewerkstelling</t>
  </si>
  <si>
    <t>algemene begroting</t>
  </si>
  <si>
    <t>32016R0679:62:5:10</t>
  </si>
  <si>
    <t>…ende autoriteit waarvan de personeelsleden op het grondgebied van een andere lidstaat aan iemand schade hebben berokkend, betaalt die andere lidstaat het volledige bedrag terug dat die andere lidstaat voor rekening van die personeelsleden aan de rechthebbenden heeft uitgekeerd.</t>
  </si>
  <si>
    <t>het systeem</t>
  </si>
  <si>
    <t>schoolsysteem</t>
  </si>
  <si>
    <t>sociaal systeem</t>
  </si>
  <si>
    <t>32024R1689:23:2:1</t>
  </si>
  <si>
    <t>…en AI-systeem met een hoog risico niet in overeenstemming is met deze verordening, vervalst is of vergezeld gaat van vervalste documenten, brengt hij het systeem niet in de handel voordat het in overeenstemming is gebracht. Wanneer het AI-systeem met een hoog risico een risico vormt in de zin van artikel 79, l…</t>
  </si>
  <si>
    <t>die termijn</t>
  </si>
  <si>
    <t>termijncontract</t>
  </si>
  <si>
    <t>termijndeposito</t>
  </si>
  <si>
    <t>32016R0679:12:3:6</t>
  </si>
  <si>
    <t>…en met 22 informatie over het gevolg dat aan het verzoek is gegeven. Afhankelijk van de complexiteit van de verzoeken en van het aantal verzoeken kan die termijn indien nodig met nog eens twee maanden worden verlengd. De verwerkingsverantwoordelijke stelt de betrokkene binnen één maand na ontvangst van het ver…</t>
  </si>
  <si>
    <t>bijeenkomsten</t>
  </si>
  <si>
    <t>de bijeenkomsten</t>
  </si>
  <si>
    <t>bijeenkomst</t>
  </si>
  <si>
    <t>internationale bijeenkomst</t>
  </si>
  <si>
    <t>conferentie</t>
  </si>
  <si>
    <t>internationale conferentie</t>
  </si>
  <si>
    <t>32016R0679:68:5:4</t>
  </si>
  <si>
    <t>De Commissie heeft het recht deel te nemen aan de activiteiten en, zonder stemrecht, aan de bijeenkomsten van het Comité. De Commissie wijst een vertegenwoordiger aan. De voorzitter van het Comité stelt de Commissie in kennis van de activiteiten van het C…</t>
  </si>
  <si>
    <t>de accreditatie</t>
  </si>
  <si>
    <t>accreditering</t>
  </si>
  <si>
    <t>acculturatie</t>
  </si>
  <si>
    <t>kwaliteitscertificatie</t>
  </si>
  <si>
    <t>32016R0679:41:5:15</t>
  </si>
  <si>
    <t>De bevoegde toezichthoudende autoriteit trekt de accreditatie van een in lid 1 bedoeld orgaan in indien de voorwaarden voor accreditatie niet of niet meer worden vervuld of indien de door het orgaan genomen maat…</t>
  </si>
  <si>
    <t>specifieke behoeften van kleine, middelgrote en micro-ondernemingen</t>
  </si>
  <si>
    <t>de specifieke behoeften van kleine, middelgrote en micro-ondernemingen</t>
  </si>
  <si>
    <t>behoeft</t>
  </si>
  <si>
    <t>kleine en middelgrote industriële ondernemingen</t>
  </si>
  <si>
    <t>kleine en middelgrote onderneming</t>
  </si>
  <si>
    <t>Uitvoerend Agentschap voor kleine en middelgrote ondernemingen</t>
  </si>
  <si>
    <t>32016R0679:42:1:2</t>
  </si>
  <si>
    <t>…dat verwerkingsverantwoordelijken en verwerkers bij verwerkingen in overeenstemming met deze verordening handelen. Er wordt ook rekening gehouden met de specifieke behoeften van kleine, middelgrote en micro-ondernemingen.</t>
  </si>
  <si>
    <t>leidende toezichthoudende autoriteit</t>
  </si>
  <si>
    <t>de leidende toezichthoudende autoriteit</t>
  </si>
  <si>
    <t>32016R0679:56:3:4</t>
  </si>
  <si>
    <t>In de in lid 2 van dit artikel bedoelde gevallen stelt de toezichthoudende autoriteit de leidende toezichthoudende autoriteit onverwijld in kennis van de zaak. Binnen drie weken nadat zij in kennis is gesteld, besluit de leidende toezichthoudende autoriteit of zij de zaak al…</t>
  </si>
  <si>
    <t>wijzigingen</t>
  </si>
  <si>
    <t>alle goedgekeurde gedragscodes, wijzigingen en uitbreidingen</t>
  </si>
  <si>
    <t>vernieuwing</t>
  </si>
  <si>
    <t>32016R0679:40:11:17</t>
  </si>
  <si>
    <t>Het Comité verzamelt alle goedgekeurde gedragscodes, wijzigingen en uitbreidingen in een register en maakt deze via geëigende kanalen openbaar.</t>
  </si>
  <si>
    <t>aanpassing</t>
  </si>
  <si>
    <t>aanpassing van gebouw</t>
  </si>
  <si>
    <t>sociale aanpassing</t>
  </si>
  <si>
    <t>structurele aanpassing</t>
  </si>
  <si>
    <t>genomen nationale maatregelen</t>
  </si>
  <si>
    <t>de genomen nationale maatregelen</t>
  </si>
  <si>
    <t>nationale voorschriften</t>
  </si>
  <si>
    <t>32024R1689:82:4:4</t>
  </si>
  <si>
    <t>De Commissie treedt zonder onnodige vertraging in overleg met de betrokken lidstaten en de betrokken operators en evalueert de genomen nationale maatregelen. Aan de hand van die evaluatie besluit de Commissie of de maatregel gerechtvaardigd is, en stelt zij zo nodig andere passende maatregelen voor.</t>
  </si>
  <si>
    <t>aanwijzing</t>
  </si>
  <si>
    <t>de aanwijzing</t>
  </si>
  <si>
    <t>aanwerving</t>
  </si>
  <si>
    <t>uitwijzing</t>
  </si>
  <si>
    <t>32024R1689:36:3:2</t>
  </si>
  <si>
    <t>…alvorens er nieuwe certificaten voor af te leveren. Ingeval de aangemelde instantie haar activiteiten heeft gestaakt, trekt de aanmeldende autoriteit de aanwijzing in.</t>
  </si>
  <si>
    <t>een uitvoeringshandeling</t>
  </si>
  <si>
    <t>toetredingsonderhandeling</t>
  </si>
  <si>
    <t>32024R1689:50:7:14</t>
  </si>
  <si>
    <t>…e van artikel 56, lid 6, goed te keuren. Indien zij de code ontoereikend acht, kan de Commissie volgens de onderzoeksprocedure van artikel 98, lid 2, een uitvoeringshandeling vaststellen waarin gemeenschappelijke regels voor de uitvoering van die verplichtingen worden gespecificeerd.</t>
  </si>
  <si>
    <t>beleid</t>
  </si>
  <si>
    <t>beleidsvorming</t>
  </si>
  <si>
    <t>beleidsanalyse</t>
  </si>
  <si>
    <t>overheidsbeleid</t>
  </si>
  <si>
    <t>32024R1689:53:1:6</t>
  </si>
  <si>
    <t>…e stellen aan hun verplichtingen uit hoofde van deze verordening te voldoen, en ii) ten minste de in bijlage XII uiteengezette elementen bevatten; c) beleid opstellen ter naleving van het Unierecht inzake auteursrechten en naburige rechten en dan met name ter vaststelling en naleving, onder meer door midd…</t>
  </si>
  <si>
    <t>voorlopige maatregel</t>
  </si>
  <si>
    <t>een voorlopige maatregel</t>
  </si>
  <si>
    <t>32016R0679:61:8:13</t>
  </si>
  <si>
    <t>…thoudende autoriteit verstrekt, kan de verzoekende toezichthoudende autoriteit overeenkomstig artikel 55, lid 1, op het grondgebied van haar lidstaat een voorlopige maatregel nemen. In dat geval wordt geacht dat er overeenkomstig artikel 66, lid 1, dringend moet worden opgetreden en dat dit een dringend bindend besluit van…</t>
  </si>
  <si>
    <t>capaciteiten</t>
  </si>
  <si>
    <t>capaciteit</t>
  </si>
  <si>
    <t>capaciteitsopbouw</t>
  </si>
  <si>
    <t>vervoerscapaciteit</t>
  </si>
  <si>
    <t>rechtshandeling</t>
  </si>
  <si>
    <t>rechtshandeling van de EU</t>
  </si>
  <si>
    <t>mishandeling</t>
  </si>
  <si>
    <t>conferentiehandelingen</t>
  </si>
  <si>
    <t>verwerkte data</t>
  </si>
  <si>
    <t>de verwerkte data</t>
  </si>
  <si>
    <t>32024R1689:59:1:3</t>
  </si>
  <si>
    <t>…biliteit, kritieke vervoersinfrastructuur en vervoersnetwerken; v) doeltreffendheid en kwaliteit van het openbaar bestuur en de openbare diensten; b) de verwerkte data zijn nodig om te voldoen aan een of meer van de in hoofdstuk III, afdeling 2, bedoelde eisen wanneer die eisen niet doeltreffend kunnen worden vervul…</t>
  </si>
  <si>
    <t>vertrouwelijke aard van informatie en gegevens die zij hebben verkregen tijdens het uitvoeren van hun taken en activiteiten</t>
  </si>
  <si>
    <t>de vertrouwelijke aard van informatie en gegevens die zij hebben verkregen tijdens het uitvoeren van hun taken en activiteiten</t>
  </si>
  <si>
    <t>gegevensintegriteit</t>
  </si>
  <si>
    <t>32024R1689:78:1:1</t>
  </si>
  <si>
    <t>…uurlijke of rechtspersonen die bij de toepassing van deze verordening betrokken zijn, eerbiedigen overeenkomstig het Unierecht of het nationale recht de vertrouwelijke aard van informatie en gegevens die zij hebben verkregen tijdens het uitvoeren van hun taken en activiteiten, met name ter bescherming van: a) de intellectuele-eigendomsrechten, en vertrouwelijke bedrijfsinformatie of bedrijfsgeheimen van een natuurlijke of …</t>
  </si>
  <si>
    <t>certificeringen</t>
  </si>
  <si>
    <t>certificering</t>
  </si>
  <si>
    <t>32016R0679:58:3:23</t>
  </si>
  <si>
    <t>…vies uit te brengen over en goedkeuring te hechten aan de ontwerpgedragscodes; e) certificeringsorganen te accrediteren overeenkomstig artikel 43; f) certificeringen af te geven en certificeringscriteria goed te keuren overeenkomstig artikel 42, lid 5; g) de in artikel 28, lid 8, en artikel 46, lid 2, punt d), bed…</t>
  </si>
  <si>
    <t>uitbreidingen</t>
  </si>
  <si>
    <t>uitbreiding</t>
  </si>
  <si>
    <t>uitbreidingskaart</t>
  </si>
  <si>
    <t>uitbreiding van de Gemeenschap</t>
  </si>
  <si>
    <t>uitbreiding van de markt</t>
  </si>
  <si>
    <t>aanmelding</t>
  </si>
  <si>
    <t>de aanmelding</t>
  </si>
  <si>
    <t>32024R1689:37:4:7</t>
  </si>
  <si>
    <t>Wanneer de Commissie vaststelt dat een aangemelde instantie niet of niet meer aan de aanmeldingseisen voldoet, brengt zij de aanmeldende lidstaat daarvan op de hoogte en verzoekt zij deze lidstaat de nodige corrigerende maatregelen te nemen, en …</t>
  </si>
  <si>
    <t>verbintenissen</t>
  </si>
  <si>
    <t>verbintenisrecht</t>
  </si>
  <si>
    <t>besnijdenis</t>
  </si>
  <si>
    <t>32024R1689:101:1:2</t>
  </si>
  <si>
    <t>…n de duur van de inbreuk rekening gehouden, met inachtneming van de beginselen van evenredigheid en redelijkheid. De Commissie houdt ook rekening met verbintenissen die zijn aangegaan overeenkomstig artikel 93, lid 3, of die zijn aangegaan in relevante praktijkcodes overeenkomstig artikel 56.</t>
  </si>
  <si>
    <t>bepalingen</t>
  </si>
  <si>
    <t>Alle bepalingen van dit hoofdstuk</t>
  </si>
  <si>
    <t>32016R0679:44:whole:2</t>
  </si>
  <si>
    <t>…iften van persoonsgegevens vanuit het derde land of een internationale organisatie aan een ander derde land of een andere internationale organisatie. Alle bepalingen van dit hoofdstuk worden toegepast opdat het door deze verordening voor natuurlijke personen gewaarborgde beschermingsniveau niet wordt ondermijnd.</t>
  </si>
  <si>
    <t>middelen</t>
  </si>
  <si>
    <t>materiaal</t>
  </si>
  <si>
    <t>voedingsmiddel</t>
  </si>
  <si>
    <t>ervaring</t>
  </si>
  <si>
    <t>beroepservaring</t>
  </si>
  <si>
    <t>getuigenis</t>
  </si>
  <si>
    <t>goedgekeurde gedragscodes</t>
  </si>
  <si>
    <t>de naleving van de in artikel 40 bedoelde goedgekeurde gedragscodes</t>
  </si>
  <si>
    <t>sociaal gedrag</t>
  </si>
  <si>
    <t>32016R0679:35:8:15</t>
  </si>
  <si>
    <t>…door een verwerkingsverantwoordelijke of verwerker verrichte verwerkingen, en met name ter wille van een gegevensbeschermingseffectbeoordeling, wordt de naleving van de in artikel 40 bedoelde goedgekeurde gedragscodes naar behoren in aanmerking genomen.</t>
  </si>
  <si>
    <t>oorspronkelijk verzamelde gegevens</t>
  </si>
  <si>
    <t>de oorspronkelijk verzamelde gegevens</t>
  </si>
  <si>
    <t>32024R1689:59:1:6</t>
  </si>
  <si>
    <t>…oor dataverwerking onder de controle van de potentiële aanbieder, waarbij alleen bevoegde personen toegang hebben tot deze data; e) aanbieders kunnen de oorspronkelijk verzamelde gegevens alleen verder delen in overeenstemming met het Unierecht inzake gegevensbescherming; persoonsgegevens die in de testomgeving worden aangemaakt mogen …</t>
  </si>
  <si>
    <t>een certificering</t>
  </si>
  <si>
    <t>32016R0679:58:2:15</t>
  </si>
  <si>
    <t>…ennisgeving van dergelijke handelingen aan ontvangers aan wie de persoonsgegevens zijn verstrekt, overeenkomstig artikel 17, lid 2, en artikel 19; h) een certificering intrekken of het certificeringsorgaan gelasten een uit hoofde van de artikelen 42 en 43 afgegeven certificering in te trekken, of het certificeringso…</t>
  </si>
  <si>
    <t>elementen van de gespecificeerde technische documentatie</t>
  </si>
  <si>
    <t>de elementen van de in bijlage IV gespecificeerde technische documentatie</t>
  </si>
  <si>
    <t>32024R1689:11:1:1</t>
  </si>
  <si>
    <t>…rschriften te kunnen beoordelen. De documentatie omvat ten minste de in bijlage IV uiteengezette elementen. Kmo’s, met inbegrip van start-ups, kunnen de elementen van de in bijlage IV gespecificeerde technische documentatie op vereenvoudigde wijze verstrekken. Daartoe stelt de Commissie een vereenvoudigd formulier voor technische documentatie op dat is afgestemd op de be…</t>
  </si>
  <si>
    <t>doorgifte van persoonsgegevens</t>
  </si>
  <si>
    <t>een doorgifte van persoonsgegevens</t>
  </si>
  <si>
    <t>32016R0679:46:1:1</t>
  </si>
  <si>
    <t>Bij ontstentenis van een besluit uit hoofde van artikel 45, lid 3, mag een doorgifte van persoonsgegevens aan een derde land of een internationale organisatie door een verwerkingsverantwoordelijke of een verwerker alleen plaatsvinden mits zij passende waa…</t>
  </si>
  <si>
    <t>systeem voor kwaliteitsbeheer</t>
  </si>
  <si>
    <t>een systeem voor kwaliteitsbeheer</t>
  </si>
  <si>
    <t>kwaliteitscontrole</t>
  </si>
  <si>
    <t>kwaliteitsbeheersing van industrieproducten</t>
  </si>
  <si>
    <t>32024R1689:16:whole:2</t>
  </si>
  <si>
    <t>…oduct gevoegde documentatie, naargelang het geval, hun naam, geregistreerde handelsnaam of geregistreerd merk en hun contactadres; c) beschikken over een systeem voor kwaliteitsbeheer dat in overeenstemming is met artikel 17; d) bewaren de in artikel 18 bedoelde documentatie; e) bewaren de in artikel 19 bedoelde logs die automatisc…</t>
  </si>
  <si>
    <t>Commissie</t>
  </si>
  <si>
    <t>de Commissie</t>
  </si>
  <si>
    <t>commissie</t>
  </si>
  <si>
    <t>Commissie Statistiek</t>
  </si>
  <si>
    <t>comitologie</t>
  </si>
  <si>
    <t>32024R1689:5:5:11</t>
  </si>
  <si>
    <t>…als bedoeld in punt h), iii), daarvan de bevoegde autoriteiten deze systemen mogen gebruiken met het oog op de rechtshandhaving. De lidstaten stellen de Commissie uiterlijk dertig dagen na de vaststelling van die regels in kennis. De lidstaten kunnen in overeenstemming met het Unierecht restrictievere wetgeving…</t>
  </si>
  <si>
    <t>verzoekende toezichthoudende autoriteit</t>
  </si>
  <si>
    <t>de verzoekende toezichthoudende autoriteit</t>
  </si>
  <si>
    <t>32016R0679:61:5:8</t>
  </si>
  <si>
    <t>De toezichthoudende autoriteit tot wie het verzoek is gericht, informeert de verzoekende toezichthoudende autoriteit over de resultaten of, in voorkomend geval, de voortgang van de maatregelen die in antwoord op het verzoek zijn genomen. Indien de toezichthoudende a…</t>
  </si>
  <si>
    <t>Raad van toezicht</t>
  </si>
  <si>
    <t>economische levensvatbaarheid</t>
  </si>
  <si>
    <t>de belangen van kmo’s, met inbegrip van start-ups, en hun economische levensvatbaarheid</t>
  </si>
  <si>
    <t>levensvatbaarheid</t>
  </si>
  <si>
    <t>economische stabiliteit</t>
  </si>
  <si>
    <t>economische toestand</t>
  </si>
  <si>
    <t>economische activiteit</t>
  </si>
  <si>
    <t>32024R1689:99:1:4</t>
  </si>
  <si>
    <t>…sie op grond van artikel 96 heeft uitgevaardigd. De sancties moeten doeltreffend, evenredig en afschrikkend zijn. Hierbij wordt rekening gehouden met de belangen van kmo’s, met inbegrip van start-ups, en hun economische levensvatbaarheid.</t>
  </si>
  <si>
    <t>passende voorlopige maatregelen</t>
  </si>
  <si>
    <t>alle passende voorlopige maatregelen</t>
  </si>
  <si>
    <t>voorlopige toepassing van EG-akkoord</t>
  </si>
  <si>
    <t>32024R1689:79:5:3</t>
  </si>
  <si>
    <t>…de operator van een AI-systeem niet binnen de in lid 2 bedoelde termijn doeltreffende corrigerende actie onderneemt, neemt de markttoezichtautoriteit alle passende voorlopige maatregelen om het op haar nationale markt aanbieden of in gebruik stellen van het AI-systeem te verbieden of te beperken, het product of het op zichzelf staande…</t>
  </si>
  <si>
    <t>voorlopige bevindingen</t>
  </si>
  <si>
    <t>haar voorlopige bevindingen</t>
  </si>
  <si>
    <t>32024R1689:101:2:4</t>
  </si>
  <si>
    <t>Alvorens het besluit op grond van lid 1 vast te stellen, deelt de Commissie haar voorlopige bevindingen mee aan de aanbieder van het AI-model voor algemene doeleinden, en stelt zij hem in de gelegenheid te worden gehoord.</t>
  </si>
  <si>
    <t>gedelegeerde handelingen</t>
  </si>
  <si>
    <t>gedelegeerde verordening</t>
  </si>
  <si>
    <t>gedelegeerd besluit</t>
  </si>
  <si>
    <t>32024R1689:6:6:6</t>
  </si>
  <si>
    <t>De Commissie is bevoegd overeenkomstig artikel 97 gedelegeerde handelingen vast te stellen om teneinde lid 3, tweede alinea, van dit artikel te wijzigen door nieuwe voorwaarden toe te voegen aan de daarin vastgelegde voorwaa…</t>
  </si>
  <si>
    <t>bij haar ingediende klacht</t>
  </si>
  <si>
    <t>klacht inzake communautaire geschillen</t>
  </si>
  <si>
    <t>onderzoeksbevoegdheden</t>
  </si>
  <si>
    <t>alle volgende onderzoeksbevoegdheden</t>
  </si>
  <si>
    <t>rechtsbevoegdheid</t>
  </si>
  <si>
    <t>jurisdictiebevoegdheid</t>
  </si>
  <si>
    <t>32016R0679:58:1:1</t>
  </si>
  <si>
    <t>Elk toezichthoudende autoriteit heeft alle volgende onderzoeksbevoegdheden om: a) de verwerkingsverantwoordelijke, de verwerker en, in voorkomend geval, de vertegenwoordiger van de verwerkingsverantwoordelijke of van verwerk…</t>
  </si>
  <si>
    <t>verkrijgen of verstrekken van de gegevens</t>
  </si>
  <si>
    <t>het verkrijgen of verstrekken van de gegevens</t>
  </si>
  <si>
    <t>32016R0679:14:5:14</t>
  </si>
  <si>
    <t>…gelen om de rechten, de vrijheden en de gerechtvaardigde belangen van de betrokkene te beschermen, waaronder het openbaar maken van de informatie; c) het verkrijgen of verstrekken van de gegevens uitdrukkelijk is voorgeschreven bij Unie- of lidstatelijk recht dat op de verwerkingsverantwoordelijke van toepassing is en dat recht voorziet in pas…</t>
  </si>
  <si>
    <t>vergaderingen</t>
  </si>
  <si>
    <t>de vergaderingen</t>
  </si>
  <si>
    <t>32024R1689:65:8:8</t>
  </si>
  <si>
    <t>…eten door een van de vertegenwoordigers van de lidstaten. Het AI-bureau verzorgt het secretariaat van de AI-board, roept op verzoek van de voorzitter de vergaderingen bijeen en stelt de agenda op overeenkomstig de taken van de AI-board krachtens deze verordening en overeenkomstig zijn reglement.</t>
  </si>
  <si>
    <t>gemeenschappelijke beginselen</t>
  </si>
  <si>
    <t>beginsel</t>
  </si>
  <si>
    <t>gemeenschappelijke onderneming</t>
  </si>
  <si>
    <t>32024R1689:58:1:2</t>
  </si>
  <si>
    <t>…ng, de ontwikkeling, de uitvoering en de werking van AI-testomgevingen voor regelgeving en voor het toezicht erop. De uitvoeringshandelingen bevatten gemeenschappelijke beginselen met betrekking tot de volgende punten: a) toelatings- en selectiecriteria voor deelname aan de AI-testomgeving voor regelgeving; b) procedures voor d…</t>
  </si>
  <si>
    <t>adequate en doeltreffende cyberbeveiligingsmaatregelen</t>
  </si>
  <si>
    <t>cyberbeveiligingsmaatregel</t>
  </si>
  <si>
    <t>weerbaarheid op het gebied van cyberbeveiliging</t>
  </si>
  <si>
    <t>netwerk- en internetbeveiliging</t>
  </si>
  <si>
    <t>32024R1689:78:2:3</t>
  </si>
  <si>
    <t>…risico van AI-systemen en ter uitoefening van hun bevoegdheden in overeenstemming met deze verordening en met Verordening (EU) 2019/1020. Zij treffen adequate en doeltreffende cyberbeveiligingsmaatregelen ter bescherming van de veiligheid en de vertrouwelijkheid van de verkregen informatie en gegevens en wissen de verzamelde gegevens zodra die niet lan…</t>
  </si>
  <si>
    <t>aan het AI-bureau toevertrouwde taken</t>
  </si>
  <si>
    <t>de aan het AI-bureau toevertrouwde taken</t>
  </si>
  <si>
    <t>32024R1689:64:2:2</t>
  </si>
  <si>
    <t>De lidstaten faciliteren de aan het AI-bureau toevertrouwde taken, zoals weergegeven in deze verordening.</t>
  </si>
  <si>
    <t>aangelegenheden van algemene strekking of met rechtsgevolgen in meer dan één lidstaat worden onderzocht door het Comité</t>
  </si>
  <si>
    <t>dat aangelegenheden van algemene strekking of met rechtsgevolgen in meer dan één lidstaat worden onderzocht door het Comité</t>
  </si>
  <si>
    <t>32016R0679:64:2:1</t>
  </si>
  <si>
    <t>Een toezichthoudende autoriteit, de voorzitter van het Comité of de Commissie kunnen elk verzoeken dat aangelegenheden van algemene strekking of met rechtsgevolgen in meer dan één lidstaat worden onderzocht door het Comité teneinde advies te verkrijgen, met name wanneer een bevoegde toezichthoudende autoriteit haar verplichtingen tot wederzijdse bijstand overeenkomstig …</t>
  </si>
  <si>
    <t>aangemelde instantie binnen een redelijke, door de autoriteit bepaalde termijn, onterecht afgegeven certificaten schorst of intrekt</t>
  </si>
  <si>
    <t>dat de aangemelde instantie binnen een redelijke, door de autoriteit bepaalde termijn, onterecht afgegeven certificaten schorst of intrekt</t>
  </si>
  <si>
    <t>32024R1689:36:7:21</t>
  </si>
  <si>
    <t>…ijzigingen in de aanwijzing een verslag over haar bevindingen in bij de Commissie en de overige lidstaten; c) schrijft de aanmeldende autoriteit voor dat de aangemelde instantie binnen een redelijke, door de autoriteit bepaalde termijn, onterecht afgegeven certificaten schorst of intrekt, zulks om de voortdurende conformiteit van de in de handel gebrachte AI-systemen met een hoog risico te waarborgen; d) stelt de aanmeldende autoritei…</t>
  </si>
  <si>
    <t>aanvullende AI-testomgevingen voor regelgeving</t>
  </si>
  <si>
    <t>ai-testomgeving</t>
  </si>
  <si>
    <t>32024R1689:57:2:5</t>
  </si>
  <si>
    <t>Er kunnen ook aanvullende AI-testomgevingen voor regelgeving worden ontwikkeld op regionaal of lokaal niveau of samen met de bevoegde autoriteiten van andere lidstaten.</t>
  </si>
  <si>
    <t>accreditatie van een orgaan voor het toezicht op gedragscodes</t>
  </si>
  <si>
    <t>AI-model voor algemene doeleinden</t>
  </si>
  <si>
    <t>een AI-model voor algemene doeleinden</t>
  </si>
  <si>
    <t>aimodel</t>
  </si>
  <si>
    <t>32024R1689:52:4:6</t>
  </si>
  <si>
    <t>…lificeerde waarschuwing van het wetenschappelijk panel op grond van artikel 90, lid 1, punt a), op basis van de in bijlage XIII vastgestelde criteria een AI-model voor algemene doeleinden aanwijzen als een AI-model dat systeemrisico’s vertoont. De Commissie is bevoegd overeenkomstig artikel 97 gedelegeerde handelingen vast te stellen o…</t>
  </si>
  <si>
    <t>AI-systeem als AI-systeem met een hoog risico</t>
  </si>
  <si>
    <t>een AI-systeem als AI-systeem met een hoog risico</t>
  </si>
  <si>
    <t>ai-systeem</t>
  </si>
  <si>
    <t>32024R1689:6:1:1</t>
  </si>
  <si>
    <t>Ongeacht of een AI-systeem los van in de punten a) en b) bedoelde producten in de handel wordt gebracht of in gebruik wordt gesteld, wordt een AI-systeem als AI-systeem met een hoog risico beschouwd wanneer aan beide van de volgende voorwaarden is voldaan: a) het AI-systeem is bedoeld om te worden gebruikt als veiligheidscomponent van e…</t>
  </si>
  <si>
    <t>AI-systeem met een hoog risico aan de voorschriften voldoet</t>
  </si>
  <si>
    <t>dat het betreffende AI-systeem met een hoog risico aan de in afdeling 2 beschreven voorschriften voldoet</t>
  </si>
  <si>
    <t>32024R1689:47:2:6</t>
  </si>
  <si>
    <t>In de EU-conformiteitsverklaring wordt vermeld dat het betreffende AI-systeem met een hoog risico aan de in afdeling 2 beschreven voorschriften voldoet. De EU-conformiteitsverklaring bevat de informatie die is vervat in bijlage V en wordt vertaald in een taal die de nationale bevoegde autoriteiten va…</t>
  </si>
  <si>
    <t>AI-systeem met een hoog risico in overeenstemming is met de eisen</t>
  </si>
  <si>
    <t>dat het AI-systeem met een hoog risico in overeenstemming is met de eisen van deze afdeling</t>
  </si>
  <si>
    <t>32024R1689:11:1:8</t>
  </si>
  <si>
    <t>…ordt gebracht of in gebruik wordt gesteld, en wordt geactualiseerd. De technische documentatie wordt op zodanige wijze opgesteld dat wordt aangetoond dat het AI-systeem met een hoog risico in overeenstemming is met de eisen van deze afdeling en dat nationale bevoegde autoriteiten en aangemelde instanties over de noodzakelijke, op heldere en begrijpelijke wijze gestelde informatie beschikk…</t>
  </si>
  <si>
    <t>AI-systemen die zij op de Uniemarkt hebben aangeboden</t>
  </si>
  <si>
    <t>alle betrokken AI-systemen die zij op de Uniemarkt hebben aangeboden</t>
  </si>
  <si>
    <t>32024R1689:80:5:5</t>
  </si>
  <si>
    <t>De aanbieder zorgt ervoor dat alle betrokken AI-systemen die zij op de Uniemarkt hebben aangeboden aan alle passende corrigerende maatregelen worden onderworpen.</t>
  </si>
  <si>
    <t>AI-systemen met een hoog risico die technieken gebruiken die het trainen van AI-modellen met data omvatten</t>
  </si>
  <si>
    <t>32024R1689:10:1:1</t>
  </si>
  <si>
    <t>AI-systemen met een hoog risico die technieken gebruiken die het trainen van AI-modellen met data omvatten, worden ontwikkeld op basis van datasets voor training, validatie en tests die voldoen aan de in de leden 2 tot en met 5 bedoelde kwaliteitscriteria …</t>
  </si>
  <si>
    <t>AI-systemen met een hoog risico tevens aan de voorschriften van die andere wetgeving voldoen</t>
  </si>
  <si>
    <t>dat de AI-systemen met een hoog risico tevens aan de voorschriften van die andere wetgeving voldoen</t>
  </si>
  <si>
    <t>32024R1689:48:5:4</t>
  </si>
  <si>
    <t>…stemen met een hoog risico onder andere Uniewetgeving vallen die ook betrekking heeft op het aanbrengen van de CE-markering, vermeldt de CE-markering dat de AI-systemen met een hoog risico tevens aan de voorschriften van die andere wetgeving voldoen.</t>
  </si>
  <si>
    <t>AI-testomgeving voor regelgeving</t>
  </si>
  <si>
    <t>een AI-testomgeving voor regelgeving</t>
  </si>
  <si>
    <t>32024R1689:57:3:6</t>
  </si>
  <si>
    <t>De Europese Toezichthouder voor gegevensbescherming kan ook een AI-testomgeving voor regelgeving opzetten voor de instellingen, organen en instanties van de Unie, en kan de rollen en taken van de nationale bevoegde autoriteiten overeenkomstig dit…</t>
  </si>
  <si>
    <t>algemeen erkende stand van de techniek op het gebied van AI en met de relevante bedoelde geharmoniseerde normen en gemeenschappelijke specificaties, dan wel met de krachtens de harmonisatiewetgeving van de Unie vastgestelde geharmoniseerde normen of technische specificaties</t>
  </si>
  <si>
    <t>de algemeen erkende stand van de techniek op het gebied van AI en met de relevante in de artikelen 40 en 41 bedoelde geharmoniseerde normen en gemeenschappelijke specificaties, dan wel met de krachtens de harmonisatiewetgeving van de Unie vastgestelde geharmoniseerde normen of technische specificaties</t>
  </si>
  <si>
    <t>stand</t>
  </si>
  <si>
    <t>32024R1689:96:1:3</t>
  </si>
  <si>
    <t>…lijkst door deze verordening zullen worden beïnvloed. In de in de eerste alinea van dit lid bedoelde richtsnoeren wordt terdege rekening gehouden met de algemeen erkende stand van de techniek op het gebied van AI en met de relevante in de artikelen 40 en 41 bedoelde geharmoniseerde normen en gemeenschappelijke specificaties, dan wel met de krachtens de harmonisatiewetgeving van de Unie vastgestelde geharmoniseerde normen of technische specificaties.</t>
  </si>
  <si>
    <t>automatisch door hun AI-systemen met een hoog risico gegenereerde logs</t>
  </si>
  <si>
    <t>de automatisch door hun AI-systemen met een hoog risico gegenereerde logs</t>
  </si>
  <si>
    <t>32024R1689:19:2:3</t>
  </si>
  <si>
    <t>…en zijn aan eisen met betrekking tot hun interne governance, regelingen of processen uit hoofde van het Unierecht inzake financiële diensten, bewaren de automatisch door hun AI-systemen met een hoog risico gegenereerde logs, als onderdeel van de documentatie die bewaard wordt krachtens het desbetreffende recht inzake financiële diensten.</t>
  </si>
  <si>
    <t>belangen van kmo’s, met inbegrip van start-ups</t>
  </si>
  <si>
    <t>beoogde doel van een AI-systeem, met inbegrip van een AI-systeem voor algemene doeleinden</t>
  </si>
  <si>
    <t>het beoogde doel van een AI-systeem, met inbegrip van een AI-systeem voor algemene doeleinden</t>
  </si>
  <si>
    <t>32024R1689:25:1:4</t>
  </si>
  <si>
    <t>…cht of reeds in gebruik is gesteld op zodanige wijze dat het systeem een AI-systeem met een hoog risico blijft op grond van artikel 6; c) hij wijzigt het beoogde doel van een AI-systeem, met inbegrip van een AI-systeem voor algemene doeleinden, dat niet als een systeem met een hoog risico is geclassificeerd en reeds in de handel is gebracht of in gebruik is gesteld, op zodanige wijze dat he…</t>
  </si>
  <si>
    <t>beoogde maatregelen om de risico's aan te pakken, waaronder waarborgen, veiligheidsmaatregelen en mechanismen om de bescherming van persoonsgegevens te garanderen en om aan te tonen dat aan deze verordening is voldaan, met inachtneming van de rechten en gerechtvaardigde belangen van de betrokkenen en andere personen in kwestie</t>
  </si>
  <si>
    <t>de beoogde maatregelen om de risico's aan te pakken, waaronder waarborgen, veiligheidsmaatregelen en mechanismen om de bescherming van persoonsgegevens te garanderen en om aan te tonen dat aan deze verordening is voldaan, met inachtneming van de rechten en gerechtvaardigde belangen van de betrokkenen en andere personen in kwestie</t>
  </si>
  <si>
    <t>32016R0679:35:7:14</t>
  </si>
  <si>
    <t>…rwerkingen met betrekking tot de doeleinden; c) een beoordeling van de in lid 1 bedoelde risico's voor de rechten en vrijheden van betrokkenen; en d) de beoogde maatregelen om de risico's aan te pakken, waaronder waarborgen, veiligheidsmaatregelen en mechanismen om de bescherming van persoonsgegevens te garanderen en om aan te tonen dat aan deze verordening is voldaan, met inachtneming van de rechten en gerechtvaardigde belangen van de betrokkenen en andere personen in kwestie.</t>
  </si>
  <si>
    <t>beoordeling of de praktijkcodes toereikend zijn</t>
  </si>
  <si>
    <t>hun beoordeling of de praktijkcodes toereikend zijn</t>
  </si>
  <si>
    <t>32024R1689:56:6:10</t>
  </si>
  <si>
    <t>…ben op de verplichtingen van de artikelen 53 en 55, en monitoren en evalueren regelmatig of de doelstellingen daarvan worden verwezenlijkt. Zij maken hun beoordeling of de praktijkcodes toereikend zijn bekend. De Commissie kan door middel van een uitvoeringshandeling een praktijkcode goedkeuren en deze binnen de Unie een algemene geldigheid verlenen…</t>
  </si>
  <si>
    <t>beoordeling van de structuur van de handhaving en de eventuele noodzaak van een Agentschap van de Unie om vastgestelde tekortkomingen op te lossen</t>
  </si>
  <si>
    <t>een beoordeling van de structuur van de handhaving en de eventuele noodzaak van een Agentschap van de Unie om vastgestelde tekortkomingen op te lossen</t>
  </si>
  <si>
    <t>32024R1689:112:3:6</t>
  </si>
  <si>
    <t>…jaar dient de Commissie bij het Europees Parlement en de Raad een verslag in over de evaluatie en de toetsing van deze verordening. Het verslag bevat een beoordeling van de structuur van de handhaving en de eventuele noodzaak van een Agentschap van de Unie om vastgestelde tekortkomingen op te lossen. Op basis van de bevindingen gaat dat verslag indien passend vergezeld van een voorstel tot wijziging van deze verordening. De verslagen worden openb…</t>
  </si>
  <si>
    <t>beoordelingscertificaten van technische documentatie van de Unie of aanvullingen die zij heeft geweigerd, ingetrokken, opgeschort of anderszins beperkt</t>
  </si>
  <si>
    <t>beoordelingscertificaten van technische documentatie van de Unie of aanvullingen daarop die zij heeft geweigerd, ingetrokken, opgeschort of anderszins beperkt</t>
  </si>
  <si>
    <t>beoordelingscertificat</t>
  </si>
  <si>
    <t>32024R1689:45:2:9</t>
  </si>
  <si>
    <t>…ken goedkeuringen voor kwaliteitsbeheersystemen alsmede, op verzoek, van de door haar verleende goedkeuringen voor systemen voor kwaliteitsbeheer; b) beoordelingscertificaten van technische documentatie van de Unie of aanvullingen daarop die zij heeft geweigerd, ingetrokken, opgeschort of anderszins beperkt alsmede, op verzoek, de certificaten en/of aanvullingen daarop die zij heeft uitgegeven.</t>
  </si>
  <si>
    <t>beoordelingscertificaten van technische documentatie van de Unie, aanvullingen op die certificaten en goedkeuringen voor systemen voor kwaliteitsbeheer afgegeven overeenkomstig de eisen</t>
  </si>
  <si>
    <t>beoordelingscertificaten van technische documentatie van de Unie, aanvullingen op die certificaten en goedkeuringen voor systemen voor kwaliteitsbeheer afgegeven overeenkomstig de eisen van bijlage VII</t>
  </si>
  <si>
    <t>32024R1689:45:1:1</t>
  </si>
  <si>
    <t>Aangemelde instanties brengen de aanmeldende autoriteit op de hoogte van: a) beoordelingscertificaten van technische documentatie van de Unie, aanvullingen op die certificaten en goedkeuringen voor systemen voor kwaliteitsbeheer afgegeven overeenkomstig de eisen van bijlage VII; b) weigering, beperking, schorsing of intrekking van een beoordelingscertificaat technische documentatie van de Unie of een goedkeuring voor systeme…</t>
  </si>
  <si>
    <t>bewijsstukken waaruit de bekwaamheid van de conformiteitsbeoordelingsinstantie blijkt, evenals de regeling die waarborgt dat de instantie regelmatig wordt gecontroleerd en zal blijven voldoen aan de eisen</t>
  </si>
  <si>
    <t>de bewijsstukken waaruit de bekwaamheid van de conformiteitsbeoordelingsinstantie blijkt, evenals de regeling die waarborgt dat de instantie regelmatig wordt gecontroleerd en zal blijven voldoen aan de eisen van artikel 31</t>
  </si>
  <si>
    <t>bewijsstukk</t>
  </si>
  <si>
    <t>32024R1689:30:3:3</t>
  </si>
  <si>
    <t>…gebaseerd is op een accreditatiecertificaat als bedoeld in artikel 29, lid 2, verschaft de aanmeldende autoriteit de Commissie en de andere lidstaten de bewijsstukken waaruit de bekwaamheid van de conformiteitsbeoordelingsinstantie blijkt, evenals de regeling die waarborgt dat de instantie regelmatig wordt gecontroleerd en zal blijven voldoen aan de eisen van artikel 31.</t>
  </si>
  <si>
    <t>certificaten of aanvullingen die zij heeft uitgegeven</t>
  </si>
  <si>
    <t>de certificaten en/of aanvullingen daarop die zij heeft uitgegeven</t>
  </si>
  <si>
    <t>32024R1689:45:2:10</t>
  </si>
  <si>
    <t>…echnische documentatie van de Unie of aanvullingen daarop die zij heeft geweigerd, ingetrokken, opgeschort of anderszins beperkt alsmede, op verzoek, de certificaten en/of aanvullingen daarop die zij heeft uitgegeven.</t>
  </si>
  <si>
    <t>certificeringsmechanismen voor gegevensbescherming en gegevensbeschermingszegels en -merktekens</t>
  </si>
  <si>
    <t>de invoering van certificeringsmechanismen voor gegevensbescherming en gegevensbeschermingszegels en -merktekens</t>
  </si>
  <si>
    <t>32016R0679:42:1:1</t>
  </si>
  <si>
    <t>De lidstaten, de toezichthoudende autoriteiten, het Comité en de Commissie bevorderen, met name op Unieniveau, de invoering van certificeringsmechanismen voor gegevensbescherming en gegevensbeschermingszegels en -merktekens waarmee kan worden aangetoond dat verwerkingsverantwoordelijken en verwerkers bij verwerkingen in overeenstemming met deze verordening handelen. Er w…</t>
  </si>
  <si>
    <t>certificeringsmechanismen voor gegevensbescherming en van gegevensbeschermingszegels en -merktekens</t>
  </si>
  <si>
    <t>de invoering van certificeringsmechanismen voor gegevensbescherming en van gegevensbeschermingszegels en -merktekens overeenkomstig artikel 42, lid 1</t>
  </si>
  <si>
    <t>32016R0679:57:1:23</t>
  </si>
  <si>
    <t>… van artikel 40, lid 1, geeft advies en keurt, overeenkomstig artikel 40, lid 5, gedragscodes goed die voldoende waarborgen leveren; n) zij bevordert de invoering van certificeringsmechanismen voor gegevensbescherming en van gegevensbeschermingszegels en -merktekens overeenkomstig artikel 42, lid 1, en keurt de criteria voor certificering uit hoofde van artikel 42, lid 5, goed; o) waar van toepassing verricht zij een periodieke toetsing van de o…</t>
  </si>
  <si>
    <t>certificeringsorganen worden geaccrediteerd door één van de volgende instanties</t>
  </si>
  <si>
    <t>die certificeringsorganen worden geaccrediteerd door één van de volgende instanties</t>
  </si>
  <si>
    <t>32016R0679:43:1:2</t>
  </si>
  <si>
    <t>…g van haar bevoegdheden overeenkomstig artikel 58, lid 2, punt h), over tot afgifte en verlenging van het certificaat. De lidstaten zorgen ervoor dat die certificeringsorganen worden geaccrediteerd door één van de volgende instanties: a) de toezichthoudende autoriteit die bevoegd is overeenkomstig artikel 55 of 56; b) de nationale accreditatie-instantie die is aangewezen in overee…</t>
  </si>
  <si>
    <t>conformiteit van AI-systemen met een hoog risico</t>
  </si>
  <si>
    <t>de conformiteit van AI-systemen met een hoog risico</t>
  </si>
  <si>
    <t>conformiteit</t>
  </si>
  <si>
    <t>32024R1689:34:1:1</t>
  </si>
  <si>
    <t>Aangemelde instanties controleren de conformiteit van AI-systemen met een hoog risico overeenkomstig de conformiteitsbeoordelingsprocedures van artikel 43.</t>
  </si>
  <si>
    <t>conformiteit van de AI-systemen met een hoog risico met de voorschriften</t>
  </si>
  <si>
    <t>de conformiteit van de AI-systemen met een hoog risico met de in afdeling 2 beschreven voorschriften</t>
  </si>
  <si>
    <t>32024R1689:43:3:3</t>
  </si>
  <si>
    <t>…ijlage VII zijn eveneens van toepassing. Voor die beoordeling hebben aangemelde instanties die volgens die rechtshandelingen zijn aangemeld het recht de conformiteit van de AI-systemen met een hoog risico met de in afdeling 2 beschreven voorschriften te controleren, mits de overeenstemming van die aangemelde instanties met voorschriften van artikel 31, leden 4, 10 en 11, in de context van de aanme…</t>
  </si>
  <si>
    <t>content kunstmatig is gegenereerd of gemanipuleerd</t>
  </si>
  <si>
    <t>dat de content kunstmatig is gegenereerd of gemanipuleerd</t>
  </si>
  <si>
    <t>contenen</t>
  </si>
  <si>
    <t>32024R1689:50:4:7</t>
  </si>
  <si>
    <t>Gebruiksverantwoordelijken van een AI-systeem dat beeld-, audio- of videocontent genereert of bewerkt die een deepfake vormt, maken bekend dat de content kunstmatig is gegenereerd of gemanipuleerd. Deze verplichting geldt niet wanneer het gebruik bij wet is toegestaan om strafbare feiten op te sporen, te voorkomen, te onderzoeken of te vervolge…</t>
  </si>
  <si>
    <t>contractuele eisen</t>
  </si>
  <si>
    <t>de contractuele eisen</t>
  </si>
  <si>
    <t>32024R1689:25:4:14</t>
  </si>
  <si>
    <t>…t of geïntegreerd in AI-systemen met een hoog risico. Bij de ontwikkeling van die vrijwillige modelvoorwaarden moet het AI-bureau rekening houden met de contractuele eisen die kunnen gelden in specifieke sectoren of businesscases. De vrijwillige modelvoorwaarden worden gepubliceerd en kosteloos beschikbaar gesteld in ee…</t>
  </si>
  <si>
    <t>door haar aangemelde instanties rechtstreeks of via aangestelde vertegenwoordigers aan de werkzaamheden van een groep deelnemen</t>
  </si>
  <si>
    <t>de door haar aangemelde instanties rechtstreeks of via aangestelde vertegenwoordigers aan de werkzaamheden van een in lid 1 vermelde groep deelnemen</t>
  </si>
  <si>
    <t>32024R1689:38:2:2</t>
  </si>
  <si>
    <t>Elke aanmeldende autoriteit zorgt ervoor dat de door haar aangemelde instanties rechtstreeks of via aangestelde vertegenwoordigers aan de werkzaamheden van een in lid 1 vermelde groep deelnemen.</t>
  </si>
  <si>
    <t>eerder uitgevoerde effectbeoordelingen op het gebied van de grondrechten of bestaande effectbeoordelingen die door de aanbieder zijn uitgevoerd</t>
  </si>
  <si>
    <t>van eerder uitgevoerde effectbeoordelingen op het gebied van de grondrechten of bestaande effectbeoordelingen die door de aanbieder zijn uitgevoerd</t>
  </si>
  <si>
    <t>effectbeoordeling</t>
  </si>
  <si>
    <t>32024R1689:27:2:2</t>
  </si>
  <si>
    <t>… van toepassing op het eerste gebruik van een AI-systeem met een hoog risico. De gebruiksverantwoordelijke kan in soortgelijke gevallen gebruik maken van eerder uitgevoerde effectbeoordelingen op het gebied van de grondrechten of bestaande effectbeoordelingen die door de aanbieder zijn uitgevoerd. Indien de gebruiksverantwoordelijke tijdens het gebruik van het AI-systeem met een hoog risico ziet dat een van de in lid 1 vermelde elementen is ge…</t>
  </si>
  <si>
    <t>eerder vastgestelde richtsnoeren</t>
  </si>
  <si>
    <t>richtsnoer</t>
  </si>
  <si>
    <t>32024R1689:96:2:4</t>
  </si>
  <si>
    <t>Op verzoek van de lidstaten of het AI-bureau of op eigen initiatief actualiseert de Commissie eerder vastgestelde richtsnoeren wanneer dit nodig wordt geacht.</t>
  </si>
  <si>
    <t>eigenschappen of elementen die specifiek zijn voor een bepaalde geografische, contextuele, functionele of gedragsomgeving waarin het AI-systeem met een hoog risico moet worden gebruikt</t>
  </si>
  <si>
    <t>de eigenschappen of elementen die specifiek zijn voor een bepaalde geografische, contextuele, functionele of gedragsomgeving waarin het AI-systeem met een hoog risico moet worden gebruikt</t>
  </si>
  <si>
    <t>eigenschappen</t>
  </si>
  <si>
    <t>32024R1689:10:4:5</t>
  </si>
  <si>
    <t>Ten aanzien van datasets wordt, voor zover vereist gezien het beoogde doel hiervan, rekening gehouden met de eigenschappen of elementen die specifiek zijn voor een bepaalde geografische, contextuele, functionele of gedragsomgeving waarin het AI-systeem met een hoog risico moet worden gebruikt.</t>
  </si>
  <si>
    <t>eisen inzake organisatie, kwaliteitsbeheer, personeel en processen die nodig zijn voor het vervullen van hun taken, alsook aan de passende cyberbeveiligingseisen</t>
  </si>
  <si>
    <t>de eisen inzake organisatie, kwaliteitsbeheer, personeel en processen die nodig zijn voor het vervullen van hun taken, alsook aan de passende cyberbeveiligingseisen</t>
  </si>
  <si>
    <t>32024R1689:31:2:1</t>
  </si>
  <si>
    <t>Aangemelde instanties voldoen aan de eisen inzake organisatie, kwaliteitsbeheer, personeel en processen die nodig zijn voor het vervullen van hun taken, alsook aan de passende cyberbeveiligingseisen.</t>
  </si>
  <si>
    <t>er geen certificaten in verband met de schorsing zullen worden afgegeven, gewijzigd, of opnieuw afgegeven gedurende de schorsing of beperking</t>
  </si>
  <si>
    <t>dat er geen certificaten in verband met de schorsing zullen worden afgegeven, gewijzigd, of opnieuw afgegeven gedurende de schorsing of beperking</t>
  </si>
  <si>
    <t>32024R1689:36:8:29</t>
  </si>
  <si>
    <t>…utoriteit heeft voorzien in een termijn voor maatregelen om de schorsing of beperking te ondervangen, of b) de aanmeldende autoriteit heeft bevestigd dat er geen certificaten in verband met de schorsing zullen worden afgegeven, gewijzigd, of opnieuw afgegeven gedurende de schorsing of beperking en geeft aan of de aangemelde instantie het vermogen heeft om de bestaande, voor de periode van schorsing of beperking afgegeven certificaten te blij…</t>
  </si>
  <si>
    <t>er geen verdere gronden voor actie zijn</t>
  </si>
  <si>
    <t>dat er geen verdere gronden voor actie zijn</t>
  </si>
  <si>
    <t>grond</t>
  </si>
  <si>
    <t>32024R1689:93:3:9</t>
  </si>
  <si>
    <t>… maatregelen uit te voeren om een systeemrisico op Unieniveau aan te pakken, kan de Commissie die toezeggingen bij besluit bindend maken en verklaren dat er geen verdere gronden voor actie zijn.</t>
  </si>
  <si>
    <t>er met betrekking tot de certificaten waarop de schorsing of beperking van toepassing is, geen risico’s voor de gezondheid, veiligheid of grondrechten bestaan</t>
  </si>
  <si>
    <t>dat er met betrekking tot de certificaten waarop de schorsing of beperking van toepassing is, geen risico’s voor de gezondheid, veiligheid of grondrechten bestaan</t>
  </si>
  <si>
    <t>betrekking</t>
  </si>
  <si>
    <t>32024R1689:36:8:27</t>
  </si>
  <si>
    <t>…certificaten geldig in een van de volgende omstandigheden: a) de aanmeldende autoriteit heeft binnen één maand na de schorsing of beperking bevestigd dat er met betrekking tot de certificaten waarop de schorsing of beperking van toepassing is, geen risico’s voor de gezondheid, veiligheid of grondrechten bestaan, en de aanmeldende autoriteit heeft voorzien in een termijn voor maatregelen om de schorsing of beperking te ondervangen, of b) de aanmeldende autori…</t>
  </si>
  <si>
    <t>er technische en organisatorische maatregelen zijn getroffen om de inachtneming van het beginsel van minimale gegevensverwerking te garanderen</t>
  </si>
  <si>
    <t>32016R0679:89:1:1</t>
  </si>
  <si>
    <t>…rpen aan passende waarborgen in overeenstemming met deze verordening voor de rechten en vrijheden van de betrokkene. Die waarborgen zorgen ervoor dat er technische en organisatorische maatregelen zijn getroffen om de inachtneming van het beginsel van minimale gegevensverwerking te garanderen. Deze maatregelen kunnen pseudonimisering omvatten, mits aldus die doeleinden in kwestie kunnen worden verwezenlijkt. Wanneer die doeleinden kunnen w…</t>
  </si>
  <si>
    <t>er vertrouwen is in hun uitvoering en de resultaten van de conformiteitsbeoordelingsactiviteiten die de aangemelde instanties verrichten</t>
  </si>
  <si>
    <t>dat er vertrouwen is in hun uitvoering en de resultaten van de conformiteitsbeoordelingsactiviteiten die de aangemelde instanties verrichten</t>
  </si>
  <si>
    <t>vertrouwen</t>
  </si>
  <si>
    <t>32024R1689:31:3:2</t>
  </si>
  <si>
    <t>…organisatiestructuur, de toewijzing van verantwoordelijkheden, de rapportagelijnen en het functioneren van aangemelde instanties moeten ervoor zorgen dat er vertrouwen is in hun uitvoering en de resultaten van de conformiteitsbeoordelingsactiviteiten die de aangemelde instanties verrichten.</t>
  </si>
  <si>
    <t>gestandaardiseerde sjablonen</t>
  </si>
  <si>
    <t>32024R1689:62:3:4</t>
  </si>
  <si>
    <t>Het AI-bureau onderneemt de volgende acties: a) het verstrekken van gestandaardiseerde sjablonen voor de gebieden die onder deze verordening vallen, zoals gespecificeerd door de AI-board in zijn verzoek; b) het ontwikkelen en in stand houden van …</t>
  </si>
  <si>
    <t>gevallen</t>
  </si>
  <si>
    <t>alle gevallen</t>
  </si>
  <si>
    <t>32024R1689:37:1:1</t>
  </si>
  <si>
    <t>De Commissie onderzoekt indien nodig alle gevallen waarin er redenen zijn om te twijfelen aan de bekwaamheid van een aangemelde instantie of te twijfelen of een aangemelde instantie nog aan de eisen v…</t>
  </si>
  <si>
    <t>identificator</t>
  </si>
  <si>
    <t>impact en de doeltreffendheid van vrijwillige gedragscodes</t>
  </si>
  <si>
    <t>de impact en de doeltreffendheid van vrijwillige gedragscodes</t>
  </si>
  <si>
    <t>doeltreffendheid</t>
  </si>
  <si>
    <t>32024R1689:112:7:15</t>
  </si>
  <si>
    <t>Uiterlijk op 2 augustus 2028 en vervolgens om de drie jaar evalueert de Commissie de impact en de doeltreffendheid van vrijwillige gedragscodes om de toepassing van de eisen van hoofdstuk III, afdeling 2, voor AI-systemen die geen AI-systemen met een hoog risico zijn en eventuele andere aanvu…</t>
  </si>
  <si>
    <t>in plaats van de aangemelde instantie een andere gekwalificeerde aangemelde instantie tijdelijk de certificaten tijdens de periode van schorsing of beperking zal monitoren en er de verantwoordelijkheid voor zal dragen</t>
  </si>
  <si>
    <t>dat in plaats van de aangemelde instantie een andere gekwalificeerde aangemelde instantie tijdelijk de certificaten tijdens de periode van schorsing of beperking zal monitoren en er de verantwoordelijkheid voor zal dragen</t>
  </si>
  <si>
    <t>plaats</t>
  </si>
  <si>
    <t>32024R1689:36:8:31</t>
  </si>
  <si>
    <t>…horsing of beperking aan de nationale bevoegde autoriteiten van de lidstaat waar hij zijn geregistreerde vestigingsplaats heeft via schriftelijke weg dat in plaats van de aangemelde instantie een andere gekwalificeerde aangemelde instantie tijdelijk de certificaten tijdens de periode van schorsing of beperking zal monitoren en er de verantwoordelijkheid voor zal dragen.</t>
  </si>
  <si>
    <t>ingevulde sjabloon</t>
  </si>
  <si>
    <t>het in lid 5 van dit artikel bedoelde ingevulde sjabloon</t>
  </si>
  <si>
    <t>32024R1689:27:3:6</t>
  </si>
  <si>
    <t>…oerd, stelt de gebruiksverantwoordelijke de markttoezichtautoriteit in kennis van de resultaten ervan, en dient hij als onderdeel van de kennisgeving het in lid 5 van dit artikel bedoelde ingevulde sjabloon in. In het in artikel 46, lid 1, bedoelde geval kunnen gebruiksverantwoordelijken van de verplichting tot kennisgeving worden vrijgesteld.</t>
  </si>
  <si>
    <t>klager</t>
  </si>
  <si>
    <t>de klager</t>
  </si>
  <si>
    <t>32016R0679:57:1:11</t>
  </si>
  <si>
    <t>…, of van organen, organisaties of verenigingen overeenkomstig artikel 80, onderzoekt de inhoud van de klacht in de mate waarin dat gepast is en stelt de klager binnen een redelijke termijn in kennis van de vooruitgang en het resultaat van het onderzoek, met name indien verder onderzoek of coördinatie met een…</t>
  </si>
  <si>
    <t>latere wijzigingen</t>
  </si>
  <si>
    <t>alle latere wijzigingen daarvan</t>
  </si>
  <si>
    <t>32024R1689:99:2:6</t>
  </si>
  <si>
    <t>…k op de datum van toepassing in kennis van de in lid 1 bedoelde voorschriften voor sancties en andere handhavingsmaatregelen en delen haar onverwijld alle latere wijzigingen daarvan mee.</t>
  </si>
  <si>
    <t>lijst actueel blijft</t>
  </si>
  <si>
    <t>de lijst actueel blijft</t>
  </si>
  <si>
    <t>32024R1689:35:2:3</t>
  </si>
  <si>
    <t>…elde instanties openbaar, onder vermelding van hun identificatienummers en de activiteiten waarvoor zij zijn aangemeld. De Commissie zorgt ervoor dat de lijst actueel blijft.</t>
  </si>
  <si>
    <t>lijst met AI-modellen voor algemene doeleinden met een systeemrisico wordt gepubliceerd</t>
  </si>
  <si>
    <t>een lijst met AI-modellen voor algemene doeleinden met een systeemrisico wordt gepubliceerd</t>
  </si>
  <si>
    <t>32024R1689:52:6:8</t>
  </si>
  <si>
    <t>De Commissie zorgt ervoor dat er een lijst met AI-modellen voor algemene doeleinden met een systeemrisico wordt gepubliceerd en houdt die lijst actueel, onverminderd de noodzaak om intellectuele-eigendomsrechten en vertrouwelijke bedrijfsinformatie of bedrijfsgeheimen te ee…</t>
  </si>
  <si>
    <t>lijst van de centrale contactpunten</t>
  </si>
  <si>
    <t>een lijst van de centrale contactpunten</t>
  </si>
  <si>
    <t>32024R1689:70:2:5</t>
  </si>
  <si>
    <t>…t als centraal contactpunt voor deze verordening en stellen de Commissie in kennis van de identiteit van het centrale contactpunt. De Commissie maakt een lijst van de centrale contactpunten openbaar.</t>
  </si>
  <si>
    <t>logs die automatisch worden gegenereerd door dat AI-systeem met een hoog risico</t>
  </si>
  <si>
    <t>de logs die automatisch worden gegenereerd door dat AI-systeem met een hoog risico</t>
  </si>
  <si>
    <t>32024R1689:26:6:11</t>
  </si>
  <si>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t>
  </si>
  <si>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</si>
  <si>
    <t>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</si>
  <si>
    <t>32024R1689:15:5:6</t>
  </si>
  <si>
    <t>…aan op de relevante omstandigheden en risico’s. De technische oplossingen voor het aanpakken van AI-specifieke kwetsbaarheden omvatten, waar passend, maatregelen voor het voorkomen, traceren, reageren op, oplossen en beheersen van aanvallen waarmee een poging wordt gedaan tot het manipuleren van de dataset voor de training (de zogenaamde “datavervuiling”), van vooraf getrainde componenten die in de training zijn gebruikt (de zogenaamde “modelvervuiling”), van input die is gecreëerd om fouten van het model te veroorzaken (zogenaamde “vijandige voorbeelden” of “modelontwijking”), van aanvallen om vertrouwelijke gegevens te bemachtigen of van tekortkomingen van het model.</t>
  </si>
  <si>
    <t>mechanismen</t>
  </si>
  <si>
    <t>mechanisom</t>
  </si>
  <si>
    <t>32016R0679:40:4:7</t>
  </si>
  <si>
    <t>Een in lid 2 van dit artikel bedoelde gedragscode bevat mechanismen die het in artikel 41, lid 1, bedoelde orgaan in staat stellen het verplichte toezicht uit te oefenen op de naleving van de bepalingen van de code do…</t>
  </si>
  <si>
    <t>mogelijkheid om volledig of gedeeltelijk toestemming te verlenen voor het gebruik van systemen voor biometrische identificatie op afstand in real time in openbare ruimten met het oog op de rechtshandhaving</t>
  </si>
  <si>
    <t>om te voorzien in de mogelijkheid om volledig of gedeeltelijk toestemming te verlenen voor het gebruik van systemen voor biometrische identificatie op afstand in real time in openbare ruimten met het oog op de rechtshandhaving</t>
  </si>
  <si>
    <t>32024R1689:5:5:9</t>
  </si>
  <si>
    <t>Een lidstaat kan besluiten om te voorzien in de mogelijkheid om volledig of gedeeltelijk toestemming te verlenen voor het gebruik van systemen voor biometrische identificatie op afstand in real time in openbare ruimten met het oog op de rechtshandhaving binnen de grenzen en onder de voorwaarden van lid 1, eerste alinea, punt h), en de leden 2 en 3. De betrokken lidstaten leggen in hun nationale recht…</t>
  </si>
  <si>
    <t>nadere regels</t>
  </si>
  <si>
    <t>32016R0679:88:1:1</t>
  </si>
  <si>
    <t>Bij wet of bij collectieve overeenkomst kunnen de lidstaten nadere regels vaststellen ter bescherming van de rechten en vrijheden met betrekking tot de verwerking van de persoonsgegevens van werknemers in het kader van de a…</t>
  </si>
  <si>
    <t>noodzakelijke beschreven elementen</t>
  </si>
  <si>
    <t>de noodzakelijke in de leden 1, 2 en 3 beschreven elementen</t>
  </si>
  <si>
    <t>32024R1689:72:4:6</t>
  </si>
  <si>
    <t>…l brengen zijn vastgesteld, ten behoeve van de consistentie, ter vermijding van doublures en om extra lasten tot een minimum te beperken, de keuze om de noodzakelijke in de leden 1, 2 en 3 beschreven elementen te integreren, met gebruikmaking van het in lid 3 bedoelde model, in systemen en plannen die reeds bestaan op grond van die wetgeving, mits dat een g…</t>
  </si>
  <si>
    <t>noodzakelijke corrigerende maatregelen</t>
  </si>
  <si>
    <t>de noodzakelijke corrigerende maatregelen</t>
  </si>
  <si>
    <t>32024R1689:16:whole:8</t>
  </si>
  <si>
    <t>… dat aan deze verordening is voldaan, overeenkomstig artikel 48; i) leven de registratieverplichtingen als bedoeld in artikel 49, lid 1, na; j) nemen de noodzakelijke corrigerende maatregelen en verstrekken de uit hoofde van artikel 20 vereiste informatie; k) tonen op een met redenen omkleed verzoek van een nationale bevoegde autoriteit de…</t>
  </si>
  <si>
    <t>of de aangemelde instantie het vermogen heeft om de bestaande, voor de periode van schorsing of beperking afgegeven certificaten te blijven monitoren en verantwoordelijk te blijven</t>
  </si>
  <si>
    <t>of de aangemelde instantie het vermogen heeft om de bestaande, voor de periode van schorsing of beperking afgegeven certificaten te blijven monitoren en daarvoor verantwoordelijk te blijven</t>
  </si>
  <si>
    <t>32024R1689:36:8:30</t>
  </si>
  <si>
    <t>…en certificaten in verband met de schorsing zullen worden afgegeven, gewijzigd, of opnieuw afgegeven gedurende de schorsing of beperking en geeft aan of de aangemelde instantie het vermogen heeft om de bestaande, voor de periode van schorsing of beperking afgegeven certificaten te blijven monitoren en daarvoor verantwoordelijk te blijven; indien de aanmeldende autoriteit vaststelt dat de aangemelde instantie niet in staat is bestaande afgegeven certificaten te ondersteunen, bevestigt …</t>
  </si>
  <si>
    <t>of de betrokken verwerkingsverantwoordelijken en verwerkers in aanmerking komen om de gedragscode toe te passen</t>
  </si>
  <si>
    <t>verwerkingsverantwoordelijken</t>
  </si>
  <si>
    <t>32016R0679:41:2:5</t>
  </si>
  <si>
    <t>…skundigheid met betrekking tot het onderwerp van de gedragscode heeft aangetoond; b) procedures heeft vastgesteld op grond waarvan het kan beoordelen of de betrokken verwerkingsverantwoordelijken en verwerkers in aanmerking komen om de gedragscode toe te passen, toezicht kan houden op de naleving van de bepalingen van de gedragscode door deze laatsten en het de werking van de gedragscode op gezette tijden ka…</t>
  </si>
  <si>
    <t>of de lijst en de lijst van de verboden AI-praktijken moeten worden gewijzigd</t>
  </si>
  <si>
    <t>of de lijst van bijlage III en de lijst van de verboden AI-praktijken in artikel 5 moeten worden gewijzigd</t>
  </si>
  <si>
    <t>32024R1689:112:1:1</t>
  </si>
  <si>
    <t>…t vanaf de inwerkingtreding van deze verordening en tot het einde van de in artikel 97 vermelde periode van de bevoegdheidsdelegatie eenmaal per jaar of de lijst van bijlage III en de lijst van de verboden AI-praktijken in artikel 5 moeten worden gewijzigd. De Commissie deelt de bevindingen van die beoordeling mee aan het Europees Parlement en de Raad.</t>
  </si>
  <si>
    <t>of de vereiste CE-markering is aangebracht, of het systeem vergezeld gaat van de EU-conformiteitsverklaring en gebruiksinstructies en of de aanbieder en importeur van dat systeem, naargelang het geval, hun respectievelijke verplichtingen als vastgelegd hebben nageleefd</t>
  </si>
  <si>
    <t>of daarop de vereiste CE-markering is aangebracht, of het systeem vergezeld gaat van de in artikel 47 bedoelde EU-conformiteitsverklaring en gebruiksinstructies en of de aanbieder en importeur van dat systeem, naargelang het geval, hun respectievelijke verplichtingen als vastgelegd in artikel 16, punten b) en c), en artikel 23, lid 3, hebben nageleefd</t>
  </si>
  <si>
    <t>32024R1689:24:1:1</t>
  </si>
  <si>
    <t>Voordat zij een AI-systeem met een hoog risico op de markt aanbieden, controleren distributeurs of daarop de vereiste CE-markering is aangebracht, of het systeem vergezeld gaat van de in artikel 47 bedoelde EU-conformiteitsverklaring en gebruiksinstructies en of de aanbieder en importeur van dat systeem, naargelang het geval, hun respectievelijke verplichtingen als vastgelegd in artikel 16, punten b) en c), en artikel 23, lid 3, hebben nageleefd.</t>
  </si>
  <si>
    <t>of het lid of de leden van elke toezichthoudende autoriteit opnieuw kan of kunnen worden benoemd en zo ja, hoe vaak</t>
  </si>
  <si>
    <t>32016R0679:54:1:6</t>
  </si>
  <si>
    <t>…at nodig is om de onafhankelijkheid van de toezichthoudende autoriteit door middel van een in de tijd gespreide benoemingsprocedure te beschermen; e) of het lid of de leden van elke toezichthoudende autoriteit opnieuw kan of kunnen worden benoemd en zo ja, hoe vaak; f) de voorwaarden in verband met de plichten van het lid of de leden en de personeelsleden van elke toezichthoudende autoriteit, de verboden op met …</t>
  </si>
  <si>
    <t>of verdere al dan niet bindende maatregelen of acties nodig zijn</t>
  </si>
  <si>
    <t>32024R1689:112:6:12</t>
  </si>
  <si>
    <t>…wikkeling van normalisatieproducten met betrekking tot de energie-efficiënte ontwikkeling van AI-modellen voor algemene doeleinden, en beoordeelt zij of verdere al dan niet bindende maatregelen of acties nodig zijn. Dit verslag wordt toegezonden aan het Europees Parlement en de Raad en openbaar gemaakt.</t>
  </si>
  <si>
    <t>of zij de zaak al dan niet zal behandelen</t>
  </si>
  <si>
    <t>32016R0679:56:3:3</t>
  </si>
  <si>
    <t>…udende autoriteit onverwijld in kennis van de zaak. Binnen drie weken nadat zij in kennis is gesteld, besluit de leidende toezichthoudende autoriteit of zij de zaak al dan niet zal behandelen, overeenkomstig de in artikel 60 vastgelegde procedure; zij houdt daarbij rekening met het al dan niet bestaan van een vestiging van de verwerkingsve…</t>
  </si>
  <si>
    <t>of zij haar ontwerpbesluit zal handhaven dan wel wijzigen alsmede, in voorkomend geval het gewijzigde ontwerpbesluit</t>
  </si>
  <si>
    <t>wijzig</t>
  </si>
  <si>
    <t>32016R0679:64:7:12</t>
  </si>
  <si>
    <t>…n deelt de voorzitter van het Comité binnen twee weken na ontvangst van het advies langs elektronische weg door middel van een standaardformulier mee of zij haar ontwerpbesluit zal handhaven dan wel wijzigen alsmede, in voorkomend geval het gewijzigde ontwerpbesluit.</t>
  </si>
  <si>
    <t>omschrijving, in duidelijke en eenvoudige taal, van de aard van de inbreuk in verband met persoonsgegevens en ten minste de gegevens en maatregelen</t>
  </si>
  <si>
    <t>een omschrijving, in duidelijke en eenvoudige taal, van de aard van de inbreuk in verband met persoonsgegevens en ten minste de in artikel 33, lid 3, onder b), c) en d), bedoelde gegevens en maatregelen</t>
  </si>
  <si>
    <t>omschrijving</t>
  </si>
  <si>
    <t>32016R0679:34:2:2</t>
  </si>
  <si>
    <t>De in lid 1 van dit artikel bedoelde mededeling aan de betrokkene bevat een omschrijving, in duidelijke en eenvoudige taal, van de aard van de inbreuk in verband met persoonsgegevens en ten minste de in artikel 33, lid 3, onder b), c) en d), bedoelde gegevens en maatregelen.</t>
  </si>
  <si>
    <t>ontwerpcriteria voor accreditatie van een bedoeld orgaan</t>
  </si>
  <si>
    <t>de ontwerpcriteria voor accreditatie van een in lid 1 van dit artikel bedoeld orgaan</t>
  </si>
  <si>
    <t>32016R0679:41:3:12</t>
  </si>
  <si>
    <t>De bevoegde toezichthoudende autoriteit legt de ontwerpcriteria voor accreditatie van een in lid 1 van dit artikel bedoeld orgaan overeenkomstig het in artikel 63 bedoelde coherentiemechanisme voor aan het Comité.</t>
  </si>
  <si>
    <t>op geautomatiseerde verwerking, waaronder profilering, gebaseerd besluit</t>
  </si>
  <si>
    <t>een uitsluitend op geautomatiseerde verwerking, waaronder profilering, gebaseerd besluit</t>
  </si>
  <si>
    <t>32016R0679:22:1:1</t>
  </si>
  <si>
    <t>De betrokkene heeft het recht niet te worden onderworpen aan een uitsluitend op geautomatiseerde verwerking, waaronder profilering, gebaseerd besluit waaraan voor hem rechtsgevolgen zijn verbonden of dat hem anderszins in aanmerkelijke mate treft.</t>
  </si>
  <si>
    <t>orgaan, organisatie of vereniging over het recht beschikt om onafhankelijk van de opdracht van een betrokkene staat klacht in te dienen bij de rechten uit te oefenen</t>
  </si>
  <si>
    <t>dat een orgaan, organisatie of vereniging als bedoeld in lid 1 van dit artikel, over het recht beschikt om onafhankelijk van de opdracht van een betrokkene in die lidstaat klacht in te dienen bij de overeenkomstig artikel 77 bevoegde toezichthoudende autoriteit en de in de artikelen 78 en 79 bedoelde rechten uit te oefenen</t>
  </si>
  <si>
    <t>orgaan</t>
  </si>
  <si>
    <t>32016R0679:80:2:4</t>
  </si>
  <si>
    <t>De lidstaten kunnen bepalen dat een orgaan, organisatie of vereniging als bedoeld in lid 1 van dit artikel, over het recht beschikt om onafhankelijk van de opdracht van een betrokkene in die lidstaat klacht in te dienen bij de overeenkomstig artikel 77 bevoegde toezichthoudende autoriteit en de in de artikelen 78 en 79 bedoelde rechten uit te oefenen, indien het/zij van mening is dat de rechten van een betrokkene uit hoofde van deze verordening zijn geschonden ten gevolge van de verwerking.</t>
  </si>
  <si>
    <t>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t>
  </si>
  <si>
    <t>een 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t>
  </si>
  <si>
    <t>32016R0679:80:1:1</t>
  </si>
  <si>
    <t>De betrokkene heeft het recht een 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 opdracht te geven de klacht namens hem in te dienen, namens hem de in artikelen 77, 78 en 79 bedoelde rechten uit te oefenen en namens hem het in ar…</t>
  </si>
  <si>
    <t>outputs</t>
  </si>
  <si>
    <t>outputs van het AI-systeem worden gemarkeerd in een machineleesbaar formaat en detecteerbaar zijn als kunstmatig gegenereerd of gemanipuleerd</t>
  </si>
  <si>
    <t>de outputs van het AI-systeem worden gemarkeerd in een machineleesbaar formaat en detecteerbaar zijn als kunstmatig gegenereerd of gemanipuleerd</t>
  </si>
  <si>
    <t>32024R1689:50:2:2</t>
  </si>
  <si>
    <t>…-systemen, met inbegrip van AI-systemen voor algemene doeleinden, die synthetische audio-, beeld-, video- of tekstinhoud genereren, zorgen ervoor dat de outputs van het AI-systeem worden gemarkeerd in een machineleesbaar formaat en detecteerbaar zijn als kunstmatig gegenereerd of gemanipuleerd. Aanbieders zorgen ervoor dat hun technische oplossingen doeltreffend, interoperabel, robuust en betrouwbaar zijn voor zover dat technisch haalbaar i…</t>
  </si>
  <si>
    <t>pogingen van ongeautoriseerde derden om het gebruik, de outputs of de prestaties te wijzigen door gebruik te maken van de kwetsbaarheden van het systeem</t>
  </si>
  <si>
    <t>pogingen van ongeautoriseerde derden om het gebruik, de outputs of de prestaties ervan te wijzigen door gebruik te maken van de kwetsbaarheden van het systeem</t>
  </si>
  <si>
    <t>poging</t>
  </si>
  <si>
    <t>32024R1689:15:5:4</t>
  </si>
  <si>
    <t>AI-systemen met een hoog risico zijn bestand tegen pogingen van ongeautoriseerde derden om het gebruik, de outputs of de prestaties ervan te wijzigen door gebruik te maken van de kwetsbaarheden van het systeem. De technische oplossingen die gericht zijn op het waarborgen van de cyberbeveiliging van AI-systemen met een hoog risico sluiten aan op de relevante…</t>
  </si>
  <si>
    <t>procedure tegen een verwerkingsverantwoordelijke of een verwerker</t>
  </si>
  <si>
    <t>Een procedure tegen een verwerkingsverantwoordelijke of een verwerker</t>
  </si>
  <si>
    <t>32016R0679:79:2:2</t>
  </si>
  <si>
    <t>Een procedure tegen een verwerkingsverantwoordelijke of een verwerker wordt ingesteld bij de gerechten van de lidstaat waar de verwerkingsverantwoordelijke of de verwerker een vestiging heeft. Een dergelijke procedure k…</t>
  </si>
  <si>
    <t>product volledig voldoet aan alle toepasselijke vereisten uit hoofde van de toepasselijke harmonisatiewetgeving van de Unie</t>
  </si>
  <si>
    <t>dat hun product volledig voldoet aan alle toepasselijke vereisten uit hoofde van de toepasselijke harmonisatiewetgeving van de Unie</t>
  </si>
  <si>
    <t>product</t>
  </si>
  <si>
    <t>32024R1689:8:2:3</t>
  </si>
  <si>
    <t>…an de in bijlage I, afdeling A, vermelde harmonisatiewetgeving van de Unie van toepassing zijn, zijn aanbieders ervoor verantwoordelijk te waarborgen dat hun product volledig voldoet aan alle toepasselijke vereisten uit hoofde van de toepasselijke harmonisatiewetgeving van de Unie. Om te waarborgen dat de in lid 1 bedoelde AI-systemen met een hoog risico voldoen aan de eisen van deze afdeling en om te zorgen voor consistentie, …</t>
  </si>
  <si>
    <t>redelijke inspanningen</t>
  </si>
  <si>
    <t>inspanning</t>
  </si>
  <si>
    <t>32016R0679:8:2:4</t>
  </si>
  <si>
    <t>Met inachtneming van de beschikbare technologie doet de verwerkingsverantwoordelijke redelijke inspanningen om in dergelijke gevallen te controleren of de persoon die de ouderlijke verantwoordelijkheid voor het kind draagt, toestemming heeft gegeven of mach…</t>
  </si>
  <si>
    <t>redenen voor het afgeven of het intrekken van het aangevraagde certificaat</t>
  </si>
  <si>
    <t>de redenen voor het afgeven of het intrekken van het aangevraagde certificaat</t>
  </si>
  <si>
    <t>32016R0679:43:5:6</t>
  </si>
  <si>
    <t>De in lid 1 bedoelde certificeringsorganen stellen de bevoegde toezichthoudende autoriteiten op de hoogte van de redenen voor het afgeven of het intrekken van het aangevraagde certificaat.</t>
  </si>
  <si>
    <t>redenen waarom de verwerking van bijzondere categorieën persoonsgegevens strikt noodzakelijk was om vertekeningen op te sporen en waarom die doelstelling niet kon worden bereikt door de verwerking van andere data</t>
  </si>
  <si>
    <t>de redenen waarom de verwerking van bijzondere categorieën persoonsgegevens strikt noodzakelijk was om vertekeningen op te sporen en waarom die doelstelling niet kon worden bereikt door de verwerking van andere data</t>
  </si>
  <si>
    <t>32024R1689:10:5:10</t>
  </si>
  <si>
    <t>…it eerder is; f) het register op grond van Verordeningen (EU) 2016/679 en (EU) 2018/1725 en Richtlijn (EU) 2016/680 van verwerkingsactiviteiten bevat de redenen waarom de verwerking van bijzondere categorieën persoonsgegevens strikt noodzakelijk was om vertekeningen op te sporen en waarom die doelstelling niet kon worden bereikt door de verwerking van andere data.</t>
  </si>
  <si>
    <t>register van alle categorieën van verwerkingsactiviteiten die zij ten behoeve van een verwerkingsverantwoordelijke hebben verricht</t>
  </si>
  <si>
    <t>een register van alle categorieën van verwerkingsactiviteiten die zij ten behoeve van een verwerkingsverantwoordelijke hebben verricht</t>
  </si>
  <si>
    <t>32016R0679:30:2:3</t>
  </si>
  <si>
    <t>De verwerker, en, in voorkomend geval, de vertegenwoordiger van de verwerker houdt een register van alle categorieën van verwerkingsactiviteiten die zij ten behoeve van een verwerkingsverantwoordelijke hebben verricht. Dit register bevat de volgende gegevens: a) de naam en de contactgegevens van de verwerkers en van iedere verwerkingsverantwoordelijke voor rekening…</t>
  </si>
  <si>
    <t>register van de verwerkingsactiviteiten die onder hun verantwoordelijkheid plaatsvinden</t>
  </si>
  <si>
    <t>een register van de verwerkingsactiviteiten die onder hun verantwoordelijkheid plaatsvinden</t>
  </si>
  <si>
    <t>32016R0679:30:1:1</t>
  </si>
  <si>
    <t>Elke verwerkingsverantwoordelijke en, in voorkomend geval, de vertegenwoordiger van de verwerkingsverantwoordelijke houdt een register van de verwerkingsactiviteiten die onder hun verantwoordelijkheid plaatsvinden. Dat register bevat alle volgende gegevens: a) de naam en de contactgegevens van de verwerkingsverantwoordelijke en eventuele gezamenlijke verwerking…</t>
  </si>
  <si>
    <t>respectieve verantwoordelijkheden van de verwerkingsverantwoordelijke, bij de verwerking betrokken gezamenlijke verwerkingsverantwoordelijken en verwerkers, in het bijzonder voor verwerking binnen een concern</t>
  </si>
  <si>
    <t>de respectieve verantwoordelijkheden van de verwerkingsverantwoordelijke, bij de verwerking betrokken gezamenlijke verwerkingsverantwoordelijken en verwerkers, in het bijzonder voor verwerking binnen een concern</t>
  </si>
  <si>
    <t>32016R0679:36:3:3</t>
  </si>
  <si>
    <t>…rkingsverantwoordelijke de toezichthoudende autoriteit uit hoofde van lid 1 raadpleegt, verstrekt hij haar informatie over: a) indien van toepassing, de respectieve verantwoordelijkheden van de verwerkingsverantwoordelijke, bij de verwerking betrokken gezamenlijke verwerkingsverantwoordelijken en verwerkers, in het bijzonder voor verwerking binnen een concern; b) de doeleinden en de middelen van de voorgenomen verwerking; c) de maatregelen en waarborgen die worden geboden ter bescherming van de rechten en …</t>
  </si>
  <si>
    <t>restrisico in verband met elk gevaar en het totale restrisico van de AI-systemen met een hoog risico aanvaardbaar wordt geacht</t>
  </si>
  <si>
    <t>zodanig dat het desbetreffende restrisico in verband met elk gevaar en het totale restrisico van de AI-systemen met een hoog risico aanvaardbaar wordt geacht</t>
  </si>
  <si>
    <t>32024R1689:9:5:6</t>
  </si>
  <si>
    <t>De in lid 2, punt d), bedoelde risicobeheersmaatregelen zijn zodanig dat het desbetreffende restrisico in verband met elk gevaar en het totale restrisico van de AI-systemen met een hoog risico aanvaardbaar wordt geacht. Bij het vaststellen van de passendste risicobeheersmaatregelen wordt het volgende gewaarborgd: a) uitsluiting of beperking van op grond van lid 2 va…</t>
  </si>
  <si>
    <t>resultaten van de evaluatie en van de maatregelen die zij de operator heeft opgelegd</t>
  </si>
  <si>
    <t>de resultaten van de evaluatie en van de maatregelen die zij de operator heeft opgelegd</t>
  </si>
  <si>
    <t>32024R1689:79:3:1</t>
  </si>
  <si>
    <t>…miteit niet beperkt blijft tot haar nationale grondgebied, brengt zij de Commissie en de andere lidstaten zonder onnodige vertraging op de hoogte van de resultaten van de evaluatie en van de maatregelen die zij de operator heeft opgelegd.</t>
  </si>
  <si>
    <t>resultaten van de toetsing en van de maatregelen die zij de aanbieder heeft opgelegd</t>
  </si>
  <si>
    <t>de resultaten van de toetsing en van de maatregelen die zij de aanbieder heeft opgelegd</t>
  </si>
  <si>
    <t>32024R1689:80:3:4</t>
  </si>
  <si>
    <t>…ysteem niet beperkt blijft tot haar nationale grondgebied, brengt zij de Commissie en de andere lidstaten zonder onnodige vertraging op de hoogte van de resultaten van de toetsing en van de maatregelen die zij de aanbieder heeft opgelegd.</t>
  </si>
  <si>
    <t>sectorale procedures</t>
  </si>
  <si>
    <t>de betrokken sectorale procedures</t>
  </si>
  <si>
    <t>32024R1689:74:4:3</t>
  </si>
  <si>
    <t>…oorzien in procedures die een gelijkwaardig niveau van bescherming waarborgen en hetzelfde doel hebben. In dergelijke gevallen zijn in plaats daarvan de betrokken sectorale procedures van toepassing.</t>
  </si>
  <si>
    <t>sjabloon voor een vragenlijst</t>
  </si>
  <si>
    <t>een sjabloon voor een vragenlijst</t>
  </si>
  <si>
    <t>32024R1689:27:5:8</t>
  </si>
  <si>
    <t>Het AI-bureau ontwikkelt een sjabloon voor een vragenlijst, onder meer via een geautomatiseerd instrument, om gebruiksverantwoordelijken te helpen hun verplichtingen uit hoofde van dit artikel op vereenvoudig…</t>
  </si>
  <si>
    <t>specifiek AI-systeem met een hoog risico</t>
  </si>
  <si>
    <t>een specifiek AI-systeem met een hoog risico</t>
  </si>
  <si>
    <t>32024R1689:46:2:1</t>
  </si>
  <si>
    <t>…ente dreiging voor het leven of de fysieke veiligheid van natuurlijke personen, kunnen rechtshandhavingsinstanties of civielebeschermingsautoriteiten een specifiek AI-systeem met een hoog risico in gebruik stellen zonder de in lid 1 bedoelde toelating, op voorwaarde dat die toelating tijdens of na het gebruik zonder onnodige vertraging wordt …</t>
  </si>
  <si>
    <t>specifieke belangen en behoeften van aanbieders die kmo’s zijn, met inbegrip van start-ups</t>
  </si>
  <si>
    <t>De specifieke belangen en behoeften van aanbieders die kmo’s zijn, met inbegrip van start-ups</t>
  </si>
  <si>
    <t>32024R1689:62:2:1</t>
  </si>
  <si>
    <t>De specifieke belangen en behoeften van aanbieders die kmo’s zijn, met inbegrip van start-ups, worden in aanmerking genomen bij het bepalen van de vergoedingen voor conformiteitsbeoordelingen krachtens artikel 43, waarbij die vergoedingen naar…</t>
  </si>
  <si>
    <t>specifieke belangen en behoeften van kmo’s, waaronder start-ups</t>
  </si>
  <si>
    <t>de specifieke belangen en behoeften van kmo’s, waaronder start-ups</t>
  </si>
  <si>
    <t>32024R1689:95:4:3</t>
  </si>
  <si>
    <t>Het AI-bureau en de lidstaten houden rekening met de specifieke belangen en behoeften van kmo’s, waaronder start-ups, bij het stimuleren en faciliteren van het opstellen van gedragscodes.</t>
  </si>
  <si>
    <t>specifieke richtsnoeren</t>
  </si>
  <si>
    <t>32024R1689:73:7:6</t>
  </si>
  <si>
    <t>…t de betrokken markttoezichtautoriteit de in artikel 77, lid 1, bedoelde nationale overheidsinstanties of -organen in kennis. De Commissie ontwikkelt specifieke richtsnoeren om nakoming van de in lid 1 van dit artikel vermelde verplichtingen te vergemakkelijken. Die richtsnoeren worden uiterlijk op 2 augustus 2025 uitgeva…</t>
  </si>
  <si>
    <t>specifieke voorwaarden voor de verwerking van een nationaal identificatienummer of enige andere identificator van algemene aard</t>
  </si>
  <si>
    <t>de specifieke voorwaarden voor de verwerking van een nationaal identificatienummer of enige andere identificator van algemene aard</t>
  </si>
  <si>
    <t>32016R0679:87:whole:1</t>
  </si>
  <si>
    <t>De lidstaten kunnen de specifieke voorwaarden voor de verwerking van een nationaal identificatienummer of enige andere identificator van algemene aard nader vaststellen. In dat geval wordt het nationale identificatienummer of enige andere identificator van algemene aard alleen gebruikt met passende …</t>
  </si>
  <si>
    <t>systeem voor biometrische identificatie op afstand in real time in openbare ruimten</t>
  </si>
  <si>
    <t>Het gebruik van het systeem voor biometrische identificatie op afstand in real time in openbare ruimten</t>
  </si>
  <si>
    <t>32024R1689:5:2:5</t>
  </si>
  <si>
    <t>…et nationale recht dat het gebruik ervan toelaat, en met name ten aanzien van de beperking in de tijd en de geografische en persoonlijke beperkingen. Het gebruik van het systeem voor biometrische identificatie op afstand in real time in openbare ruimten wordt alleen toegestaan indien de rechtshandhavingsinstantie een in artikel 27 voorziene effectbeoordeling op het gebied van de grondrechten heeft ui…</t>
  </si>
  <si>
    <t>systeem voor biometrische identificatie op afstand in real time in openbare ruimten met het oog op de rechtshandhaving</t>
  </si>
  <si>
    <t>elk gebruik van een systeem voor biometrische identificatie op afstand in real time in openbare ruimten met het oog op de rechtshandhaving</t>
  </si>
  <si>
    <t>32024R1689:5:4:8</t>
  </si>
  <si>
    <t>Onverminderd lid 3 wordt elk gebruik van een systeem voor biometrische identificatie op afstand in real time in openbare ruimten met het oog op de rechtshandhaving gemeld bij de bevoegde markttoezichtautoriteit en de nationale gegevensbeschermingsautoriteit in overeenstemming met de in lid 5 bedoelde nationale r…</t>
  </si>
  <si>
    <t>systeem voor monitoring na het in de handel brengen</t>
  </si>
  <si>
    <t>een systeem voor monitoring na het in de handel brengen</t>
  </si>
  <si>
    <t>32024R1689:72:1:1</t>
  </si>
  <si>
    <t>Aanbieders moeten een systeem voor monitoring na het in de handel brengen vaststellen en documenteren op een manier die evenredig is aan de aard van de AI-technologieën en de risico’s van het AI-systeem met een hoog risico.</t>
  </si>
  <si>
    <t>systematische beschrijving van de beoogde verwerkingen en de verwerkingsdoeleinden, waaronder, in voorkomend geval, de gerechtvaardigde belangen die door de verwerkingsverantwoordelijke worden behartigd</t>
  </si>
  <si>
    <t>een systematische beschrijving van de beoogde verwerkingen en de verwerkingsdoeleinden, waaronder, in voorkomend geval, de gerechtvaardigde belangen die door de verwerkingsverantwoordelijke worden behartigd</t>
  </si>
  <si>
    <t>32016R0679:35:7:11</t>
  </si>
  <si>
    <t>De beoordeling bevat ten minste: a) een systematische beschrijving van de beoogde verwerkingen en de verwerkingsdoeleinden, waaronder, in voorkomend geval, de gerechtvaardigde belangen die door de verwerkingsverantwoordelijke worden behartigd; b) een beoordeling van de noodzaak en de evenredigheid van de verwerkingen met betrekking tot de doeleinden; c) een beoordeling van de in lid 1 bedo…</t>
  </si>
  <si>
    <t>systemen voor biometrische identificatie op afstand in real time in openbare ruimten met het oog op de rechtshandhaving</t>
  </si>
  <si>
    <t>Het gebruik van systemen voor biometrische identificatie op afstand in real time in openbare ruimten met het oog op de rechtshandhaving</t>
  </si>
  <si>
    <t>32024R1689:5:2:2</t>
  </si>
  <si>
    <t>Het gebruik van systemen voor biometrische identificatie op afstand in real time in openbare ruimten met het oog op de rechtshandhaving voor de in lid 1, eerste alinea, punt h), bedoelde doelstellingen wordt ingezet voor de in dat punt bedoelde doeleinden, uitsluitend om de identiteit…</t>
  </si>
  <si>
    <t>taken</t>
  </si>
  <si>
    <t>al hun taken uit hoofde van deze verordening</t>
  </si>
  <si>
    <t>32024R1689:31:10:11</t>
  </si>
  <si>
    <t>Aangemelde instanties zijn in staat al hun taken uit hoofde van deze verordening te verrichten met de grootste mate van beroepsintegriteit en met de vereiste bekwaamheid op het specifieke gebied, ongeacht of deze taken door de aan…</t>
  </si>
  <si>
    <t>taken of plichten niet tot een belangenconflict leiden</t>
  </si>
  <si>
    <t>deze taken of plichten niet tot een belangenconflict leiden</t>
  </si>
  <si>
    <t>32016R0679:38:6:11</t>
  </si>
  <si>
    <t>taken van het Comité tijdig worden uitgevoerd</t>
  </si>
  <si>
    <t>dat de taken van het Comité tijdig worden uitgevoerd</t>
  </si>
  <si>
    <t>32016R0679:74:1:4</t>
  </si>
  <si>
    <t>…komstig artikel 65 vastgestelde besluiten aan de leidende toezichthoudende autoriteit en de betrokken toezichthoudende autoriteiten; c) ervoor zorgen dat de taken van het Comité tijdig worden uitgevoerd, met name wat het in artikel 63 bedoelde coherentiemechanisme betreft.</t>
  </si>
  <si>
    <t>technische kennis, ervaring, onderwijs en opleiding en de context waarin de AI-systemen zullen worden gebruikt, evenals met de personen of groepen personen ten aanzien van wie de AI-systemen zullen worden gebruikt</t>
  </si>
  <si>
    <t>hun technische kennis, ervaring, onderwijs en opleiding en de context waarin de AI-systemen zullen worden gebruikt, evenals met de personen of groepen personen ten aanzien van wie de AI-systemen zullen worden gebruikt</t>
  </si>
  <si>
    <t>kennis</t>
  </si>
  <si>
    <t>32024R1689:4:whole:2</t>
  </si>
  <si>
    <t>… niveau van AI-geletterdheid bij hun personeel en andere personen die namens hen AI-systemen exploiteren en gebruiken, en houden daarbij rekening met hun technische kennis, ervaring, onderwijs en opleiding en de context waarin de AI-systemen zullen worden gebruikt, evenals met de personen of groepen personen ten aanzien van wie de AI-systemen zullen worden gebruikt.</t>
  </si>
  <si>
    <t>technische kennis, ervaring, scholing en opleiding van de gebruiksverantwoordelijke en de vermoedelijke context waarin het systeem dient te worden gebruikt</t>
  </si>
  <si>
    <t>aan de te verwachten technische kennis, ervaring, scholing en opleiding van de gebruiksverantwoordelijke en de vermoedelijke context waarin het systeem dient te worden gebruikt</t>
  </si>
  <si>
    <t>32024R1689:9:5:11</t>
  </si>
  <si>
    <t>…neinde de risico’s in verband met het gebruik van het AI-systeem met een hoog risico weg te nemen of te beperken, wordt naar behoren aandacht besteed aan de te verwachten technische kennis, ervaring, scholing en opleiding van de gebruiksverantwoordelijke en de vermoedelijke context waarin het systeem dient te worden gebruikt.</t>
  </si>
  <si>
    <t>tekst kunstmatig is gegenereerd of bewerkt</t>
  </si>
  <si>
    <t>dat de tekst kunstmatig is gegenereerd of bewerkt</t>
  </si>
  <si>
    <t>tekst</t>
  </si>
  <si>
    <t>32024R1689:50:4:10</t>
  </si>
  <si>
    <t>… AI-systeem dat tekst genereert of bewerkt die wordt gepubliceerd om het publiek te informeren over aangelegenheden van algemeen belang, maken bekend dat de tekst kunstmatig is gegenereerd of bewerkt. Deze verplichting is echter niet van toepassing wanneer het gebruik bij wet is toegestaan om strafbare feiten op te sporen, te voorkomen, te onderzo…</t>
  </si>
  <si>
    <t>toegang tot de broncode van het AI-systeem met een hoog risico</t>
  </si>
  <si>
    <t>32024R1689:74:13:12</t>
  </si>
  <si>
    <t>Markttoezichtautoriteiten wordt toegang tot de broncode van het AI-systeem met een hoog risico verleend op een met redenen omkleed verzoek en uitsluitend als aan beide onderstaande voorwaarden wordt voldaan: a) toegang tot de broncode is noodza…</t>
  </si>
  <si>
    <t>toegang tot de logs die automatisch zijn gegenereerd door hun AI-systeem met een hoog risico</t>
  </si>
  <si>
    <t>toegang tot de in artikel 12, lid 1, bedoelde logs die automatisch zijn gegenereerd door hun AI-systeem met een hoog risico</t>
  </si>
  <si>
    <t>32024R1689:21:2:2</t>
  </si>
  <si>
    <t>Op een met redenen omkleed verzoek van een bevoegde autoriteit verlenen aanbieders die verzoekende bevoegde autoriteit, indien van toepassing, toegang tot de in artikel 12, lid 1, bedoelde logs die automatisch zijn gegenereerd door hun AI-systeem met een hoog risico voor zover dergelijke logs onder hun controle vallen.</t>
  </si>
  <si>
    <t>toezeggingen</t>
  </si>
  <si>
    <t>die toezeggingen</t>
  </si>
  <si>
    <t>32024R1689:93:3:8</t>
  </si>
  <si>
    <t>…uctureerde dialoog toezeggingen doet om risicobeperkende maatregelen uit te voeren om een systeemrisico op Unieniveau aan te pakken, kan de Commissie die toezeggingen bij besluit bindend maken en verklaren dat er geen verdere gronden voor actie zijn.</t>
  </si>
  <si>
    <t>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</si>
  <si>
    <t>dat elke 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</si>
  <si>
    <t>32016R0679:52:4:6</t>
  </si>
  <si>
    <t>Elke lidstaat zorgt ervoor dat elke toezichthoudende autoriteit beschikt over de personele, technische en financiële middelen, en de bedrijfsruimten en infrastructuur die nodig zijn voor het effectief uitvoeren van haar taken en uitoefenen van haar bevoegdheden, waaronder die in het kader van wederzijdse bijstand, samenwerking en deelname aan het Comité.</t>
  </si>
  <si>
    <t>toezichthoudende autoriteit van elk staten om deelname aan de gezamenlijke werkzaamheden in kwestie</t>
  </si>
  <si>
    <t>de toezichthoudende autoriteit van elk van die lidstaten om deelname aan de gezamenlijke werkzaamheden in kwestie</t>
  </si>
  <si>
    <t>32016R0679:62:2:1</t>
  </si>
  <si>
    <t>…om aan de gezamenlijke werkzaamheden deel te nemen. De toezichthoudende autoriteit die bevoegd is overeenkomstig artikel 56, lid 1 of lid 4, verzoekt de toezichthoudende autoriteit van elk van die lidstaten om deelname aan de gezamenlijke werkzaamheden in kwestie en beantwoordt onverwijld het verzoek van een toezichthoudende autoriteit om te mogen deelnemen.</t>
  </si>
  <si>
    <t>twee covoorzitters</t>
  </si>
  <si>
    <t>covoorzitter</t>
  </si>
  <si>
    <t>32024R1689:67:6:6</t>
  </si>
  <si>
    <t>Het adviesforum stelt zijn reglement vast. Het kiest uit zijn leden twee covoorzitters, op basis van de criteria van lid 2. De ambtstermijn van de covoorzitters bedraagt twee jaar en kan één keer worden verlengd.</t>
  </si>
  <si>
    <t>uitvoeringshandelingen of delen die dezelfde vermelde eisen of, in voorkomend geval, dezelfde verplichtingen dekken</t>
  </si>
  <si>
    <t>de in lid 1 bedoelde uitvoeringshandelingen of delen daarvan die dezelfde in afdeling 2 van dit hoofdstuk vermelde eisen of, in voorkomend geval, dezelfde verplichtingen van hoofdstuk V, afdelingen 2 en 3, dekken</t>
  </si>
  <si>
    <t>32024R1689:41:4:3</t>
  </si>
  <si>
    <t>… nr. 1025/2012. Wanneer de referentie van een geharmoniseerde norm in het Publicatieblad van de Europese Unie wordt bekendgemaakt, trekt de Commissie de in lid 1 bedoelde uitvoeringshandelingen of delen daarvan die dezelfde in afdeling 2 van dit hoofdstuk vermelde eisen of, in voorkomend geval, dezelfde verplichtingen van hoofdstuk V, afdelingen 2 en 3, dekken, in.</t>
  </si>
  <si>
    <t>uitwisseling van kennis en documentatie over de wetgeving en de praktijk op het gebied van gegevensbescherming met voor gegevensbescherming bevoegde toezichthoudende autoriteiten van de hele wereld</t>
  </si>
  <si>
    <t>de uitwisseling van kennis en documentatie over de wetgeving en de praktijk op het gebied van gegevensbescherming met voor gegevensbescherming bevoegde toezichthoudende autoriteiten van de hele wereld</t>
  </si>
  <si>
    <t>32016R0679:70:1:21</t>
  </si>
  <si>
    <t>…hthoudende autoriteiten, en waar passend, met de toezichthoudende autoriteiten van derde landen of met internationale organisaties; w) bevorderen van de uitwisseling van kennis en documentatie over de wetgeving en de praktijk op het gebied van gegevensbescherming met voor gegevensbescherming bevoegde toezichthoudende autoriteiten van de hele wereld; x) uitbrengen van adviezen over op Unieniveau opgestelde gedragscodes overeenkomstig artikel 40, lid 9; en y) houden van een openbaar elektronisch r…</t>
  </si>
  <si>
    <t>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</si>
  <si>
    <t>naleving van deze verordening, van andere 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t>
  </si>
  <si>
    <t>gegevensbeschermingsbepaling</t>
  </si>
  <si>
    <t>32016R0679:39:1:5</t>
  </si>
  <si>
    <t>…ver hun verplichtingen uit hoofde van deze verordening en andere Unierechtelijke of lidstaatrechtelijke gegevensbeschermingsbepalingen; b) toezien op naleving van deze verordening, van andere Unierechtelijke of lidstaatrechtelijke gegevensbeschermingsbepalingen en van het beleid van de verwerkingsverantwoordelijke of de verwerker met betrekking tot de bescherming van persoonsgegevens, met inbegrip van de toewijzing van verantwoordelijkheden, bewustmaking en opleiding van het bij de verwerking betrokken personeel en de betreffende audits; c) desgevraagd advies verstrekken met betrekking tot de gegevensbeschermingseffect-beoordeling en toezien op de uitvoering daarvan in overeenstemmin…</t>
  </si>
  <si>
    <t>van de elementen is gewijzigd of niet langer actueel is</t>
  </si>
  <si>
    <t>dat een van de in lid 1 vermelde elementen is gewijzigd of niet langer actueel is</t>
  </si>
  <si>
    <t>32024R1689:27:2:1</t>
  </si>
  <si>
    <t>…ordelingen die door de aanbieder zijn uitgevoerd. Indien de gebruiksverantwoordelijke tijdens het gebruik van het AI-systeem met een hoog risico ziet dat een van de in lid 1 vermelde elementen is gewijzigd of niet langer actueel is, neemt de gebruiksverantwoordelijke de nodige maatregelen om de informatie te actualiseren.</t>
  </si>
  <si>
    <t>vastgelegde eisen</t>
  </si>
  <si>
    <t>de naleving van andere in deze verordening vastgelegde eisen of verplichtingen</t>
  </si>
  <si>
    <t>32024R1689:63:2:1</t>
  </si>
  <si>
    <t>Lid 1 van dit artikel wordt niet zodanig geïnterpreteerd dat die operatoren worden vrijgesteld van de naleving van andere in deze verordening vastgelegde eisen of verplichtingen, met inbegrip van die welke zijn vastgelegd in de artikelen 9, 10, 11, 12, 13, 14, 15, 72 en 73.</t>
  </si>
  <si>
    <t>vereiste van een afzonderlijke verificatie door ten minste twee natuurlijke personen</t>
  </si>
  <si>
    <t>Het vereiste van een afzonderlijke verificatie door ten minste twee natuurlijke personen</t>
  </si>
  <si>
    <t>verificatie</t>
  </si>
  <si>
    <t>32024R1689:14:5:3</t>
  </si>
  <si>
    <t>…eze identificatie door ten minste twee natuurlijke personen met de nodige bekwaamheid, opleiding en bevoegdheid apart zijn geverifieerd en bevestigd. Het vereiste van een afzonderlijke verificatie door ten minste twee natuurlijke personen is niet van toepassing op AI-systemen met een hoog risico die gebruikt worden voor rechtshandhaving, migratie, grenstoezicht of asiel, in gevallen wa…</t>
  </si>
  <si>
    <t>verschillen in omvang en capaciteit tussen de verschillende deelnemers</t>
  </si>
  <si>
    <t>de verschillen in omvang en capaciteit tussen de verschillende deelnemers</t>
  </si>
  <si>
    <t>omvang</t>
  </si>
  <si>
    <t>32024R1689:56:5:5</t>
  </si>
  <si>
    <t>…n, onder meer waar nodig gemeten aan de hand van de kernprestatie-indicatoren. De kernprestatie-indicatoren en rapportageverplichtingen weerspiegelen de verschillen in omvang en capaciteit tussen de verschillende deelnemers.</t>
  </si>
  <si>
    <t>verwerking van hem betreffende persoonsgegevens voor dergelijke marketing, met inbegrip van profilering die betrekking heeft op direct marketing</t>
  </si>
  <si>
    <t>de verwerking van hem betreffende persoonsgegevens voor dergelijke marketing, met inbegrip van profilering die betrekking heeft op direct marketing</t>
  </si>
  <si>
    <t>32016R0679:21:2:3</t>
  </si>
  <si>
    <t>Wanneer persoonsgegevens ten behoeve van direct marketing worden verwerkt, heeft de betrokkene te allen tijde het recht bezwaar te maken tegen de verwerking van hem betreffende persoonsgegevens voor dergelijke marketing, met inbegrip van profilering die betrekking heeft op direct marketing.</t>
  </si>
  <si>
    <t>verwerking van persoonsgegevens in AI-testomgevingen voor regelgeving</t>
  </si>
  <si>
    <t>de verwerking van persoonsgegevens in AI-testomgevingen voor regelgeving</t>
  </si>
  <si>
    <t>32024R1689:59:2:13</t>
  </si>
  <si>
    <t>…tegen en de voorkoming van bedreigingen voor de openbare veiligheid, onder de controle en de verantwoordelijkheid van rechtshandhavingsinstanties, is de verwerking van persoonsgegevens in AI-testomgevingen voor regelgeving gebaseerd op specifiek Unie- of nationaal recht en onderworpen aan dezelfde cumulatieve voorwaarden als bedoeld in lid 1.</t>
  </si>
  <si>
    <t>Verwerking van persoonsgegevens waaruit ras of etnische afkomst, politieke opvattingen, religieuze of levensbeschouwelijke overtuigingen, of het lidmaatschap van een vakbond blijkenmet betrekking tot iemands seksueel gedrag of seksuele gerichtheid</t>
  </si>
  <si>
    <t>verzoeken om informatie over conformiteitsbeoordelingsactiviteiten die zij van markttoezichtautoriteiten ontvangen</t>
  </si>
  <si>
    <t>32024R1689:45:1:4</t>
  </si>
  <si>
    <t>…overeenkomstig de eisen van bijlage VII; c) omstandigheden die van invloed zijn op het toepassingsgebied van of de voorwaarden voor de aanmelding; d) verzoeken om informatie over conformiteitsbeoordelingsactiviteiten die zij van markttoezichtautoriteiten ontvangen; e) op verzoek, de binnen het toepassingsgebied van hun aanmelding verrichte conformiteitsbeoordelingsactiviteiten en andere activiteiten, waaronder …</t>
  </si>
  <si>
    <t>volledige en gedetailleerde beschrijving van het proces, testen van het AI-systeem</t>
  </si>
  <si>
    <t>volledige toegang tot de documentatie en tot de datasets voor het trainen, valideren en testen die worden gebruikt voor de ontwikkeling van AI-systemen met een hoog risico</t>
  </si>
  <si>
    <t>32024R1689:74:12:11</t>
  </si>
  <si>
    <t>…ening (EU) 2019/1020, en voor zover relevant en beperkt tot wat nodig is om hun taken uit te voeren, verlenen aanbieders de markttoezichtautoriteiten volledige toegang tot de documentatie en tot de datasets voor het trainen, valideren en testen die worden gebruikt voor de ontwikkeling van AI-systemen met een hoog risico, onder meer, in voorkomend geval en met inachtneming van beveiligingswaarborgen, via applicatieprogramma-interfaces (“API’s”) of andere relevante tec…</t>
  </si>
  <si>
    <t>voorbereiding, opstelling en bekendmaking van adviezen, besluiten inzake beslechting van geschillen tussen toezichthoudende autoriteiten, en andere teksten die het Comité vaststelt</t>
  </si>
  <si>
    <t>de voorbereiding, opstelling en bekendmaking van adviezen, besluiten inzake beslechting van geschillen tussen toezichthoudende autoriteiten, en andere teksten die het Comité vaststelt</t>
  </si>
  <si>
    <t>32016R0679:75:6:10</t>
  </si>
  <si>
    <t>…r interne en externe communicatie; e) de vertaling van relevante informatie; f) de voorbereiding en follow-up van de bijeenkomsten van het Comité; g) de voorbereiding, opstelling en bekendmaking van adviezen, besluiten inzake beslechting van geschillen tussen toezichthoudende autoriteiten, en andere teksten die het Comité vaststelt.</t>
  </si>
  <si>
    <t>voorwaarden in verband met de plichten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</si>
  <si>
    <t>de voorwaarden in verband met de plichten van het lid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</si>
  <si>
    <t>32016R0679:54:1:7</t>
  </si>
  <si>
    <t>…gsprocedure te beschermen; e) of het lid of de leden van elke toezichthoudende autoriteit opnieuw kan of kunnen worden benoemd en zo ja, hoe vaak; f) de voorwaarden in verband met de plichten van het lid of de leden en de personeelsleden van elke toezichthoudende autoriteit, de verboden op met die plichten onverenigbare handelingen, werkzaamheden en voordelen tijdens en na de ambtstermijn en de regels betreffende de beëindiging van de ambtstermijn onderscheidenlijk de arbeidsverhouding.</t>
  </si>
  <si>
    <t>waarom het verzoek zonder gevolg is gebleven</t>
  </si>
  <si>
    <t>32016R0679:12:4:7</t>
  </si>
  <si>
    <t>…geen gevolg geeft aan het verzoek van de betrokkene, deelt hij deze laatste onverwijld en uiterlijk binnen één maand na ontvangst van het verzoek mee waarom het verzoek zonder gevolg is gebleven, en informeert hij hem over de mogelijkheid om klacht in te dienen bij een toezichthoudende autoriteit en beroep bij de rechter in te stellen.</t>
  </si>
  <si>
    <t>wat de redenen zijn en onder welke voorwaarden de aanbieder of potentiële aanbieder het besluit of het bezwaar kan aanvechten</t>
  </si>
  <si>
    <t>wat de redenen daarvoor zijn en onder welke voorwaarden de aanbieder of potentiële aanbieder het besluit of het bezwaar kan aanvechten</t>
  </si>
  <si>
    <t>32024R1689:76:4:7</t>
  </si>
  <si>
    <t>… van dit artikel heeft genomen of een bezwaar in de zin van artikel 60, lid 4, punt b), heeft ingediend, worden in het besluit of het bezwaar vermeld wat de redenen daarvoor zijn en onder welke voorwaarden de aanbieder of potentiële aanbieder het besluit of het bezwaar kan aanvechten.</t>
  </si>
  <si>
    <t>welk AI-systeem met een hoog risico ze is opgesteld</t>
  </si>
  <si>
    <t>voor welk AI-systeem met een hoog risico ze is opgesteld</t>
  </si>
  <si>
    <t>32024R1689:47:1:4</t>
  </si>
  <si>
    <t>…stellen van het AI-systeem met een hoog risico ter beschikking van de nationale bevoegde autoriteiten. In de EU-conformiteitsverklaring wordt vermeld voor welk AI-systeem met een hoog risico ze is opgesteld. Op verzoek wordt een kopie van de EU-conformiteitsverklaring aan de relevante nationale bevoegde autoriteiten voorgelegd.</t>
  </si>
  <si>
    <t>werking van het AI-bureau, de vraag of het Bureau voldoende bevoegdheden heeft gekregen om zijn taken uit te voeren en of het voor de correcte uitvoering en handhaving relevant en noodzakelijk zou zijn om het AI-bureau en zijn handhavingsbevoegdheden op te schalen en zijn middelen uit te breiden</t>
  </si>
  <si>
    <t>de werking van het AI-bureau, de vraag of het Bureau voldoende bevoegdheden heeft gekregen om zijn taken uit te voeren en of het voor de correcte uitvoering en handhaving van deze verordening relevant en noodzakelijk zou zijn om het AI-bureau en zijn handhavingsbevoegdheden op te schalen en zijn middelen uit te breiden</t>
  </si>
  <si>
    <t>32024R1689:112:5:9</t>
  </si>
  <si>
    <t>Uiterlijk op 2 augustus 2028 evalueert de Commissie de werking van het AI-bureau, de vraag of het Bureau voldoende bevoegdheden heeft gekregen om zijn taken uit te voeren en of het voor de correcte uitvoering en handhaving van deze verordening relevant en noodzakelijk zou zijn om het AI-bureau en zijn handhavingsbevoegdheden op te schalen en zijn middelen uit te breiden. De Commissie dient dit evaluatieverslag in bij het Europees Parlement en bij de raad.</t>
  </si>
  <si>
    <t>werking van het AI-systeem met een hoog risico</t>
  </si>
  <si>
    <t>de werking van het AI-systeem met een hoog risico</t>
  </si>
  <si>
    <t>32024R1689:26:5:6</t>
  </si>
  <si>
    <t>Gebruiksverantwoordelijken monitoren de werking van het AI-systeem met een hoog risico op basis van de gebruiksaanwijzingen en stellen in voorkomend geval de aanbieders in kennis overeenkomstig artikel 72. Wanneer gebruiksverantwoordeli…</t>
  </si>
  <si>
    <t>zij een aspect van de test onder reële omstandigheden wijzigen</t>
  </si>
  <si>
    <t>dat zij een aspect van de test onder reële omstandigheden wijzigen</t>
  </si>
  <si>
    <t>32024R1689:76:3:6</t>
  </si>
  <si>
    <t>…opschorten of beëindigen; b) aanbieders of potentiële aanbieders en gebruiksverantwoordelijken of potentiële gebruiksverantwoordelijken voorschrijven dat zij een aspect van de test onder reële omstandigheden wijzigen.</t>
  </si>
  <si>
    <t>één of meer onafhankelijke overheidsinstanties verantwoordelijk zijn voor het toezicht op de toepassing</t>
  </si>
  <si>
    <t>dat één of meer onafhankelijke overheidsinstanties verantwoordelijk zijn voor het toezicht op de toepassing van deze verordening</t>
  </si>
  <si>
    <t>32016R0679:51:1:1</t>
  </si>
  <si>
    <t>Elke lidstaat bepaalt dat één of meer onafhankelijke overheidsinstanties verantwoordelijk zijn voor het toezicht op de toepassing van deze verordening, teneinde de grondrechten en fundamentele vrijheden van natuurlijke personen in verband met de verwerking van hun persoonsgegevens te beschermen en h…</t>
  </si>
  <si>
    <t>Validation of the object → EuroVoc mapping (Step 7)</t>
  </si>
  <si>
    <t>What to do</t>
  </si>
  <si>
    <t>1. Go to the Validate sheet. Rows with in_sample = yes (green) come first: judge those.</t>
  </si>
  <si>
    <t>2. Fill in the yellow columns only: judgement (drop-down), better_concept (optional), notes.</t>
  </si>
  <si>
    <t>3. Judge candidate 1 mainly; use candidates 2-3 to decide 'partial'.</t>
  </si>
  <si>
    <t>4. The Summary sheet updates automatically as you fill in judgements.</t>
  </si>
  <si>
    <t>Judgement codes</t>
  </si>
  <si>
    <t>correct  – candidate 1 is the right concept, or an acceptable close one.</t>
  </si>
  <si>
    <t>partial  – candidate 1 is in the right area but too broad/narrow, or a lower candidate is right.</t>
  </si>
  <si>
    <t>wrong    – no candidate fits the object.</t>
  </si>
  <si>
    <t>unclear  – the object itself cannot be judged (placeholder, fragment, unresolved reference).</t>
  </si>
  <si>
    <t>For unmapped objects: 'correct' = rightly left unmapped; 'wrong' = a EuroVoc concept clearly exists.</t>
  </si>
  <si>
    <t>Columns</t>
  </si>
  <si>
    <t>stratum     – cascade level; embedding matches are split into three percentile bands.</t>
  </si>
  <si>
    <t>raw_object  – the original object it came from, if different (judge the unit in that light).</t>
  </si>
  <si>
    <t>level       – phrase / head / compound / embedding, or empty if unmapped.</t>
  </si>
  <si>
    <t>cand_n, conf_n – candidate concept label and its confidence.</t>
  </si>
  <si>
    <t>pct_1       – percentile of candidate 1 in the Step 4 top-1 distribution (embedding only).</t>
  </si>
  <si>
    <t>n_norms     – how many norms share this object; context shows text around it in an example norm.</t>
  </si>
  <si>
    <t>Example of a filled-in row (not part of the data)</t>
  </si>
  <si>
    <t>partial</t>
  </si>
  <si>
    <t>concept right but generic; the object refers to lid 6</t>
  </si>
  <si>
    <t>objects</t>
  </si>
  <si>
    <t>in sample</t>
  </si>
  <si>
    <t>judged</t>
  </si>
  <si>
    <t>correct</t>
  </si>
  <si>
    <t>wrong</t>
  </si>
  <si>
    <t>unclear</t>
  </si>
  <si>
    <t>precision (strict)</t>
  </si>
  <si>
    <t>precision (lenient)</t>
  </si>
  <si>
    <t>total</t>
  </si>
  <si>
    <t>Precision excludes 'unclear'. Strict = correct only; lenient = correct + partial.</t>
  </si>
  <si>
    <t>For 'unmapped', precision means: share of objects rightly left unmapped.</t>
  </si>
  <si>
    <t>Embedding bands split the range above the fallback percentile (20) into three equal parts.</t>
  </si>
  <si>
    <t>Precision on a sample of ~10 per stratum is a rough indication (±15 points or so); judge more rows where decisions depend on it.</t>
  </si>
  <si>
    <t>norm_id</t>
  </si>
  <si>
    <t>units</t>
  </si>
  <si>
    <t>noodzakelijke en evenredige waarborgen | voorwaarden</t>
  </si>
  <si>
    <t>32024R1689:5:2:3</t>
  </si>
  <si>
    <t>het volgende</t>
  </si>
  <si>
    <t>32024R1689:5:7:16</t>
  </si>
  <si>
    <t>32024R1689:5:7:17</t>
  </si>
  <si>
    <t>32024R1689:6:7:7</t>
  </si>
  <si>
    <t>32024R1689:7:1:1</t>
  </si>
  <si>
    <t>32024R1689:7:3:3</t>
  </si>
  <si>
    <t>32024R1689:9:1:1</t>
  </si>
  <si>
    <t>een systeem voor risicobeheer</t>
  </si>
  <si>
    <t>32024R1689:9:1:2</t>
  </si>
  <si>
    <t>32024R1689:9:1:3</t>
  </si>
  <si>
    <t>32024R1689:9:1:4</t>
  </si>
  <si>
    <t>32024R1689:9:5:7</t>
  </si>
  <si>
    <t>vereiste informatie | waar passend opleiding</t>
  </si>
  <si>
    <t>32024R1689:9:6:13</t>
  </si>
  <si>
    <t>32024R1689:9:8:15</t>
  </si>
  <si>
    <t>Het testen van AI-systemen met een hoog risico</t>
  </si>
  <si>
    <t>32024R1689:9:8:16</t>
  </si>
  <si>
    <t>32024R1689:10:3:3</t>
  </si>
  <si>
    <t>relevant, voldoende representatief, en zoveel mogelijk foutenvrij en volledig</t>
  </si>
  <si>
    <t>32024R1689:10:3:4</t>
  </si>
  <si>
    <t>32024R1689:10:5:9</t>
  </si>
  <si>
    <t>32024R1689:10:5:11</t>
  </si>
  <si>
    <t>alle volgende voorwaarden</t>
  </si>
  <si>
    <t>opsporing van vooringenomenheid | correctie</t>
  </si>
  <si>
    <t>32024R1689:10:5:13</t>
  </si>
  <si>
    <t>32024R1689:11:1:4</t>
  </si>
  <si>
    <t>het formulier</t>
  </si>
  <si>
    <t>32024R1689:11:1:7</t>
  </si>
  <si>
    <t>32024R1689:11:3:12</t>
  </si>
  <si>
    <t>32024R1689:14:5:1</t>
  </si>
  <si>
    <t>32024R1689:15:1:1</t>
  </si>
  <si>
    <t>relevante omstandigheden ’s | risico</t>
  </si>
  <si>
    <t>32024R1689:16:whole:9</t>
  </si>
  <si>
    <t>de uit hoofde van artikel 20 vereiste informatie</t>
  </si>
  <si>
    <t>32024R1689:16:whole:11</t>
  </si>
  <si>
    <t>hun AI-systemen met een hoog risico</t>
  </si>
  <si>
    <t>32024R1689:17:1:1</t>
  </si>
  <si>
    <t>in een systeem voor kwaliteitsbeheer</t>
  </si>
  <si>
    <t>32024R1689:17:1:2</t>
  </si>
  <si>
    <t>striktheid | beschermingsniveau</t>
  </si>
  <si>
    <t>32024R1689:17:3:5</t>
  </si>
  <si>
    <t>de in lid 1 genoemde aspecten</t>
  </si>
  <si>
    <t>32024R1689:18:2:2</t>
  </si>
  <si>
    <t>de voorwaarden</t>
  </si>
  <si>
    <t>32024R1689:18:3:3</t>
  </si>
  <si>
    <t>de technische documentatie</t>
  </si>
  <si>
    <t>32024R1689:19:1:1</t>
  </si>
  <si>
    <t>de in artikel 12, lid 1, bedoelde logs</t>
  </si>
  <si>
    <t>32024R1689:19:1:2</t>
  </si>
  <si>
    <t>32024R1689:20:1:2</t>
  </si>
  <si>
    <t>32024R1689:21:3:3</t>
  </si>
  <si>
    <t>32024R1689:22:2:2</t>
  </si>
  <si>
    <t>zijn gemachtigde</t>
  </si>
  <si>
    <t>32024R1689:22:4:4</t>
  </si>
  <si>
    <t>32024R1689:23:2:2</t>
  </si>
  <si>
    <t>naam, geregistreerde handelsnaam of geregistreerd merk | contactadres</t>
  </si>
  <si>
    <t>32024R1689:23:4:4</t>
  </si>
  <si>
    <t>32024R1689:23:7:6</t>
  </si>
  <si>
    <t>32024R1689:24:2:2</t>
  </si>
  <si>
    <t>32024R1689:24:2:3</t>
  </si>
  <si>
    <t>32024R1689:24:3:4</t>
  </si>
  <si>
    <t>non-conformiteit | eventueel getroffen corrigerende maatregelen</t>
  </si>
  <si>
    <t>32024R1689:24:4:7</t>
  </si>
  <si>
    <t>32024R1689:24:4:8</t>
  </si>
  <si>
    <t>dat systeem</t>
  </si>
  <si>
    <t>32024R1689:24:4:9</t>
  </si>
  <si>
    <t>32024R1689:24:6:12</t>
  </si>
  <si>
    <t>naam | merk</t>
  </si>
  <si>
    <t>32024R1689:25:2:7</t>
  </si>
  <si>
    <t>32024R1689:25:2:10</t>
  </si>
  <si>
    <t>nodige informatie | capaciteiten | technische toegang | bijstand</t>
  </si>
  <si>
    <t>32024R1689:25:4:15</t>
  </si>
  <si>
    <t>Dit lid</t>
  </si>
  <si>
    <t>32024R1689:25:4:16</t>
  </si>
  <si>
    <t>32024R1689:26:4:3</t>
  </si>
  <si>
    <t>32024R1689:26:5:4</t>
  </si>
  <si>
    <t>hiervan</t>
  </si>
  <si>
    <t>32024R1689:26:5:5</t>
  </si>
  <si>
    <t>het gebruik van dat systeem</t>
  </si>
  <si>
    <t>32024R1689:26:5:8</t>
  </si>
  <si>
    <t>32024R1689:26:6:12</t>
  </si>
  <si>
    <t>de logs</t>
  </si>
  <si>
    <t>32024R1689:26:7:13</t>
  </si>
  <si>
    <t>32024R1689:26:7:14</t>
  </si>
  <si>
    <t>Deze informatie</t>
  </si>
  <si>
    <t>32024R1689:26:8:15</t>
  </si>
  <si>
    <t>32024R1689:26:8:16</t>
  </si>
  <si>
    <t>de in artikel 49 bedoelde registratieverplichtingen</t>
  </si>
  <si>
    <t>32024R1689:26:8:17</t>
  </si>
  <si>
    <t>32024R1689:26:11:20</t>
  </si>
  <si>
    <t>artikel 13 van Richtlijn (EU) 2016/680</t>
  </si>
  <si>
    <t>32024R1689:26:12:21</t>
  </si>
  <si>
    <t>32024R1689:27:2:4</t>
  </si>
  <si>
    <t>op het eerste gebruik van een AI-systeem met een hoog risico</t>
  </si>
  <si>
    <t>32024R1689:28:1:4</t>
  </si>
  <si>
    <t>32024R1689:28:4:6</t>
  </si>
  <si>
    <t>32024R1689:28:5:8</t>
  </si>
  <si>
    <t>32024R1689:29:2:3</t>
  </si>
  <si>
    <t>32024R1689:29:4:4</t>
  </si>
  <si>
    <t>de in de leden 2 en 3 bij dit artikel bedoelde documentatie</t>
  </si>
  <si>
    <t>documenten met betrekking tot die aanwijzingen | certificaten</t>
  </si>
  <si>
    <t>32024R1689:30:5:5</t>
  </si>
  <si>
    <t>32024R1689:30:5:6</t>
  </si>
  <si>
    <t>32024R1689:30:5:7</t>
  </si>
  <si>
    <t>De Commissie</t>
  </si>
  <si>
    <t>structuur voor het waarborgen van de onpartijdigheid en voor het bevorderen en toepassen van de onpartijdigheidsbeginselen in hun gehele organisatie, onder het personeel | procedures | in de beoordelingsactiviteiten</t>
  </si>
  <si>
    <t>32024R1689:31:6:4</t>
  </si>
  <si>
    <t>32024R1689:31:6:5</t>
  </si>
  <si>
    <t>32024R1689:31:12:14</t>
  </si>
  <si>
    <t>32024R1689:31:12:15</t>
  </si>
  <si>
    <t>32024R1689:33:1:1</t>
  </si>
  <si>
    <t>32024R1689:33:1:2</t>
  </si>
  <si>
    <t>de aanmeldende autoriteit</t>
  </si>
  <si>
    <t>32024R1689:34:2:4</t>
  </si>
  <si>
    <t>32024R1689:34:3:6</t>
  </si>
  <si>
    <t>die</t>
  </si>
  <si>
    <t>32024R1689:36:3:3</t>
  </si>
  <si>
    <t>daarvan</t>
  </si>
  <si>
    <t>32024R1689:36:3:4</t>
  </si>
  <si>
    <t>32024R1689:36:4:10</t>
  </si>
  <si>
    <t>32024R1689:36:4:11</t>
  </si>
  <si>
    <t>32024R1689:36:4:12</t>
  </si>
  <si>
    <t>32024R1689:36:4:14</t>
  </si>
  <si>
    <t>32024R1689:36:5:15</t>
  </si>
  <si>
    <t>32024R1689:36:6:18</t>
  </si>
  <si>
    <t>32024R1689:36:7:23</t>
  </si>
  <si>
    <t>Commissie | lidstaten</t>
  </si>
  <si>
    <t>32024R1689:36:8:32</t>
  </si>
  <si>
    <t>de certificaten</t>
  </si>
  <si>
    <t>32024R1689:37:4:4</t>
  </si>
  <si>
    <t>32024R1689:37:4:6</t>
  </si>
  <si>
    <t>32024R1689:37:4:8</t>
  </si>
  <si>
    <t>32024R1689:37:4:9</t>
  </si>
  <si>
    <t>32024R1689:37:4:10</t>
  </si>
  <si>
    <t>32024R1689:37:4:11</t>
  </si>
  <si>
    <t>uitwisseling van kennis | beste praktijken</t>
  </si>
  <si>
    <t>32024R1689:39:whole:1</t>
  </si>
  <si>
    <t>32024R1689:41:6:7</t>
  </si>
  <si>
    <t>die informatie</t>
  </si>
  <si>
    <t>32024R1689:43:2:2</t>
  </si>
  <si>
    <t>32024R1689:43:4:7</t>
  </si>
  <si>
    <t>32024R1689:43:5:8</t>
  </si>
  <si>
    <t>32024R1689:43:6:9</t>
  </si>
  <si>
    <t>zulke gedelegeerde handelingen</t>
  </si>
  <si>
    <t>32024R1689:43:6:10</t>
  </si>
  <si>
    <t>32024R1689:44:1:1</t>
  </si>
  <si>
    <t>32024R1689:44:3:5</t>
  </si>
  <si>
    <t>het afgegeven certificaat</t>
  </si>
  <si>
    <t>32024R1689:45:1:6</t>
  </si>
  <si>
    <t>32024R1689:45:4:13</t>
  </si>
  <si>
    <t>32024R1689:46:2:3</t>
  </si>
  <si>
    <t>het gebruik van het AI-systeem met een hoog risico</t>
  </si>
  <si>
    <t>resultaten van dat gebruik | outputs</t>
  </si>
  <si>
    <t>32024R1689:46:3:5</t>
  </si>
  <si>
    <t>De in lid 1 bedoelde toelating</t>
  </si>
  <si>
    <t>32024R1689:46:3:6</t>
  </si>
  <si>
    <t>de Commissie en de andere lidstaten</t>
  </si>
  <si>
    <t>32024R1689:46:3:7</t>
  </si>
  <si>
    <t>32024R1689:46:4:8</t>
  </si>
  <si>
    <t>32024R1689:46:5:12</t>
  </si>
  <si>
    <t>32024R1689:46:5:13</t>
  </si>
  <si>
    <t>32024R1689:46:6:14</t>
  </si>
  <si>
    <t>deze</t>
  </si>
  <si>
    <t>32024R1689:47:2:7</t>
  </si>
  <si>
    <t>32024R1689:47:4:11</t>
  </si>
  <si>
    <t>de EU-conformiteitsverklaring</t>
  </si>
  <si>
    <t>32024R1689:47:5:12</t>
  </si>
  <si>
    <t>32024R1689:48:3:2</t>
  </si>
  <si>
    <t>De CE-markering</t>
  </si>
  <si>
    <t>32024R1689:49:3:3</t>
  </si>
  <si>
    <t>zichzelf</t>
  </si>
  <si>
    <t>32024R1689:49:3:4</t>
  </si>
  <si>
    <t>32024R1689:49:4:7</t>
  </si>
  <si>
    <t>32024R1689:49:5:9</t>
  </si>
  <si>
    <t>AI-systemen met een hoog risico als bedoeld in punt 2 van bijlage III</t>
  </si>
  <si>
    <t>32024R1689:50:2:3</t>
  </si>
  <si>
    <t>32024R1689:50:3:6</t>
  </si>
  <si>
    <t>32024R1689:50:4:8</t>
  </si>
  <si>
    <t>deze verplichting</t>
  </si>
  <si>
    <t>32024R1689:50:5:11</t>
  </si>
  <si>
    <t>De in de leden 1 tot en met 4 bedoelde informatie</t>
  </si>
  <si>
    <t>32024R1689:51:3:1</t>
  </si>
  <si>
    <t>32024R1689:52:1:1</t>
  </si>
  <si>
    <t>32024R1689:52:4:7</t>
  </si>
  <si>
    <t>32024R1689:53:1:2</t>
  </si>
  <si>
    <t>32024R1689:53:1:3</t>
  </si>
  <si>
    <t>informatie | documentatie</t>
  </si>
  <si>
    <t>32024R1689:53:1:5</t>
  </si>
  <si>
    <t>de in bijlage XII uiteengezette elementen</t>
  </si>
  <si>
    <t>32024R1689:53:1:7</t>
  </si>
  <si>
    <t>32024R1689:53:2:8</t>
  </si>
  <si>
    <t>De in lid 1, punten a) en b) genoemde verplichtingen</t>
  </si>
  <si>
    <t>32024R1689:53:3:10</t>
  </si>
  <si>
    <t>32024R1689:53:5:11</t>
  </si>
  <si>
    <t>32024R1689:53:6:12</t>
  </si>
  <si>
    <t>Informatie | documentatie</t>
  </si>
  <si>
    <t>32024R1689:54:1:1</t>
  </si>
  <si>
    <t>32024R1689:54:2:2</t>
  </si>
  <si>
    <t>32024R1689:54:5:5</t>
  </si>
  <si>
    <t>32024R1689:54:6:6</t>
  </si>
  <si>
    <t>De in dit artikel genoemde verplichting</t>
  </si>
  <si>
    <t>32024R1689:55:2:1</t>
  </si>
  <si>
    <t>zich</t>
  </si>
  <si>
    <t>32024R1689:55:2:4</t>
  </si>
  <si>
    <t>32024R1689:55:3:5</t>
  </si>
  <si>
    <t>32024R1689:56:1:1</t>
  </si>
  <si>
    <t>32024R1689:56:5:6</t>
  </si>
  <si>
    <t>32024R1689:56:6:12</t>
  </si>
  <si>
    <t>32024R1689:56:6:13</t>
  </si>
  <si>
    <t>32024R1689:56:7:15</t>
  </si>
  <si>
    <t>32024R1689:56:7:16</t>
  </si>
  <si>
    <t>de verplichtingen van artikel 53</t>
  </si>
  <si>
    <t>evaluatie van de praktijkcodes | aanpassing</t>
  </si>
  <si>
    <t>32024R1689:56:8:18</t>
  </si>
  <si>
    <t>32024R1689:56:9:20</t>
  </si>
  <si>
    <t>32024R1689:56:9:22</t>
  </si>
  <si>
    <t>technische ondersteuning | advies | instrumenten</t>
  </si>
  <si>
    <t>32024R1689:57:1:3</t>
  </si>
  <si>
    <t>32024R1689:57:1:4</t>
  </si>
  <si>
    <t>de verplichting uit hoofde van de eerste alinea</t>
  </si>
  <si>
    <t>rollen | taken van de nationale bevoegde autoriteiten</t>
  </si>
  <si>
    <t>begeleiding | toezicht | ondersteuning</t>
  </si>
  <si>
    <t>32024R1689:57:7:13</t>
  </si>
  <si>
    <t>dergelijke documentatie</t>
  </si>
  <si>
    <t>32024R1689:57:8:15</t>
  </si>
  <si>
    <t>32024R1689:57:8:16</t>
  </si>
  <si>
    <t>32024R1689:57:10:17</t>
  </si>
  <si>
    <t>Significante risico’s voor de gezondheid en veiligheid | grondrechten</t>
  </si>
  <si>
    <t>testproces | deelname aan de testomgeving</t>
  </si>
  <si>
    <t>32024R1689:57:11:22</t>
  </si>
  <si>
    <t>32024R1689:57:14:27</t>
  </si>
  <si>
    <t>hun activiteiten</t>
  </si>
  <si>
    <t>32024R1689:57:14:28</t>
  </si>
  <si>
    <t>32024R1689:57:16:29</t>
  </si>
  <si>
    <t>jaarverslagen | samenvattingen</t>
  </si>
  <si>
    <t>32024R1689:57:16:32</t>
  </si>
  <si>
    <t>de jaarverslagen</t>
  </si>
  <si>
    <t>32024R1689:58:1:1</t>
  </si>
  <si>
    <t>32024R1689:58:1:3</t>
  </si>
  <si>
    <t>32024R1689:58:4:6</t>
  </si>
  <si>
    <t>volledige en gedetailleerde beschrijving van het proces, testen van het AI-systeem | onderbouwing van het trainen | valideren</t>
  </si>
  <si>
    <t>32024R1689:59:2:14</t>
  </si>
  <si>
    <t>32024R1689:60:4:2</t>
  </si>
  <si>
    <t>opschorting van het testen onder reële omstandigheden | beëindiging | van de eindresultaten</t>
  </si>
  <si>
    <t>32024R1689:61:2:3</t>
  </si>
  <si>
    <t>vastgelegde eisen | verplichtingen</t>
  </si>
  <si>
    <t>deskundigheid | capaciteiten</t>
  </si>
  <si>
    <t>32024R1689:65:5:3</t>
  </si>
  <si>
    <t>32024R1689:65:6:7</t>
  </si>
  <si>
    <t>32024R1689:67:4:3</t>
  </si>
  <si>
    <t>32024R1689:67:6:5</t>
  </si>
  <si>
    <t>32024R1689:67:6:7</t>
  </si>
  <si>
    <t>32024R1689:67:7:9</t>
  </si>
  <si>
    <t>deskundigen en andere belanghebbenden</t>
  </si>
  <si>
    <t>adviezen | aanbevelingen | schriftelijke bijdragen</t>
  </si>
  <si>
    <t>32024R1689:67:9:11</t>
  </si>
  <si>
    <t>32024R1689:67:10:13</t>
  </si>
  <si>
    <t>Dat verslag</t>
  </si>
  <si>
    <t>32024R1689:68:4:1</t>
  </si>
  <si>
    <t>hun taken</t>
  </si>
  <si>
    <t>systemen voor het actief beheren en voorkomen van mogelijke belangenconflicten | procedures</t>
  </si>
  <si>
    <t>structuur | hoogte van de vergoedingen en de schaal en structuur van de invorderbare kosten</t>
  </si>
  <si>
    <t>32024R1689:70:2:1</t>
  </si>
  <si>
    <t>32024R1689:70:2:2</t>
  </si>
  <si>
    <t>32024R1689:70:2:3</t>
  </si>
  <si>
    <t>een markttoezichtautoriteit</t>
  </si>
  <si>
    <t>32024R1689:70:2:4</t>
  </si>
  <si>
    <t>benodigde competenties | middelen</t>
  </si>
  <si>
    <t>32024R1689:70:6:10</t>
  </si>
  <si>
    <t>32024R1689:70:6:11</t>
  </si>
  <si>
    <t>begeleiding | advies over de uitvoering</t>
  </si>
  <si>
    <t>32024R1689:70:8:14</t>
  </si>
  <si>
    <t>32024R1689:70:9:15</t>
  </si>
  <si>
    <t>32024R1689:71:3:5</t>
  </si>
  <si>
    <t>De in afdeling C van bijlage VIII vermelde gegevens</t>
  </si>
  <si>
    <t>32024R1689:71:6:7</t>
  </si>
  <si>
    <t>32024R1689:72:3:2</t>
  </si>
  <si>
    <t>van de in bijlage IV bedoelde technische documentatie</t>
  </si>
  <si>
    <t>32024R1689:72:3:3</t>
  </si>
  <si>
    <t>32024R1689:72:3:5</t>
  </si>
  <si>
    <t>De uitvoeringshandeling</t>
  </si>
  <si>
    <t>32024R1689:73:2:3</t>
  </si>
  <si>
    <t>32024R1689:73:7:7</t>
  </si>
  <si>
    <t>Die richtsnoeren</t>
  </si>
  <si>
    <t>32024R1689:73:7:8</t>
  </si>
  <si>
    <t>32024R1689:73:11:12</t>
  </si>
  <si>
    <t>32024R1689:73:11:13</t>
  </si>
  <si>
    <t>het incident</t>
  </si>
  <si>
    <t>32024R1689:74:4:2</t>
  </si>
  <si>
    <t>De in de artikelen 79 tot en met 83 van deze verordening bedoelde procedures</t>
  </si>
  <si>
    <t>32024R1689:74:6:5</t>
  </si>
  <si>
    <t>32024R1689:74:7:6</t>
  </si>
  <si>
    <t>32024R1689:74:7:7</t>
  </si>
  <si>
    <t>alle informatie</t>
  </si>
  <si>
    <t>32024R1689:74:14:13</t>
  </si>
  <si>
    <t>32024R1689:75:3:4</t>
  </si>
  <si>
    <t>dat de door hen verkregen informatie overeenkomstig artikel 78 van deze verordening vertrouwelijk wordt behandeld</t>
  </si>
  <si>
    <t>32024R1689:76:2:1</t>
  </si>
  <si>
    <t>of artikel 60 wordt nageleefd</t>
  </si>
  <si>
    <t>32024R1689:76:3:5</t>
  </si>
  <si>
    <t>32024R1689:76:5:8</t>
  </si>
  <si>
    <t>32024R1689:77:1:2</t>
  </si>
  <si>
    <t>32024R1689:77:2:4</t>
  </si>
  <si>
    <t>de lijst</t>
  </si>
  <si>
    <t>32024R1689:77:2:5</t>
  </si>
  <si>
    <t>32024R1689:77:2:6</t>
  </si>
  <si>
    <t>32024R1689:77:3:8</t>
  </si>
  <si>
    <t>32024R1689:77:3:9</t>
  </si>
  <si>
    <t>32024R1689:78:2:2</t>
  </si>
  <si>
    <t>32024R1689:79:4:2</t>
  </si>
  <si>
    <t>alle betrokken AI-systemen</t>
  </si>
  <si>
    <t>32024R1689:79:5:4</t>
  </si>
  <si>
    <t>32024R1689:79:7:5</t>
  </si>
  <si>
    <t>32024R1689:80:2:2</t>
  </si>
  <si>
    <t>alle nodige maatregelen</t>
  </si>
  <si>
    <t>32024R1689:81:1:2</t>
  </si>
  <si>
    <t>32024R1689:81:1:4</t>
  </si>
  <si>
    <t>32024R1689:81:2:8</t>
  </si>
  <si>
    <t>32024R1689:81:3:9</t>
  </si>
  <si>
    <t>de procedure van artikel 11 van Verordening (EU) nr. 1025/2012</t>
  </si>
  <si>
    <t>32024R1689:82:1:1</t>
  </si>
  <si>
    <t>alle passende maatregelen</t>
  </si>
  <si>
    <t>32024R1689:82:2:2</t>
  </si>
  <si>
    <t>32024R1689:82:4:5</t>
  </si>
  <si>
    <t>32024R1689:82:4:6</t>
  </si>
  <si>
    <t>andere passende maatregelen</t>
  </si>
  <si>
    <t>32024R1689:82:5:7</t>
  </si>
  <si>
    <t>32024R1689:82:5:8</t>
  </si>
  <si>
    <t>de andere lidstaten</t>
  </si>
  <si>
    <t>32024R1689:83:1:1</t>
  </si>
  <si>
    <t>deze non-conformiteit</t>
  </si>
  <si>
    <t>32024R1689:85:whole:2</t>
  </si>
  <si>
    <t>zij</t>
  </si>
  <si>
    <t>32024R1689:85:whole:3</t>
  </si>
  <si>
    <t>32024R1689:86:2:2</t>
  </si>
  <si>
    <t>Lid 1</t>
  </si>
  <si>
    <t>32024R1689:88:2:3</t>
  </si>
  <si>
    <t>32024R1689:89:1:1</t>
  </si>
  <si>
    <t>32024R1689:89:2:3</t>
  </si>
  <si>
    <t>32024R1689:89:2:4</t>
  </si>
  <si>
    <t>32024R1689:90:2:3</t>
  </si>
  <si>
    <t>32024R1689:90:3:4</t>
  </si>
  <si>
    <t>32024R1689:90:3:5</t>
  </si>
  <si>
    <t>32024R1689:91:5:5</t>
  </si>
  <si>
    <t>De informatie</t>
  </si>
  <si>
    <t>32024R1689:91:5:6</t>
  </si>
  <si>
    <t>32024R1689:92:2:2</t>
  </si>
  <si>
    <t>onafhankelijke deskundigen</t>
  </si>
  <si>
    <t>32024R1689:92:2:3</t>
  </si>
  <si>
    <t>aan de criteria van artikel 68, lid 2</t>
  </si>
  <si>
    <t>32024R1689:92:5:6</t>
  </si>
  <si>
    <t>32024R1689:92:6:8</t>
  </si>
  <si>
    <t>32024R1689:92:6:9</t>
  </si>
  <si>
    <t>Die uitvoeringshandelingen</t>
  </si>
  <si>
    <t>32024R1689:92:7:10</t>
  </si>
  <si>
    <t>32024R1689:93:1:1</t>
  </si>
  <si>
    <t>32024R1689:93:1:4</t>
  </si>
  <si>
    <t>het model</t>
  </si>
  <si>
    <t>32024R1689:93:1:5</t>
  </si>
  <si>
    <t>32024R1689:93:1:6</t>
  </si>
  <si>
    <t>32024R1689:93:2:7</t>
  </si>
  <si>
    <t>32024R1689:96:1:1</t>
  </si>
  <si>
    <t>32024R1689:97:3:4</t>
  </si>
  <si>
    <t>32024R1689:97:5:7</t>
  </si>
  <si>
    <t>32024R1689:99:1:2</t>
  </si>
  <si>
    <t>32024R1689:99:1:3</t>
  </si>
  <si>
    <t>belangen van kmo’s, met inbegrip van start-ups | economische levensvatbaarheid</t>
  </si>
  <si>
    <t>32024R1689:99:4:8</t>
  </si>
  <si>
    <t>32024R1689:99:5:9</t>
  </si>
  <si>
    <t>32024R1689:99:7:12</t>
  </si>
  <si>
    <t>32024R1689:100:1:1</t>
  </si>
  <si>
    <t>32024R1689:100:2:2</t>
  </si>
  <si>
    <t>32024R1689:100:3:3</t>
  </si>
  <si>
    <t>32024R1689:100:4:6</t>
  </si>
  <si>
    <t>32024R1689:100:7:9</t>
  </si>
  <si>
    <t>de administratieve geldboeten</t>
  </si>
  <si>
    <t>32024R1689:101:1:1</t>
  </si>
  <si>
    <t>32024R1689:101:1:3</t>
  </si>
  <si>
    <t>32024R1689:101:2:5</t>
  </si>
  <si>
    <t>hem</t>
  </si>
  <si>
    <t>32024R1689:101:3:6</t>
  </si>
  <si>
    <t>doeltreffend, evenredig en afschrikkend</t>
  </si>
  <si>
    <t>32024R1689:101:5:9</t>
  </si>
  <si>
    <t>32024R1689:101:5:10</t>
  </si>
  <si>
    <t>32024R1689:111:2:1</t>
  </si>
  <si>
    <t>32024R1689:111:3:2</t>
  </si>
  <si>
    <t>32024R1689:112:2:4</t>
  </si>
  <si>
    <t>32024R1689:112:3:5</t>
  </si>
  <si>
    <t>een verslag</t>
  </si>
  <si>
    <t>32024R1689:112:3:8</t>
  </si>
  <si>
    <t>32024R1689:112:6:11</t>
  </si>
  <si>
    <t>32024R1689:112:6:13</t>
  </si>
  <si>
    <t>Dit verslag</t>
  </si>
  <si>
    <t>32024R1689:112:6:14</t>
  </si>
  <si>
    <t>32024R1689:112:8:16</t>
  </si>
  <si>
    <t>standpunten | bevindingen van de AI-board | Europees Parlement | Raad | van andere relevante instanties of bronnen</t>
  </si>
  <si>
    <t>32024R1689:112:13:21</t>
  </si>
  <si>
    <t>een beoordeling</t>
  </si>
  <si>
    <t>32024R1689:112:13:22</t>
  </si>
  <si>
    <t>32024R1689:112:13:23</t>
  </si>
  <si>
    <t>dit verslag</t>
  </si>
  <si>
    <t>32016R0679:5:2:2</t>
  </si>
  <si>
    <t>32016R0679:6:4:6</t>
  </si>
  <si>
    <t>32016R0679:7:3:3</t>
  </si>
  <si>
    <t>hij</t>
  </si>
  <si>
    <t>32016R0679:7:3:4</t>
  </si>
  <si>
    <t>even eenvoudig</t>
  </si>
  <si>
    <t>toestemming tot toestemming | machtiging</t>
  </si>
  <si>
    <t>Verwerking van persoonsgegevens waaruit ras of etnische afkomst, politieke opvattingen, religieuze of levensbeschouwelijke overtuigingen, of het lidmaatschap van een vakbond blijkenmet betrekking tot iemands seksueel gedrag of seksuele gerichtheid | verwerking van genetische gegevens, biometrische gegevens met het oog op de unieke identificatie van een persoon | gegevens over gezondheid, of gegevens</t>
  </si>
  <si>
    <t>32016R0679:9:2:2</t>
  </si>
  <si>
    <t>32016R0679:9:3:3</t>
  </si>
  <si>
    <t>De in lid 1 bedoelde persoonsgegevens</t>
  </si>
  <si>
    <t>Persoonsgegevens betreffende strafrechtelijke veroordelingen | strafbare feiten | daarmee verband houdende veiligheidsmaatregelen</t>
  </si>
  <si>
    <t>32016R0679:11:2:3</t>
  </si>
  <si>
    <t>32016R0679:12:3:4</t>
  </si>
  <si>
    <t>32016R0679:12:3:5</t>
  </si>
  <si>
    <t>de informatie</t>
  </si>
  <si>
    <t>32016R0679:12:8:16</t>
  </si>
  <si>
    <t>32016R0679:13:1:1</t>
  </si>
  <si>
    <t>de volgende informatie</t>
  </si>
  <si>
    <t>identiteit | contactgegevens van de verwerkingsverantwoordelijke | in voorkomend geval, van de vertegenwoordiger van de verwerkingsverantwoordelijke</t>
  </si>
  <si>
    <t>ontvangers | categorieën van ontvangers van de persoonsgegevens</t>
  </si>
  <si>
    <t>32016R0679:13:4:9</t>
  </si>
  <si>
    <t>De leden 1, 2 en 3</t>
  </si>
  <si>
    <t>32016R0679:14:1:1</t>
  </si>
  <si>
    <t>32016R0679:14:1:2</t>
  </si>
  <si>
    <t>32016R0679:14:1:3</t>
  </si>
  <si>
    <t>32016R0679:14:1:6</t>
  </si>
  <si>
    <t>32016R0679:14:2:8</t>
  </si>
  <si>
    <t>32016R0679:14:3:9</t>
  </si>
  <si>
    <t>de in de leden 1 en 2 bedoelde informatie</t>
  </si>
  <si>
    <t>32016R0679:14:4:10</t>
  </si>
  <si>
    <t>32016R0679:14:5:11</t>
  </si>
  <si>
    <t>32016R0679:14:5:12</t>
  </si>
  <si>
    <t>het verstrekken van die informatie</t>
  </si>
  <si>
    <t>32016R0679:14:5:13</t>
  </si>
  <si>
    <t>32016R0679:14:5:15</t>
  </si>
  <si>
    <t>persoonsgegevens | van de volgende informatie</t>
  </si>
  <si>
    <t>32016R0679:15:3:5</t>
  </si>
  <si>
    <t>32016R0679:15:3:6</t>
  </si>
  <si>
    <t>32016R0679:17:1:2</t>
  </si>
  <si>
    <t>32016R0679:17:3:3</t>
  </si>
  <si>
    <t>De leden 1 en 2</t>
  </si>
  <si>
    <t>32016R0679:18:2:2</t>
  </si>
  <si>
    <t>32016R0679:19:whole:1</t>
  </si>
  <si>
    <t>iedere ontvanger aan wie persoonsgegevens zijn verstrekt</t>
  </si>
  <si>
    <t>32016R0679:20:1:2</t>
  </si>
  <si>
    <t>die gegevens</t>
  </si>
  <si>
    <t>32016R0679:20:1:3</t>
  </si>
  <si>
    <t>32016R0679:20:2:4</t>
  </si>
  <si>
    <t>32016R0679:21:3:4</t>
  </si>
  <si>
    <t>32016R0679:21:6:6</t>
  </si>
  <si>
    <t>32016R0679:22:4:2</t>
  </si>
  <si>
    <t>De in lid 2 bedoelde besluiten</t>
  </si>
  <si>
    <t>32016R0679:23:2:2</t>
  </si>
  <si>
    <t>32016R0679:24:1:1</t>
  </si>
  <si>
    <t>32016R0679:24:1:3</t>
  </si>
  <si>
    <t>Die maatregelen</t>
  </si>
  <si>
    <t>32016R0679:24:1:4</t>
  </si>
  <si>
    <t>32016R0679:24:2:5</t>
  </si>
  <si>
    <t>een passend gegevensbeschermingsbeleid</t>
  </si>
  <si>
    <t>32016R0679:25:1:1</t>
  </si>
  <si>
    <t>32016R0679:25:2:2</t>
  </si>
  <si>
    <t>32016R0679:25:2:3</t>
  </si>
  <si>
    <t>32016R0679:25:2:4</t>
  </si>
  <si>
    <t>32016R0679:25:2:5</t>
  </si>
  <si>
    <t>32016R0679:25:2:6</t>
  </si>
  <si>
    <t>32016R0679:26:2:2</t>
  </si>
  <si>
    <t>aan de betrokkene</t>
  </si>
  <si>
    <t>32016R0679:27:1:1</t>
  </si>
  <si>
    <t>een vertegenwoordiger</t>
  </si>
  <si>
    <t>32016R0679:27:2:2</t>
  </si>
  <si>
    <t>De verplichting vervat in lid 1 van dit artikel</t>
  </si>
  <si>
    <t>32016R0679:27:3:3</t>
  </si>
  <si>
    <t>32016R0679:27:4:4</t>
  </si>
  <si>
    <t>de vertegenwoordiger</t>
  </si>
  <si>
    <t>32016R0679:28:2:4</t>
  </si>
  <si>
    <t>de mogelijkheid</t>
  </si>
  <si>
    <t>32016R0679:28:7:9</t>
  </si>
  <si>
    <t>32016R0679:28:8:10</t>
  </si>
  <si>
    <t>overeenkomst | rechtshandeling</t>
  </si>
  <si>
    <t>32016R0679:29:whole:1</t>
  </si>
  <si>
    <t>32016R0679:30:1:2</t>
  </si>
  <si>
    <t>alle volgende gegevens</t>
  </si>
  <si>
    <t>32016R0679:30:2:4</t>
  </si>
  <si>
    <t>de volgende gegevens</t>
  </si>
  <si>
    <t>32016R0679:30:4:6</t>
  </si>
  <si>
    <t>het register</t>
  </si>
  <si>
    <t>32016R0679:30:5:7</t>
  </si>
  <si>
    <t>De in de leden 1 en 2 bedoelde verplichtingen</t>
  </si>
  <si>
    <t>32016R0679:31:whole:1</t>
  </si>
  <si>
    <t>32016R0679:32:1:1</t>
  </si>
  <si>
    <t>32016R0679:32:4:2</t>
  </si>
  <si>
    <t>32016R0679:32:4:3</t>
  </si>
  <si>
    <t>32016R0679:33:1:1</t>
  </si>
  <si>
    <t>32016R0679:33:1:2</t>
  </si>
  <si>
    <t>32016R0679:33:2:3</t>
  </si>
  <si>
    <t>32016R0679:33:4:4</t>
  </si>
  <si>
    <t>32016R0679:34:4:3</t>
  </si>
  <si>
    <t>32016R0679:35:1:1</t>
  </si>
  <si>
    <t>32016R0679:35:2:2</t>
  </si>
  <si>
    <t>diens advies</t>
  </si>
  <si>
    <t>32016R0679:35:4:3</t>
  </si>
  <si>
    <t>een lijst</t>
  </si>
  <si>
    <t>32016R0679:35:4:4</t>
  </si>
  <si>
    <t>32016R0679:35:5:6</t>
  </si>
  <si>
    <t>32016R0679:35:5:7</t>
  </si>
  <si>
    <t>32016R0679:35:5:8</t>
  </si>
  <si>
    <t>deze lijst</t>
  </si>
  <si>
    <t>32016R0679:35:7:10</t>
  </si>
  <si>
    <t>ten minste</t>
  </si>
  <si>
    <t>beoordeling van de noodzaak | evenredigheid van de verwerkingen met betrekking tot de doeleinden</t>
  </si>
  <si>
    <t>32016R0679:35:9:16</t>
  </si>
  <si>
    <t>32016R0679:35:10:17</t>
  </si>
  <si>
    <t>de leden 1 tot en met 7</t>
  </si>
  <si>
    <t>32016R0679:36:1:1</t>
  </si>
  <si>
    <t>32016R0679:36:3:2</t>
  </si>
  <si>
    <t>doeleinden | middelen van de voorgenomen verwerking</t>
  </si>
  <si>
    <t>32016R0679:36:3:6</t>
  </si>
  <si>
    <t>32016R0679:36:4:9</t>
  </si>
  <si>
    <t>32016R0679:37:3:3</t>
  </si>
  <si>
    <t>32016R0679:37:4:4</t>
  </si>
  <si>
    <t>32016R0679:37:4:5</t>
  </si>
  <si>
    <t>32016R0679:37:4:6</t>
  </si>
  <si>
    <t>32016R0679:37:5:7</t>
  </si>
  <si>
    <t>De functionaris voor gegevensbescherming</t>
  </si>
  <si>
    <t>personeelslid van de verwerkingsverantwoordelijke | verwerker</t>
  </si>
  <si>
    <t>32016R0679:37:7:10</t>
  </si>
  <si>
    <t>32016R0679:37:7:11</t>
  </si>
  <si>
    <t>32016R0679:38:2:2</t>
  </si>
  <si>
    <t>de functionaris voor gegevensbescherming</t>
  </si>
  <si>
    <t>32016R0679:38:3:5</t>
  </si>
  <si>
    <t>32016R0679:38:3:6</t>
  </si>
  <si>
    <t>Hij</t>
  </si>
  <si>
    <t>32016R0679:38:3:7</t>
  </si>
  <si>
    <t>32016R0679:38:4:8</t>
  </si>
  <si>
    <t>32016R0679:38:5:9</t>
  </si>
  <si>
    <t>taken | plichten</t>
  </si>
  <si>
    <t>32016R0679:39:1:1</t>
  </si>
  <si>
    <t>32016R0679:39:1:2</t>
  </si>
  <si>
    <t>ten minste de volgende taken</t>
  </si>
  <si>
    <t>32016R0679:39:1:6</t>
  </si>
  <si>
    <t>32016R0679:39:1:7</t>
  </si>
  <si>
    <t>32016R0679:40:2:4</t>
  </si>
  <si>
    <t>32016R0679:40:5:9</t>
  </si>
  <si>
    <t>32016R0679:40:6:12</t>
  </si>
  <si>
    <t>32016R0679:40:7:13</t>
  </si>
  <si>
    <t>32016R0679:40:7:14</t>
  </si>
  <si>
    <t>32016R0679:40:8:15</t>
  </si>
  <si>
    <t>zijn advies</t>
  </si>
  <si>
    <t>goedgekeurde gedragscodes | wijzigingen | uitbreidingen</t>
  </si>
  <si>
    <t>32016R0679:40:11:18</t>
  </si>
  <si>
    <t>32016R0679:41:2:2</t>
  </si>
  <si>
    <t>onafhankelijkheid met betrekking tot het onderwerp van de gedragscode | deskundigheid</t>
  </si>
  <si>
    <t>32016R0679:41:2:4</t>
  </si>
  <si>
    <t>procedures | structuren</t>
  </si>
  <si>
    <t>32016R0679:41:2:9</t>
  </si>
  <si>
    <t>32016R0679:41:2:10</t>
  </si>
  <si>
    <t>die procedures en structuren</t>
  </si>
  <si>
    <t>32016R0679:41:4:13</t>
  </si>
  <si>
    <t>32016R0679:41:4:14</t>
  </si>
  <si>
    <t>32016R0679:42:6:4</t>
  </si>
  <si>
    <t>32016R0679:42:7:6</t>
  </si>
  <si>
    <t>32016R0679:42:7:7</t>
  </si>
  <si>
    <t>het certificaat</t>
  </si>
  <si>
    <t>certificeringsmechanismen en -merktekens | gegevensbeschermingszegels</t>
  </si>
  <si>
    <t>32016R0679:42:8:9</t>
  </si>
  <si>
    <t>afgifte van het certificaat | verlenging</t>
  </si>
  <si>
    <t>32016R0679:43:4:4</t>
  </si>
  <si>
    <t>32016R0679:43:4:5</t>
  </si>
  <si>
    <t>32016R0679:43:6:7</t>
  </si>
  <si>
    <t>De in lid 3 van dit artikel bedoelde voorschriften en de in artikel 42, lid 5, bedoelde criteria</t>
  </si>
  <si>
    <t>voorschriften | criteria</t>
  </si>
  <si>
    <t>32016R0679:43:6:8</t>
  </si>
  <si>
    <t>die eisen en criteria</t>
  </si>
  <si>
    <t>eisen | criteria</t>
  </si>
  <si>
    <t>certificeringsmechanismen | gegevensbeschermingszegels</t>
  </si>
  <si>
    <t>32016R0679:43:6:10</t>
  </si>
  <si>
    <t>32016R0679:43:8:12</t>
  </si>
  <si>
    <t>32016R0679:43:9:13</t>
  </si>
  <si>
    <t>32016R0679:43:9:14</t>
  </si>
  <si>
    <t>32016R0679:45:5:4</t>
  </si>
  <si>
    <t>32016R0679:45:5:5</t>
  </si>
  <si>
    <t>het in lid 3 van dit artikel bedoelde besluit</t>
  </si>
  <si>
    <t>32016R0679:45:5:6</t>
  </si>
  <si>
    <t>32016R0679:45:6:7</t>
  </si>
  <si>
    <t>32016R0679:46:2:2</t>
  </si>
  <si>
    <t>De in lid 1 bedoelde passende waarborgen</t>
  </si>
  <si>
    <t>32016R0679:46:3:3</t>
  </si>
  <si>
    <t>de in lid 1 bedoelde passende waarborgen</t>
  </si>
  <si>
    <t>32016R0679:46:3:4</t>
  </si>
  <si>
    <t>32016R0679:46:4:5</t>
  </si>
  <si>
    <t>32016R0679:46:5:6</t>
  </si>
  <si>
    <t>32016R0679:46:5:7</t>
  </si>
  <si>
    <t>32016R0679:47:2:2</t>
  </si>
  <si>
    <t>minstens de volgende elementen</t>
  </si>
  <si>
    <t>model | procedures voor de uitwisseling van informatie over bindende bedrijfsvoorschriften</t>
  </si>
  <si>
    <t>32016R0679:47:3:4</t>
  </si>
  <si>
    <t>Deze uitvoeringshandelingen</t>
  </si>
  <si>
    <t>32016R0679:49:1:1</t>
  </si>
  <si>
    <t>32016R0679:49:1:2</t>
  </si>
  <si>
    <t>32016R0679:49:2:5</t>
  </si>
  <si>
    <t>32016R0679:49:3:6</t>
  </si>
  <si>
    <t>Lid 1, eerste alinea, onder a), b) en c) en tweede alinea</t>
  </si>
  <si>
    <t>32016R0679:49:5:8</t>
  </si>
  <si>
    <t>32016R0679:49:6:9</t>
  </si>
  <si>
    <t>de beoordeling en de in lid 1, tweede alinea, van dit artikel bedoelde passende waarborgen</t>
  </si>
  <si>
    <t>beoordeling | passende waarborgen</t>
  </si>
  <si>
    <t>32016R0679:50:whole:1</t>
  </si>
  <si>
    <t>32016R0679:51:2:3</t>
  </si>
  <si>
    <t>32016R0679:51:3:4</t>
  </si>
  <si>
    <t>32016R0679:51:3:5</t>
  </si>
  <si>
    <t>de procedure</t>
  </si>
  <si>
    <t>32016R0679:51:4:7</t>
  </si>
  <si>
    <t>32016R0679:52:1:1</t>
  </si>
  <si>
    <t>32016R0679:52:2:2</t>
  </si>
  <si>
    <t>32016R0679:53:1:1</t>
  </si>
  <si>
    <t>32016R0679:53:1:2</t>
  </si>
  <si>
    <t>nodige kwalificaties | ervaring | vaardigheden</t>
  </si>
  <si>
    <t>32016R0679:53:4:5</t>
  </si>
  <si>
    <t>32016R0679:54:1:1</t>
  </si>
  <si>
    <t>al het volgende</t>
  </si>
  <si>
    <t>regels voor de benoeming of de leden van elke toezichthoudende autoriteit | procedures</t>
  </si>
  <si>
    <t>ambtstermijn | leden van elke toezichthoudende autoriteit</t>
  </si>
  <si>
    <t>32016R0679:54:2:8</t>
  </si>
  <si>
    <t>het beroepsgeheim</t>
  </si>
  <si>
    <t>32016R0679:55:1:1</t>
  </si>
  <si>
    <t>de taken</t>
  </si>
  <si>
    <t>32016R0679:55:1:2</t>
  </si>
  <si>
    <t>de bevoegdheden</t>
  </si>
  <si>
    <t>32016R0679:55:2:3</t>
  </si>
  <si>
    <t>32016R0679:55:2:4</t>
  </si>
  <si>
    <t>artikel 56</t>
  </si>
  <si>
    <t>32016R0679:56:1:1</t>
  </si>
  <si>
    <t>bij haar ingediende klacht | eventuele inbreuk op deze verordening</t>
  </si>
  <si>
    <t>32016R0679:56:5:5</t>
  </si>
  <si>
    <t>32016R0679:57:1:1</t>
  </si>
  <si>
    <t>de volgende taken</t>
  </si>
  <si>
    <t>bekendheid | inzicht in de risico's, regels, waarborgen en rechten in verband met de verwerking</t>
  </si>
  <si>
    <t>32016R0679:57:1:5</t>
  </si>
  <si>
    <t>32016R0679:57:1:7</t>
  </si>
  <si>
    <t>32016R0679:57:1:8</t>
  </si>
  <si>
    <t>32016R0679:57:1:9</t>
  </si>
  <si>
    <t>32016R0679:57:1:12</t>
  </si>
  <si>
    <t>32016R0679:57:1:16</t>
  </si>
  <si>
    <t>de in artikel 28, lid 8, en artikel 46, lid 2, onder d), bedoelde standaardcontractbepalingen</t>
  </si>
  <si>
    <t>32016R0679:57:1:17</t>
  </si>
  <si>
    <t>32016R0679:57:1:18</t>
  </si>
  <si>
    <t>32016R0679:57:1:19</t>
  </si>
  <si>
    <t>32016R0679:57:1:20</t>
  </si>
  <si>
    <t>de opstelling van gedragscodes uit hoofde van artikel 40, lid 1</t>
  </si>
  <si>
    <t>32016R0679:57:1:21</t>
  </si>
  <si>
    <t>32016R0679:57:1:22</t>
  </si>
  <si>
    <t>accreditatie van een orgaan voor het toezicht op gedragscodes | van een certificeringsorgaan</t>
  </si>
  <si>
    <t>32016R0679:57:1:28</t>
  </si>
  <si>
    <t>32016R0679:57:1:29</t>
  </si>
  <si>
    <t>32016R0679:57:1:31</t>
  </si>
  <si>
    <t>32016R0679:57:3:33</t>
  </si>
  <si>
    <t>haar taken</t>
  </si>
  <si>
    <t>32016R0679:57:4:34</t>
  </si>
  <si>
    <t>32016R0679:57:4:36</t>
  </si>
  <si>
    <t>bedrijfsruimten van de verwerkingsverantwoordelijke | verwerker</t>
  </si>
  <si>
    <t>32016R0679:58:1:6</t>
  </si>
  <si>
    <t>32016R0679:58:1:7</t>
  </si>
  <si>
    <t>32016R0679:58:2:10</t>
  </si>
  <si>
    <t>32016R0679:58:2:11</t>
  </si>
  <si>
    <t>32016R0679:58:2:12</t>
  </si>
  <si>
    <t>32016R0679:58:3:20</t>
  </si>
  <si>
    <t>32016R0679:58:3:21</t>
  </si>
  <si>
    <t>32016R0679:58:3:26</t>
  </si>
  <si>
    <t>32016R0679:58:3:28</t>
  </si>
  <si>
    <t>32016R0679:59:whole:3</t>
  </si>
  <si>
    <t>Zij</t>
  </si>
  <si>
    <t>32016R0679:60:1:1</t>
  </si>
  <si>
    <t>32016R0679:60:1:2</t>
  </si>
  <si>
    <t>32016R0679:60:3:7</t>
  </si>
  <si>
    <t>32016R0679:60:5:10</t>
  </si>
  <si>
    <t>32016R0679:60:7:11</t>
  </si>
  <si>
    <t>het besluit</t>
  </si>
  <si>
    <t>32016R0679:60:7:12</t>
  </si>
  <si>
    <t>het</t>
  </si>
  <si>
    <t>toezichthoudende autoriteiten | Comité</t>
  </si>
  <si>
    <t>32016R0679:60:7:14</t>
  </si>
  <si>
    <t>32016R0679:60:8:15</t>
  </si>
  <si>
    <t>32016R0679:60:8:16</t>
  </si>
  <si>
    <t>32016R0679:60:8:17</t>
  </si>
  <si>
    <t>32016R0679:60:9:18</t>
  </si>
  <si>
    <t>32016R0679:60:9:19</t>
  </si>
  <si>
    <t>32016R0679:60:9:20</t>
  </si>
  <si>
    <t>32016R0679:60:9:21</t>
  </si>
  <si>
    <t>32016R0679:60:9:22</t>
  </si>
  <si>
    <t>32016R0679:60:10:23</t>
  </si>
  <si>
    <t>32016R0679:60:10:24</t>
  </si>
  <si>
    <t>32016R0679:60:10:26</t>
  </si>
  <si>
    <t>32016R0679:60:12:28</t>
  </si>
  <si>
    <t>de krachtens dit artikel vereiste informatie</t>
  </si>
  <si>
    <t>32016R0679:61:1:1</t>
  </si>
  <si>
    <t>relevante informatie en wederzijdse bijstand</t>
  </si>
  <si>
    <t>relevante informatie | wederzijdse bijstand</t>
  </si>
  <si>
    <t>32016R0679:61:1:2</t>
  </si>
  <si>
    <t>32016R0679:61:2:3</t>
  </si>
  <si>
    <t>32016R0679:61:2:4</t>
  </si>
  <si>
    <t>32016R0679:61:3:5</t>
  </si>
  <si>
    <t>alle nodige informatie</t>
  </si>
  <si>
    <t>32016R0679:61:4:7</t>
  </si>
  <si>
    <t>dit verzoek</t>
  </si>
  <si>
    <t>32016R0679:61:5:9</t>
  </si>
  <si>
    <t>32016R0679:61:7:11</t>
  </si>
  <si>
    <t>32016R0679:62:2:3</t>
  </si>
  <si>
    <t>32016R0679:62:3:4</t>
  </si>
  <si>
    <t>32016R0679:62:3:5</t>
  </si>
  <si>
    <t>32016R0679:62:5:9</t>
  </si>
  <si>
    <t>deze schade</t>
  </si>
  <si>
    <t>32016R0679:62:7:12</t>
  </si>
  <si>
    <t>32016R0679:63:whole:1</t>
  </si>
  <si>
    <t>32016R0679:64:3:2</t>
  </si>
  <si>
    <t>Dat advies</t>
  </si>
  <si>
    <t>32016R0679:64:3:3</t>
  </si>
  <si>
    <t>een advies</t>
  </si>
  <si>
    <t>32016R0679:64:3:4</t>
  </si>
  <si>
    <t>Die termijn</t>
  </si>
  <si>
    <t>32016R0679:64:3:5</t>
  </si>
  <si>
    <t>32016R0679:64:4:6</t>
  </si>
  <si>
    <t>32016R0679:64:5:8</t>
  </si>
  <si>
    <t>dat advies</t>
  </si>
  <si>
    <t>32016R0679:64:6:11</t>
  </si>
  <si>
    <t>haar in lid 1 bedoelde ontwerpbesluit</t>
  </si>
  <si>
    <t>32016R0679:65:2:1</t>
  </si>
  <si>
    <t>Het in lid 1 bedoelde besluit</t>
  </si>
  <si>
    <t>32016R0679:65:2:2</t>
  </si>
  <si>
    <t>Deze termijn</t>
  </si>
  <si>
    <t>32016R0679:65:2:3</t>
  </si>
  <si>
    <t>32016R0679:65:2:4</t>
  </si>
  <si>
    <t>32016R0679:65:2:5</t>
  </si>
  <si>
    <t>32016R0679:65:3:6</t>
  </si>
  <si>
    <t>zijn besluit</t>
  </si>
  <si>
    <t>32016R0679:65:3:7</t>
  </si>
  <si>
    <t>32016R0679:65:4:8</t>
  </si>
  <si>
    <t>32016R0679:65:5:9</t>
  </si>
  <si>
    <t>het in lid 1 bedoelde besluit</t>
  </si>
  <si>
    <t>32016R0679:65:5:10</t>
  </si>
  <si>
    <t>32016R0679:65:5:11</t>
  </si>
  <si>
    <t>32016R0679:65:6:14</t>
  </si>
  <si>
    <t>naar het in lid 1 van dit artikel bedoelde besluit</t>
  </si>
  <si>
    <t>32016R0679:65:6:16</t>
  </si>
  <si>
    <t>32016R0679:65:6:17</t>
  </si>
  <si>
    <t>32016R0679:66:1:2</t>
  </si>
  <si>
    <t>die maatregelen</t>
  </si>
  <si>
    <t>32016R0679:66:2:3</t>
  </si>
  <si>
    <t>het Comité</t>
  </si>
  <si>
    <t>32016R0679:67:whole:1</t>
  </si>
  <si>
    <t>32016R0679:68:2:1</t>
  </si>
  <si>
    <t>Het Comité</t>
  </si>
  <si>
    <t>32016R0679:68:5:3</t>
  </si>
  <si>
    <t>de activiteiten</t>
  </si>
  <si>
    <t>32016R0679:68:5:5</t>
  </si>
  <si>
    <t>32016R0679:68:5:6</t>
  </si>
  <si>
    <t>32016R0679:69:1:1</t>
  </si>
  <si>
    <t>32016R0679:69:2:2</t>
  </si>
  <si>
    <t>32016R0679:70:1:2</t>
  </si>
  <si>
    <t>32016R0679:70:1:3</t>
  </si>
  <si>
    <t>32016R0679:70:1:4</t>
  </si>
  <si>
    <t>32016R0679:70:1:7</t>
  </si>
  <si>
    <t>32016R0679:70:1:8</t>
  </si>
  <si>
    <t>de praktische toepassing van de in de punten e) en f) bedoelde richtsnoeren, aanbevelingen en beste praktijken</t>
  </si>
  <si>
    <t>32016R0679:70:1:9</t>
  </si>
  <si>
    <t>het opstellen van gedragscodes</t>
  </si>
  <si>
    <t>32016R0679:70:1:10</t>
  </si>
  <si>
    <t>32016R0679:70:1:14</t>
  </si>
  <si>
    <t>32016R0679:70:1:16</t>
  </si>
  <si>
    <t>samenwerking tussen de toezichthoudende autoriteiten | effectieve bilaterale en multilaterale uitwisseling van informatie en beste praktijken</t>
  </si>
  <si>
    <t>32016R0679:70:2:23</t>
  </si>
  <si>
    <t>een termijn</t>
  </si>
  <si>
    <t>adviezen, richtsnoeren, aanbevelingen | beste praktijken</t>
  </si>
  <si>
    <t>32016R0679:70:3:25</t>
  </si>
  <si>
    <t>32016R0679:71:1:2</t>
  </si>
  <si>
    <t>32016R0679:71:1:3</t>
  </si>
  <si>
    <t>32016R0679:72:1:1</t>
  </si>
  <si>
    <t>eigen reglement van orde | eigen werkregelingen</t>
  </si>
  <si>
    <t>voorzitter | twee vicevoorzitters</t>
  </si>
  <si>
    <t>32016R0679:73:2:3</t>
  </si>
  <si>
    <t>32016R0679:74:1:1</t>
  </si>
  <si>
    <t>32016R0679:74:1:2</t>
  </si>
  <si>
    <t>zijn agenda</t>
  </si>
  <si>
    <t>32016R0679:75:2:1</t>
  </si>
  <si>
    <t>zijn taken</t>
  </si>
  <si>
    <t>communicatie tussen de leden van het Comité | voorzitter en de Commissie</t>
  </si>
  <si>
    <t>communicatie met andere instellingen | brede publiek</t>
  </si>
  <si>
    <t>voorbereiding van de bijeenkomsten van het Comité | follow-up</t>
  </si>
  <si>
    <t>32016R0679:76:1:1</t>
  </si>
  <si>
    <t>dit</t>
  </si>
  <si>
    <t>32016R0679:77:1:1</t>
  </si>
  <si>
    <t>32016R0679:78:2:2</t>
  </si>
  <si>
    <t>32016R0679:78:4:4</t>
  </si>
  <si>
    <t>dat advies of besluit</t>
  </si>
  <si>
    <t>advies | besluit</t>
  </si>
  <si>
    <t>32016R0679:79:1:1</t>
  </si>
  <si>
    <t>32016R0679:79:2:3</t>
  </si>
  <si>
    <t>Een dergelijke procedure</t>
  </si>
  <si>
    <t>32016R0679:80:1:2</t>
  </si>
  <si>
    <t>de in artikelen 77, 78 en 79 bedoelde rechten</t>
  </si>
  <si>
    <t>32016R0679:81:1:1</t>
  </si>
  <si>
    <t>32016R0679:81:2:2</t>
  </si>
  <si>
    <t>zijn procedure</t>
  </si>
  <si>
    <t>32016R0679:81:3:3</t>
  </si>
  <si>
    <t>32016R0679:82:4:5</t>
  </si>
  <si>
    <t>elke verwerkingsverantwoordelijke of verwerker</t>
  </si>
  <si>
    <t>32016R0679:83:2:3</t>
  </si>
  <si>
    <t>32016R0679:83:4:5</t>
  </si>
  <si>
    <t>32016R0679:83:6:7</t>
  </si>
  <si>
    <t>32016R0679:83:7:8</t>
  </si>
  <si>
    <t>32016R0679:83:9:12</t>
  </si>
  <si>
    <t>32016R0679:83:9:13</t>
  </si>
  <si>
    <t>32016R0679:83:9:14</t>
  </si>
  <si>
    <t>32016R0679:83:9:15</t>
  </si>
  <si>
    <t>32016R0679:83:9:16</t>
  </si>
  <si>
    <t>32016R0679:84:1:2</t>
  </si>
  <si>
    <t>32016R0679:84:2:3</t>
  </si>
  <si>
    <t>de overeenkomstig lid 1 vastgestelde wetgevingsbepalingen</t>
  </si>
  <si>
    <t>32016R0679:84:2:4</t>
  </si>
  <si>
    <t>uitzonderingen | afwijkingen</t>
  </si>
  <si>
    <t>32016R0679:85:3:3</t>
  </si>
  <si>
    <t>de overeenkomstig lid 2 vastgestelde wetgevingsbepalingen</t>
  </si>
  <si>
    <t>32016R0679:85:3:4</t>
  </si>
  <si>
    <t>nationale identificatienummer van algemene aard | identificator</t>
  </si>
  <si>
    <t>32016R0679:88:3:3</t>
  </si>
  <si>
    <t>32016R0679:88:3:4</t>
  </si>
  <si>
    <t>32016R0679:89:1:3</t>
  </si>
  <si>
    <t>32016R0679:89:1:4</t>
  </si>
  <si>
    <t>32016R0679:89:3:6</t>
  </si>
  <si>
    <t>afwijkingen van de in de artikelen 15, 16, 18, 19, 20 en 21 genoemde rechten</t>
  </si>
  <si>
    <t>32016R0679:90:2:2</t>
  </si>
  <si>
    <t>de regels</t>
  </si>
  <si>
    <t>32016R0679:90:2:3</t>
  </si>
  <si>
    <t>alle wijzigingen daarvan</t>
  </si>
  <si>
    <t>32016R0679:91:1:1</t>
  </si>
  <si>
    <t>die regels</t>
  </si>
  <si>
    <t>32016R0679:92:1:1</t>
  </si>
  <si>
    <t>32016R0679:92:3:3</t>
  </si>
  <si>
    <t>de in artikel 12, lid 8, en artikel 43, lid 8, bedoelde bevoegdheidsdelegatie</t>
  </si>
  <si>
    <t>32016R0679:92:3:4</t>
  </si>
  <si>
    <t>32016R0679:92:3:5</t>
  </si>
  <si>
    <t>32016R0679:92:3:6</t>
  </si>
  <si>
    <t>32016R0679:92:4:7</t>
  </si>
  <si>
    <t>32016R0679:92:5:8</t>
  </si>
  <si>
    <t>32016R0679:92:5:9</t>
  </si>
  <si>
    <t>32016R0679:97:1:1</t>
  </si>
  <si>
    <t>32016R0679:97:1:2</t>
  </si>
  <si>
    <t>De verslagen</t>
  </si>
  <si>
    <t>toepassing | werking</t>
  </si>
  <si>
    <t>32016R0679:97:3:4</t>
  </si>
  <si>
    <t>standpunten | bevindingen van het Europees Parlement | van de Raad | van andere relevante instanties of bronnen</t>
  </si>
  <si>
    <t>32016R0679:97:5:6</t>
  </si>
  <si>
    <t>object      – the text that was mapped (a cleaned unit from Step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</si>
</sst>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name val="Arial"/>
    </font>
    <font>
      <sz val="11"/>
      <name val="Arial"/>
    </font>
    <font>
      <b/>
      <sz val="11"/>
      <name val="Arial"/>
    </font>
    <font>
      <sz val="11"/>
      <name val="Arial"/>
    </font>
    <font>
      <b/>
      <sz val="11"/>
      <color rgb="FFFFFFFF"/>
      <name val="Arial"/>
    </font>
    <font>
      <b/>
      <sz val="11"/>
      <name val="Arial"/>
    </font>
    <font>
      <i/>
      <sz val="11"/>
      <name val="Arial"/>
    </font>
  </fonts>
  <fills count="5">
    <fill>
      <patternFill patternType="none"/>
    </fill>
    <fill>
      <patternFill patternType="gray125"/>
    </fill>
    <fill>
      <patternFill patternType="solid">
        <fgColor rgb="FFFFF2CC"/>
      </patternFill>
    </fill>
    <fill>
      <patternFill patternType="solid">
        <fgColor rgb="FF1F3864"/>
      </patternFill>
    </fill>
    <fill>
      <patternFill patternType="solid">
        <fgColor rgb="FFEAF1DD"/>
      </patternFill>
    </fill>
  </fills>
  <borders count="2">
    <border>
      <left/>
      <right/>
      <top/>
      <bottom/>
      <diagonal/>
    </border>
    <border>
      <left/>
      <right/>
      <top/>
      <bottom style="thin">
        <color rgb="FFBFBFBF"/>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5" fillId="3" borderId="0" xfId="0" applyFont="1" applyFill="1" applyAlignment="1">
      <alignment vertical="center" wrapText="1"/>
    </xf>
    <xf numFmtId="0" fontId="4" fillId="0" borderId="0" xfId="0" applyFont="1"/>
    <xf numFmtId="0" fontId="4" fillId="2" borderId="0" xfId="0" applyFont="1" applyFill="1"/>
    <xf numFmtId="0" fontId="4" fillId="4" borderId="1" xfId="0" applyFont="1" applyFill="1" applyBorder="1" applyAlignment="1">
      <alignment vertical="top"/>
    </xf>
    <xf numFmtId="0" fontId="4" fillId="4" borderId="1" xfId="0" applyFont="1" applyFill="1" applyBorder="1" applyAlignment="1">
      <alignment vertical="top" wrapText="1"/>
    </xf>
    <xf numFmtId="2" fontId="4" fillId="4" borderId="1" xfId="0" applyNumberFormat="1"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2" fontId="4" fillId="0" borderId="1" xfId="0" applyNumberFormat="1" applyFont="1" applyBorder="1" applyAlignment="1">
      <alignment vertical="top"/>
    </xf>
    <xf numFmtId="9" fontId="4" fillId="0" borderId="0" xfId="0" applyNumberFormat="1" applyFont="1"/>
    <xf numFmtId="0" fontId="6" fillId="0" borderId="0" xfId="0" applyFont="1"/>
    <xf numFmtId="9" fontId="6" fillId="0" borderId="0" xfId="0" applyNumberFormat="1" applyFont="1"/>
    <xf numFmtId="0" fontId="7" fillId="0" borderId="0" xfId="0" applyFont="1"/>
    <xf numFmtId="0" fontId="4"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opLeftCell="A9" workbookViewId="0">
      <selection activeCell="A19" sqref="A19"/>
    </sheetView>
  </sheetViews>
  <sheetFormatPr defaultRowHeight="14.5" x14ac:dyDescent="0.35"/>
  <cols>
    <col min="1" max="1" width="45" customWidth="1"/>
    <col min="2" max="7" width="18" customWidth="1"/>
  </cols>
  <sheetData>
    <row r="1" spans="1:1" ht="16.5" x14ac:dyDescent="0.35">
      <c r="A1" s="1" t="s">
        <v>4248</v>
      </c>
    </row>
    <row r="2" spans="1:1" x14ac:dyDescent="0.35">
      <c r="A2" s="2"/>
    </row>
    <row r="3" spans="1:1" x14ac:dyDescent="0.35">
      <c r="A3" s="3" t="s">
        <v>4249</v>
      </c>
    </row>
    <row r="4" spans="1:1" x14ac:dyDescent="0.35">
      <c r="A4" s="2" t="s">
        <v>4250</v>
      </c>
    </row>
    <row r="5" spans="1:1" x14ac:dyDescent="0.35">
      <c r="A5" s="2" t="s">
        <v>4251</v>
      </c>
    </row>
    <row r="6" spans="1:1" x14ac:dyDescent="0.35">
      <c r="A6" s="2" t="s">
        <v>4252</v>
      </c>
    </row>
    <row r="7" spans="1:1" x14ac:dyDescent="0.35">
      <c r="A7" s="2" t="s">
        <v>4253</v>
      </c>
    </row>
    <row r="8" spans="1:1" x14ac:dyDescent="0.35">
      <c r="A8" s="2"/>
    </row>
    <row r="9" spans="1:1" x14ac:dyDescent="0.35">
      <c r="A9" s="3" t="s">
        <v>4254</v>
      </c>
    </row>
    <row r="10" spans="1:1" x14ac:dyDescent="0.35">
      <c r="A10" s="2" t="s">
        <v>4255</v>
      </c>
    </row>
    <row r="11" spans="1:1" x14ac:dyDescent="0.35">
      <c r="A11" s="2" t="s">
        <v>4256</v>
      </c>
    </row>
    <row r="12" spans="1:1" x14ac:dyDescent="0.35">
      <c r="A12" s="2" t="s">
        <v>4257</v>
      </c>
    </row>
    <row r="13" spans="1:1" x14ac:dyDescent="0.35">
      <c r="A13" s="2" t="s">
        <v>4258</v>
      </c>
    </row>
    <row r="14" spans="1:1" x14ac:dyDescent="0.35">
      <c r="A14" s="2" t="s">
        <v>4259</v>
      </c>
    </row>
    <row r="15" spans="1:1" x14ac:dyDescent="0.35">
      <c r="A15" s="2"/>
    </row>
    <row r="16" spans="1:1" x14ac:dyDescent="0.35">
      <c r="A16" s="3" t="s">
        <v>4260</v>
      </c>
    </row>
    <row r="17" spans="1:7" x14ac:dyDescent="0.35">
      <c r="A17" s="2" t="s">
        <v>4261</v>
      </c>
    </row>
    <row r="18" spans="1:7" x14ac:dyDescent="0.35">
      <c r="A18" s="2" t="s">
        <v>5140</v>
      </c>
    </row>
    <row r="19" spans="1:7" x14ac:dyDescent="0.35">
      <c r="A19" s="2" t="s">
        <v>4262</v>
      </c>
    </row>
    <row r="20" spans="1:7" x14ac:dyDescent="0.35">
      <c r="A20" s="2" t="s">
        <v>4263</v>
      </c>
    </row>
    <row r="21" spans="1:7" x14ac:dyDescent="0.35">
      <c r="A21" s="2" t="s">
        <v>4264</v>
      </c>
    </row>
    <row r="22" spans="1:7" x14ac:dyDescent="0.35">
      <c r="A22" s="2" t="s">
        <v>4265</v>
      </c>
    </row>
    <row r="23" spans="1:7" x14ac:dyDescent="0.35">
      <c r="A23" s="2" t="s">
        <v>4266</v>
      </c>
    </row>
    <row r="24" spans="1:7" x14ac:dyDescent="0.35">
      <c r="A24" s="2"/>
    </row>
    <row r="25" spans="1:7" x14ac:dyDescent="0.35">
      <c r="A25" s="3" t="s">
        <v>4267</v>
      </c>
    </row>
    <row r="26" spans="1:7" x14ac:dyDescent="0.35">
      <c r="A26" s="4" t="s">
        <v>2</v>
      </c>
      <c r="B26" s="4" t="s">
        <v>5</v>
      </c>
      <c r="C26" s="4" t="s">
        <v>7</v>
      </c>
      <c r="D26" s="4" t="s">
        <v>8</v>
      </c>
      <c r="E26" s="4" t="s">
        <v>17</v>
      </c>
      <c r="F26" s="4" t="s">
        <v>18</v>
      </c>
      <c r="G26" s="4" t="s">
        <v>19</v>
      </c>
    </row>
    <row r="27" spans="1:7" x14ac:dyDescent="0.35">
      <c r="A27" s="5" t="s">
        <v>482</v>
      </c>
      <c r="B27" s="5" t="s">
        <v>4</v>
      </c>
      <c r="C27" s="5" t="s">
        <v>67</v>
      </c>
      <c r="D27" s="5">
        <v>0.8</v>
      </c>
      <c r="E27" s="6" t="s">
        <v>4268</v>
      </c>
      <c r="F27" s="6" t="s">
        <v>1639</v>
      </c>
      <c r="G27" s="6" t="s">
        <v>4269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75"/>
  <sheetViews>
    <sheetView tabSelected="1" workbookViewId="0">
      <pane xSplit="3" ySplit="1" topLeftCell="L2" activePane="bottomRight" state="frozen"/>
      <selection pane="topRight"/>
      <selection pane="bottomLeft"/>
      <selection pane="bottomRight" activeCell="N3" sqref="N3"/>
    </sheetView>
  </sheetViews>
  <sheetFormatPr defaultRowHeight="14.5" x14ac:dyDescent="0.35"/>
  <cols>
    <col min="1" max="1" width="11" customWidth="1"/>
    <col min="2" max="2" width="18" customWidth="1"/>
    <col min="3" max="3" width="40" customWidth="1"/>
    <col min="4" max="4" width="40" hidden="1" customWidth="1"/>
    <col min="5" max="5" width="16" hidden="1" customWidth="1"/>
    <col min="6" max="6" width="11" hidden="1" customWidth="1"/>
    <col min="7" max="7" width="16" hidden="1" customWidth="1"/>
    <col min="8" max="8" width="26" customWidth="1"/>
    <col min="9" max="9" width="8" customWidth="1"/>
    <col min="10" max="10" width="7" customWidth="1"/>
    <col min="11" max="11" width="22" customWidth="1"/>
    <col min="12" max="12" width="8" customWidth="1"/>
    <col min="13" max="13" width="22" customWidth="1"/>
    <col min="14" max="14" width="8" customWidth="1"/>
    <col min="15" max="15" width="9" customWidth="1"/>
    <col min="16" max="16" width="18" customWidth="1"/>
    <col min="17" max="17" width="60" customWidth="1"/>
    <col min="18" max="18" width="12" customWidth="1"/>
    <col min="19" max="19" width="22" customWidth="1"/>
    <col min="20" max="20" width="30" customWidth="1"/>
  </cols>
  <sheetData>
    <row r="1" spans="1:20"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ht="56" x14ac:dyDescent="0.35">
      <c r="A2" s="7" t="s">
        <v>20</v>
      </c>
      <c r="B2" s="7" t="s">
        <v>21</v>
      </c>
      <c r="C2" s="8" t="s">
        <v>22</v>
      </c>
      <c r="D2" s="8" t="s">
        <v>23</v>
      </c>
      <c r="E2" s="7" t="s">
        <v>22</v>
      </c>
      <c r="F2" s="7" t="s">
        <v>21</v>
      </c>
      <c r="G2" s="7" t="s">
        <v>22</v>
      </c>
      <c r="H2" s="7" t="s">
        <v>22</v>
      </c>
      <c r="I2" s="9">
        <v>1</v>
      </c>
      <c r="J2" s="7"/>
      <c r="K2" s="7"/>
      <c r="L2" s="9"/>
      <c r="M2" s="7"/>
      <c r="N2" s="9"/>
      <c r="O2" s="7">
        <v>1</v>
      </c>
      <c r="P2" s="7" t="s">
        <v>24</v>
      </c>
      <c r="Q2" s="8" t="s">
        <v>25</v>
      </c>
      <c r="R2" s="10"/>
      <c r="S2" s="10"/>
      <c r="T2" s="11"/>
    </row>
    <row r="3" spans="1:20" ht="56" x14ac:dyDescent="0.35">
      <c r="A3" s="7" t="s">
        <v>20</v>
      </c>
      <c r="B3" s="7" t="s">
        <v>21</v>
      </c>
      <c r="C3" s="8" t="s">
        <v>26</v>
      </c>
      <c r="D3" s="8" t="s">
        <v>27</v>
      </c>
      <c r="E3" s="7" t="s">
        <v>26</v>
      </c>
      <c r="F3" s="7" t="s">
        <v>21</v>
      </c>
      <c r="G3" s="7" t="s">
        <v>26</v>
      </c>
      <c r="H3" s="7" t="s">
        <v>26</v>
      </c>
      <c r="I3" s="9">
        <v>0.8</v>
      </c>
      <c r="J3" s="7"/>
      <c r="K3" s="7" t="s">
        <v>28</v>
      </c>
      <c r="L3" s="9">
        <v>0.8</v>
      </c>
      <c r="M3" s="7"/>
      <c r="N3" s="9"/>
      <c r="O3" s="7">
        <v>18</v>
      </c>
      <c r="P3" s="7" t="s">
        <v>29</v>
      </c>
      <c r="Q3" s="8" t="s">
        <v>30</v>
      </c>
      <c r="R3" s="10"/>
      <c r="S3" s="10"/>
      <c r="T3" s="11"/>
    </row>
    <row r="4" spans="1:20" ht="56" x14ac:dyDescent="0.35">
      <c r="A4" s="7" t="s">
        <v>20</v>
      </c>
      <c r="B4" s="7" t="s">
        <v>21</v>
      </c>
      <c r="C4" s="8" t="s">
        <v>31</v>
      </c>
      <c r="D4" s="8" t="s">
        <v>32</v>
      </c>
      <c r="E4" s="7" t="s">
        <v>31</v>
      </c>
      <c r="F4" s="7" t="s">
        <v>21</v>
      </c>
      <c r="G4" s="7" t="s">
        <v>31</v>
      </c>
      <c r="H4" s="7" t="s">
        <v>33</v>
      </c>
      <c r="I4" s="9">
        <v>1</v>
      </c>
      <c r="J4" s="7"/>
      <c r="K4" s="7"/>
      <c r="L4" s="9"/>
      <c r="M4" s="7"/>
      <c r="N4" s="9"/>
      <c r="O4" s="7">
        <v>1</v>
      </c>
      <c r="P4" s="7" t="s">
        <v>34</v>
      </c>
      <c r="Q4" s="8" t="s">
        <v>35</v>
      </c>
      <c r="R4" s="10"/>
      <c r="S4" s="10"/>
      <c r="T4" s="11"/>
    </row>
    <row r="5" spans="1:20" ht="84" x14ac:dyDescent="0.35">
      <c r="A5" s="7" t="s">
        <v>20</v>
      </c>
      <c r="B5" s="7" t="s">
        <v>21</v>
      </c>
      <c r="C5" s="8" t="s">
        <v>36</v>
      </c>
      <c r="D5" s="8" t="s">
        <v>37</v>
      </c>
      <c r="E5" s="7" t="s">
        <v>36</v>
      </c>
      <c r="F5" s="7" t="s">
        <v>21</v>
      </c>
      <c r="G5" s="7" t="s">
        <v>36</v>
      </c>
      <c r="H5" s="7" t="s">
        <v>36</v>
      </c>
      <c r="I5" s="9">
        <v>1</v>
      </c>
      <c r="J5" s="7"/>
      <c r="K5" s="7"/>
      <c r="L5" s="9"/>
      <c r="M5" s="7"/>
      <c r="N5" s="9"/>
      <c r="O5" s="7">
        <v>6</v>
      </c>
      <c r="P5" s="7" t="s">
        <v>38</v>
      </c>
      <c r="Q5" s="8" t="s">
        <v>39</v>
      </c>
      <c r="R5" s="10"/>
      <c r="S5" s="10"/>
      <c r="T5" s="11"/>
    </row>
    <row r="6" spans="1:20" ht="70" x14ac:dyDescent="0.35">
      <c r="A6" s="7" t="s">
        <v>20</v>
      </c>
      <c r="B6" s="7" t="s">
        <v>21</v>
      </c>
      <c r="C6" s="8" t="s">
        <v>40</v>
      </c>
      <c r="D6" s="8"/>
      <c r="E6" s="7" t="s">
        <v>41</v>
      </c>
      <c r="F6" s="7" t="s">
        <v>21</v>
      </c>
      <c r="G6" s="7" t="s">
        <v>41</v>
      </c>
      <c r="H6" s="7" t="s">
        <v>41</v>
      </c>
      <c r="I6" s="9">
        <v>1</v>
      </c>
      <c r="J6" s="7"/>
      <c r="K6" s="7"/>
      <c r="L6" s="9"/>
      <c r="M6" s="7"/>
      <c r="N6" s="9"/>
      <c r="O6" s="7">
        <v>1</v>
      </c>
      <c r="P6" s="7" t="s">
        <v>42</v>
      </c>
      <c r="Q6" s="8" t="s">
        <v>43</v>
      </c>
      <c r="R6" s="10"/>
      <c r="S6" s="10"/>
      <c r="T6" s="11"/>
    </row>
    <row r="7" spans="1:20" ht="84" x14ac:dyDescent="0.35">
      <c r="A7" s="7" t="s">
        <v>20</v>
      </c>
      <c r="B7" s="7" t="s">
        <v>21</v>
      </c>
      <c r="C7" s="8" t="s">
        <v>44</v>
      </c>
      <c r="D7" s="8" t="s">
        <v>45</v>
      </c>
      <c r="E7" s="7" t="s">
        <v>46</v>
      </c>
      <c r="F7" s="7" t="s">
        <v>21</v>
      </c>
      <c r="G7" s="7" t="s">
        <v>46</v>
      </c>
      <c r="H7" s="7" t="s">
        <v>44</v>
      </c>
      <c r="I7" s="9">
        <v>0.8</v>
      </c>
      <c r="J7" s="7"/>
      <c r="K7" s="7" t="s">
        <v>47</v>
      </c>
      <c r="L7" s="9">
        <v>0.8</v>
      </c>
      <c r="M7" s="7"/>
      <c r="N7" s="9"/>
      <c r="O7" s="7">
        <v>1</v>
      </c>
      <c r="P7" s="7" t="s">
        <v>48</v>
      </c>
      <c r="Q7" s="8" t="s">
        <v>49</v>
      </c>
      <c r="R7" s="10"/>
      <c r="S7" s="10"/>
      <c r="T7" s="11"/>
    </row>
    <row r="8" spans="1:20" ht="84" x14ac:dyDescent="0.35">
      <c r="A8" s="7" t="s">
        <v>20</v>
      </c>
      <c r="B8" s="7" t="s">
        <v>21</v>
      </c>
      <c r="C8" s="8" t="s">
        <v>50</v>
      </c>
      <c r="D8" s="8"/>
      <c r="E8" s="7" t="s">
        <v>50</v>
      </c>
      <c r="F8" s="7" t="s">
        <v>21</v>
      </c>
      <c r="G8" s="7" t="s">
        <v>50</v>
      </c>
      <c r="H8" s="7" t="s">
        <v>51</v>
      </c>
      <c r="I8" s="9">
        <v>1</v>
      </c>
      <c r="J8" s="7"/>
      <c r="K8" s="7"/>
      <c r="L8" s="9"/>
      <c r="M8" s="7"/>
      <c r="N8" s="9"/>
      <c r="O8" s="7">
        <v>1</v>
      </c>
      <c r="P8" s="7" t="s">
        <v>52</v>
      </c>
      <c r="Q8" s="8" t="s">
        <v>53</v>
      </c>
      <c r="R8" s="10"/>
      <c r="S8" s="10"/>
      <c r="T8" s="11"/>
    </row>
    <row r="9" spans="1:20" ht="70" x14ac:dyDescent="0.35">
      <c r="A9" s="7" t="s">
        <v>20</v>
      </c>
      <c r="B9" s="7" t="s">
        <v>21</v>
      </c>
      <c r="C9" s="8" t="s">
        <v>54</v>
      </c>
      <c r="D9" s="8" t="s">
        <v>55</v>
      </c>
      <c r="E9" s="7" t="s">
        <v>56</v>
      </c>
      <c r="F9" s="7" t="s">
        <v>21</v>
      </c>
      <c r="G9" s="7" t="s">
        <v>56</v>
      </c>
      <c r="H9" s="7" t="s">
        <v>57</v>
      </c>
      <c r="I9" s="9">
        <v>1</v>
      </c>
      <c r="J9" s="7"/>
      <c r="K9" s="7"/>
      <c r="L9" s="9"/>
      <c r="M9" s="7"/>
      <c r="N9" s="9"/>
      <c r="O9" s="7">
        <v>1</v>
      </c>
      <c r="P9" s="7" t="s">
        <v>58</v>
      </c>
      <c r="Q9" s="8" t="s">
        <v>59</v>
      </c>
      <c r="R9" s="10"/>
      <c r="S9" s="10"/>
      <c r="T9" s="11"/>
    </row>
    <row r="10" spans="1:20" ht="56" x14ac:dyDescent="0.35">
      <c r="A10" s="7" t="s">
        <v>20</v>
      </c>
      <c r="B10" s="7" t="s">
        <v>21</v>
      </c>
      <c r="C10" s="8" t="s">
        <v>60</v>
      </c>
      <c r="D10" s="8"/>
      <c r="E10" s="7" t="s">
        <v>60</v>
      </c>
      <c r="F10" s="7" t="s">
        <v>21</v>
      </c>
      <c r="G10" s="7" t="s">
        <v>60</v>
      </c>
      <c r="H10" s="7" t="s">
        <v>60</v>
      </c>
      <c r="I10" s="9">
        <v>1</v>
      </c>
      <c r="J10" s="7"/>
      <c r="K10" s="7"/>
      <c r="L10" s="9"/>
      <c r="M10" s="7"/>
      <c r="N10" s="9"/>
      <c r="O10" s="7">
        <v>1</v>
      </c>
      <c r="P10" s="7" t="s">
        <v>61</v>
      </c>
      <c r="Q10" s="8" t="s">
        <v>62</v>
      </c>
      <c r="R10" s="10"/>
      <c r="S10" s="10"/>
      <c r="T10" s="11"/>
    </row>
    <row r="11" spans="1:20" ht="70" x14ac:dyDescent="0.35">
      <c r="A11" s="7" t="s">
        <v>20</v>
      </c>
      <c r="B11" s="7" t="s">
        <v>21</v>
      </c>
      <c r="C11" s="8" t="s">
        <v>63</v>
      </c>
      <c r="D11" s="8"/>
      <c r="E11" s="7" t="s">
        <v>63</v>
      </c>
      <c r="F11" s="7" t="s">
        <v>21</v>
      </c>
      <c r="G11" s="7" t="s">
        <v>63</v>
      </c>
      <c r="H11" s="7" t="s">
        <v>63</v>
      </c>
      <c r="I11" s="9">
        <v>1</v>
      </c>
      <c r="J11" s="7"/>
      <c r="K11" s="7"/>
      <c r="L11" s="9"/>
      <c r="M11" s="7"/>
      <c r="N11" s="9"/>
      <c r="O11" s="7">
        <v>12</v>
      </c>
      <c r="P11" s="7" t="s">
        <v>64</v>
      </c>
      <c r="Q11" s="8" t="s">
        <v>65</v>
      </c>
      <c r="R11" s="10"/>
      <c r="S11" s="10"/>
      <c r="T11" s="11"/>
    </row>
    <row r="12" spans="1:20" ht="56" x14ac:dyDescent="0.35">
      <c r="A12" s="7" t="s">
        <v>20</v>
      </c>
      <c r="B12" s="7" t="s">
        <v>4</v>
      </c>
      <c r="C12" s="8" t="s">
        <v>66</v>
      </c>
      <c r="D12" s="8"/>
      <c r="E12" s="7" t="s">
        <v>67</v>
      </c>
      <c r="F12" s="7" t="s">
        <v>4</v>
      </c>
      <c r="G12" s="7" t="s">
        <v>67</v>
      </c>
      <c r="H12" s="7" t="s">
        <v>67</v>
      </c>
      <c r="I12" s="9">
        <v>0.8</v>
      </c>
      <c r="J12" s="7"/>
      <c r="K12" s="7"/>
      <c r="L12" s="9"/>
      <c r="M12" s="7"/>
      <c r="N12" s="9"/>
      <c r="O12" s="7">
        <v>1</v>
      </c>
      <c r="P12" s="7" t="s">
        <v>68</v>
      </c>
      <c r="Q12" s="8" t="s">
        <v>69</v>
      </c>
      <c r="R12" s="10"/>
      <c r="S12" s="10"/>
      <c r="T12" s="11"/>
    </row>
    <row r="13" spans="1:20" ht="42" x14ac:dyDescent="0.35">
      <c r="A13" s="7" t="s">
        <v>20</v>
      </c>
      <c r="B13" s="7" t="s">
        <v>4</v>
      </c>
      <c r="C13" s="8" t="s">
        <v>70</v>
      </c>
      <c r="D13" s="8"/>
      <c r="E13" s="7" t="s">
        <v>71</v>
      </c>
      <c r="F13" s="7" t="s">
        <v>4</v>
      </c>
      <c r="G13" s="7" t="s">
        <v>71</v>
      </c>
      <c r="H13" s="7" t="s">
        <v>72</v>
      </c>
      <c r="I13" s="9">
        <v>0.8</v>
      </c>
      <c r="J13" s="7"/>
      <c r="K13" s="7"/>
      <c r="L13" s="9"/>
      <c r="M13" s="7"/>
      <c r="N13" s="9"/>
      <c r="O13" s="7">
        <v>1</v>
      </c>
      <c r="P13" s="7" t="s">
        <v>73</v>
      </c>
      <c r="Q13" s="8" t="s">
        <v>74</v>
      </c>
      <c r="R13" s="10"/>
      <c r="S13" s="10"/>
      <c r="T13" s="11"/>
    </row>
    <row r="14" spans="1:20" ht="98" x14ac:dyDescent="0.35">
      <c r="A14" s="7" t="s">
        <v>20</v>
      </c>
      <c r="B14" s="7" t="s">
        <v>4</v>
      </c>
      <c r="C14" s="8" t="s">
        <v>75</v>
      </c>
      <c r="D14" s="8"/>
      <c r="E14" s="7" t="s">
        <v>76</v>
      </c>
      <c r="F14" s="7" t="s">
        <v>4</v>
      </c>
      <c r="G14" s="7" t="s">
        <v>76</v>
      </c>
      <c r="H14" s="7" t="s">
        <v>76</v>
      </c>
      <c r="I14" s="9">
        <v>0.8</v>
      </c>
      <c r="J14" s="7"/>
      <c r="K14" s="7"/>
      <c r="L14" s="9"/>
      <c r="M14" s="7"/>
      <c r="N14" s="9"/>
      <c r="O14" s="7">
        <v>1</v>
      </c>
      <c r="P14" s="7" t="s">
        <v>77</v>
      </c>
      <c r="Q14" s="8" t="s">
        <v>78</v>
      </c>
      <c r="R14" s="10"/>
      <c r="S14" s="10"/>
      <c r="T14" s="11"/>
    </row>
    <row r="15" spans="1:20" ht="84" x14ac:dyDescent="0.35">
      <c r="A15" s="7" t="s">
        <v>20</v>
      </c>
      <c r="B15" s="7" t="s">
        <v>4</v>
      </c>
      <c r="C15" s="8" t="s">
        <v>79</v>
      </c>
      <c r="D15" s="8" t="s">
        <v>80</v>
      </c>
      <c r="E15" s="7" t="s">
        <v>81</v>
      </c>
      <c r="F15" s="7" t="s">
        <v>4</v>
      </c>
      <c r="G15" s="7" t="s">
        <v>81</v>
      </c>
      <c r="H15" s="7" t="s">
        <v>81</v>
      </c>
      <c r="I15" s="9">
        <v>0.8</v>
      </c>
      <c r="J15" s="7"/>
      <c r="K15" s="7"/>
      <c r="L15" s="9"/>
      <c r="M15" s="7"/>
      <c r="N15" s="9"/>
      <c r="O15" s="7">
        <v>1</v>
      </c>
      <c r="P15" s="7" t="s">
        <v>82</v>
      </c>
      <c r="Q15" s="8" t="s">
        <v>83</v>
      </c>
      <c r="R15" s="10"/>
      <c r="S15" s="10"/>
      <c r="T15" s="11"/>
    </row>
    <row r="16" spans="1:20" ht="84" x14ac:dyDescent="0.35">
      <c r="A16" s="7" t="s">
        <v>20</v>
      </c>
      <c r="B16" s="7" t="s">
        <v>4</v>
      </c>
      <c r="C16" s="8" t="s">
        <v>84</v>
      </c>
      <c r="D16" s="8" t="s">
        <v>85</v>
      </c>
      <c r="E16" s="7" t="s">
        <v>67</v>
      </c>
      <c r="F16" s="7" t="s">
        <v>4</v>
      </c>
      <c r="G16" s="7" t="s">
        <v>67</v>
      </c>
      <c r="H16" s="7" t="s">
        <v>67</v>
      </c>
      <c r="I16" s="9">
        <v>0.8</v>
      </c>
      <c r="J16" s="7"/>
      <c r="K16" s="7"/>
      <c r="L16" s="9"/>
      <c r="M16" s="7"/>
      <c r="N16" s="9"/>
      <c r="O16" s="7">
        <v>1</v>
      </c>
      <c r="P16" s="7" t="s">
        <v>86</v>
      </c>
      <c r="Q16" s="8" t="s">
        <v>87</v>
      </c>
      <c r="R16" s="10"/>
      <c r="S16" s="10"/>
      <c r="T16" s="11"/>
    </row>
    <row r="17" spans="1:20" ht="70" x14ac:dyDescent="0.35">
      <c r="A17" s="7" t="s">
        <v>20</v>
      </c>
      <c r="B17" s="7" t="s">
        <v>4</v>
      </c>
      <c r="C17" s="8" t="s">
        <v>88</v>
      </c>
      <c r="D17" s="8" t="s">
        <v>89</v>
      </c>
      <c r="E17" s="7" t="s">
        <v>90</v>
      </c>
      <c r="F17" s="7" t="s">
        <v>4</v>
      </c>
      <c r="G17" s="7" t="s">
        <v>90</v>
      </c>
      <c r="H17" s="7" t="s">
        <v>91</v>
      </c>
      <c r="I17" s="9">
        <v>0.8</v>
      </c>
      <c r="J17" s="7"/>
      <c r="K17" s="7"/>
      <c r="L17" s="9"/>
      <c r="M17" s="7"/>
      <c r="N17" s="9"/>
      <c r="O17" s="7">
        <v>1</v>
      </c>
      <c r="P17" s="7" t="s">
        <v>92</v>
      </c>
      <c r="Q17" s="8" t="s">
        <v>93</v>
      </c>
      <c r="R17" s="10"/>
      <c r="S17" s="10"/>
      <c r="T17" s="11"/>
    </row>
    <row r="18" spans="1:20" ht="84" x14ac:dyDescent="0.35">
      <c r="A18" s="7" t="s">
        <v>20</v>
      </c>
      <c r="B18" s="7" t="s">
        <v>4</v>
      </c>
      <c r="C18" s="8" t="s">
        <v>94</v>
      </c>
      <c r="D18" s="8"/>
      <c r="E18" s="7" t="s">
        <v>95</v>
      </c>
      <c r="F18" s="7" t="s">
        <v>4</v>
      </c>
      <c r="G18" s="7" t="s">
        <v>95</v>
      </c>
      <c r="H18" s="7" t="s">
        <v>96</v>
      </c>
      <c r="I18" s="9">
        <v>0.64</v>
      </c>
      <c r="J18" s="7"/>
      <c r="K18" s="7" t="s">
        <v>95</v>
      </c>
      <c r="L18" s="9">
        <v>0.64</v>
      </c>
      <c r="M18" s="7"/>
      <c r="N18" s="9"/>
      <c r="O18" s="7">
        <v>2</v>
      </c>
      <c r="P18" s="7" t="s">
        <v>97</v>
      </c>
      <c r="Q18" s="8" t="s">
        <v>98</v>
      </c>
      <c r="R18" s="10"/>
      <c r="S18" s="10"/>
      <c r="T18" s="11"/>
    </row>
    <row r="19" spans="1:20" ht="84" x14ac:dyDescent="0.35">
      <c r="A19" s="7" t="s">
        <v>20</v>
      </c>
      <c r="B19" s="7" t="s">
        <v>4</v>
      </c>
      <c r="C19" s="8" t="s">
        <v>99</v>
      </c>
      <c r="D19" s="8" t="s">
        <v>100</v>
      </c>
      <c r="E19" s="7" t="s">
        <v>26</v>
      </c>
      <c r="F19" s="7" t="s">
        <v>4</v>
      </c>
      <c r="G19" s="7" t="s">
        <v>26</v>
      </c>
      <c r="H19" s="7" t="s">
        <v>28</v>
      </c>
      <c r="I19" s="9">
        <v>0.64</v>
      </c>
      <c r="J19" s="7"/>
      <c r="K19" s="7" t="s">
        <v>26</v>
      </c>
      <c r="L19" s="9">
        <v>0.64</v>
      </c>
      <c r="M19" s="7"/>
      <c r="N19" s="9"/>
      <c r="O19" s="7">
        <v>1</v>
      </c>
      <c r="P19" s="7" t="s">
        <v>101</v>
      </c>
      <c r="Q19" s="8" t="s">
        <v>102</v>
      </c>
      <c r="R19" s="10"/>
      <c r="S19" s="10"/>
      <c r="T19" s="11"/>
    </row>
    <row r="20" spans="1:20" ht="56" x14ac:dyDescent="0.35">
      <c r="A20" s="7" t="s">
        <v>20</v>
      </c>
      <c r="B20" s="7" t="s">
        <v>4</v>
      </c>
      <c r="C20" s="8" t="s">
        <v>103</v>
      </c>
      <c r="D20" s="8" t="s">
        <v>104</v>
      </c>
      <c r="E20" s="7" t="s">
        <v>105</v>
      </c>
      <c r="F20" s="7" t="s">
        <v>4</v>
      </c>
      <c r="G20" s="7" t="s">
        <v>105</v>
      </c>
      <c r="H20" s="7" t="s">
        <v>106</v>
      </c>
      <c r="I20" s="9">
        <v>0.8</v>
      </c>
      <c r="J20" s="7"/>
      <c r="K20" s="7"/>
      <c r="L20" s="9"/>
      <c r="M20" s="7"/>
      <c r="N20" s="9"/>
      <c r="O20" s="7">
        <v>1</v>
      </c>
      <c r="P20" s="7" t="s">
        <v>107</v>
      </c>
      <c r="Q20" s="8" t="s">
        <v>108</v>
      </c>
      <c r="R20" s="10"/>
      <c r="S20" s="10"/>
      <c r="T20" s="11"/>
    </row>
    <row r="21" spans="1:20" ht="56" x14ac:dyDescent="0.35">
      <c r="A21" s="7" t="s">
        <v>20</v>
      </c>
      <c r="B21" s="7" t="s">
        <v>4</v>
      </c>
      <c r="C21" s="8" t="s">
        <v>109</v>
      </c>
      <c r="D21" s="8" t="s">
        <v>110</v>
      </c>
      <c r="E21" s="7" t="s">
        <v>111</v>
      </c>
      <c r="F21" s="7" t="s">
        <v>4</v>
      </c>
      <c r="G21" s="7" t="s">
        <v>111</v>
      </c>
      <c r="H21" s="7" t="s">
        <v>112</v>
      </c>
      <c r="I21" s="9">
        <v>0.8</v>
      </c>
      <c r="J21" s="7"/>
      <c r="K21" s="7"/>
      <c r="L21" s="9"/>
      <c r="M21" s="7"/>
      <c r="N21" s="9"/>
      <c r="O21" s="7">
        <v>1</v>
      </c>
      <c r="P21" s="7" t="s">
        <v>113</v>
      </c>
      <c r="Q21" s="8" t="s">
        <v>114</v>
      </c>
      <c r="R21" s="10"/>
      <c r="S21" s="10"/>
      <c r="T21" s="11"/>
    </row>
    <row r="22" spans="1:20" ht="56" x14ac:dyDescent="0.35">
      <c r="A22" s="7" t="s">
        <v>20</v>
      </c>
      <c r="B22" s="7" t="s">
        <v>115</v>
      </c>
      <c r="C22" s="8" t="s">
        <v>116</v>
      </c>
      <c r="D22" s="8" t="s">
        <v>117</v>
      </c>
      <c r="E22" s="7" t="s">
        <v>118</v>
      </c>
      <c r="F22" s="7" t="s">
        <v>115</v>
      </c>
      <c r="G22" s="7" t="s">
        <v>119</v>
      </c>
      <c r="H22" s="7" t="s">
        <v>119</v>
      </c>
      <c r="I22" s="9">
        <v>0.6</v>
      </c>
      <c r="J22" s="7"/>
      <c r="K22" s="7"/>
      <c r="L22" s="9"/>
      <c r="M22" s="7"/>
      <c r="N22" s="9"/>
      <c r="O22" s="7">
        <v>1</v>
      </c>
      <c r="P22" s="7" t="s">
        <v>120</v>
      </c>
      <c r="Q22" s="8" t="s">
        <v>121</v>
      </c>
      <c r="R22" s="10"/>
      <c r="S22" s="10"/>
      <c r="T22" s="11"/>
    </row>
    <row r="23" spans="1:20" ht="112" x14ac:dyDescent="0.35">
      <c r="A23" s="7" t="s">
        <v>20</v>
      </c>
      <c r="B23" s="7" t="s">
        <v>115</v>
      </c>
      <c r="C23" s="8" t="s">
        <v>122</v>
      </c>
      <c r="D23" s="8" t="s">
        <v>123</v>
      </c>
      <c r="E23" s="7" t="s">
        <v>124</v>
      </c>
      <c r="F23" s="7" t="s">
        <v>115</v>
      </c>
      <c r="G23" s="7" t="s">
        <v>63</v>
      </c>
      <c r="H23" s="7" t="s">
        <v>63</v>
      </c>
      <c r="I23" s="9">
        <v>0.6</v>
      </c>
      <c r="J23" s="7"/>
      <c r="K23" s="7"/>
      <c r="L23" s="9"/>
      <c r="M23" s="7"/>
      <c r="N23" s="9"/>
      <c r="O23" s="7">
        <v>1</v>
      </c>
      <c r="P23" s="7" t="s">
        <v>125</v>
      </c>
      <c r="Q23" s="8" t="s">
        <v>126</v>
      </c>
      <c r="R23" s="10"/>
      <c r="S23" s="10"/>
      <c r="T23" s="11"/>
    </row>
    <row r="24" spans="1:20" ht="42" x14ac:dyDescent="0.35">
      <c r="A24" s="7" t="s">
        <v>20</v>
      </c>
      <c r="B24" s="7" t="s">
        <v>115</v>
      </c>
      <c r="C24" s="8" t="s">
        <v>127</v>
      </c>
      <c r="D24" s="8" t="s">
        <v>128</v>
      </c>
      <c r="E24" s="7" t="s">
        <v>129</v>
      </c>
      <c r="F24" s="7" t="s">
        <v>115</v>
      </c>
      <c r="G24" s="7" t="s">
        <v>130</v>
      </c>
      <c r="H24" s="7" t="s">
        <v>130</v>
      </c>
      <c r="I24" s="9">
        <v>0.6</v>
      </c>
      <c r="J24" s="7"/>
      <c r="K24" s="7"/>
      <c r="L24" s="9"/>
      <c r="M24" s="7"/>
      <c r="N24" s="9"/>
      <c r="O24" s="7">
        <v>2</v>
      </c>
      <c r="P24" s="7" t="s">
        <v>131</v>
      </c>
      <c r="Q24" s="8" t="s">
        <v>132</v>
      </c>
      <c r="R24" s="10"/>
      <c r="S24" s="10"/>
      <c r="T24" s="11"/>
    </row>
    <row r="25" spans="1:20" ht="84" x14ac:dyDescent="0.35">
      <c r="A25" s="7" t="s">
        <v>20</v>
      </c>
      <c r="B25" s="7" t="s">
        <v>115</v>
      </c>
      <c r="C25" s="8" t="s">
        <v>133</v>
      </c>
      <c r="D25" s="8" t="s">
        <v>134</v>
      </c>
      <c r="E25" s="7" t="s">
        <v>118</v>
      </c>
      <c r="F25" s="7" t="s">
        <v>115</v>
      </c>
      <c r="G25" s="7" t="s">
        <v>119</v>
      </c>
      <c r="H25" s="7" t="s">
        <v>119</v>
      </c>
      <c r="I25" s="9">
        <v>0.6</v>
      </c>
      <c r="J25" s="7"/>
      <c r="K25" s="7"/>
      <c r="L25" s="9"/>
      <c r="M25" s="7"/>
      <c r="N25" s="9"/>
      <c r="O25" s="7">
        <v>1</v>
      </c>
      <c r="P25" s="7" t="s">
        <v>135</v>
      </c>
      <c r="Q25" s="8" t="s">
        <v>136</v>
      </c>
      <c r="R25" s="10"/>
      <c r="S25" s="10"/>
      <c r="T25" s="11"/>
    </row>
    <row r="26" spans="1:20" ht="70" x14ac:dyDescent="0.35">
      <c r="A26" s="7" t="s">
        <v>20</v>
      </c>
      <c r="B26" s="7" t="s">
        <v>115</v>
      </c>
      <c r="C26" s="8" t="s">
        <v>137</v>
      </c>
      <c r="D26" s="8" t="s">
        <v>138</v>
      </c>
      <c r="E26" s="7" t="s">
        <v>139</v>
      </c>
      <c r="F26" s="7" t="s">
        <v>115</v>
      </c>
      <c r="G26" s="7" t="s">
        <v>119</v>
      </c>
      <c r="H26" s="7" t="s">
        <v>119</v>
      </c>
      <c r="I26" s="9">
        <v>0.6</v>
      </c>
      <c r="J26" s="7"/>
      <c r="K26" s="7"/>
      <c r="L26" s="9"/>
      <c r="M26" s="7"/>
      <c r="N26" s="9"/>
      <c r="O26" s="7">
        <v>2</v>
      </c>
      <c r="P26" s="7" t="s">
        <v>140</v>
      </c>
      <c r="Q26" s="8" t="s">
        <v>141</v>
      </c>
      <c r="R26" s="10"/>
      <c r="S26" s="10"/>
      <c r="T26" s="11"/>
    </row>
    <row r="27" spans="1:20" ht="140" x14ac:dyDescent="0.35">
      <c r="A27" s="7" t="s">
        <v>20</v>
      </c>
      <c r="B27" s="7" t="s">
        <v>115</v>
      </c>
      <c r="C27" s="8" t="s">
        <v>142</v>
      </c>
      <c r="D27" s="8" t="s">
        <v>143</v>
      </c>
      <c r="E27" s="7" t="s">
        <v>144</v>
      </c>
      <c r="F27" s="7" t="s">
        <v>115</v>
      </c>
      <c r="G27" s="7" t="s">
        <v>145</v>
      </c>
      <c r="H27" s="7" t="s">
        <v>146</v>
      </c>
      <c r="I27" s="9">
        <v>0.6</v>
      </c>
      <c r="J27" s="7"/>
      <c r="K27" s="7"/>
      <c r="L27" s="9"/>
      <c r="M27" s="7"/>
      <c r="N27" s="9"/>
      <c r="O27" s="7">
        <v>1</v>
      </c>
      <c r="P27" s="7" t="s">
        <v>147</v>
      </c>
      <c r="Q27" s="8" t="s">
        <v>148</v>
      </c>
      <c r="R27" s="10"/>
      <c r="S27" s="10"/>
      <c r="T27" s="11"/>
    </row>
    <row r="28" spans="1:20" ht="84" x14ac:dyDescent="0.35">
      <c r="A28" s="7" t="s">
        <v>20</v>
      </c>
      <c r="B28" s="7" t="s">
        <v>115</v>
      </c>
      <c r="C28" s="8" t="s">
        <v>149</v>
      </c>
      <c r="D28" s="8" t="s">
        <v>150</v>
      </c>
      <c r="E28" s="7" t="s">
        <v>151</v>
      </c>
      <c r="F28" s="7" t="s">
        <v>115</v>
      </c>
      <c r="G28" s="7" t="s">
        <v>152</v>
      </c>
      <c r="H28" s="7" t="s">
        <v>153</v>
      </c>
      <c r="I28" s="9">
        <v>0.6</v>
      </c>
      <c r="J28" s="7"/>
      <c r="K28" s="7"/>
      <c r="L28" s="9"/>
      <c r="M28" s="7"/>
      <c r="N28" s="9"/>
      <c r="O28" s="7">
        <v>1</v>
      </c>
      <c r="P28" s="7" t="s">
        <v>154</v>
      </c>
      <c r="Q28" s="8" t="s">
        <v>155</v>
      </c>
      <c r="R28" s="10"/>
      <c r="S28" s="10"/>
      <c r="T28" s="11"/>
    </row>
    <row r="29" spans="1:20" ht="84" x14ac:dyDescent="0.35">
      <c r="A29" s="7" t="s">
        <v>20</v>
      </c>
      <c r="B29" s="7" t="s">
        <v>115</v>
      </c>
      <c r="C29" s="8" t="s">
        <v>156</v>
      </c>
      <c r="D29" s="8" t="s">
        <v>157</v>
      </c>
      <c r="E29" s="7" t="s">
        <v>129</v>
      </c>
      <c r="F29" s="7" t="s">
        <v>115</v>
      </c>
      <c r="G29" s="7" t="s">
        <v>130</v>
      </c>
      <c r="H29" s="7" t="s">
        <v>130</v>
      </c>
      <c r="I29" s="9">
        <v>0.6</v>
      </c>
      <c r="J29" s="7"/>
      <c r="K29" s="7"/>
      <c r="L29" s="9"/>
      <c r="M29" s="7"/>
      <c r="N29" s="9"/>
      <c r="O29" s="7">
        <v>1</v>
      </c>
      <c r="P29" s="7" t="s">
        <v>158</v>
      </c>
      <c r="Q29" s="8" t="s">
        <v>159</v>
      </c>
      <c r="R29" s="10"/>
      <c r="S29" s="10"/>
      <c r="T29" s="11"/>
    </row>
    <row r="30" spans="1:20" ht="84" x14ac:dyDescent="0.35">
      <c r="A30" s="7" t="s">
        <v>20</v>
      </c>
      <c r="B30" s="7" t="s">
        <v>115</v>
      </c>
      <c r="C30" s="8" t="s">
        <v>160</v>
      </c>
      <c r="D30" s="8" t="s">
        <v>161</v>
      </c>
      <c r="E30" s="7" t="s">
        <v>162</v>
      </c>
      <c r="F30" s="7" t="s">
        <v>115</v>
      </c>
      <c r="G30" s="7" t="s">
        <v>105</v>
      </c>
      <c r="H30" s="7" t="s">
        <v>106</v>
      </c>
      <c r="I30" s="9">
        <v>0.6</v>
      </c>
      <c r="J30" s="7"/>
      <c r="K30" s="7"/>
      <c r="L30" s="9"/>
      <c r="M30" s="7"/>
      <c r="N30" s="9"/>
      <c r="O30" s="7">
        <v>1</v>
      </c>
      <c r="P30" s="7" t="s">
        <v>163</v>
      </c>
      <c r="Q30" s="8" t="s">
        <v>164</v>
      </c>
      <c r="R30" s="10"/>
      <c r="S30" s="10"/>
      <c r="T30" s="11"/>
    </row>
    <row r="31" spans="1:20" ht="42" x14ac:dyDescent="0.35">
      <c r="A31" s="7" t="s">
        <v>20</v>
      </c>
      <c r="B31" s="7" t="s">
        <v>115</v>
      </c>
      <c r="C31" s="8" t="s">
        <v>165</v>
      </c>
      <c r="D31" s="8" t="s">
        <v>166</v>
      </c>
      <c r="E31" s="7" t="s">
        <v>167</v>
      </c>
      <c r="F31" s="7" t="s">
        <v>115</v>
      </c>
      <c r="G31" s="7" t="s">
        <v>105</v>
      </c>
      <c r="H31" s="7" t="s">
        <v>106</v>
      </c>
      <c r="I31" s="9">
        <v>0.6</v>
      </c>
      <c r="J31" s="7"/>
      <c r="K31" s="7"/>
      <c r="L31" s="9"/>
      <c r="M31" s="7"/>
      <c r="N31" s="9"/>
      <c r="O31" s="7">
        <v>1</v>
      </c>
      <c r="P31" s="7" t="s">
        <v>168</v>
      </c>
      <c r="Q31" s="8" t="s">
        <v>169</v>
      </c>
      <c r="R31" s="10"/>
      <c r="S31" s="10"/>
      <c r="T31" s="11"/>
    </row>
    <row r="32" spans="1:20" ht="56" x14ac:dyDescent="0.35">
      <c r="A32" s="7" t="s">
        <v>20</v>
      </c>
      <c r="B32" s="7" t="s">
        <v>170</v>
      </c>
      <c r="C32" s="8" t="s">
        <v>171</v>
      </c>
      <c r="D32" s="8" t="s">
        <v>172</v>
      </c>
      <c r="E32" s="7" t="s">
        <v>173</v>
      </c>
      <c r="F32" s="7" t="s">
        <v>174</v>
      </c>
      <c r="G32" s="7"/>
      <c r="H32" s="7" t="s">
        <v>175</v>
      </c>
      <c r="I32" s="9">
        <v>0.28960000000000002</v>
      </c>
      <c r="J32" s="7">
        <v>43.9</v>
      </c>
      <c r="K32" s="7" t="s">
        <v>176</v>
      </c>
      <c r="L32" s="9">
        <v>0.20979999999999999</v>
      </c>
      <c r="M32" s="7"/>
      <c r="N32" s="9"/>
      <c r="O32" s="7">
        <v>1</v>
      </c>
      <c r="P32" s="7" t="s">
        <v>177</v>
      </c>
      <c r="Q32" s="8" t="s">
        <v>178</v>
      </c>
      <c r="R32" s="10"/>
      <c r="S32" s="10"/>
      <c r="T32" s="11"/>
    </row>
    <row r="33" spans="1:20" ht="56" x14ac:dyDescent="0.35">
      <c r="A33" s="7" t="s">
        <v>20</v>
      </c>
      <c r="B33" s="7" t="s">
        <v>170</v>
      </c>
      <c r="C33" s="8" t="s">
        <v>179</v>
      </c>
      <c r="D33" s="8"/>
      <c r="E33" s="7" t="s">
        <v>180</v>
      </c>
      <c r="F33" s="7" t="s">
        <v>174</v>
      </c>
      <c r="G33" s="7"/>
      <c r="H33" s="7" t="s">
        <v>181</v>
      </c>
      <c r="I33" s="9">
        <v>0.28820000000000001</v>
      </c>
      <c r="J33" s="7">
        <v>43.5</v>
      </c>
      <c r="K33" s="7"/>
      <c r="L33" s="9"/>
      <c r="M33" s="7"/>
      <c r="N33" s="9"/>
      <c r="O33" s="7">
        <v>1</v>
      </c>
      <c r="P33" s="7" t="s">
        <v>182</v>
      </c>
      <c r="Q33" s="8" t="s">
        <v>183</v>
      </c>
      <c r="R33" s="10"/>
      <c r="S33" s="10"/>
      <c r="T33" s="11"/>
    </row>
    <row r="34" spans="1:20" ht="42" x14ac:dyDescent="0.35">
      <c r="A34" s="7" t="s">
        <v>20</v>
      </c>
      <c r="B34" s="7" t="s">
        <v>170</v>
      </c>
      <c r="C34" s="8" t="s">
        <v>184</v>
      </c>
      <c r="D34" s="8" t="s">
        <v>185</v>
      </c>
      <c r="E34" s="7" t="s">
        <v>184</v>
      </c>
      <c r="F34" s="7" t="s">
        <v>174</v>
      </c>
      <c r="G34" s="7"/>
      <c r="H34" s="7" t="s">
        <v>186</v>
      </c>
      <c r="I34" s="9">
        <v>0.2853</v>
      </c>
      <c r="J34" s="7">
        <v>42.7</v>
      </c>
      <c r="K34" s="7" t="s">
        <v>187</v>
      </c>
      <c r="L34" s="9">
        <v>0.26840000000000003</v>
      </c>
      <c r="M34" s="7" t="s">
        <v>188</v>
      </c>
      <c r="N34" s="9">
        <v>0.20749999999999999</v>
      </c>
      <c r="O34" s="7">
        <v>1</v>
      </c>
      <c r="P34" s="7" t="s">
        <v>189</v>
      </c>
      <c r="Q34" s="8" t="s">
        <v>132</v>
      </c>
      <c r="R34" s="10"/>
      <c r="S34" s="10"/>
      <c r="T34" s="11"/>
    </row>
    <row r="35" spans="1:20" ht="84" x14ac:dyDescent="0.35">
      <c r="A35" s="7" t="s">
        <v>20</v>
      </c>
      <c r="B35" s="7" t="s">
        <v>170</v>
      </c>
      <c r="C35" s="8" t="s">
        <v>190</v>
      </c>
      <c r="D35" s="8"/>
      <c r="E35" s="7" t="s">
        <v>191</v>
      </c>
      <c r="F35" s="7" t="s">
        <v>174</v>
      </c>
      <c r="G35" s="7"/>
      <c r="H35" s="7" t="s">
        <v>192</v>
      </c>
      <c r="I35" s="9">
        <v>0.26500000000000001</v>
      </c>
      <c r="J35" s="7">
        <v>37.299999999999997</v>
      </c>
      <c r="K35" s="7" t="s">
        <v>193</v>
      </c>
      <c r="L35" s="9">
        <v>0.20499999999999999</v>
      </c>
      <c r="M35" s="7" t="s">
        <v>194</v>
      </c>
      <c r="N35" s="9">
        <v>0.20430000000000001</v>
      </c>
      <c r="O35" s="7">
        <v>1</v>
      </c>
      <c r="P35" s="7" t="s">
        <v>195</v>
      </c>
      <c r="Q35" s="8" t="s">
        <v>196</v>
      </c>
      <c r="R35" s="10"/>
      <c r="S35" s="10"/>
      <c r="T35" s="11"/>
    </row>
    <row r="36" spans="1:20" ht="84" x14ac:dyDescent="0.35">
      <c r="A36" s="7" t="s">
        <v>20</v>
      </c>
      <c r="B36" s="7" t="s">
        <v>170</v>
      </c>
      <c r="C36" s="8" t="s">
        <v>197</v>
      </c>
      <c r="D36" s="8" t="s">
        <v>198</v>
      </c>
      <c r="E36" s="7" t="s">
        <v>197</v>
      </c>
      <c r="F36" s="7" t="s">
        <v>174</v>
      </c>
      <c r="G36" s="7"/>
      <c r="H36" s="7" t="s">
        <v>199</v>
      </c>
      <c r="I36" s="9">
        <v>0.25700000000000001</v>
      </c>
      <c r="J36" s="7">
        <v>35.200000000000003</v>
      </c>
      <c r="K36" s="7" t="s">
        <v>200</v>
      </c>
      <c r="L36" s="9">
        <v>0.2412</v>
      </c>
      <c r="M36" s="7" t="s">
        <v>201</v>
      </c>
      <c r="N36" s="9">
        <v>0.22670000000000001</v>
      </c>
      <c r="O36" s="7">
        <v>2</v>
      </c>
      <c r="P36" s="7" t="s">
        <v>202</v>
      </c>
      <c r="Q36" s="8" t="s">
        <v>203</v>
      </c>
      <c r="R36" s="10"/>
      <c r="S36" s="10"/>
      <c r="T36" s="11"/>
    </row>
    <row r="37" spans="1:20" ht="70" x14ac:dyDescent="0.35">
      <c r="A37" s="7" t="s">
        <v>20</v>
      </c>
      <c r="B37" s="7" t="s">
        <v>170</v>
      </c>
      <c r="C37" s="8" t="s">
        <v>204</v>
      </c>
      <c r="D37" s="8"/>
      <c r="E37" s="7" t="s">
        <v>205</v>
      </c>
      <c r="F37" s="7" t="s">
        <v>174</v>
      </c>
      <c r="G37" s="7"/>
      <c r="H37" s="7" t="s">
        <v>206</v>
      </c>
      <c r="I37" s="9">
        <v>0.24479999999999999</v>
      </c>
      <c r="J37" s="7">
        <v>31.9</v>
      </c>
      <c r="K37" s="7" t="s">
        <v>207</v>
      </c>
      <c r="L37" s="9">
        <v>0.2021</v>
      </c>
      <c r="M37" s="7"/>
      <c r="N37" s="9"/>
      <c r="O37" s="7">
        <v>1</v>
      </c>
      <c r="P37" s="7" t="s">
        <v>208</v>
      </c>
      <c r="Q37" s="8" t="s">
        <v>209</v>
      </c>
      <c r="R37" s="10"/>
      <c r="S37" s="10"/>
      <c r="T37" s="11"/>
    </row>
    <row r="38" spans="1:20" ht="56" x14ac:dyDescent="0.35">
      <c r="A38" s="7" t="s">
        <v>20</v>
      </c>
      <c r="B38" s="7" t="s">
        <v>170</v>
      </c>
      <c r="C38" s="8" t="s">
        <v>210</v>
      </c>
      <c r="D38" s="8"/>
      <c r="E38" s="7" t="s">
        <v>211</v>
      </c>
      <c r="F38" s="7" t="s">
        <v>174</v>
      </c>
      <c r="G38" s="7"/>
      <c r="H38" s="7" t="s">
        <v>212</v>
      </c>
      <c r="I38" s="9">
        <v>0.2432</v>
      </c>
      <c r="J38" s="7">
        <v>31.5</v>
      </c>
      <c r="K38" s="7" t="s">
        <v>213</v>
      </c>
      <c r="L38" s="9">
        <v>0.224</v>
      </c>
      <c r="M38" s="7"/>
      <c r="N38" s="9"/>
      <c r="O38" s="7">
        <v>1</v>
      </c>
      <c r="P38" s="7" t="s">
        <v>214</v>
      </c>
      <c r="Q38" s="8" t="s">
        <v>215</v>
      </c>
      <c r="R38" s="10"/>
      <c r="S38" s="10"/>
      <c r="T38" s="11"/>
    </row>
    <row r="39" spans="1:20" ht="98" x14ac:dyDescent="0.35">
      <c r="A39" s="7" t="s">
        <v>20</v>
      </c>
      <c r="B39" s="7" t="s">
        <v>170</v>
      </c>
      <c r="C39" s="8" t="s">
        <v>216</v>
      </c>
      <c r="D39" s="8" t="s">
        <v>217</v>
      </c>
      <c r="E39" s="7" t="s">
        <v>218</v>
      </c>
      <c r="F39" s="7" t="s">
        <v>174</v>
      </c>
      <c r="G39" s="7"/>
      <c r="H39" s="7" t="s">
        <v>219</v>
      </c>
      <c r="I39" s="9">
        <v>0.2361</v>
      </c>
      <c r="J39" s="7">
        <v>29.6</v>
      </c>
      <c r="K39" s="7" t="s">
        <v>220</v>
      </c>
      <c r="L39" s="9">
        <v>0.23280000000000001</v>
      </c>
      <c r="M39" s="7" t="s">
        <v>221</v>
      </c>
      <c r="N39" s="9">
        <v>0.2223</v>
      </c>
      <c r="O39" s="7">
        <v>1</v>
      </c>
      <c r="P39" s="7" t="s">
        <v>222</v>
      </c>
      <c r="Q39" s="8" t="s">
        <v>223</v>
      </c>
      <c r="R39" s="10"/>
      <c r="S39" s="10"/>
      <c r="T39" s="11"/>
    </row>
    <row r="40" spans="1:20" ht="98" x14ac:dyDescent="0.35">
      <c r="A40" s="7" t="s">
        <v>20</v>
      </c>
      <c r="B40" s="7" t="s">
        <v>170</v>
      </c>
      <c r="C40" s="8" t="s">
        <v>224</v>
      </c>
      <c r="D40" s="8" t="s">
        <v>225</v>
      </c>
      <c r="E40" s="7" t="s">
        <v>226</v>
      </c>
      <c r="F40" s="7" t="s">
        <v>174</v>
      </c>
      <c r="G40" s="7"/>
      <c r="H40" s="7" t="s">
        <v>227</v>
      </c>
      <c r="I40" s="9">
        <v>0.2248</v>
      </c>
      <c r="J40" s="7">
        <v>26.6</v>
      </c>
      <c r="K40" s="7" t="s">
        <v>228</v>
      </c>
      <c r="L40" s="9">
        <v>0.20899999999999999</v>
      </c>
      <c r="M40" s="7"/>
      <c r="N40" s="9"/>
      <c r="O40" s="7">
        <v>1</v>
      </c>
      <c r="P40" s="7" t="s">
        <v>229</v>
      </c>
      <c r="Q40" s="8" t="s">
        <v>230</v>
      </c>
      <c r="R40" s="10"/>
      <c r="S40" s="10"/>
      <c r="T40" s="11"/>
    </row>
    <row r="41" spans="1:20" ht="56" x14ac:dyDescent="0.35">
      <c r="A41" s="7" t="s">
        <v>20</v>
      </c>
      <c r="B41" s="7" t="s">
        <v>170</v>
      </c>
      <c r="C41" s="8" t="s">
        <v>231</v>
      </c>
      <c r="D41" s="8"/>
      <c r="E41" s="7" t="s">
        <v>232</v>
      </c>
      <c r="F41" s="7" t="s">
        <v>174</v>
      </c>
      <c r="G41" s="7"/>
      <c r="H41" s="7" t="s">
        <v>233</v>
      </c>
      <c r="I41" s="9">
        <v>0.22059999999999999</v>
      </c>
      <c r="J41" s="7">
        <v>25.5</v>
      </c>
      <c r="K41" s="7" t="s">
        <v>234</v>
      </c>
      <c r="L41" s="9">
        <v>0.21629999999999999</v>
      </c>
      <c r="M41" s="7" t="s">
        <v>235</v>
      </c>
      <c r="N41" s="9">
        <v>0.21179999999999999</v>
      </c>
      <c r="O41" s="7">
        <v>1</v>
      </c>
      <c r="P41" s="7" t="s">
        <v>236</v>
      </c>
      <c r="Q41" s="8" t="s">
        <v>237</v>
      </c>
      <c r="R41" s="10"/>
      <c r="S41" s="10"/>
      <c r="T41" s="11"/>
    </row>
    <row r="42" spans="1:20" ht="84" x14ac:dyDescent="0.35">
      <c r="A42" s="7" t="s">
        <v>20</v>
      </c>
      <c r="B42" s="7" t="s">
        <v>238</v>
      </c>
      <c r="C42" s="8" t="s">
        <v>239</v>
      </c>
      <c r="D42" s="8"/>
      <c r="E42" s="7" t="s">
        <v>240</v>
      </c>
      <c r="F42" s="7" t="s">
        <v>174</v>
      </c>
      <c r="G42" s="7"/>
      <c r="H42" s="7" t="s">
        <v>241</v>
      </c>
      <c r="I42" s="9">
        <v>0.39710000000000001</v>
      </c>
      <c r="J42" s="7">
        <v>72.599999999999994</v>
      </c>
      <c r="K42" s="7" t="s">
        <v>242</v>
      </c>
      <c r="L42" s="9">
        <v>0.38</v>
      </c>
      <c r="M42" s="7" t="s">
        <v>243</v>
      </c>
      <c r="N42" s="9">
        <v>0.36730000000000002</v>
      </c>
      <c r="O42" s="7">
        <v>1</v>
      </c>
      <c r="P42" s="7" t="s">
        <v>244</v>
      </c>
      <c r="Q42" s="8" t="s">
        <v>245</v>
      </c>
      <c r="R42" s="10"/>
      <c r="S42" s="10"/>
      <c r="T42" s="11"/>
    </row>
    <row r="43" spans="1:20" ht="84" x14ac:dyDescent="0.35">
      <c r="A43" s="7" t="s">
        <v>20</v>
      </c>
      <c r="B43" s="7" t="s">
        <v>238</v>
      </c>
      <c r="C43" s="8" t="s">
        <v>246</v>
      </c>
      <c r="D43" s="8" t="s">
        <v>247</v>
      </c>
      <c r="E43" s="7" t="s">
        <v>246</v>
      </c>
      <c r="F43" s="7" t="s">
        <v>174</v>
      </c>
      <c r="G43" s="7"/>
      <c r="H43" s="7" t="s">
        <v>248</v>
      </c>
      <c r="I43" s="9">
        <v>0.38369999999999999</v>
      </c>
      <c r="J43" s="7">
        <v>69</v>
      </c>
      <c r="K43" s="7" t="s">
        <v>249</v>
      </c>
      <c r="L43" s="9">
        <v>0.36930000000000002</v>
      </c>
      <c r="M43" s="7" t="s">
        <v>250</v>
      </c>
      <c r="N43" s="9">
        <v>0.2873</v>
      </c>
      <c r="O43" s="7">
        <v>2</v>
      </c>
      <c r="P43" s="7" t="s">
        <v>251</v>
      </c>
      <c r="Q43" s="8" t="s">
        <v>252</v>
      </c>
      <c r="R43" s="10"/>
      <c r="S43" s="10"/>
      <c r="T43" s="11"/>
    </row>
    <row r="44" spans="1:20" ht="84" x14ac:dyDescent="0.35">
      <c r="A44" s="7" t="s">
        <v>20</v>
      </c>
      <c r="B44" s="7" t="s">
        <v>238</v>
      </c>
      <c r="C44" s="8" t="s">
        <v>253</v>
      </c>
      <c r="D44" s="8" t="s">
        <v>254</v>
      </c>
      <c r="E44" s="7" t="s">
        <v>253</v>
      </c>
      <c r="F44" s="7" t="s">
        <v>174</v>
      </c>
      <c r="G44" s="7"/>
      <c r="H44" s="7" t="s">
        <v>255</v>
      </c>
      <c r="I44" s="9">
        <v>0.3639</v>
      </c>
      <c r="J44" s="7">
        <v>63.7</v>
      </c>
      <c r="K44" s="7" t="s">
        <v>256</v>
      </c>
      <c r="L44" s="9">
        <v>0.34460000000000002</v>
      </c>
      <c r="M44" s="7" t="s">
        <v>257</v>
      </c>
      <c r="N44" s="9">
        <v>0.31559999999999999</v>
      </c>
      <c r="O44" s="7">
        <v>1</v>
      </c>
      <c r="P44" s="7" t="s">
        <v>258</v>
      </c>
      <c r="Q44" s="8" t="s">
        <v>259</v>
      </c>
      <c r="R44" s="10"/>
      <c r="S44" s="10"/>
      <c r="T44" s="11"/>
    </row>
    <row r="45" spans="1:20" ht="84" x14ac:dyDescent="0.35">
      <c r="A45" s="7" t="s">
        <v>20</v>
      </c>
      <c r="B45" s="7" t="s">
        <v>238</v>
      </c>
      <c r="C45" s="8" t="s">
        <v>260</v>
      </c>
      <c r="D45" s="8" t="s">
        <v>261</v>
      </c>
      <c r="E45" s="7" t="s">
        <v>260</v>
      </c>
      <c r="F45" s="7" t="s">
        <v>174</v>
      </c>
      <c r="G45" s="7"/>
      <c r="H45" s="7" t="s">
        <v>262</v>
      </c>
      <c r="I45" s="9">
        <v>0.36049999999999999</v>
      </c>
      <c r="J45" s="7">
        <v>62.8</v>
      </c>
      <c r="K45" s="7"/>
      <c r="L45" s="9"/>
      <c r="M45" s="7"/>
      <c r="N45" s="9"/>
      <c r="O45" s="7">
        <v>2</v>
      </c>
      <c r="P45" s="7" t="s">
        <v>263</v>
      </c>
      <c r="Q45" s="8" t="s">
        <v>264</v>
      </c>
      <c r="R45" s="10"/>
      <c r="S45" s="10"/>
      <c r="T45" s="11"/>
    </row>
    <row r="46" spans="1:20" ht="84" x14ac:dyDescent="0.35">
      <c r="A46" s="7" t="s">
        <v>20</v>
      </c>
      <c r="B46" s="7" t="s">
        <v>238</v>
      </c>
      <c r="C46" s="8" t="s">
        <v>265</v>
      </c>
      <c r="D46" s="8" t="s">
        <v>266</v>
      </c>
      <c r="E46" s="7" t="s">
        <v>246</v>
      </c>
      <c r="F46" s="7" t="s">
        <v>174</v>
      </c>
      <c r="G46" s="7"/>
      <c r="H46" s="7" t="s">
        <v>248</v>
      </c>
      <c r="I46" s="9">
        <v>0.36030000000000001</v>
      </c>
      <c r="J46" s="7">
        <v>62.7</v>
      </c>
      <c r="K46" s="7" t="s">
        <v>249</v>
      </c>
      <c r="L46" s="9">
        <v>0.28439999999999999</v>
      </c>
      <c r="M46" s="7" t="s">
        <v>267</v>
      </c>
      <c r="N46" s="9">
        <v>0.28339999999999999</v>
      </c>
      <c r="O46" s="7">
        <v>3</v>
      </c>
      <c r="P46" s="7" t="s">
        <v>268</v>
      </c>
      <c r="Q46" s="8" t="s">
        <v>269</v>
      </c>
      <c r="R46" s="10"/>
      <c r="S46" s="10"/>
      <c r="T46" s="11"/>
    </row>
    <row r="47" spans="1:20" ht="56" x14ac:dyDescent="0.35">
      <c r="A47" s="7" t="s">
        <v>20</v>
      </c>
      <c r="B47" s="7" t="s">
        <v>238</v>
      </c>
      <c r="C47" s="8" t="s">
        <v>270</v>
      </c>
      <c r="D47" s="8" t="s">
        <v>271</v>
      </c>
      <c r="E47" s="7" t="s">
        <v>232</v>
      </c>
      <c r="F47" s="7" t="s">
        <v>174</v>
      </c>
      <c r="G47" s="7"/>
      <c r="H47" s="7" t="s">
        <v>272</v>
      </c>
      <c r="I47" s="9">
        <v>0.35449999999999998</v>
      </c>
      <c r="J47" s="7">
        <v>61.2</v>
      </c>
      <c r="K47" s="7" t="s">
        <v>273</v>
      </c>
      <c r="L47" s="9">
        <v>0.35299999999999998</v>
      </c>
      <c r="M47" s="7" t="s">
        <v>274</v>
      </c>
      <c r="N47" s="9">
        <v>0.34789999999999999</v>
      </c>
      <c r="O47" s="7">
        <v>8</v>
      </c>
      <c r="P47" s="7" t="s">
        <v>275</v>
      </c>
      <c r="Q47" s="8" t="s">
        <v>276</v>
      </c>
      <c r="R47" s="10"/>
      <c r="S47" s="10"/>
      <c r="T47" s="11"/>
    </row>
    <row r="48" spans="1:20" ht="70" x14ac:dyDescent="0.35">
      <c r="A48" s="7" t="s">
        <v>20</v>
      </c>
      <c r="B48" s="7" t="s">
        <v>238</v>
      </c>
      <c r="C48" s="8" t="s">
        <v>277</v>
      </c>
      <c r="D48" s="8"/>
      <c r="E48" s="7" t="s">
        <v>277</v>
      </c>
      <c r="F48" s="7" t="s">
        <v>174</v>
      </c>
      <c r="G48" s="7"/>
      <c r="H48" s="7" t="s">
        <v>278</v>
      </c>
      <c r="I48" s="9">
        <v>0.33310000000000001</v>
      </c>
      <c r="J48" s="7">
        <v>55.5</v>
      </c>
      <c r="K48" s="7" t="s">
        <v>279</v>
      </c>
      <c r="L48" s="9">
        <v>0.2949</v>
      </c>
      <c r="M48" s="7" t="s">
        <v>280</v>
      </c>
      <c r="N48" s="9">
        <v>0.26700000000000002</v>
      </c>
      <c r="O48" s="7">
        <v>1</v>
      </c>
      <c r="P48" s="7" t="s">
        <v>281</v>
      </c>
      <c r="Q48" s="8" t="s">
        <v>282</v>
      </c>
      <c r="R48" s="10"/>
      <c r="S48" s="10"/>
      <c r="T48" s="11"/>
    </row>
    <row r="49" spans="1:20" ht="70" x14ac:dyDescent="0.35">
      <c r="A49" s="7" t="s">
        <v>20</v>
      </c>
      <c r="B49" s="7" t="s">
        <v>238</v>
      </c>
      <c r="C49" s="8" t="s">
        <v>283</v>
      </c>
      <c r="D49" s="8" t="s">
        <v>284</v>
      </c>
      <c r="E49" s="7" t="s">
        <v>285</v>
      </c>
      <c r="F49" s="7" t="s">
        <v>174</v>
      </c>
      <c r="G49" s="7"/>
      <c r="H49" s="7" t="s">
        <v>286</v>
      </c>
      <c r="I49" s="9">
        <v>0.3175</v>
      </c>
      <c r="J49" s="7">
        <v>51.3</v>
      </c>
      <c r="K49" s="7" t="s">
        <v>287</v>
      </c>
      <c r="L49" s="9">
        <v>0.31680000000000003</v>
      </c>
      <c r="M49" s="7" t="s">
        <v>288</v>
      </c>
      <c r="N49" s="9">
        <v>0.2913</v>
      </c>
      <c r="O49" s="7">
        <v>1</v>
      </c>
      <c r="P49" s="7" t="s">
        <v>289</v>
      </c>
      <c r="Q49" s="8" t="s">
        <v>290</v>
      </c>
      <c r="R49" s="10"/>
      <c r="S49" s="10"/>
      <c r="T49" s="11"/>
    </row>
    <row r="50" spans="1:20" ht="84" x14ac:dyDescent="0.35">
      <c r="A50" s="7" t="s">
        <v>20</v>
      </c>
      <c r="B50" s="7" t="s">
        <v>238</v>
      </c>
      <c r="C50" s="8" t="s">
        <v>291</v>
      </c>
      <c r="D50" s="8" t="s">
        <v>292</v>
      </c>
      <c r="E50" s="7" t="s">
        <v>291</v>
      </c>
      <c r="F50" s="7" t="s">
        <v>174</v>
      </c>
      <c r="G50" s="7"/>
      <c r="H50" s="7" t="s">
        <v>293</v>
      </c>
      <c r="I50" s="9">
        <v>0.30990000000000001</v>
      </c>
      <c r="J50" s="7">
        <v>49.3</v>
      </c>
      <c r="K50" s="7"/>
      <c r="L50" s="9"/>
      <c r="M50" s="7"/>
      <c r="N50" s="9"/>
      <c r="O50" s="7">
        <v>1</v>
      </c>
      <c r="P50" s="7" t="s">
        <v>294</v>
      </c>
      <c r="Q50" s="8" t="s">
        <v>295</v>
      </c>
      <c r="R50" s="10"/>
      <c r="S50" s="10"/>
      <c r="T50" s="11"/>
    </row>
    <row r="51" spans="1:20" ht="98" x14ac:dyDescent="0.35">
      <c r="A51" s="7" t="s">
        <v>20</v>
      </c>
      <c r="B51" s="7" t="s">
        <v>238</v>
      </c>
      <c r="C51" s="8" t="s">
        <v>296</v>
      </c>
      <c r="D51" s="8" t="s">
        <v>297</v>
      </c>
      <c r="E51" s="7" t="s">
        <v>298</v>
      </c>
      <c r="F51" s="7" t="s">
        <v>174</v>
      </c>
      <c r="G51" s="7"/>
      <c r="H51" s="7" t="s">
        <v>299</v>
      </c>
      <c r="I51" s="9">
        <v>0.30230000000000001</v>
      </c>
      <c r="J51" s="7">
        <v>47.3</v>
      </c>
      <c r="K51" s="7" t="s">
        <v>221</v>
      </c>
      <c r="L51" s="9">
        <v>0.29570000000000002</v>
      </c>
      <c r="M51" s="7" t="s">
        <v>193</v>
      </c>
      <c r="N51" s="9">
        <v>0.24990000000000001</v>
      </c>
      <c r="O51" s="7">
        <v>1</v>
      </c>
      <c r="P51" s="7" t="s">
        <v>300</v>
      </c>
      <c r="Q51" s="8" t="s">
        <v>301</v>
      </c>
      <c r="R51" s="10"/>
      <c r="S51" s="10"/>
      <c r="T51" s="11"/>
    </row>
    <row r="52" spans="1:20" ht="84" x14ac:dyDescent="0.35">
      <c r="A52" s="7" t="s">
        <v>20</v>
      </c>
      <c r="B52" s="7" t="s">
        <v>302</v>
      </c>
      <c r="C52" s="8" t="s">
        <v>303</v>
      </c>
      <c r="D52" s="8" t="s">
        <v>304</v>
      </c>
      <c r="E52" s="7" t="s">
        <v>72</v>
      </c>
      <c r="F52" s="7" t="s">
        <v>174</v>
      </c>
      <c r="G52" s="7"/>
      <c r="H52" s="7" t="s">
        <v>305</v>
      </c>
      <c r="I52" s="9">
        <v>0.46429999999999999</v>
      </c>
      <c r="J52" s="7">
        <v>90.5</v>
      </c>
      <c r="K52" s="7" t="s">
        <v>72</v>
      </c>
      <c r="L52" s="9">
        <v>0.4471</v>
      </c>
      <c r="M52" s="7" t="s">
        <v>306</v>
      </c>
      <c r="N52" s="9">
        <v>0.377</v>
      </c>
      <c r="O52" s="7">
        <v>1</v>
      </c>
      <c r="P52" s="7" t="s">
        <v>307</v>
      </c>
      <c r="Q52" s="8" t="s">
        <v>308</v>
      </c>
      <c r="R52" s="10"/>
      <c r="S52" s="10"/>
      <c r="T52" s="11"/>
    </row>
    <row r="53" spans="1:20" ht="70" x14ac:dyDescent="0.35">
      <c r="A53" s="7" t="s">
        <v>20</v>
      </c>
      <c r="B53" s="7" t="s">
        <v>302</v>
      </c>
      <c r="C53" s="8" t="s">
        <v>309</v>
      </c>
      <c r="D53" s="8" t="s">
        <v>310</v>
      </c>
      <c r="E53" s="7" t="s">
        <v>309</v>
      </c>
      <c r="F53" s="7" t="s">
        <v>174</v>
      </c>
      <c r="G53" s="7"/>
      <c r="H53" s="7" t="s">
        <v>311</v>
      </c>
      <c r="I53" s="9">
        <v>0.46060000000000001</v>
      </c>
      <c r="J53" s="7">
        <v>89.5</v>
      </c>
      <c r="K53" s="7" t="s">
        <v>312</v>
      </c>
      <c r="L53" s="9">
        <v>0.42220000000000002</v>
      </c>
      <c r="M53" s="7" t="s">
        <v>105</v>
      </c>
      <c r="N53" s="9">
        <v>0.40200000000000002</v>
      </c>
      <c r="O53" s="7">
        <v>2</v>
      </c>
      <c r="P53" s="7" t="s">
        <v>313</v>
      </c>
      <c r="Q53" s="8" t="s">
        <v>314</v>
      </c>
      <c r="R53" s="10"/>
      <c r="S53" s="10"/>
      <c r="T53" s="11"/>
    </row>
    <row r="54" spans="1:20" ht="56" x14ac:dyDescent="0.35">
      <c r="A54" s="7" t="s">
        <v>20</v>
      </c>
      <c r="B54" s="7" t="s">
        <v>302</v>
      </c>
      <c r="C54" s="8" t="s">
        <v>315</v>
      </c>
      <c r="D54" s="8" t="s">
        <v>316</v>
      </c>
      <c r="E54" s="7" t="s">
        <v>72</v>
      </c>
      <c r="F54" s="7" t="s">
        <v>174</v>
      </c>
      <c r="G54" s="7"/>
      <c r="H54" s="7" t="s">
        <v>72</v>
      </c>
      <c r="I54" s="9">
        <v>0.45960000000000001</v>
      </c>
      <c r="J54" s="7">
        <v>89.2</v>
      </c>
      <c r="K54" s="7" t="s">
        <v>306</v>
      </c>
      <c r="L54" s="9">
        <v>0.40939999999999999</v>
      </c>
      <c r="M54" s="7" t="s">
        <v>317</v>
      </c>
      <c r="N54" s="9">
        <v>0.26800000000000002</v>
      </c>
      <c r="O54" s="7">
        <v>3</v>
      </c>
      <c r="P54" s="7" t="s">
        <v>318</v>
      </c>
      <c r="Q54" s="8" t="s">
        <v>319</v>
      </c>
      <c r="R54" s="10"/>
      <c r="S54" s="10"/>
      <c r="T54" s="11"/>
    </row>
    <row r="55" spans="1:20" ht="70" x14ac:dyDescent="0.35">
      <c r="A55" s="7" t="s">
        <v>20</v>
      </c>
      <c r="B55" s="7" t="s">
        <v>302</v>
      </c>
      <c r="C55" s="8" t="s">
        <v>320</v>
      </c>
      <c r="D55" s="8" t="s">
        <v>321</v>
      </c>
      <c r="E55" s="7" t="s">
        <v>320</v>
      </c>
      <c r="F55" s="7" t="s">
        <v>174</v>
      </c>
      <c r="G55" s="7"/>
      <c r="H55" s="7" t="s">
        <v>322</v>
      </c>
      <c r="I55" s="9">
        <v>0.45369999999999999</v>
      </c>
      <c r="J55" s="7">
        <v>87.7</v>
      </c>
      <c r="K55" s="7" t="s">
        <v>323</v>
      </c>
      <c r="L55" s="9">
        <v>0.27260000000000001</v>
      </c>
      <c r="M55" s="7" t="s">
        <v>324</v>
      </c>
      <c r="N55" s="9">
        <v>0.2535</v>
      </c>
      <c r="O55" s="7">
        <v>3</v>
      </c>
      <c r="P55" s="7" t="s">
        <v>325</v>
      </c>
      <c r="Q55" s="8" t="s">
        <v>326</v>
      </c>
      <c r="R55" s="10"/>
      <c r="S55" s="10"/>
      <c r="T55" s="11"/>
    </row>
    <row r="56" spans="1:20" ht="84" x14ac:dyDescent="0.35">
      <c r="A56" s="7" t="s">
        <v>20</v>
      </c>
      <c r="B56" s="7" t="s">
        <v>302</v>
      </c>
      <c r="C56" s="8" t="s">
        <v>327</v>
      </c>
      <c r="D56" s="8" t="s">
        <v>328</v>
      </c>
      <c r="E56" s="7" t="s">
        <v>329</v>
      </c>
      <c r="F56" s="7" t="s">
        <v>174</v>
      </c>
      <c r="G56" s="7"/>
      <c r="H56" s="7" t="s">
        <v>330</v>
      </c>
      <c r="I56" s="9">
        <v>0.4486</v>
      </c>
      <c r="J56" s="7">
        <v>86.3</v>
      </c>
      <c r="K56" s="7" t="s">
        <v>331</v>
      </c>
      <c r="L56" s="9">
        <v>0.36890000000000001</v>
      </c>
      <c r="M56" s="7" t="s">
        <v>332</v>
      </c>
      <c r="N56" s="9">
        <v>0.3528</v>
      </c>
      <c r="O56" s="7">
        <v>4</v>
      </c>
      <c r="P56" s="7" t="s">
        <v>333</v>
      </c>
      <c r="Q56" s="8" t="s">
        <v>334</v>
      </c>
      <c r="R56" s="10"/>
      <c r="S56" s="10"/>
      <c r="T56" s="11"/>
    </row>
    <row r="57" spans="1:20" ht="42" x14ac:dyDescent="0.35">
      <c r="A57" s="7" t="s">
        <v>20</v>
      </c>
      <c r="B57" s="7" t="s">
        <v>302</v>
      </c>
      <c r="C57" s="8" t="s">
        <v>335</v>
      </c>
      <c r="D57" s="8"/>
      <c r="E57" s="7" t="s">
        <v>72</v>
      </c>
      <c r="F57" s="7" t="s">
        <v>174</v>
      </c>
      <c r="G57" s="7"/>
      <c r="H57" s="7" t="s">
        <v>305</v>
      </c>
      <c r="I57" s="9">
        <v>0.44819999999999999</v>
      </c>
      <c r="J57" s="7">
        <v>86.2</v>
      </c>
      <c r="K57" s="7" t="s">
        <v>72</v>
      </c>
      <c r="L57" s="9">
        <v>0.42580000000000001</v>
      </c>
      <c r="M57" s="7" t="s">
        <v>336</v>
      </c>
      <c r="N57" s="9">
        <v>0.39879999999999999</v>
      </c>
      <c r="O57" s="7">
        <v>1</v>
      </c>
      <c r="P57" s="7" t="s">
        <v>337</v>
      </c>
      <c r="Q57" s="8" t="s">
        <v>338</v>
      </c>
      <c r="R57" s="10"/>
      <c r="S57" s="10"/>
      <c r="T57" s="11"/>
    </row>
    <row r="58" spans="1:20" ht="56" x14ac:dyDescent="0.35">
      <c r="A58" s="7" t="s">
        <v>20</v>
      </c>
      <c r="B58" s="7" t="s">
        <v>302</v>
      </c>
      <c r="C58" s="8" t="s">
        <v>339</v>
      </c>
      <c r="D58" s="8" t="s">
        <v>340</v>
      </c>
      <c r="E58" s="7" t="s">
        <v>339</v>
      </c>
      <c r="F58" s="7" t="s">
        <v>174</v>
      </c>
      <c r="G58" s="7"/>
      <c r="H58" s="7" t="s">
        <v>250</v>
      </c>
      <c r="I58" s="9">
        <v>0.44669999999999999</v>
      </c>
      <c r="J58" s="7">
        <v>85.8</v>
      </c>
      <c r="K58" s="7" t="s">
        <v>341</v>
      </c>
      <c r="L58" s="9">
        <v>0.41510000000000002</v>
      </c>
      <c r="M58" s="7" t="s">
        <v>342</v>
      </c>
      <c r="N58" s="9">
        <v>0.40739999999999998</v>
      </c>
      <c r="O58" s="7">
        <v>1</v>
      </c>
      <c r="P58" s="7" t="s">
        <v>343</v>
      </c>
      <c r="Q58" s="8" t="s">
        <v>344</v>
      </c>
      <c r="R58" s="10"/>
      <c r="S58" s="10"/>
      <c r="T58" s="11"/>
    </row>
    <row r="59" spans="1:20" ht="42" x14ac:dyDescent="0.35">
      <c r="A59" s="7" t="s">
        <v>20</v>
      </c>
      <c r="B59" s="7" t="s">
        <v>302</v>
      </c>
      <c r="C59" s="8" t="s">
        <v>345</v>
      </c>
      <c r="D59" s="8" t="s">
        <v>346</v>
      </c>
      <c r="E59" s="7" t="s">
        <v>345</v>
      </c>
      <c r="F59" s="7" t="s">
        <v>174</v>
      </c>
      <c r="G59" s="7"/>
      <c r="H59" s="7" t="s">
        <v>347</v>
      </c>
      <c r="I59" s="9">
        <v>0.44369999999999998</v>
      </c>
      <c r="J59" s="7">
        <v>85</v>
      </c>
      <c r="K59" s="7" t="s">
        <v>348</v>
      </c>
      <c r="L59" s="9">
        <v>0.43519999999999998</v>
      </c>
      <c r="M59" s="7" t="s">
        <v>349</v>
      </c>
      <c r="N59" s="9">
        <v>0.43419999999999997</v>
      </c>
      <c r="O59" s="7">
        <v>1</v>
      </c>
      <c r="P59" s="7" t="s">
        <v>350</v>
      </c>
      <c r="Q59" s="8" t="s">
        <v>351</v>
      </c>
      <c r="R59" s="10"/>
      <c r="S59" s="10"/>
      <c r="T59" s="11"/>
    </row>
    <row r="60" spans="1:20" ht="70" x14ac:dyDescent="0.35">
      <c r="A60" s="7" t="s">
        <v>20</v>
      </c>
      <c r="B60" s="7" t="s">
        <v>302</v>
      </c>
      <c r="C60" s="8" t="s">
        <v>352</v>
      </c>
      <c r="D60" s="8" t="s">
        <v>353</v>
      </c>
      <c r="E60" s="7" t="s">
        <v>352</v>
      </c>
      <c r="F60" s="7" t="s">
        <v>174</v>
      </c>
      <c r="G60" s="7"/>
      <c r="H60" s="7" t="s">
        <v>354</v>
      </c>
      <c r="I60" s="9">
        <v>0.43280000000000002</v>
      </c>
      <c r="J60" s="7">
        <v>82.1</v>
      </c>
      <c r="K60" s="7" t="s">
        <v>355</v>
      </c>
      <c r="L60" s="9">
        <v>0.43109999999999998</v>
      </c>
      <c r="M60" s="7" t="s">
        <v>356</v>
      </c>
      <c r="N60" s="9">
        <v>0.42320000000000002</v>
      </c>
      <c r="O60" s="7">
        <v>4</v>
      </c>
      <c r="P60" s="7" t="s">
        <v>357</v>
      </c>
      <c r="Q60" s="8" t="s">
        <v>358</v>
      </c>
      <c r="R60" s="10"/>
      <c r="S60" s="10"/>
      <c r="T60" s="11"/>
    </row>
    <row r="61" spans="1:20" ht="98" x14ac:dyDescent="0.35">
      <c r="A61" s="7" t="s">
        <v>20</v>
      </c>
      <c r="B61" s="7" t="s">
        <v>302</v>
      </c>
      <c r="C61" s="8" t="s">
        <v>359</v>
      </c>
      <c r="D61" s="8" t="s">
        <v>360</v>
      </c>
      <c r="E61" s="7" t="s">
        <v>361</v>
      </c>
      <c r="F61" s="7" t="s">
        <v>174</v>
      </c>
      <c r="G61" s="7"/>
      <c r="H61" s="7" t="s">
        <v>221</v>
      </c>
      <c r="I61" s="9">
        <v>0.41120000000000001</v>
      </c>
      <c r="J61" s="7">
        <v>76.3</v>
      </c>
      <c r="K61" s="7" t="s">
        <v>220</v>
      </c>
      <c r="L61" s="9">
        <v>0.38080000000000003</v>
      </c>
      <c r="M61" s="7" t="s">
        <v>362</v>
      </c>
      <c r="N61" s="9">
        <v>0.29449999999999998</v>
      </c>
      <c r="O61" s="7">
        <v>1</v>
      </c>
      <c r="P61" s="7" t="s">
        <v>363</v>
      </c>
      <c r="Q61" s="8" t="s">
        <v>364</v>
      </c>
      <c r="R61" s="10"/>
      <c r="S61" s="10"/>
      <c r="T61" s="11"/>
    </row>
    <row r="62" spans="1:20" ht="154" x14ac:dyDescent="0.35">
      <c r="A62" s="7" t="s">
        <v>20</v>
      </c>
      <c r="B62" s="7" t="s">
        <v>365</v>
      </c>
      <c r="C62" s="8" t="s">
        <v>366</v>
      </c>
      <c r="D62" s="8" t="s">
        <v>367</v>
      </c>
      <c r="E62" s="7" t="s">
        <v>368</v>
      </c>
      <c r="F62" s="7"/>
      <c r="G62" s="7"/>
      <c r="H62" s="7"/>
      <c r="I62" s="9"/>
      <c r="J62" s="7"/>
      <c r="K62" s="7"/>
      <c r="L62" s="9"/>
      <c r="M62" s="7"/>
      <c r="N62" s="9"/>
      <c r="O62" s="7">
        <v>1</v>
      </c>
      <c r="P62" s="7" t="s">
        <v>369</v>
      </c>
      <c r="Q62" s="8" t="s">
        <v>370</v>
      </c>
      <c r="R62" s="10"/>
      <c r="S62" s="10"/>
      <c r="T62" s="11"/>
    </row>
    <row r="63" spans="1:20" ht="56" x14ac:dyDescent="0.35">
      <c r="A63" s="7" t="s">
        <v>20</v>
      </c>
      <c r="B63" s="7" t="s">
        <v>365</v>
      </c>
      <c r="C63" s="8" t="s">
        <v>371</v>
      </c>
      <c r="D63" s="8" t="s">
        <v>372</v>
      </c>
      <c r="E63" s="7" t="s">
        <v>373</v>
      </c>
      <c r="F63" s="7"/>
      <c r="G63" s="7"/>
      <c r="H63" s="7"/>
      <c r="I63" s="9"/>
      <c r="J63" s="7"/>
      <c r="K63" s="7"/>
      <c r="L63" s="9"/>
      <c r="M63" s="7"/>
      <c r="N63" s="9"/>
      <c r="O63" s="7">
        <v>1</v>
      </c>
      <c r="P63" s="7" t="s">
        <v>374</v>
      </c>
      <c r="Q63" s="8" t="s">
        <v>375</v>
      </c>
      <c r="R63" s="10"/>
      <c r="S63" s="10"/>
      <c r="T63" s="11"/>
    </row>
    <row r="64" spans="1:20" ht="56" x14ac:dyDescent="0.35">
      <c r="A64" s="7" t="s">
        <v>20</v>
      </c>
      <c r="B64" s="7" t="s">
        <v>365</v>
      </c>
      <c r="C64" s="8" t="s">
        <v>376</v>
      </c>
      <c r="D64" s="8" t="s">
        <v>377</v>
      </c>
      <c r="E64" s="7" t="s">
        <v>378</v>
      </c>
      <c r="F64" s="7"/>
      <c r="G64" s="7"/>
      <c r="H64" s="7"/>
      <c r="I64" s="9"/>
      <c r="J64" s="7"/>
      <c r="K64" s="7"/>
      <c r="L64" s="9"/>
      <c r="M64" s="7"/>
      <c r="N64" s="9"/>
      <c r="O64" s="7">
        <v>4</v>
      </c>
      <c r="P64" s="7" t="s">
        <v>379</v>
      </c>
      <c r="Q64" s="8" t="s">
        <v>380</v>
      </c>
      <c r="R64" s="10"/>
      <c r="S64" s="10"/>
      <c r="T64" s="11"/>
    </row>
    <row r="65" spans="1:20" ht="84" x14ac:dyDescent="0.35">
      <c r="A65" s="7" t="s">
        <v>20</v>
      </c>
      <c r="B65" s="7" t="s">
        <v>365</v>
      </c>
      <c r="C65" s="8" t="s">
        <v>381</v>
      </c>
      <c r="D65" s="8"/>
      <c r="E65" s="7" t="s">
        <v>382</v>
      </c>
      <c r="F65" s="7"/>
      <c r="G65" s="7"/>
      <c r="H65" s="7"/>
      <c r="I65" s="9"/>
      <c r="J65" s="7"/>
      <c r="K65" s="7"/>
      <c r="L65" s="9"/>
      <c r="M65" s="7"/>
      <c r="N65" s="9"/>
      <c r="O65" s="7">
        <v>1</v>
      </c>
      <c r="P65" s="7" t="s">
        <v>383</v>
      </c>
      <c r="Q65" s="8" t="s">
        <v>384</v>
      </c>
      <c r="R65" s="10"/>
      <c r="S65" s="10"/>
      <c r="T65" s="11"/>
    </row>
    <row r="66" spans="1:20" ht="56" x14ac:dyDescent="0.35">
      <c r="A66" s="7" t="s">
        <v>20</v>
      </c>
      <c r="B66" s="7" t="s">
        <v>365</v>
      </c>
      <c r="C66" s="8" t="s">
        <v>385</v>
      </c>
      <c r="D66" s="8" t="s">
        <v>386</v>
      </c>
      <c r="E66" s="7" t="s">
        <v>387</v>
      </c>
      <c r="F66" s="7"/>
      <c r="G66" s="7"/>
      <c r="H66" s="7"/>
      <c r="I66" s="9"/>
      <c r="J66" s="7"/>
      <c r="K66" s="7"/>
      <c r="L66" s="9"/>
      <c r="M66" s="7"/>
      <c r="N66" s="9"/>
      <c r="O66" s="7">
        <v>1</v>
      </c>
      <c r="P66" s="7" t="s">
        <v>388</v>
      </c>
      <c r="Q66" s="8" t="s">
        <v>389</v>
      </c>
      <c r="R66" s="10"/>
      <c r="S66" s="10"/>
      <c r="T66" s="11"/>
    </row>
    <row r="67" spans="1:20" ht="56" x14ac:dyDescent="0.35">
      <c r="A67" s="7" t="s">
        <v>20</v>
      </c>
      <c r="B67" s="7" t="s">
        <v>365</v>
      </c>
      <c r="C67" s="8" t="s">
        <v>390</v>
      </c>
      <c r="D67" s="8" t="s">
        <v>391</v>
      </c>
      <c r="E67" s="7" t="s">
        <v>392</v>
      </c>
      <c r="F67" s="7"/>
      <c r="G67" s="7"/>
      <c r="H67" s="7"/>
      <c r="I67" s="9"/>
      <c r="J67" s="7"/>
      <c r="K67" s="7"/>
      <c r="L67" s="9"/>
      <c r="M67" s="7"/>
      <c r="N67" s="9"/>
      <c r="O67" s="7">
        <v>1</v>
      </c>
      <c r="P67" s="7" t="s">
        <v>393</v>
      </c>
      <c r="Q67" s="8" t="s">
        <v>394</v>
      </c>
      <c r="R67" s="10"/>
      <c r="S67" s="10"/>
      <c r="T67" s="11"/>
    </row>
    <row r="68" spans="1:20" ht="42" x14ac:dyDescent="0.35">
      <c r="A68" s="7" t="s">
        <v>20</v>
      </c>
      <c r="B68" s="7" t="s">
        <v>365</v>
      </c>
      <c r="C68" s="8" t="s">
        <v>395</v>
      </c>
      <c r="D68" s="8" t="s">
        <v>396</v>
      </c>
      <c r="E68" s="7" t="s">
        <v>397</v>
      </c>
      <c r="F68" s="7"/>
      <c r="G68" s="7"/>
      <c r="H68" s="7"/>
      <c r="I68" s="9"/>
      <c r="J68" s="7"/>
      <c r="K68" s="7"/>
      <c r="L68" s="9"/>
      <c r="M68" s="7"/>
      <c r="N68" s="9"/>
      <c r="O68" s="7">
        <v>1</v>
      </c>
      <c r="P68" s="7" t="s">
        <v>398</v>
      </c>
      <c r="Q68" s="8" t="s">
        <v>399</v>
      </c>
      <c r="R68" s="10"/>
      <c r="S68" s="10"/>
      <c r="T68" s="11"/>
    </row>
    <row r="69" spans="1:20" ht="112" x14ac:dyDescent="0.35">
      <c r="A69" s="7" t="s">
        <v>20</v>
      </c>
      <c r="B69" s="7" t="s">
        <v>365</v>
      </c>
      <c r="C69" s="8" t="s">
        <v>400</v>
      </c>
      <c r="D69" s="8" t="s">
        <v>401</v>
      </c>
      <c r="E69" s="7" t="s">
        <v>378</v>
      </c>
      <c r="F69" s="7"/>
      <c r="G69" s="7"/>
      <c r="H69" s="7"/>
      <c r="I69" s="9"/>
      <c r="J69" s="7"/>
      <c r="K69" s="7"/>
      <c r="L69" s="9"/>
      <c r="M69" s="7"/>
      <c r="N69" s="9"/>
      <c r="O69" s="7">
        <v>1</v>
      </c>
      <c r="P69" s="7" t="s">
        <v>402</v>
      </c>
      <c r="Q69" s="8" t="s">
        <v>403</v>
      </c>
      <c r="R69" s="10"/>
      <c r="S69" s="10"/>
      <c r="T69" s="11"/>
    </row>
    <row r="70" spans="1:20" ht="84" x14ac:dyDescent="0.35">
      <c r="A70" s="7" t="s">
        <v>20</v>
      </c>
      <c r="B70" s="7" t="s">
        <v>365</v>
      </c>
      <c r="C70" s="8" t="s">
        <v>404</v>
      </c>
      <c r="D70" s="8" t="s">
        <v>405</v>
      </c>
      <c r="E70" s="7" t="s">
        <v>352</v>
      </c>
      <c r="F70" s="7"/>
      <c r="G70" s="7"/>
      <c r="H70" s="7"/>
      <c r="I70" s="9"/>
      <c r="J70" s="7"/>
      <c r="K70" s="7"/>
      <c r="L70" s="9"/>
      <c r="M70" s="7"/>
      <c r="N70" s="9"/>
      <c r="O70" s="7">
        <v>1</v>
      </c>
      <c r="P70" s="7" t="s">
        <v>406</v>
      </c>
      <c r="Q70" s="8" t="s">
        <v>407</v>
      </c>
      <c r="R70" s="10"/>
      <c r="S70" s="10"/>
      <c r="T70" s="11"/>
    </row>
    <row r="71" spans="1:20" ht="126" x14ac:dyDescent="0.35">
      <c r="A71" s="7" t="s">
        <v>20</v>
      </c>
      <c r="B71" s="7" t="s">
        <v>365</v>
      </c>
      <c r="C71" s="8" t="s">
        <v>408</v>
      </c>
      <c r="D71" s="8" t="s">
        <v>409</v>
      </c>
      <c r="E71" s="7" t="s">
        <v>410</v>
      </c>
      <c r="F71" s="7"/>
      <c r="G71" s="7"/>
      <c r="H71" s="7"/>
      <c r="I71" s="9"/>
      <c r="J71" s="7"/>
      <c r="K71" s="7"/>
      <c r="L71" s="9"/>
      <c r="M71" s="7"/>
      <c r="N71" s="9"/>
      <c r="O71" s="7">
        <v>1</v>
      </c>
      <c r="P71" s="7" t="s">
        <v>411</v>
      </c>
      <c r="Q71" s="8" t="s">
        <v>412</v>
      </c>
      <c r="R71" s="10"/>
      <c r="S71" s="10"/>
      <c r="T71" s="11"/>
    </row>
    <row r="72" spans="1:20" ht="42" x14ac:dyDescent="0.35">
      <c r="A72" s="12" t="s">
        <v>413</v>
      </c>
      <c r="B72" s="12" t="s">
        <v>21</v>
      </c>
      <c r="C72" s="13" t="s">
        <v>414</v>
      </c>
      <c r="D72" s="13" t="s">
        <v>415</v>
      </c>
      <c r="E72" s="12" t="s">
        <v>95</v>
      </c>
      <c r="F72" s="12" t="s">
        <v>21</v>
      </c>
      <c r="G72" s="12" t="s">
        <v>95</v>
      </c>
      <c r="H72" s="12" t="s">
        <v>95</v>
      </c>
      <c r="I72" s="14">
        <v>0.8</v>
      </c>
      <c r="J72" s="12"/>
      <c r="K72" s="12" t="s">
        <v>96</v>
      </c>
      <c r="L72" s="14">
        <v>0.8</v>
      </c>
      <c r="M72" s="12"/>
      <c r="N72" s="14"/>
      <c r="O72" s="12">
        <v>1</v>
      </c>
      <c r="P72" s="12" t="s">
        <v>416</v>
      </c>
      <c r="Q72" s="13" t="s">
        <v>417</v>
      </c>
      <c r="R72" s="10"/>
      <c r="S72" s="10"/>
      <c r="T72" s="11"/>
    </row>
    <row r="73" spans="1:20" ht="84" x14ac:dyDescent="0.35">
      <c r="A73" s="12" t="s">
        <v>413</v>
      </c>
      <c r="B73" s="12" t="s">
        <v>21</v>
      </c>
      <c r="C73" s="13" t="s">
        <v>418</v>
      </c>
      <c r="D73" s="13"/>
      <c r="E73" s="12" t="s">
        <v>419</v>
      </c>
      <c r="F73" s="12" t="s">
        <v>21</v>
      </c>
      <c r="G73" s="12" t="s">
        <v>420</v>
      </c>
      <c r="H73" s="12" t="s">
        <v>421</v>
      </c>
      <c r="I73" s="14">
        <v>1</v>
      </c>
      <c r="J73" s="12"/>
      <c r="K73" s="12"/>
      <c r="L73" s="14"/>
      <c r="M73" s="12"/>
      <c r="N73" s="14"/>
      <c r="O73" s="12">
        <v>1</v>
      </c>
      <c r="P73" s="12" t="s">
        <v>422</v>
      </c>
      <c r="Q73" s="13" t="s">
        <v>423</v>
      </c>
      <c r="R73" s="10"/>
      <c r="S73" s="10"/>
      <c r="T73" s="11"/>
    </row>
    <row r="74" spans="1:20" ht="84" x14ac:dyDescent="0.35">
      <c r="A74" s="12" t="s">
        <v>413</v>
      </c>
      <c r="B74" s="12" t="s">
        <v>21</v>
      </c>
      <c r="C74" s="13" t="s">
        <v>424</v>
      </c>
      <c r="D74" s="13" t="s">
        <v>425</v>
      </c>
      <c r="E74" s="12" t="s">
        <v>424</v>
      </c>
      <c r="F74" s="12" t="s">
        <v>21</v>
      </c>
      <c r="G74" s="12" t="s">
        <v>424</v>
      </c>
      <c r="H74" s="12" t="s">
        <v>424</v>
      </c>
      <c r="I74" s="14">
        <v>0.8</v>
      </c>
      <c r="J74" s="12"/>
      <c r="K74" s="12" t="s">
        <v>426</v>
      </c>
      <c r="L74" s="14">
        <v>0.8</v>
      </c>
      <c r="M74" s="12"/>
      <c r="N74" s="14"/>
      <c r="O74" s="12">
        <v>15</v>
      </c>
      <c r="P74" s="12" t="s">
        <v>427</v>
      </c>
      <c r="Q74" s="13" t="s">
        <v>428</v>
      </c>
      <c r="R74" s="10"/>
      <c r="S74" s="10"/>
      <c r="T74" s="11"/>
    </row>
    <row r="75" spans="1:20" ht="42" x14ac:dyDescent="0.35">
      <c r="A75" s="12" t="s">
        <v>413</v>
      </c>
      <c r="B75" s="12" t="s">
        <v>21</v>
      </c>
      <c r="C75" s="13" t="s">
        <v>429</v>
      </c>
      <c r="D75" s="13"/>
      <c r="E75" s="12" t="s">
        <v>424</v>
      </c>
      <c r="F75" s="12" t="s">
        <v>21</v>
      </c>
      <c r="G75" s="12" t="s">
        <v>424</v>
      </c>
      <c r="H75" s="12" t="s">
        <v>424</v>
      </c>
      <c r="I75" s="14">
        <v>0.8</v>
      </c>
      <c r="J75" s="12"/>
      <c r="K75" s="12" t="s">
        <v>426</v>
      </c>
      <c r="L75" s="14">
        <v>0.8</v>
      </c>
      <c r="M75" s="12"/>
      <c r="N75" s="14"/>
      <c r="O75" s="12">
        <v>3</v>
      </c>
      <c r="P75" s="12" t="s">
        <v>430</v>
      </c>
      <c r="Q75" s="13" t="s">
        <v>431</v>
      </c>
      <c r="R75" s="10"/>
      <c r="S75" s="10"/>
      <c r="T75" s="11"/>
    </row>
    <row r="76" spans="1:20" ht="70" x14ac:dyDescent="0.35">
      <c r="A76" s="12" t="s">
        <v>413</v>
      </c>
      <c r="B76" s="12" t="s">
        <v>21</v>
      </c>
      <c r="C76" s="13" t="s">
        <v>432</v>
      </c>
      <c r="D76" s="13" t="s">
        <v>433</v>
      </c>
      <c r="E76" s="12" t="s">
        <v>432</v>
      </c>
      <c r="F76" s="12" t="s">
        <v>21</v>
      </c>
      <c r="G76" s="12" t="s">
        <v>432</v>
      </c>
      <c r="H76" s="12" t="s">
        <v>432</v>
      </c>
      <c r="I76" s="14">
        <v>1</v>
      </c>
      <c r="J76" s="12"/>
      <c r="K76" s="12"/>
      <c r="L76" s="14"/>
      <c r="M76" s="12"/>
      <c r="N76" s="14"/>
      <c r="O76" s="12">
        <v>2</v>
      </c>
      <c r="P76" s="12" t="s">
        <v>434</v>
      </c>
      <c r="Q76" s="13" t="s">
        <v>435</v>
      </c>
      <c r="R76" s="10"/>
      <c r="S76" s="10"/>
      <c r="T76" s="11"/>
    </row>
    <row r="77" spans="1:20" ht="84" x14ac:dyDescent="0.35">
      <c r="A77" s="12" t="s">
        <v>413</v>
      </c>
      <c r="B77" s="12" t="s">
        <v>21</v>
      </c>
      <c r="C77" s="13" t="s">
        <v>436</v>
      </c>
      <c r="D77" s="13" t="s">
        <v>437</v>
      </c>
      <c r="E77" s="12" t="s">
        <v>436</v>
      </c>
      <c r="F77" s="12" t="s">
        <v>21</v>
      </c>
      <c r="G77" s="12" t="s">
        <v>436</v>
      </c>
      <c r="H77" s="12" t="s">
        <v>436</v>
      </c>
      <c r="I77" s="14">
        <v>1</v>
      </c>
      <c r="J77" s="12"/>
      <c r="K77" s="12"/>
      <c r="L77" s="14"/>
      <c r="M77" s="12"/>
      <c r="N77" s="14"/>
      <c r="O77" s="12">
        <v>2</v>
      </c>
      <c r="P77" s="12" t="s">
        <v>438</v>
      </c>
      <c r="Q77" s="13" t="s">
        <v>439</v>
      </c>
      <c r="R77" s="10"/>
      <c r="S77" s="10"/>
      <c r="T77" s="11"/>
    </row>
    <row r="78" spans="1:20" ht="70" x14ac:dyDescent="0.35">
      <c r="A78" s="12" t="s">
        <v>413</v>
      </c>
      <c r="B78" s="12" t="s">
        <v>21</v>
      </c>
      <c r="C78" s="13" t="s">
        <v>440</v>
      </c>
      <c r="D78" s="13" t="s">
        <v>441</v>
      </c>
      <c r="E78" s="12" t="s">
        <v>440</v>
      </c>
      <c r="F78" s="12" t="s">
        <v>21</v>
      </c>
      <c r="G78" s="12" t="s">
        <v>440</v>
      </c>
      <c r="H78" s="12" t="s">
        <v>442</v>
      </c>
      <c r="I78" s="14">
        <v>1</v>
      </c>
      <c r="J78" s="12"/>
      <c r="K78" s="12"/>
      <c r="L78" s="14"/>
      <c r="M78" s="12"/>
      <c r="N78" s="14"/>
      <c r="O78" s="12">
        <v>1</v>
      </c>
      <c r="P78" s="12" t="s">
        <v>443</v>
      </c>
      <c r="Q78" s="13" t="s">
        <v>444</v>
      </c>
      <c r="R78" s="10"/>
      <c r="S78" s="10"/>
      <c r="T78" s="11"/>
    </row>
    <row r="79" spans="1:20" ht="70" x14ac:dyDescent="0.35">
      <c r="A79" s="12" t="s">
        <v>413</v>
      </c>
      <c r="B79" s="12" t="s">
        <v>21</v>
      </c>
      <c r="C79" s="13" t="s">
        <v>445</v>
      </c>
      <c r="D79" s="13"/>
      <c r="E79" s="12" t="s">
        <v>201</v>
      </c>
      <c r="F79" s="12" t="s">
        <v>21</v>
      </c>
      <c r="G79" s="12" t="s">
        <v>201</v>
      </c>
      <c r="H79" s="12" t="s">
        <v>201</v>
      </c>
      <c r="I79" s="14">
        <v>1</v>
      </c>
      <c r="J79" s="12"/>
      <c r="K79" s="12"/>
      <c r="L79" s="14"/>
      <c r="M79" s="12"/>
      <c r="N79" s="14"/>
      <c r="O79" s="12">
        <v>1</v>
      </c>
      <c r="P79" s="12" t="s">
        <v>446</v>
      </c>
      <c r="Q79" s="13" t="s">
        <v>447</v>
      </c>
      <c r="R79" s="10"/>
      <c r="S79" s="10"/>
      <c r="T79" s="11"/>
    </row>
    <row r="80" spans="1:20" ht="70" x14ac:dyDescent="0.35">
      <c r="A80" s="12" t="s">
        <v>413</v>
      </c>
      <c r="B80" s="12" t="s">
        <v>21</v>
      </c>
      <c r="C80" s="13" t="s">
        <v>448</v>
      </c>
      <c r="D80" s="13" t="s">
        <v>449</v>
      </c>
      <c r="E80" s="12" t="s">
        <v>450</v>
      </c>
      <c r="F80" s="12" t="s">
        <v>21</v>
      </c>
      <c r="G80" s="12" t="s">
        <v>450</v>
      </c>
      <c r="H80" s="12" t="s">
        <v>451</v>
      </c>
      <c r="I80" s="14">
        <v>1</v>
      </c>
      <c r="J80" s="12"/>
      <c r="K80" s="12"/>
      <c r="L80" s="14"/>
      <c r="M80" s="12"/>
      <c r="N80" s="14"/>
      <c r="O80" s="12">
        <v>3</v>
      </c>
      <c r="P80" s="12" t="s">
        <v>452</v>
      </c>
      <c r="Q80" s="13" t="s">
        <v>453</v>
      </c>
      <c r="R80" s="10"/>
      <c r="S80" s="10"/>
      <c r="T80" s="11"/>
    </row>
    <row r="81" spans="1:20" ht="98" x14ac:dyDescent="0.35">
      <c r="A81" s="12" t="s">
        <v>413</v>
      </c>
      <c r="B81" s="12" t="s">
        <v>21</v>
      </c>
      <c r="C81" s="13" t="s">
        <v>454</v>
      </c>
      <c r="D81" s="13" t="s">
        <v>455</v>
      </c>
      <c r="E81" s="12" t="s">
        <v>31</v>
      </c>
      <c r="F81" s="12" t="s">
        <v>21</v>
      </c>
      <c r="G81" s="12" t="s">
        <v>31</v>
      </c>
      <c r="H81" s="12" t="s">
        <v>33</v>
      </c>
      <c r="I81" s="14">
        <v>1</v>
      </c>
      <c r="J81" s="12"/>
      <c r="K81" s="12"/>
      <c r="L81" s="14"/>
      <c r="M81" s="12"/>
      <c r="N81" s="14"/>
      <c r="O81" s="12">
        <v>3</v>
      </c>
      <c r="P81" s="12" t="s">
        <v>456</v>
      </c>
      <c r="Q81" s="13" t="s">
        <v>457</v>
      </c>
      <c r="R81" s="10"/>
      <c r="S81" s="10"/>
      <c r="T81" s="11"/>
    </row>
    <row r="82" spans="1:20" ht="56" x14ac:dyDescent="0.35">
      <c r="A82" s="12" t="s">
        <v>413</v>
      </c>
      <c r="B82" s="12" t="s">
        <v>21</v>
      </c>
      <c r="C82" s="13" t="s">
        <v>458</v>
      </c>
      <c r="D82" s="13" t="s">
        <v>372</v>
      </c>
      <c r="E82" s="12" t="s">
        <v>459</v>
      </c>
      <c r="F82" s="12" t="s">
        <v>21</v>
      </c>
      <c r="G82" s="12" t="s">
        <v>460</v>
      </c>
      <c r="H82" s="12" t="s">
        <v>458</v>
      </c>
      <c r="I82" s="14">
        <v>1</v>
      </c>
      <c r="J82" s="12"/>
      <c r="K82" s="12"/>
      <c r="L82" s="14"/>
      <c r="M82" s="12"/>
      <c r="N82" s="14"/>
      <c r="O82" s="12">
        <v>1</v>
      </c>
      <c r="P82" s="12" t="s">
        <v>374</v>
      </c>
      <c r="Q82" s="13" t="s">
        <v>375</v>
      </c>
      <c r="R82" s="10"/>
      <c r="S82" s="10"/>
      <c r="T82" s="11"/>
    </row>
    <row r="83" spans="1:20" ht="56" x14ac:dyDescent="0.35">
      <c r="A83" s="12" t="s">
        <v>413</v>
      </c>
      <c r="B83" s="12" t="s">
        <v>21</v>
      </c>
      <c r="C83" s="13" t="s">
        <v>461</v>
      </c>
      <c r="D83" s="13" t="s">
        <v>462</v>
      </c>
      <c r="E83" s="12" t="s">
        <v>461</v>
      </c>
      <c r="F83" s="12" t="s">
        <v>21</v>
      </c>
      <c r="G83" s="12" t="s">
        <v>461</v>
      </c>
      <c r="H83" s="12" t="s">
        <v>463</v>
      </c>
      <c r="I83" s="14">
        <v>1</v>
      </c>
      <c r="J83" s="12"/>
      <c r="K83" s="12"/>
      <c r="L83" s="14"/>
      <c r="M83" s="12"/>
      <c r="N83" s="14"/>
      <c r="O83" s="12">
        <v>1</v>
      </c>
      <c r="P83" s="12" t="s">
        <v>464</v>
      </c>
      <c r="Q83" s="13" t="s">
        <v>465</v>
      </c>
      <c r="R83" s="10"/>
      <c r="S83" s="10"/>
      <c r="T83" s="11"/>
    </row>
    <row r="84" spans="1:20" ht="70" x14ac:dyDescent="0.35">
      <c r="A84" s="12" t="s">
        <v>413</v>
      </c>
      <c r="B84" s="12" t="s">
        <v>21</v>
      </c>
      <c r="C84" s="13" t="s">
        <v>466</v>
      </c>
      <c r="D84" s="13" t="s">
        <v>467</v>
      </c>
      <c r="E84" s="12" t="s">
        <v>466</v>
      </c>
      <c r="F84" s="12" t="s">
        <v>21</v>
      </c>
      <c r="G84" s="12" t="s">
        <v>466</v>
      </c>
      <c r="H84" s="12" t="s">
        <v>466</v>
      </c>
      <c r="I84" s="14">
        <v>1</v>
      </c>
      <c r="J84" s="12"/>
      <c r="K84" s="12"/>
      <c r="L84" s="14"/>
      <c r="M84" s="12"/>
      <c r="N84" s="14"/>
      <c r="O84" s="12">
        <v>2</v>
      </c>
      <c r="P84" s="12" t="s">
        <v>468</v>
      </c>
      <c r="Q84" s="13" t="s">
        <v>469</v>
      </c>
      <c r="R84" s="10"/>
      <c r="S84" s="10"/>
      <c r="T84" s="11"/>
    </row>
    <row r="85" spans="1:20" ht="70" x14ac:dyDescent="0.35">
      <c r="A85" s="12" t="s">
        <v>413</v>
      </c>
      <c r="B85" s="12" t="s">
        <v>21</v>
      </c>
      <c r="C85" s="13" t="s">
        <v>470</v>
      </c>
      <c r="D85" s="13" t="s">
        <v>471</v>
      </c>
      <c r="E85" s="12" t="s">
        <v>472</v>
      </c>
      <c r="F85" s="12" t="s">
        <v>21</v>
      </c>
      <c r="G85" s="12" t="s">
        <v>472</v>
      </c>
      <c r="H85" s="12" t="s">
        <v>470</v>
      </c>
      <c r="I85" s="14">
        <v>1</v>
      </c>
      <c r="J85" s="12"/>
      <c r="K85" s="12"/>
      <c r="L85" s="14"/>
      <c r="M85" s="12"/>
      <c r="N85" s="14"/>
      <c r="O85" s="12">
        <v>1</v>
      </c>
      <c r="P85" s="12" t="s">
        <v>473</v>
      </c>
      <c r="Q85" s="13" t="s">
        <v>474</v>
      </c>
      <c r="R85" s="10"/>
      <c r="S85" s="10"/>
      <c r="T85" s="11"/>
    </row>
    <row r="86" spans="1:20" ht="42" x14ac:dyDescent="0.35">
      <c r="A86" s="12" t="s">
        <v>413</v>
      </c>
      <c r="B86" s="12" t="s">
        <v>21</v>
      </c>
      <c r="C86" s="13" t="s">
        <v>475</v>
      </c>
      <c r="D86" s="13"/>
      <c r="E86" s="12" t="s">
        <v>71</v>
      </c>
      <c r="F86" s="12" t="s">
        <v>21</v>
      </c>
      <c r="G86" s="12" t="s">
        <v>71</v>
      </c>
      <c r="H86" s="12" t="s">
        <v>72</v>
      </c>
      <c r="I86" s="14">
        <v>1</v>
      </c>
      <c r="J86" s="12"/>
      <c r="K86" s="12"/>
      <c r="L86" s="14"/>
      <c r="M86" s="12"/>
      <c r="N86" s="14"/>
      <c r="O86" s="12">
        <v>4</v>
      </c>
      <c r="P86" s="12" t="s">
        <v>476</v>
      </c>
      <c r="Q86" s="13" t="s">
        <v>477</v>
      </c>
      <c r="R86" s="10"/>
      <c r="S86" s="10"/>
      <c r="T86" s="11"/>
    </row>
    <row r="87" spans="1:20" ht="56" x14ac:dyDescent="0.35">
      <c r="A87" s="12" t="s">
        <v>413</v>
      </c>
      <c r="B87" s="12" t="s">
        <v>21</v>
      </c>
      <c r="C87" s="13" t="s">
        <v>478</v>
      </c>
      <c r="D87" s="13" t="s">
        <v>479</v>
      </c>
      <c r="E87" s="12" t="s">
        <v>67</v>
      </c>
      <c r="F87" s="12" t="s">
        <v>21</v>
      </c>
      <c r="G87" s="12" t="s">
        <v>67</v>
      </c>
      <c r="H87" s="12" t="s">
        <v>67</v>
      </c>
      <c r="I87" s="14">
        <v>1</v>
      </c>
      <c r="J87" s="12"/>
      <c r="K87" s="12"/>
      <c r="L87" s="14"/>
      <c r="M87" s="12"/>
      <c r="N87" s="14"/>
      <c r="O87" s="12">
        <v>2</v>
      </c>
      <c r="P87" s="12" t="s">
        <v>480</v>
      </c>
      <c r="Q87" s="13" t="s">
        <v>481</v>
      </c>
      <c r="R87" s="10"/>
      <c r="S87" s="10"/>
      <c r="T87" s="11"/>
    </row>
    <row r="88" spans="1:20" ht="70" x14ac:dyDescent="0.35">
      <c r="A88" s="12" t="s">
        <v>413</v>
      </c>
      <c r="B88" s="12" t="s">
        <v>21</v>
      </c>
      <c r="C88" s="13" t="s">
        <v>67</v>
      </c>
      <c r="D88" s="13" t="s">
        <v>482</v>
      </c>
      <c r="E88" s="12" t="s">
        <v>67</v>
      </c>
      <c r="F88" s="12" t="s">
        <v>21</v>
      </c>
      <c r="G88" s="12" t="s">
        <v>67</v>
      </c>
      <c r="H88" s="12" t="s">
        <v>67</v>
      </c>
      <c r="I88" s="14">
        <v>1</v>
      </c>
      <c r="J88" s="12"/>
      <c r="K88" s="12"/>
      <c r="L88" s="14"/>
      <c r="M88" s="12"/>
      <c r="N88" s="14"/>
      <c r="O88" s="12">
        <v>23</v>
      </c>
      <c r="P88" s="12" t="s">
        <v>483</v>
      </c>
      <c r="Q88" s="13" t="s">
        <v>484</v>
      </c>
      <c r="R88" s="10"/>
      <c r="S88" s="10"/>
      <c r="T88" s="11"/>
    </row>
    <row r="89" spans="1:20" ht="42" x14ac:dyDescent="0.35">
      <c r="A89" s="12" t="s">
        <v>413</v>
      </c>
      <c r="B89" s="12" t="s">
        <v>21</v>
      </c>
      <c r="C89" s="13" t="s">
        <v>485</v>
      </c>
      <c r="D89" s="13" t="s">
        <v>486</v>
      </c>
      <c r="E89" s="12" t="s">
        <v>485</v>
      </c>
      <c r="F89" s="12" t="s">
        <v>21</v>
      </c>
      <c r="G89" s="12" t="s">
        <v>485</v>
      </c>
      <c r="H89" s="12" t="s">
        <v>487</v>
      </c>
      <c r="I89" s="14">
        <v>1</v>
      </c>
      <c r="J89" s="12"/>
      <c r="K89" s="12"/>
      <c r="L89" s="14"/>
      <c r="M89" s="12"/>
      <c r="N89" s="14"/>
      <c r="O89" s="12">
        <v>1</v>
      </c>
      <c r="P89" s="12" t="s">
        <v>488</v>
      </c>
      <c r="Q89" s="13" t="s">
        <v>489</v>
      </c>
      <c r="R89" s="10"/>
      <c r="S89" s="10"/>
      <c r="T89" s="11"/>
    </row>
    <row r="90" spans="1:20" ht="84" x14ac:dyDescent="0.35">
      <c r="A90" s="12" t="s">
        <v>413</v>
      </c>
      <c r="B90" s="12" t="s">
        <v>21</v>
      </c>
      <c r="C90" s="13" t="s">
        <v>490</v>
      </c>
      <c r="D90" s="13"/>
      <c r="E90" s="12" t="s">
        <v>485</v>
      </c>
      <c r="F90" s="12" t="s">
        <v>21</v>
      </c>
      <c r="G90" s="12" t="s">
        <v>485</v>
      </c>
      <c r="H90" s="12" t="s">
        <v>487</v>
      </c>
      <c r="I90" s="14">
        <v>1</v>
      </c>
      <c r="J90" s="12"/>
      <c r="K90" s="12"/>
      <c r="L90" s="14"/>
      <c r="M90" s="12"/>
      <c r="N90" s="14"/>
      <c r="O90" s="12">
        <v>5</v>
      </c>
      <c r="P90" s="12" t="s">
        <v>491</v>
      </c>
      <c r="Q90" s="13" t="s">
        <v>492</v>
      </c>
      <c r="R90" s="10"/>
      <c r="S90" s="10"/>
      <c r="T90" s="11"/>
    </row>
    <row r="91" spans="1:20" ht="84" x14ac:dyDescent="0.35">
      <c r="A91" s="12" t="s">
        <v>413</v>
      </c>
      <c r="B91" s="12" t="s">
        <v>21</v>
      </c>
      <c r="C91" s="13" t="s">
        <v>493</v>
      </c>
      <c r="D91" s="13" t="s">
        <v>494</v>
      </c>
      <c r="E91" s="12" t="s">
        <v>495</v>
      </c>
      <c r="F91" s="12" t="s">
        <v>21</v>
      </c>
      <c r="G91" s="12" t="s">
        <v>495</v>
      </c>
      <c r="H91" s="12" t="s">
        <v>495</v>
      </c>
      <c r="I91" s="14">
        <v>1</v>
      </c>
      <c r="J91" s="12"/>
      <c r="K91" s="12"/>
      <c r="L91" s="14"/>
      <c r="M91" s="12"/>
      <c r="N91" s="14"/>
      <c r="O91" s="12">
        <v>5</v>
      </c>
      <c r="P91" s="12" t="s">
        <v>496</v>
      </c>
      <c r="Q91" s="13" t="s">
        <v>497</v>
      </c>
      <c r="R91" s="10"/>
      <c r="S91" s="10"/>
      <c r="T91" s="11"/>
    </row>
    <row r="92" spans="1:20" ht="42" x14ac:dyDescent="0.35">
      <c r="A92" s="12" t="s">
        <v>413</v>
      </c>
      <c r="B92" s="12" t="s">
        <v>21</v>
      </c>
      <c r="C92" s="13" t="s">
        <v>498</v>
      </c>
      <c r="D92" s="13" t="s">
        <v>499</v>
      </c>
      <c r="E92" s="12" t="s">
        <v>498</v>
      </c>
      <c r="F92" s="12" t="s">
        <v>21</v>
      </c>
      <c r="G92" s="12" t="s">
        <v>498</v>
      </c>
      <c r="H92" s="12" t="s">
        <v>498</v>
      </c>
      <c r="I92" s="14">
        <v>1</v>
      </c>
      <c r="J92" s="12"/>
      <c r="K92" s="12"/>
      <c r="L92" s="14"/>
      <c r="M92" s="12"/>
      <c r="N92" s="14"/>
      <c r="O92" s="12">
        <v>2</v>
      </c>
      <c r="P92" s="12" t="s">
        <v>500</v>
      </c>
      <c r="Q92" s="13" t="s">
        <v>501</v>
      </c>
      <c r="R92" s="10"/>
      <c r="S92" s="10"/>
      <c r="T92" s="11"/>
    </row>
    <row r="93" spans="1:20" ht="70" x14ac:dyDescent="0.35">
      <c r="A93" s="12" t="s">
        <v>413</v>
      </c>
      <c r="B93" s="12" t="s">
        <v>21</v>
      </c>
      <c r="C93" s="13" t="s">
        <v>502</v>
      </c>
      <c r="D93" s="13" t="s">
        <v>503</v>
      </c>
      <c r="E93" s="12" t="s">
        <v>504</v>
      </c>
      <c r="F93" s="12" t="s">
        <v>21</v>
      </c>
      <c r="G93" s="12" t="s">
        <v>504</v>
      </c>
      <c r="H93" s="12" t="s">
        <v>502</v>
      </c>
      <c r="I93" s="14">
        <v>1</v>
      </c>
      <c r="J93" s="12"/>
      <c r="K93" s="12"/>
      <c r="L93" s="14"/>
      <c r="M93" s="12"/>
      <c r="N93" s="14"/>
      <c r="O93" s="12">
        <v>1</v>
      </c>
      <c r="P93" s="12" t="s">
        <v>505</v>
      </c>
      <c r="Q93" s="13" t="s">
        <v>506</v>
      </c>
      <c r="R93" s="10"/>
      <c r="S93" s="10"/>
      <c r="T93" s="11"/>
    </row>
    <row r="94" spans="1:20" ht="84" x14ac:dyDescent="0.35">
      <c r="A94" s="12" t="s">
        <v>413</v>
      </c>
      <c r="B94" s="12" t="s">
        <v>21</v>
      </c>
      <c r="C94" s="13" t="s">
        <v>507</v>
      </c>
      <c r="D94" s="13" t="s">
        <v>508</v>
      </c>
      <c r="E94" s="12" t="s">
        <v>509</v>
      </c>
      <c r="F94" s="12" t="s">
        <v>21</v>
      </c>
      <c r="G94" s="12" t="s">
        <v>510</v>
      </c>
      <c r="H94" s="12" t="s">
        <v>511</v>
      </c>
      <c r="I94" s="14">
        <v>1</v>
      </c>
      <c r="J94" s="12"/>
      <c r="K94" s="12"/>
      <c r="L94" s="14"/>
      <c r="M94" s="12"/>
      <c r="N94" s="14"/>
      <c r="O94" s="12">
        <v>1</v>
      </c>
      <c r="P94" s="12" t="s">
        <v>512</v>
      </c>
      <c r="Q94" s="13" t="s">
        <v>513</v>
      </c>
      <c r="R94" s="10"/>
      <c r="S94" s="10"/>
      <c r="T94" s="11"/>
    </row>
    <row r="95" spans="1:20" ht="56" x14ac:dyDescent="0.35">
      <c r="A95" s="12" t="s">
        <v>413</v>
      </c>
      <c r="B95" s="12" t="s">
        <v>21</v>
      </c>
      <c r="C95" s="13" t="s">
        <v>514</v>
      </c>
      <c r="D95" s="13" t="s">
        <v>515</v>
      </c>
      <c r="E95" s="12" t="s">
        <v>514</v>
      </c>
      <c r="F95" s="12" t="s">
        <v>21</v>
      </c>
      <c r="G95" s="12" t="s">
        <v>514</v>
      </c>
      <c r="H95" s="12" t="s">
        <v>516</v>
      </c>
      <c r="I95" s="14">
        <v>1</v>
      </c>
      <c r="J95" s="12"/>
      <c r="K95" s="12"/>
      <c r="L95" s="14"/>
      <c r="M95" s="12"/>
      <c r="N95" s="14"/>
      <c r="O95" s="12">
        <v>1</v>
      </c>
      <c r="P95" s="12" t="s">
        <v>517</v>
      </c>
      <c r="Q95" s="13" t="s">
        <v>518</v>
      </c>
      <c r="R95" s="10"/>
      <c r="S95" s="10"/>
      <c r="T95" s="11"/>
    </row>
    <row r="96" spans="1:20" ht="42" x14ac:dyDescent="0.35">
      <c r="A96" s="12" t="s">
        <v>413</v>
      </c>
      <c r="B96" s="12" t="s">
        <v>21</v>
      </c>
      <c r="C96" s="13" t="s">
        <v>519</v>
      </c>
      <c r="D96" s="13" t="s">
        <v>520</v>
      </c>
      <c r="E96" s="12" t="s">
        <v>519</v>
      </c>
      <c r="F96" s="12" t="s">
        <v>21</v>
      </c>
      <c r="G96" s="12" t="s">
        <v>519</v>
      </c>
      <c r="H96" s="12" t="s">
        <v>521</v>
      </c>
      <c r="I96" s="14">
        <v>1</v>
      </c>
      <c r="J96" s="12"/>
      <c r="K96" s="12"/>
      <c r="L96" s="14"/>
      <c r="M96" s="12"/>
      <c r="N96" s="14"/>
      <c r="O96" s="12">
        <v>1</v>
      </c>
      <c r="P96" s="12" t="s">
        <v>522</v>
      </c>
      <c r="Q96" s="13" t="s">
        <v>523</v>
      </c>
      <c r="R96" s="10"/>
      <c r="S96" s="10"/>
      <c r="T96" s="11"/>
    </row>
    <row r="97" spans="1:20" ht="56" x14ac:dyDescent="0.35">
      <c r="A97" s="12" t="s">
        <v>413</v>
      </c>
      <c r="B97" s="12" t="s">
        <v>21</v>
      </c>
      <c r="C97" s="13" t="s">
        <v>524</v>
      </c>
      <c r="D97" s="13" t="s">
        <v>525</v>
      </c>
      <c r="E97" s="12" t="s">
        <v>524</v>
      </c>
      <c r="F97" s="12" t="s">
        <v>21</v>
      </c>
      <c r="G97" s="12" t="s">
        <v>524</v>
      </c>
      <c r="H97" s="12" t="s">
        <v>526</v>
      </c>
      <c r="I97" s="14">
        <v>1</v>
      </c>
      <c r="J97" s="12"/>
      <c r="K97" s="12"/>
      <c r="L97" s="14"/>
      <c r="M97" s="12"/>
      <c r="N97" s="14"/>
      <c r="O97" s="12">
        <v>1</v>
      </c>
      <c r="P97" s="12" t="s">
        <v>527</v>
      </c>
      <c r="Q97" s="13" t="s">
        <v>528</v>
      </c>
      <c r="R97" s="10"/>
      <c r="S97" s="10"/>
      <c r="T97" s="11"/>
    </row>
    <row r="98" spans="1:20" ht="56" x14ac:dyDescent="0.35">
      <c r="A98" s="12" t="s">
        <v>413</v>
      </c>
      <c r="B98" s="12" t="s">
        <v>21</v>
      </c>
      <c r="C98" s="13" t="s">
        <v>529</v>
      </c>
      <c r="D98" s="13" t="s">
        <v>530</v>
      </c>
      <c r="E98" s="12" t="s">
        <v>524</v>
      </c>
      <c r="F98" s="12" t="s">
        <v>21</v>
      </c>
      <c r="G98" s="12" t="s">
        <v>524</v>
      </c>
      <c r="H98" s="12" t="s">
        <v>526</v>
      </c>
      <c r="I98" s="14">
        <v>1</v>
      </c>
      <c r="J98" s="12"/>
      <c r="K98" s="12"/>
      <c r="L98" s="14"/>
      <c r="M98" s="12"/>
      <c r="N98" s="14"/>
      <c r="O98" s="12">
        <v>2</v>
      </c>
      <c r="P98" s="12" t="s">
        <v>531</v>
      </c>
      <c r="Q98" s="13" t="s">
        <v>532</v>
      </c>
      <c r="R98" s="10"/>
      <c r="S98" s="10"/>
      <c r="T98" s="11"/>
    </row>
    <row r="99" spans="1:20" ht="42" x14ac:dyDescent="0.35">
      <c r="A99" s="12" t="s">
        <v>413</v>
      </c>
      <c r="B99" s="12" t="s">
        <v>21</v>
      </c>
      <c r="C99" s="13" t="s">
        <v>533</v>
      </c>
      <c r="D99" s="13" t="s">
        <v>534</v>
      </c>
      <c r="E99" s="12" t="s">
        <v>533</v>
      </c>
      <c r="F99" s="12" t="s">
        <v>21</v>
      </c>
      <c r="G99" s="12" t="s">
        <v>533</v>
      </c>
      <c r="H99" s="12" t="s">
        <v>112</v>
      </c>
      <c r="I99" s="14">
        <v>1</v>
      </c>
      <c r="J99" s="12"/>
      <c r="K99" s="12"/>
      <c r="L99" s="14"/>
      <c r="M99" s="12"/>
      <c r="N99" s="14"/>
      <c r="O99" s="12">
        <v>1</v>
      </c>
      <c r="P99" s="12" t="s">
        <v>535</v>
      </c>
      <c r="Q99" s="13" t="s">
        <v>536</v>
      </c>
      <c r="R99" s="10"/>
      <c r="S99" s="10"/>
      <c r="T99" s="11"/>
    </row>
    <row r="100" spans="1:20" ht="84" x14ac:dyDescent="0.35">
      <c r="A100" s="12" t="s">
        <v>413</v>
      </c>
      <c r="B100" s="12" t="s">
        <v>21</v>
      </c>
      <c r="C100" s="13" t="s">
        <v>537</v>
      </c>
      <c r="D100" s="13" t="s">
        <v>538</v>
      </c>
      <c r="E100" s="12" t="s">
        <v>537</v>
      </c>
      <c r="F100" s="12" t="s">
        <v>21</v>
      </c>
      <c r="G100" s="12" t="s">
        <v>537</v>
      </c>
      <c r="H100" s="12" t="s">
        <v>539</v>
      </c>
      <c r="I100" s="14">
        <v>1</v>
      </c>
      <c r="J100" s="12"/>
      <c r="K100" s="12"/>
      <c r="L100" s="14"/>
      <c r="M100" s="12"/>
      <c r="N100" s="14"/>
      <c r="O100" s="12">
        <v>1</v>
      </c>
      <c r="P100" s="12" t="s">
        <v>540</v>
      </c>
      <c r="Q100" s="13" t="s">
        <v>541</v>
      </c>
      <c r="R100" s="10"/>
      <c r="S100" s="10"/>
      <c r="T100" s="11"/>
    </row>
    <row r="101" spans="1:20" ht="84" x14ac:dyDescent="0.35">
      <c r="A101" s="12" t="s">
        <v>413</v>
      </c>
      <c r="B101" s="12" t="s">
        <v>21</v>
      </c>
      <c r="C101" s="13" t="s">
        <v>542</v>
      </c>
      <c r="D101" s="13" t="s">
        <v>543</v>
      </c>
      <c r="E101" s="12" t="s">
        <v>544</v>
      </c>
      <c r="F101" s="12" t="s">
        <v>21</v>
      </c>
      <c r="G101" s="12" t="s">
        <v>544</v>
      </c>
      <c r="H101" s="12" t="s">
        <v>545</v>
      </c>
      <c r="I101" s="14">
        <v>1</v>
      </c>
      <c r="J101" s="12"/>
      <c r="K101" s="12"/>
      <c r="L101" s="14"/>
      <c r="M101" s="12"/>
      <c r="N101" s="14"/>
      <c r="O101" s="12">
        <v>1</v>
      </c>
      <c r="P101" s="12" t="s">
        <v>546</v>
      </c>
      <c r="Q101" s="13" t="s">
        <v>547</v>
      </c>
      <c r="R101" s="10"/>
      <c r="S101" s="10"/>
      <c r="T101" s="11"/>
    </row>
    <row r="102" spans="1:20" ht="56" x14ac:dyDescent="0.35">
      <c r="A102" s="12" t="s">
        <v>413</v>
      </c>
      <c r="B102" s="12" t="s">
        <v>21</v>
      </c>
      <c r="C102" s="13" t="s">
        <v>548</v>
      </c>
      <c r="D102" s="13"/>
      <c r="E102" s="12" t="s">
        <v>548</v>
      </c>
      <c r="F102" s="12" t="s">
        <v>21</v>
      </c>
      <c r="G102" s="12" t="s">
        <v>548</v>
      </c>
      <c r="H102" s="12" t="s">
        <v>548</v>
      </c>
      <c r="I102" s="14">
        <v>1</v>
      </c>
      <c r="J102" s="12"/>
      <c r="K102" s="12"/>
      <c r="L102" s="14"/>
      <c r="M102" s="12"/>
      <c r="N102" s="14"/>
      <c r="O102" s="12">
        <v>2</v>
      </c>
      <c r="P102" s="12" t="s">
        <v>549</v>
      </c>
      <c r="Q102" s="13" t="s">
        <v>550</v>
      </c>
      <c r="R102" s="10"/>
      <c r="S102" s="10"/>
      <c r="T102" s="11"/>
    </row>
    <row r="103" spans="1:20" ht="70" x14ac:dyDescent="0.35">
      <c r="A103" s="12" t="s">
        <v>413</v>
      </c>
      <c r="B103" s="12" t="s">
        <v>21</v>
      </c>
      <c r="C103" s="13" t="s">
        <v>551</v>
      </c>
      <c r="D103" s="13" t="s">
        <v>552</v>
      </c>
      <c r="E103" s="12" t="s">
        <v>551</v>
      </c>
      <c r="F103" s="12" t="s">
        <v>21</v>
      </c>
      <c r="G103" s="12" t="s">
        <v>551</v>
      </c>
      <c r="H103" s="12" t="s">
        <v>551</v>
      </c>
      <c r="I103" s="14">
        <v>1</v>
      </c>
      <c r="J103" s="12"/>
      <c r="K103" s="12"/>
      <c r="L103" s="14"/>
      <c r="M103" s="12"/>
      <c r="N103" s="14"/>
      <c r="O103" s="12">
        <v>1</v>
      </c>
      <c r="P103" s="12" t="s">
        <v>553</v>
      </c>
      <c r="Q103" s="13" t="s">
        <v>554</v>
      </c>
      <c r="R103" s="10"/>
      <c r="S103" s="10"/>
      <c r="T103" s="11"/>
    </row>
    <row r="104" spans="1:20" ht="42" x14ac:dyDescent="0.35">
      <c r="A104" s="12" t="s">
        <v>413</v>
      </c>
      <c r="B104" s="12" t="s">
        <v>21</v>
      </c>
      <c r="C104" s="13" t="s">
        <v>555</v>
      </c>
      <c r="D104" s="13" t="s">
        <v>556</v>
      </c>
      <c r="E104" s="12" t="s">
        <v>36</v>
      </c>
      <c r="F104" s="12" t="s">
        <v>21</v>
      </c>
      <c r="G104" s="12" t="s">
        <v>557</v>
      </c>
      <c r="H104" s="12" t="s">
        <v>36</v>
      </c>
      <c r="I104" s="14">
        <v>1</v>
      </c>
      <c r="J104" s="12"/>
      <c r="K104" s="12"/>
      <c r="L104" s="14"/>
      <c r="M104" s="12"/>
      <c r="N104" s="14"/>
      <c r="O104" s="12">
        <v>4</v>
      </c>
      <c r="P104" s="12" t="s">
        <v>558</v>
      </c>
      <c r="Q104" s="13" t="s">
        <v>559</v>
      </c>
      <c r="R104" s="10"/>
      <c r="S104" s="10"/>
      <c r="T104" s="11"/>
    </row>
    <row r="105" spans="1:20" ht="84" x14ac:dyDescent="0.35">
      <c r="A105" s="12" t="s">
        <v>413</v>
      </c>
      <c r="B105" s="12" t="s">
        <v>21</v>
      </c>
      <c r="C105" s="13" t="s">
        <v>560</v>
      </c>
      <c r="D105" s="13"/>
      <c r="E105" s="12" t="s">
        <v>561</v>
      </c>
      <c r="F105" s="12" t="s">
        <v>21</v>
      </c>
      <c r="G105" s="12" t="s">
        <v>561</v>
      </c>
      <c r="H105" s="12" t="s">
        <v>562</v>
      </c>
      <c r="I105" s="14">
        <v>1</v>
      </c>
      <c r="J105" s="12"/>
      <c r="K105" s="12"/>
      <c r="L105" s="14"/>
      <c r="M105" s="12"/>
      <c r="N105" s="14"/>
      <c r="O105" s="12">
        <v>1</v>
      </c>
      <c r="P105" s="12" t="s">
        <v>563</v>
      </c>
      <c r="Q105" s="13" t="s">
        <v>564</v>
      </c>
      <c r="R105" s="10"/>
      <c r="S105" s="10"/>
      <c r="T105" s="11"/>
    </row>
    <row r="106" spans="1:20" ht="56" x14ac:dyDescent="0.35">
      <c r="A106" s="12" t="s">
        <v>413</v>
      </c>
      <c r="B106" s="12" t="s">
        <v>21</v>
      </c>
      <c r="C106" s="13" t="s">
        <v>565</v>
      </c>
      <c r="D106" s="13" t="s">
        <v>566</v>
      </c>
      <c r="E106" s="12" t="s">
        <v>565</v>
      </c>
      <c r="F106" s="12" t="s">
        <v>21</v>
      </c>
      <c r="G106" s="12" t="s">
        <v>565</v>
      </c>
      <c r="H106" s="12" t="s">
        <v>565</v>
      </c>
      <c r="I106" s="14">
        <v>1</v>
      </c>
      <c r="J106" s="12"/>
      <c r="K106" s="12"/>
      <c r="L106" s="14"/>
      <c r="M106" s="12"/>
      <c r="N106" s="14"/>
      <c r="O106" s="12">
        <v>1</v>
      </c>
      <c r="P106" s="12" t="s">
        <v>567</v>
      </c>
      <c r="Q106" s="13" t="s">
        <v>568</v>
      </c>
      <c r="R106" s="10"/>
      <c r="S106" s="10"/>
      <c r="T106" s="11"/>
    </row>
    <row r="107" spans="1:20" ht="84" x14ac:dyDescent="0.35">
      <c r="A107" s="12" t="s">
        <v>413</v>
      </c>
      <c r="B107" s="12" t="s">
        <v>21</v>
      </c>
      <c r="C107" s="13" t="s">
        <v>105</v>
      </c>
      <c r="D107" s="13" t="s">
        <v>569</v>
      </c>
      <c r="E107" s="12" t="s">
        <v>105</v>
      </c>
      <c r="F107" s="12" t="s">
        <v>21</v>
      </c>
      <c r="G107" s="12" t="s">
        <v>105</v>
      </c>
      <c r="H107" s="12" t="s">
        <v>106</v>
      </c>
      <c r="I107" s="14">
        <v>1</v>
      </c>
      <c r="J107" s="12"/>
      <c r="K107" s="12"/>
      <c r="L107" s="14"/>
      <c r="M107" s="12"/>
      <c r="N107" s="14"/>
      <c r="O107" s="12">
        <v>8</v>
      </c>
      <c r="P107" s="12" t="s">
        <v>570</v>
      </c>
      <c r="Q107" s="13" t="s">
        <v>571</v>
      </c>
      <c r="R107" s="10"/>
      <c r="S107" s="10"/>
      <c r="T107" s="11"/>
    </row>
    <row r="108" spans="1:20" ht="84" x14ac:dyDescent="0.35">
      <c r="A108" s="12" t="s">
        <v>413</v>
      </c>
      <c r="B108" s="12" t="s">
        <v>21</v>
      </c>
      <c r="C108" s="13" t="s">
        <v>572</v>
      </c>
      <c r="D108" s="13" t="s">
        <v>573</v>
      </c>
      <c r="E108" s="12" t="s">
        <v>105</v>
      </c>
      <c r="F108" s="12" t="s">
        <v>21</v>
      </c>
      <c r="G108" s="12" t="s">
        <v>105</v>
      </c>
      <c r="H108" s="12" t="s">
        <v>106</v>
      </c>
      <c r="I108" s="14">
        <v>1</v>
      </c>
      <c r="J108" s="12"/>
      <c r="K108" s="12"/>
      <c r="L108" s="14"/>
      <c r="M108" s="12"/>
      <c r="N108" s="14"/>
      <c r="O108" s="12">
        <v>5</v>
      </c>
      <c r="P108" s="12" t="s">
        <v>574</v>
      </c>
      <c r="Q108" s="13" t="s">
        <v>575</v>
      </c>
      <c r="R108" s="10"/>
      <c r="S108" s="10"/>
      <c r="T108" s="11"/>
    </row>
    <row r="109" spans="1:20" ht="28" x14ac:dyDescent="0.35">
      <c r="A109" s="12" t="s">
        <v>413</v>
      </c>
      <c r="B109" s="12" t="s">
        <v>21</v>
      </c>
      <c r="C109" s="13" t="s">
        <v>576</v>
      </c>
      <c r="D109" s="13" t="s">
        <v>577</v>
      </c>
      <c r="E109" s="12" t="s">
        <v>576</v>
      </c>
      <c r="F109" s="12" t="s">
        <v>21</v>
      </c>
      <c r="G109" s="12" t="s">
        <v>576</v>
      </c>
      <c r="H109" s="12" t="s">
        <v>578</v>
      </c>
      <c r="I109" s="14">
        <v>1</v>
      </c>
      <c r="J109" s="12"/>
      <c r="K109" s="12"/>
      <c r="L109" s="14"/>
      <c r="M109" s="12"/>
      <c r="N109" s="14"/>
      <c r="O109" s="12">
        <v>4</v>
      </c>
      <c r="P109" s="12" t="s">
        <v>579</v>
      </c>
      <c r="Q109" s="13" t="s">
        <v>580</v>
      </c>
      <c r="R109" s="10"/>
      <c r="S109" s="10"/>
      <c r="T109" s="11"/>
    </row>
    <row r="110" spans="1:20" ht="84" x14ac:dyDescent="0.35">
      <c r="A110" s="12" t="s">
        <v>413</v>
      </c>
      <c r="B110" s="12" t="s">
        <v>21</v>
      </c>
      <c r="C110" s="13" t="s">
        <v>581</v>
      </c>
      <c r="D110" s="13"/>
      <c r="E110" s="12" t="s">
        <v>67</v>
      </c>
      <c r="F110" s="12" t="s">
        <v>21</v>
      </c>
      <c r="G110" s="12" t="s">
        <v>582</v>
      </c>
      <c r="H110" s="12" t="s">
        <v>583</v>
      </c>
      <c r="I110" s="14">
        <v>1</v>
      </c>
      <c r="J110" s="12"/>
      <c r="K110" s="12"/>
      <c r="L110" s="14"/>
      <c r="M110" s="12"/>
      <c r="N110" s="14"/>
      <c r="O110" s="12">
        <v>1</v>
      </c>
      <c r="P110" s="12" t="s">
        <v>584</v>
      </c>
      <c r="Q110" s="13" t="s">
        <v>585</v>
      </c>
      <c r="R110" s="10"/>
      <c r="S110" s="10"/>
      <c r="T110" s="11"/>
    </row>
    <row r="111" spans="1:20" ht="70" x14ac:dyDescent="0.35">
      <c r="A111" s="12" t="s">
        <v>413</v>
      </c>
      <c r="B111" s="12" t="s">
        <v>21</v>
      </c>
      <c r="C111" s="13" t="s">
        <v>586</v>
      </c>
      <c r="D111" s="13" t="s">
        <v>587</v>
      </c>
      <c r="E111" s="12" t="s">
        <v>111</v>
      </c>
      <c r="F111" s="12" t="s">
        <v>21</v>
      </c>
      <c r="G111" s="12" t="s">
        <v>111</v>
      </c>
      <c r="H111" s="12" t="s">
        <v>112</v>
      </c>
      <c r="I111" s="14">
        <v>1</v>
      </c>
      <c r="J111" s="12"/>
      <c r="K111" s="12"/>
      <c r="L111" s="14"/>
      <c r="M111" s="12"/>
      <c r="N111" s="14"/>
      <c r="O111" s="12">
        <v>2</v>
      </c>
      <c r="P111" s="12" t="s">
        <v>588</v>
      </c>
      <c r="Q111" s="13" t="s">
        <v>589</v>
      </c>
      <c r="R111" s="10"/>
      <c r="S111" s="10"/>
      <c r="T111" s="11"/>
    </row>
    <row r="112" spans="1:20" ht="84" x14ac:dyDescent="0.35">
      <c r="A112" s="12" t="s">
        <v>413</v>
      </c>
      <c r="B112" s="12" t="s">
        <v>21</v>
      </c>
      <c r="C112" s="13" t="s">
        <v>590</v>
      </c>
      <c r="D112" s="13"/>
      <c r="E112" s="12" t="s">
        <v>591</v>
      </c>
      <c r="F112" s="12" t="s">
        <v>21</v>
      </c>
      <c r="G112" s="12" t="s">
        <v>592</v>
      </c>
      <c r="H112" s="12" t="s">
        <v>590</v>
      </c>
      <c r="I112" s="14">
        <v>1</v>
      </c>
      <c r="J112" s="12"/>
      <c r="K112" s="12"/>
      <c r="L112" s="14"/>
      <c r="M112" s="12"/>
      <c r="N112" s="14"/>
      <c r="O112" s="12">
        <v>2</v>
      </c>
      <c r="P112" s="12" t="s">
        <v>593</v>
      </c>
      <c r="Q112" s="13" t="s">
        <v>594</v>
      </c>
      <c r="R112" s="10"/>
      <c r="S112" s="10"/>
      <c r="T112" s="11"/>
    </row>
    <row r="113" spans="1:20" ht="56" x14ac:dyDescent="0.35">
      <c r="A113" s="12" t="s">
        <v>413</v>
      </c>
      <c r="B113" s="12" t="s">
        <v>4</v>
      </c>
      <c r="C113" s="13" t="s">
        <v>595</v>
      </c>
      <c r="D113" s="13" t="s">
        <v>596</v>
      </c>
      <c r="E113" s="12" t="s">
        <v>67</v>
      </c>
      <c r="F113" s="12" t="s">
        <v>4</v>
      </c>
      <c r="G113" s="12" t="s">
        <v>67</v>
      </c>
      <c r="H113" s="12" t="s">
        <v>67</v>
      </c>
      <c r="I113" s="14">
        <v>0.8</v>
      </c>
      <c r="J113" s="12"/>
      <c r="K113" s="12"/>
      <c r="L113" s="14"/>
      <c r="M113" s="12"/>
      <c r="N113" s="14"/>
      <c r="O113" s="12">
        <v>1</v>
      </c>
      <c r="P113" s="12" t="s">
        <v>597</v>
      </c>
      <c r="Q113" s="13" t="s">
        <v>598</v>
      </c>
      <c r="R113" s="10"/>
      <c r="S113" s="10"/>
      <c r="T113" s="11"/>
    </row>
    <row r="114" spans="1:20" ht="84" x14ac:dyDescent="0.35">
      <c r="A114" s="12" t="s">
        <v>413</v>
      </c>
      <c r="B114" s="12" t="s">
        <v>4</v>
      </c>
      <c r="C114" s="13" t="s">
        <v>599</v>
      </c>
      <c r="D114" s="13" t="s">
        <v>600</v>
      </c>
      <c r="E114" s="12" t="s">
        <v>548</v>
      </c>
      <c r="F114" s="12" t="s">
        <v>4</v>
      </c>
      <c r="G114" s="12" t="s">
        <v>548</v>
      </c>
      <c r="H114" s="12" t="s">
        <v>548</v>
      </c>
      <c r="I114" s="14">
        <v>0.8</v>
      </c>
      <c r="J114" s="12"/>
      <c r="K114" s="12"/>
      <c r="L114" s="14"/>
      <c r="M114" s="12"/>
      <c r="N114" s="14"/>
      <c r="O114" s="12">
        <v>1</v>
      </c>
      <c r="P114" s="12" t="s">
        <v>601</v>
      </c>
      <c r="Q114" s="13" t="s">
        <v>602</v>
      </c>
      <c r="R114" s="10"/>
      <c r="S114" s="10"/>
      <c r="T114" s="11"/>
    </row>
    <row r="115" spans="1:20" ht="56" x14ac:dyDescent="0.35">
      <c r="A115" s="12" t="s">
        <v>413</v>
      </c>
      <c r="B115" s="12" t="s">
        <v>4</v>
      </c>
      <c r="C115" s="13" t="s">
        <v>603</v>
      </c>
      <c r="D115" s="13" t="s">
        <v>604</v>
      </c>
      <c r="E115" s="12" t="s">
        <v>537</v>
      </c>
      <c r="F115" s="12" t="s">
        <v>4</v>
      </c>
      <c r="G115" s="12" t="s">
        <v>537</v>
      </c>
      <c r="H115" s="12" t="s">
        <v>539</v>
      </c>
      <c r="I115" s="14">
        <v>0.8</v>
      </c>
      <c r="J115" s="12"/>
      <c r="K115" s="12"/>
      <c r="L115" s="14"/>
      <c r="M115" s="12"/>
      <c r="N115" s="14"/>
      <c r="O115" s="12">
        <v>1</v>
      </c>
      <c r="P115" s="12" t="s">
        <v>605</v>
      </c>
      <c r="Q115" s="13" t="s">
        <v>606</v>
      </c>
      <c r="R115" s="10"/>
      <c r="S115" s="10"/>
      <c r="T115" s="11"/>
    </row>
    <row r="116" spans="1:20" ht="98" x14ac:dyDescent="0.35">
      <c r="A116" s="12" t="s">
        <v>413</v>
      </c>
      <c r="B116" s="12" t="s">
        <v>4</v>
      </c>
      <c r="C116" s="13" t="s">
        <v>607</v>
      </c>
      <c r="D116" s="13" t="s">
        <v>608</v>
      </c>
      <c r="E116" s="12" t="s">
        <v>609</v>
      </c>
      <c r="F116" s="12" t="s">
        <v>4</v>
      </c>
      <c r="G116" s="12" t="s">
        <v>609</v>
      </c>
      <c r="H116" s="12" t="s">
        <v>610</v>
      </c>
      <c r="I116" s="14">
        <v>0.8</v>
      </c>
      <c r="J116" s="12"/>
      <c r="K116" s="12"/>
      <c r="L116" s="14"/>
      <c r="M116" s="12"/>
      <c r="N116" s="14"/>
      <c r="O116" s="12">
        <v>1</v>
      </c>
      <c r="P116" s="12" t="s">
        <v>611</v>
      </c>
      <c r="Q116" s="13" t="s">
        <v>612</v>
      </c>
      <c r="R116" s="10"/>
      <c r="S116" s="10"/>
      <c r="T116" s="11"/>
    </row>
    <row r="117" spans="1:20" ht="70" x14ac:dyDescent="0.35">
      <c r="A117" s="12" t="s">
        <v>413</v>
      </c>
      <c r="B117" s="12" t="s">
        <v>4</v>
      </c>
      <c r="C117" s="13" t="s">
        <v>613</v>
      </c>
      <c r="D117" s="13" t="s">
        <v>614</v>
      </c>
      <c r="E117" s="12" t="s">
        <v>561</v>
      </c>
      <c r="F117" s="12" t="s">
        <v>4</v>
      </c>
      <c r="G117" s="12" t="s">
        <v>561</v>
      </c>
      <c r="H117" s="12" t="s">
        <v>562</v>
      </c>
      <c r="I117" s="14">
        <v>0.8</v>
      </c>
      <c r="J117" s="12"/>
      <c r="K117" s="12"/>
      <c r="L117" s="14"/>
      <c r="M117" s="12"/>
      <c r="N117" s="14"/>
      <c r="O117" s="12">
        <v>1</v>
      </c>
      <c r="P117" s="12" t="s">
        <v>615</v>
      </c>
      <c r="Q117" s="13" t="s">
        <v>616</v>
      </c>
      <c r="R117" s="10"/>
      <c r="S117" s="10"/>
      <c r="T117" s="11"/>
    </row>
    <row r="118" spans="1:20" ht="84" x14ac:dyDescent="0.35">
      <c r="A118" s="12" t="s">
        <v>413</v>
      </c>
      <c r="B118" s="12" t="s">
        <v>4</v>
      </c>
      <c r="C118" s="13" t="s">
        <v>617</v>
      </c>
      <c r="D118" s="13"/>
      <c r="E118" s="12" t="s">
        <v>609</v>
      </c>
      <c r="F118" s="12" t="s">
        <v>4</v>
      </c>
      <c r="G118" s="12" t="s">
        <v>609</v>
      </c>
      <c r="H118" s="12" t="s">
        <v>610</v>
      </c>
      <c r="I118" s="14">
        <v>0.8</v>
      </c>
      <c r="J118" s="12"/>
      <c r="K118" s="12"/>
      <c r="L118" s="14"/>
      <c r="M118" s="12"/>
      <c r="N118" s="14"/>
      <c r="O118" s="12">
        <v>1</v>
      </c>
      <c r="P118" s="12" t="s">
        <v>618</v>
      </c>
      <c r="Q118" s="13" t="s">
        <v>619</v>
      </c>
      <c r="R118" s="10"/>
      <c r="S118" s="10"/>
      <c r="T118" s="11"/>
    </row>
    <row r="119" spans="1:20" ht="84" x14ac:dyDescent="0.35">
      <c r="A119" s="12" t="s">
        <v>413</v>
      </c>
      <c r="B119" s="12" t="s">
        <v>4</v>
      </c>
      <c r="C119" s="13" t="s">
        <v>620</v>
      </c>
      <c r="D119" s="13" t="s">
        <v>621</v>
      </c>
      <c r="E119" s="12" t="s">
        <v>609</v>
      </c>
      <c r="F119" s="12" t="s">
        <v>4</v>
      </c>
      <c r="G119" s="12" t="s">
        <v>609</v>
      </c>
      <c r="H119" s="12" t="s">
        <v>610</v>
      </c>
      <c r="I119" s="14">
        <v>0.8</v>
      </c>
      <c r="J119" s="12"/>
      <c r="K119" s="12"/>
      <c r="L119" s="14"/>
      <c r="M119" s="12"/>
      <c r="N119" s="14"/>
      <c r="O119" s="12">
        <v>1</v>
      </c>
      <c r="P119" s="12" t="s">
        <v>622</v>
      </c>
      <c r="Q119" s="13" t="s">
        <v>623</v>
      </c>
      <c r="R119" s="10"/>
      <c r="S119" s="10"/>
      <c r="T119" s="11"/>
    </row>
    <row r="120" spans="1:20" ht="70" x14ac:dyDescent="0.35">
      <c r="A120" s="12" t="s">
        <v>413</v>
      </c>
      <c r="B120" s="12" t="s">
        <v>4</v>
      </c>
      <c r="C120" s="13" t="s">
        <v>624</v>
      </c>
      <c r="D120" s="13"/>
      <c r="E120" s="12" t="s">
        <v>609</v>
      </c>
      <c r="F120" s="12" t="s">
        <v>4</v>
      </c>
      <c r="G120" s="12" t="s">
        <v>609</v>
      </c>
      <c r="H120" s="12" t="s">
        <v>610</v>
      </c>
      <c r="I120" s="14">
        <v>0.8</v>
      </c>
      <c r="J120" s="12"/>
      <c r="K120" s="12"/>
      <c r="L120" s="14"/>
      <c r="M120" s="12"/>
      <c r="N120" s="14"/>
      <c r="O120" s="12">
        <v>1</v>
      </c>
      <c r="P120" s="12" t="s">
        <v>625</v>
      </c>
      <c r="Q120" s="13" t="s">
        <v>626</v>
      </c>
      <c r="R120" s="10"/>
      <c r="S120" s="10"/>
      <c r="T120" s="11"/>
    </row>
    <row r="121" spans="1:20" ht="56" x14ac:dyDescent="0.35">
      <c r="A121" s="12" t="s">
        <v>413</v>
      </c>
      <c r="B121" s="12" t="s">
        <v>4</v>
      </c>
      <c r="C121" s="13" t="s">
        <v>627</v>
      </c>
      <c r="D121" s="13" t="s">
        <v>628</v>
      </c>
      <c r="E121" s="12" t="s">
        <v>609</v>
      </c>
      <c r="F121" s="12" t="s">
        <v>4</v>
      </c>
      <c r="G121" s="12" t="s">
        <v>609</v>
      </c>
      <c r="H121" s="12" t="s">
        <v>610</v>
      </c>
      <c r="I121" s="14">
        <v>0.8</v>
      </c>
      <c r="J121" s="12"/>
      <c r="K121" s="12"/>
      <c r="L121" s="14"/>
      <c r="M121" s="12"/>
      <c r="N121" s="14"/>
      <c r="O121" s="12">
        <v>1</v>
      </c>
      <c r="P121" s="12" t="s">
        <v>629</v>
      </c>
      <c r="Q121" s="13" t="s">
        <v>630</v>
      </c>
      <c r="R121" s="10"/>
      <c r="S121" s="10"/>
      <c r="T121" s="11"/>
    </row>
    <row r="122" spans="1:20" ht="70" x14ac:dyDescent="0.35">
      <c r="A122" s="12" t="s">
        <v>413</v>
      </c>
      <c r="B122" s="12" t="s">
        <v>4</v>
      </c>
      <c r="C122" s="13" t="s">
        <v>631</v>
      </c>
      <c r="D122" s="13" t="s">
        <v>632</v>
      </c>
      <c r="E122" s="12" t="s">
        <v>609</v>
      </c>
      <c r="F122" s="12" t="s">
        <v>4</v>
      </c>
      <c r="G122" s="12" t="s">
        <v>609</v>
      </c>
      <c r="H122" s="12" t="s">
        <v>610</v>
      </c>
      <c r="I122" s="14">
        <v>0.8</v>
      </c>
      <c r="J122" s="12"/>
      <c r="K122" s="12"/>
      <c r="L122" s="14"/>
      <c r="M122" s="12"/>
      <c r="N122" s="14"/>
      <c r="O122" s="12">
        <v>1</v>
      </c>
      <c r="P122" s="12" t="s">
        <v>633</v>
      </c>
      <c r="Q122" s="13" t="s">
        <v>634</v>
      </c>
      <c r="R122" s="10"/>
      <c r="S122" s="10"/>
      <c r="T122" s="11"/>
    </row>
    <row r="123" spans="1:20" ht="84" x14ac:dyDescent="0.35">
      <c r="A123" s="12" t="s">
        <v>413</v>
      </c>
      <c r="B123" s="12" t="s">
        <v>4</v>
      </c>
      <c r="C123" s="13" t="s">
        <v>635</v>
      </c>
      <c r="D123" s="13"/>
      <c r="E123" s="12" t="s">
        <v>67</v>
      </c>
      <c r="F123" s="12" t="s">
        <v>4</v>
      </c>
      <c r="G123" s="12" t="s">
        <v>67</v>
      </c>
      <c r="H123" s="12" t="s">
        <v>67</v>
      </c>
      <c r="I123" s="14">
        <v>0.8</v>
      </c>
      <c r="J123" s="12"/>
      <c r="K123" s="12"/>
      <c r="L123" s="14"/>
      <c r="M123" s="12"/>
      <c r="N123" s="14"/>
      <c r="O123" s="12">
        <v>1</v>
      </c>
      <c r="P123" s="12" t="s">
        <v>636</v>
      </c>
      <c r="Q123" s="13" t="s">
        <v>637</v>
      </c>
      <c r="R123" s="10"/>
      <c r="S123" s="10"/>
      <c r="T123" s="11"/>
    </row>
    <row r="124" spans="1:20" ht="70" x14ac:dyDescent="0.35">
      <c r="A124" s="12" t="s">
        <v>413</v>
      </c>
      <c r="B124" s="12" t="s">
        <v>4</v>
      </c>
      <c r="C124" s="13" t="s">
        <v>638</v>
      </c>
      <c r="D124" s="13"/>
      <c r="E124" s="12" t="s">
        <v>514</v>
      </c>
      <c r="F124" s="12" t="s">
        <v>4</v>
      </c>
      <c r="G124" s="12" t="s">
        <v>514</v>
      </c>
      <c r="H124" s="12" t="s">
        <v>516</v>
      </c>
      <c r="I124" s="14">
        <v>0.8</v>
      </c>
      <c r="J124" s="12"/>
      <c r="K124" s="12"/>
      <c r="L124" s="14"/>
      <c r="M124" s="12"/>
      <c r="N124" s="14"/>
      <c r="O124" s="12">
        <v>1</v>
      </c>
      <c r="P124" s="12" t="s">
        <v>639</v>
      </c>
      <c r="Q124" s="13" t="s">
        <v>640</v>
      </c>
      <c r="R124" s="10"/>
      <c r="S124" s="10"/>
      <c r="T124" s="11"/>
    </row>
    <row r="125" spans="1:20" ht="70" x14ac:dyDescent="0.35">
      <c r="A125" s="12" t="s">
        <v>413</v>
      </c>
      <c r="B125" s="12" t="s">
        <v>4</v>
      </c>
      <c r="C125" s="13" t="s">
        <v>641</v>
      </c>
      <c r="D125" s="13"/>
      <c r="E125" s="12" t="s">
        <v>71</v>
      </c>
      <c r="F125" s="12" t="s">
        <v>4</v>
      </c>
      <c r="G125" s="12" t="s">
        <v>71</v>
      </c>
      <c r="H125" s="12" t="s">
        <v>72</v>
      </c>
      <c r="I125" s="14">
        <v>0.8</v>
      </c>
      <c r="J125" s="12"/>
      <c r="K125" s="12"/>
      <c r="L125" s="14"/>
      <c r="M125" s="12"/>
      <c r="N125" s="14"/>
      <c r="O125" s="12">
        <v>9</v>
      </c>
      <c r="P125" s="12" t="s">
        <v>642</v>
      </c>
      <c r="Q125" s="13" t="s">
        <v>643</v>
      </c>
      <c r="R125" s="10"/>
      <c r="S125" s="10"/>
      <c r="T125" s="11"/>
    </row>
    <row r="126" spans="1:20" ht="70" x14ac:dyDescent="0.35">
      <c r="A126" s="12" t="s">
        <v>413</v>
      </c>
      <c r="B126" s="12" t="s">
        <v>4</v>
      </c>
      <c r="C126" s="13" t="s">
        <v>644</v>
      </c>
      <c r="D126" s="13" t="s">
        <v>645</v>
      </c>
      <c r="E126" s="12" t="s">
        <v>71</v>
      </c>
      <c r="F126" s="12" t="s">
        <v>4</v>
      </c>
      <c r="G126" s="12" t="s">
        <v>71</v>
      </c>
      <c r="H126" s="12" t="s">
        <v>72</v>
      </c>
      <c r="I126" s="14">
        <v>0.8</v>
      </c>
      <c r="J126" s="12"/>
      <c r="K126" s="12"/>
      <c r="L126" s="14"/>
      <c r="M126" s="12"/>
      <c r="N126" s="14"/>
      <c r="O126" s="12">
        <v>1</v>
      </c>
      <c r="P126" s="12" t="s">
        <v>646</v>
      </c>
      <c r="Q126" s="13" t="s">
        <v>647</v>
      </c>
      <c r="R126" s="10"/>
      <c r="S126" s="10"/>
      <c r="T126" s="11"/>
    </row>
    <row r="127" spans="1:20" ht="56" x14ac:dyDescent="0.35">
      <c r="A127" s="12" t="s">
        <v>413</v>
      </c>
      <c r="B127" s="12" t="s">
        <v>4</v>
      </c>
      <c r="C127" s="13" t="s">
        <v>648</v>
      </c>
      <c r="D127" s="13" t="s">
        <v>649</v>
      </c>
      <c r="E127" s="12" t="s">
        <v>424</v>
      </c>
      <c r="F127" s="12" t="s">
        <v>4</v>
      </c>
      <c r="G127" s="12" t="s">
        <v>424</v>
      </c>
      <c r="H127" s="12" t="s">
        <v>424</v>
      </c>
      <c r="I127" s="14">
        <v>0.64</v>
      </c>
      <c r="J127" s="12"/>
      <c r="K127" s="12" t="s">
        <v>426</v>
      </c>
      <c r="L127" s="14">
        <v>0.64</v>
      </c>
      <c r="M127" s="12"/>
      <c r="N127" s="14"/>
      <c r="O127" s="12">
        <v>1</v>
      </c>
      <c r="P127" s="12" t="s">
        <v>650</v>
      </c>
      <c r="Q127" s="13" t="s">
        <v>651</v>
      </c>
      <c r="R127" s="10"/>
      <c r="S127" s="10"/>
      <c r="T127" s="11"/>
    </row>
    <row r="128" spans="1:20" ht="56" x14ac:dyDescent="0.35">
      <c r="A128" s="12" t="s">
        <v>413</v>
      </c>
      <c r="B128" s="12" t="s">
        <v>4</v>
      </c>
      <c r="C128" s="13" t="s">
        <v>652</v>
      </c>
      <c r="D128" s="13" t="s">
        <v>653</v>
      </c>
      <c r="E128" s="12" t="s">
        <v>424</v>
      </c>
      <c r="F128" s="12" t="s">
        <v>4</v>
      </c>
      <c r="G128" s="12" t="s">
        <v>424</v>
      </c>
      <c r="H128" s="12" t="s">
        <v>424</v>
      </c>
      <c r="I128" s="14">
        <v>0.64</v>
      </c>
      <c r="J128" s="12"/>
      <c r="K128" s="12" t="s">
        <v>426</v>
      </c>
      <c r="L128" s="14">
        <v>0.64</v>
      </c>
      <c r="M128" s="12"/>
      <c r="N128" s="14"/>
      <c r="O128" s="12">
        <v>1</v>
      </c>
      <c r="P128" s="12" t="s">
        <v>654</v>
      </c>
      <c r="Q128" s="13" t="s">
        <v>655</v>
      </c>
      <c r="R128" s="10"/>
      <c r="S128" s="10"/>
      <c r="T128" s="11"/>
    </row>
    <row r="129" spans="1:20" ht="42" x14ac:dyDescent="0.35">
      <c r="A129" s="12" t="s">
        <v>413</v>
      </c>
      <c r="B129" s="12" t="s">
        <v>4</v>
      </c>
      <c r="C129" s="13" t="s">
        <v>656</v>
      </c>
      <c r="D129" s="13" t="s">
        <v>657</v>
      </c>
      <c r="E129" s="12" t="s">
        <v>424</v>
      </c>
      <c r="F129" s="12" t="s">
        <v>4</v>
      </c>
      <c r="G129" s="12" t="s">
        <v>424</v>
      </c>
      <c r="H129" s="12" t="s">
        <v>424</v>
      </c>
      <c r="I129" s="14">
        <v>0.64</v>
      </c>
      <c r="J129" s="12"/>
      <c r="K129" s="12" t="s">
        <v>426</v>
      </c>
      <c r="L129" s="14">
        <v>0.64</v>
      </c>
      <c r="M129" s="12"/>
      <c r="N129" s="14"/>
      <c r="O129" s="12">
        <v>1</v>
      </c>
      <c r="P129" s="12" t="s">
        <v>658</v>
      </c>
      <c r="Q129" s="13" t="s">
        <v>659</v>
      </c>
      <c r="R129" s="10"/>
      <c r="S129" s="10"/>
      <c r="T129" s="11"/>
    </row>
    <row r="130" spans="1:20" ht="84" x14ac:dyDescent="0.35">
      <c r="A130" s="12" t="s">
        <v>413</v>
      </c>
      <c r="B130" s="12" t="s">
        <v>4</v>
      </c>
      <c r="C130" s="13" t="s">
        <v>660</v>
      </c>
      <c r="D130" s="13" t="s">
        <v>661</v>
      </c>
      <c r="E130" s="12" t="s">
        <v>63</v>
      </c>
      <c r="F130" s="12" t="s">
        <v>4</v>
      </c>
      <c r="G130" s="12" t="s">
        <v>63</v>
      </c>
      <c r="H130" s="12" t="s">
        <v>63</v>
      </c>
      <c r="I130" s="14">
        <v>0.8</v>
      </c>
      <c r="J130" s="12"/>
      <c r="K130" s="12"/>
      <c r="L130" s="14"/>
      <c r="M130" s="12"/>
      <c r="N130" s="14"/>
      <c r="O130" s="12">
        <v>1</v>
      </c>
      <c r="P130" s="12" t="s">
        <v>662</v>
      </c>
      <c r="Q130" s="13" t="s">
        <v>663</v>
      </c>
      <c r="R130" s="10"/>
      <c r="S130" s="10"/>
      <c r="T130" s="11"/>
    </row>
    <row r="131" spans="1:20" ht="56" x14ac:dyDescent="0.35">
      <c r="A131" s="12" t="s">
        <v>413</v>
      </c>
      <c r="B131" s="12" t="s">
        <v>4</v>
      </c>
      <c r="C131" s="13" t="s">
        <v>664</v>
      </c>
      <c r="D131" s="13" t="s">
        <v>665</v>
      </c>
      <c r="E131" s="12" t="s">
        <v>424</v>
      </c>
      <c r="F131" s="12" t="s">
        <v>4</v>
      </c>
      <c r="G131" s="12" t="s">
        <v>424</v>
      </c>
      <c r="H131" s="12" t="s">
        <v>424</v>
      </c>
      <c r="I131" s="14">
        <v>0.64</v>
      </c>
      <c r="J131" s="12"/>
      <c r="K131" s="12" t="s">
        <v>426</v>
      </c>
      <c r="L131" s="14">
        <v>0.64</v>
      </c>
      <c r="M131" s="12"/>
      <c r="N131" s="14"/>
      <c r="O131" s="12">
        <v>1</v>
      </c>
      <c r="P131" s="12" t="s">
        <v>666</v>
      </c>
      <c r="Q131" s="13" t="s">
        <v>667</v>
      </c>
      <c r="R131" s="10"/>
      <c r="S131" s="10"/>
      <c r="T131" s="11"/>
    </row>
    <row r="132" spans="1:20" ht="28" x14ac:dyDescent="0.35">
      <c r="A132" s="12" t="s">
        <v>413</v>
      </c>
      <c r="B132" s="12" t="s">
        <v>4</v>
      </c>
      <c r="C132" s="13" t="s">
        <v>668</v>
      </c>
      <c r="D132" s="13"/>
      <c r="E132" s="12" t="s">
        <v>514</v>
      </c>
      <c r="F132" s="12" t="s">
        <v>4</v>
      </c>
      <c r="G132" s="12" t="s">
        <v>514</v>
      </c>
      <c r="H132" s="12" t="s">
        <v>516</v>
      </c>
      <c r="I132" s="14">
        <v>0.8</v>
      </c>
      <c r="J132" s="12"/>
      <c r="K132" s="12"/>
      <c r="L132" s="14"/>
      <c r="M132" s="12"/>
      <c r="N132" s="14"/>
      <c r="O132" s="12">
        <v>1</v>
      </c>
      <c r="P132" s="12" t="s">
        <v>669</v>
      </c>
      <c r="Q132" s="13" t="s">
        <v>670</v>
      </c>
      <c r="R132" s="10"/>
      <c r="S132" s="10"/>
      <c r="T132" s="11"/>
    </row>
    <row r="133" spans="1:20" ht="70" x14ac:dyDescent="0.35">
      <c r="A133" s="12" t="s">
        <v>413</v>
      </c>
      <c r="B133" s="12" t="s">
        <v>4</v>
      </c>
      <c r="C133" s="13" t="s">
        <v>671</v>
      </c>
      <c r="D133" s="13" t="s">
        <v>672</v>
      </c>
      <c r="E133" s="12" t="s">
        <v>450</v>
      </c>
      <c r="F133" s="12" t="s">
        <v>4</v>
      </c>
      <c r="G133" s="12" t="s">
        <v>450</v>
      </c>
      <c r="H133" s="12" t="s">
        <v>451</v>
      </c>
      <c r="I133" s="14">
        <v>0.8</v>
      </c>
      <c r="J133" s="12"/>
      <c r="K133" s="12"/>
      <c r="L133" s="14"/>
      <c r="M133" s="12"/>
      <c r="N133" s="14"/>
      <c r="O133" s="12">
        <v>1</v>
      </c>
      <c r="P133" s="12" t="s">
        <v>673</v>
      </c>
      <c r="Q133" s="13" t="s">
        <v>674</v>
      </c>
      <c r="R133" s="10"/>
      <c r="S133" s="10"/>
      <c r="T133" s="11"/>
    </row>
    <row r="134" spans="1:20" ht="42" x14ac:dyDescent="0.35">
      <c r="A134" s="12" t="s">
        <v>413</v>
      </c>
      <c r="B134" s="12" t="s">
        <v>4</v>
      </c>
      <c r="C134" s="13" t="s">
        <v>675</v>
      </c>
      <c r="D134" s="13" t="s">
        <v>676</v>
      </c>
      <c r="E134" s="12" t="s">
        <v>450</v>
      </c>
      <c r="F134" s="12" t="s">
        <v>4</v>
      </c>
      <c r="G134" s="12" t="s">
        <v>450</v>
      </c>
      <c r="H134" s="12" t="s">
        <v>451</v>
      </c>
      <c r="I134" s="14">
        <v>0.8</v>
      </c>
      <c r="J134" s="12"/>
      <c r="K134" s="12"/>
      <c r="L134" s="14"/>
      <c r="M134" s="12"/>
      <c r="N134" s="14"/>
      <c r="O134" s="12">
        <v>1</v>
      </c>
      <c r="P134" s="12" t="s">
        <v>677</v>
      </c>
      <c r="Q134" s="13" t="s">
        <v>678</v>
      </c>
      <c r="R134" s="10"/>
      <c r="S134" s="10"/>
      <c r="T134" s="11"/>
    </row>
    <row r="135" spans="1:20" ht="84" x14ac:dyDescent="0.35">
      <c r="A135" s="12" t="s">
        <v>413</v>
      </c>
      <c r="B135" s="12" t="s">
        <v>4</v>
      </c>
      <c r="C135" s="13" t="s">
        <v>679</v>
      </c>
      <c r="D135" s="13"/>
      <c r="E135" s="12" t="s">
        <v>201</v>
      </c>
      <c r="F135" s="12" t="s">
        <v>4</v>
      </c>
      <c r="G135" s="12" t="s">
        <v>201</v>
      </c>
      <c r="H135" s="12" t="s">
        <v>201</v>
      </c>
      <c r="I135" s="14">
        <v>0.8</v>
      </c>
      <c r="J135" s="12"/>
      <c r="K135" s="12"/>
      <c r="L135" s="14"/>
      <c r="M135" s="12"/>
      <c r="N135" s="14"/>
      <c r="O135" s="12">
        <v>1</v>
      </c>
      <c r="P135" s="12" t="s">
        <v>680</v>
      </c>
      <c r="Q135" s="13" t="s">
        <v>681</v>
      </c>
      <c r="R135" s="10"/>
      <c r="S135" s="10"/>
      <c r="T135" s="11"/>
    </row>
    <row r="136" spans="1:20" ht="84" x14ac:dyDescent="0.35">
      <c r="A136" s="12" t="s">
        <v>413</v>
      </c>
      <c r="B136" s="12" t="s">
        <v>4</v>
      </c>
      <c r="C136" s="13" t="s">
        <v>682</v>
      </c>
      <c r="D136" s="13" t="s">
        <v>683</v>
      </c>
      <c r="E136" s="12" t="s">
        <v>684</v>
      </c>
      <c r="F136" s="12" t="s">
        <v>4</v>
      </c>
      <c r="G136" s="12" t="s">
        <v>684</v>
      </c>
      <c r="H136" s="12" t="s">
        <v>685</v>
      </c>
      <c r="I136" s="14">
        <v>0.8</v>
      </c>
      <c r="J136" s="12"/>
      <c r="K136" s="12"/>
      <c r="L136" s="14"/>
      <c r="M136" s="12"/>
      <c r="N136" s="14"/>
      <c r="O136" s="12">
        <v>1</v>
      </c>
      <c r="P136" s="12" t="s">
        <v>686</v>
      </c>
      <c r="Q136" s="13" t="s">
        <v>687</v>
      </c>
      <c r="R136" s="10"/>
      <c r="S136" s="10"/>
      <c r="T136" s="11"/>
    </row>
    <row r="137" spans="1:20" ht="84" x14ac:dyDescent="0.35">
      <c r="A137" s="12" t="s">
        <v>413</v>
      </c>
      <c r="B137" s="12" t="s">
        <v>4</v>
      </c>
      <c r="C137" s="13" t="s">
        <v>688</v>
      </c>
      <c r="D137" s="13" t="s">
        <v>689</v>
      </c>
      <c r="E137" s="12" t="s">
        <v>684</v>
      </c>
      <c r="F137" s="12" t="s">
        <v>4</v>
      </c>
      <c r="G137" s="12" t="s">
        <v>684</v>
      </c>
      <c r="H137" s="12" t="s">
        <v>685</v>
      </c>
      <c r="I137" s="14">
        <v>0.8</v>
      </c>
      <c r="J137" s="12"/>
      <c r="K137" s="12"/>
      <c r="L137" s="14"/>
      <c r="M137" s="12"/>
      <c r="N137" s="14"/>
      <c r="O137" s="12">
        <v>1</v>
      </c>
      <c r="P137" s="12" t="s">
        <v>690</v>
      </c>
      <c r="Q137" s="13" t="s">
        <v>691</v>
      </c>
      <c r="R137" s="10"/>
      <c r="S137" s="10"/>
      <c r="T137" s="11"/>
    </row>
    <row r="138" spans="1:20" ht="56" x14ac:dyDescent="0.35">
      <c r="A138" s="12" t="s">
        <v>413</v>
      </c>
      <c r="B138" s="12" t="s">
        <v>4</v>
      </c>
      <c r="C138" s="13" t="s">
        <v>692</v>
      </c>
      <c r="D138" s="13"/>
      <c r="E138" s="12" t="s">
        <v>514</v>
      </c>
      <c r="F138" s="12" t="s">
        <v>4</v>
      </c>
      <c r="G138" s="12" t="s">
        <v>514</v>
      </c>
      <c r="H138" s="12" t="s">
        <v>516</v>
      </c>
      <c r="I138" s="14">
        <v>0.8</v>
      </c>
      <c r="J138" s="12"/>
      <c r="K138" s="12"/>
      <c r="L138" s="14"/>
      <c r="M138" s="12"/>
      <c r="N138" s="14"/>
      <c r="O138" s="12">
        <v>1</v>
      </c>
      <c r="P138" s="12" t="s">
        <v>693</v>
      </c>
      <c r="Q138" s="13" t="s">
        <v>694</v>
      </c>
      <c r="R138" s="10"/>
      <c r="S138" s="10"/>
      <c r="T138" s="11"/>
    </row>
    <row r="139" spans="1:20" ht="70" x14ac:dyDescent="0.35">
      <c r="A139" s="12" t="s">
        <v>413</v>
      </c>
      <c r="B139" s="12" t="s">
        <v>4</v>
      </c>
      <c r="C139" s="13" t="s">
        <v>695</v>
      </c>
      <c r="D139" s="13" t="s">
        <v>696</v>
      </c>
      <c r="E139" s="12" t="s">
        <v>26</v>
      </c>
      <c r="F139" s="12" t="s">
        <v>4</v>
      </c>
      <c r="G139" s="12" t="s">
        <v>26</v>
      </c>
      <c r="H139" s="12" t="s">
        <v>26</v>
      </c>
      <c r="I139" s="14">
        <v>0.64</v>
      </c>
      <c r="J139" s="12"/>
      <c r="K139" s="12" t="s">
        <v>28</v>
      </c>
      <c r="L139" s="14">
        <v>0.64</v>
      </c>
      <c r="M139" s="12"/>
      <c r="N139" s="14"/>
      <c r="O139" s="12">
        <v>1</v>
      </c>
      <c r="P139" s="12" t="s">
        <v>697</v>
      </c>
      <c r="Q139" s="13" t="s">
        <v>698</v>
      </c>
      <c r="R139" s="10"/>
      <c r="S139" s="10"/>
      <c r="T139" s="11"/>
    </row>
    <row r="140" spans="1:20" ht="42" x14ac:dyDescent="0.35">
      <c r="A140" s="12" t="s">
        <v>413</v>
      </c>
      <c r="B140" s="12" t="s">
        <v>4</v>
      </c>
      <c r="C140" s="13" t="s">
        <v>699</v>
      </c>
      <c r="D140" s="13" t="s">
        <v>700</v>
      </c>
      <c r="E140" s="12" t="s">
        <v>26</v>
      </c>
      <c r="F140" s="12" t="s">
        <v>4</v>
      </c>
      <c r="G140" s="12" t="s">
        <v>26</v>
      </c>
      <c r="H140" s="12" t="s">
        <v>26</v>
      </c>
      <c r="I140" s="14">
        <v>0.64</v>
      </c>
      <c r="J140" s="12"/>
      <c r="K140" s="12" t="s">
        <v>28</v>
      </c>
      <c r="L140" s="14">
        <v>0.64</v>
      </c>
      <c r="M140" s="12"/>
      <c r="N140" s="14"/>
      <c r="O140" s="12">
        <v>1</v>
      </c>
      <c r="P140" s="12" t="s">
        <v>701</v>
      </c>
      <c r="Q140" s="13" t="s">
        <v>702</v>
      </c>
      <c r="R140" s="10"/>
      <c r="S140" s="10"/>
      <c r="T140" s="11"/>
    </row>
    <row r="141" spans="1:20" ht="84" x14ac:dyDescent="0.35">
      <c r="A141" s="12" t="s">
        <v>413</v>
      </c>
      <c r="B141" s="12" t="s">
        <v>4</v>
      </c>
      <c r="C141" s="13" t="s">
        <v>703</v>
      </c>
      <c r="D141" s="13"/>
      <c r="E141" s="12" t="s">
        <v>105</v>
      </c>
      <c r="F141" s="12" t="s">
        <v>4</v>
      </c>
      <c r="G141" s="12" t="s">
        <v>105</v>
      </c>
      <c r="H141" s="12" t="s">
        <v>106</v>
      </c>
      <c r="I141" s="14">
        <v>0.8</v>
      </c>
      <c r="J141" s="12"/>
      <c r="K141" s="12"/>
      <c r="L141" s="14"/>
      <c r="M141" s="12"/>
      <c r="N141" s="14"/>
      <c r="O141" s="12">
        <v>1</v>
      </c>
      <c r="P141" s="12" t="s">
        <v>704</v>
      </c>
      <c r="Q141" s="13" t="s">
        <v>705</v>
      </c>
      <c r="R141" s="10"/>
      <c r="S141" s="10"/>
      <c r="T141" s="11"/>
    </row>
    <row r="142" spans="1:20" ht="112" x14ac:dyDescent="0.35">
      <c r="A142" s="12" t="s">
        <v>413</v>
      </c>
      <c r="B142" s="12" t="s">
        <v>4</v>
      </c>
      <c r="C142" s="13" t="s">
        <v>706</v>
      </c>
      <c r="D142" s="13" t="s">
        <v>707</v>
      </c>
      <c r="E142" s="12" t="s">
        <v>708</v>
      </c>
      <c r="F142" s="12" t="s">
        <v>4</v>
      </c>
      <c r="G142" s="12" t="s">
        <v>708</v>
      </c>
      <c r="H142" s="12" t="s">
        <v>709</v>
      </c>
      <c r="I142" s="14">
        <v>0.8</v>
      </c>
      <c r="J142" s="12"/>
      <c r="K142" s="12"/>
      <c r="L142" s="14"/>
      <c r="M142" s="12"/>
      <c r="N142" s="14"/>
      <c r="O142" s="12">
        <v>1</v>
      </c>
      <c r="P142" s="12" t="s">
        <v>710</v>
      </c>
      <c r="Q142" s="13" t="s">
        <v>711</v>
      </c>
      <c r="R142" s="10"/>
      <c r="S142" s="10"/>
      <c r="T142" s="11"/>
    </row>
    <row r="143" spans="1:20" ht="84" x14ac:dyDescent="0.35">
      <c r="A143" s="12" t="s">
        <v>413</v>
      </c>
      <c r="B143" s="12" t="s">
        <v>4</v>
      </c>
      <c r="C143" s="13" t="s">
        <v>712</v>
      </c>
      <c r="D143" s="13" t="s">
        <v>713</v>
      </c>
      <c r="E143" s="12" t="s">
        <v>450</v>
      </c>
      <c r="F143" s="12" t="s">
        <v>4</v>
      </c>
      <c r="G143" s="12" t="s">
        <v>450</v>
      </c>
      <c r="H143" s="12" t="s">
        <v>451</v>
      </c>
      <c r="I143" s="14">
        <v>0.8</v>
      </c>
      <c r="J143" s="12"/>
      <c r="K143" s="12"/>
      <c r="L143" s="14"/>
      <c r="M143" s="12"/>
      <c r="N143" s="14"/>
      <c r="O143" s="12">
        <v>1</v>
      </c>
      <c r="P143" s="12" t="s">
        <v>714</v>
      </c>
      <c r="Q143" s="13" t="s">
        <v>715</v>
      </c>
      <c r="R143" s="10"/>
      <c r="S143" s="10"/>
      <c r="T143" s="11"/>
    </row>
    <row r="144" spans="1:20" ht="42" x14ac:dyDescent="0.35">
      <c r="A144" s="12" t="s">
        <v>413</v>
      </c>
      <c r="B144" s="12" t="s">
        <v>4</v>
      </c>
      <c r="C144" s="13" t="s">
        <v>716</v>
      </c>
      <c r="D144" s="13" t="s">
        <v>717</v>
      </c>
      <c r="E144" s="12" t="s">
        <v>36</v>
      </c>
      <c r="F144" s="12" t="s">
        <v>4</v>
      </c>
      <c r="G144" s="12" t="s">
        <v>36</v>
      </c>
      <c r="H144" s="12" t="s">
        <v>36</v>
      </c>
      <c r="I144" s="14">
        <v>0.8</v>
      </c>
      <c r="J144" s="12"/>
      <c r="K144" s="12"/>
      <c r="L144" s="14"/>
      <c r="M144" s="12"/>
      <c r="N144" s="14"/>
      <c r="O144" s="12">
        <v>1</v>
      </c>
      <c r="P144" s="12" t="s">
        <v>718</v>
      </c>
      <c r="Q144" s="13" t="s">
        <v>719</v>
      </c>
      <c r="R144" s="10"/>
      <c r="S144" s="10"/>
      <c r="T144" s="11"/>
    </row>
    <row r="145" spans="1:20" ht="84" x14ac:dyDescent="0.35">
      <c r="A145" s="12" t="s">
        <v>413</v>
      </c>
      <c r="B145" s="12" t="s">
        <v>4</v>
      </c>
      <c r="C145" s="13" t="s">
        <v>720</v>
      </c>
      <c r="D145" s="13" t="s">
        <v>721</v>
      </c>
      <c r="E145" s="12" t="s">
        <v>722</v>
      </c>
      <c r="F145" s="12" t="s">
        <v>4</v>
      </c>
      <c r="G145" s="12" t="s">
        <v>722</v>
      </c>
      <c r="H145" s="12" t="s">
        <v>722</v>
      </c>
      <c r="I145" s="14">
        <v>0.8</v>
      </c>
      <c r="J145" s="12"/>
      <c r="K145" s="12"/>
      <c r="L145" s="14"/>
      <c r="M145" s="12"/>
      <c r="N145" s="14"/>
      <c r="O145" s="12">
        <v>1</v>
      </c>
      <c r="P145" s="12" t="s">
        <v>723</v>
      </c>
      <c r="Q145" s="13" t="s">
        <v>724</v>
      </c>
      <c r="R145" s="10"/>
      <c r="S145" s="10"/>
      <c r="T145" s="11"/>
    </row>
    <row r="146" spans="1:20" ht="56" x14ac:dyDescent="0.35">
      <c r="A146" s="12" t="s">
        <v>413</v>
      </c>
      <c r="B146" s="12" t="s">
        <v>4</v>
      </c>
      <c r="C146" s="13" t="s">
        <v>725</v>
      </c>
      <c r="D146" s="13" t="s">
        <v>726</v>
      </c>
      <c r="E146" s="12" t="s">
        <v>727</v>
      </c>
      <c r="F146" s="12" t="s">
        <v>4</v>
      </c>
      <c r="G146" s="12" t="s">
        <v>727</v>
      </c>
      <c r="H146" s="12" t="s">
        <v>727</v>
      </c>
      <c r="I146" s="14">
        <v>0.8</v>
      </c>
      <c r="J146" s="12"/>
      <c r="K146" s="12"/>
      <c r="L146" s="14"/>
      <c r="M146" s="12"/>
      <c r="N146" s="14"/>
      <c r="O146" s="12">
        <v>3</v>
      </c>
      <c r="P146" s="12" t="s">
        <v>728</v>
      </c>
      <c r="Q146" s="13" t="s">
        <v>729</v>
      </c>
      <c r="R146" s="10"/>
      <c r="S146" s="10"/>
      <c r="T146" s="11"/>
    </row>
    <row r="147" spans="1:20" ht="70" x14ac:dyDescent="0.35">
      <c r="A147" s="12" t="s">
        <v>413</v>
      </c>
      <c r="B147" s="12" t="s">
        <v>4</v>
      </c>
      <c r="C147" s="13" t="s">
        <v>730</v>
      </c>
      <c r="D147" s="13" t="s">
        <v>731</v>
      </c>
      <c r="E147" s="12" t="s">
        <v>36</v>
      </c>
      <c r="F147" s="12" t="s">
        <v>4</v>
      </c>
      <c r="G147" s="12" t="s">
        <v>36</v>
      </c>
      <c r="H147" s="12" t="s">
        <v>36</v>
      </c>
      <c r="I147" s="14">
        <v>0.8</v>
      </c>
      <c r="J147" s="12"/>
      <c r="K147" s="12"/>
      <c r="L147" s="14"/>
      <c r="M147" s="12"/>
      <c r="N147" s="14"/>
      <c r="O147" s="12">
        <v>1</v>
      </c>
      <c r="P147" s="12" t="s">
        <v>732</v>
      </c>
      <c r="Q147" s="13" t="s">
        <v>733</v>
      </c>
      <c r="R147" s="10"/>
      <c r="S147" s="10"/>
      <c r="T147" s="11"/>
    </row>
    <row r="148" spans="1:20" ht="56" x14ac:dyDescent="0.35">
      <c r="A148" s="12" t="s">
        <v>413</v>
      </c>
      <c r="B148" s="12" t="s">
        <v>4</v>
      </c>
      <c r="C148" s="13" t="s">
        <v>734</v>
      </c>
      <c r="D148" s="13" t="s">
        <v>735</v>
      </c>
      <c r="E148" s="12" t="s">
        <v>495</v>
      </c>
      <c r="F148" s="12" t="s">
        <v>4</v>
      </c>
      <c r="G148" s="12" t="s">
        <v>495</v>
      </c>
      <c r="H148" s="12" t="s">
        <v>495</v>
      </c>
      <c r="I148" s="14">
        <v>0.8</v>
      </c>
      <c r="J148" s="12"/>
      <c r="K148" s="12"/>
      <c r="L148" s="14"/>
      <c r="M148" s="12"/>
      <c r="N148" s="14"/>
      <c r="O148" s="12">
        <v>1</v>
      </c>
      <c r="P148" s="12" t="s">
        <v>736</v>
      </c>
      <c r="Q148" s="13" t="s">
        <v>737</v>
      </c>
      <c r="R148" s="10"/>
      <c r="S148" s="10"/>
      <c r="T148" s="11"/>
    </row>
    <row r="149" spans="1:20" ht="42" x14ac:dyDescent="0.35">
      <c r="A149" s="12" t="s">
        <v>413</v>
      </c>
      <c r="B149" s="12" t="s">
        <v>4</v>
      </c>
      <c r="C149" s="13" t="s">
        <v>738</v>
      </c>
      <c r="D149" s="13" t="s">
        <v>739</v>
      </c>
      <c r="E149" s="12" t="s">
        <v>67</v>
      </c>
      <c r="F149" s="12" t="s">
        <v>4</v>
      </c>
      <c r="G149" s="12" t="s">
        <v>67</v>
      </c>
      <c r="H149" s="12" t="s">
        <v>67</v>
      </c>
      <c r="I149" s="14">
        <v>0.8</v>
      </c>
      <c r="J149" s="12"/>
      <c r="K149" s="12"/>
      <c r="L149" s="14"/>
      <c r="M149" s="12"/>
      <c r="N149" s="14"/>
      <c r="O149" s="12">
        <v>3</v>
      </c>
      <c r="P149" s="12" t="s">
        <v>740</v>
      </c>
      <c r="Q149" s="13" t="s">
        <v>741</v>
      </c>
      <c r="R149" s="10"/>
      <c r="S149" s="10"/>
      <c r="T149" s="11"/>
    </row>
    <row r="150" spans="1:20" ht="84" x14ac:dyDescent="0.35">
      <c r="A150" s="12" t="s">
        <v>413</v>
      </c>
      <c r="B150" s="12" t="s">
        <v>4</v>
      </c>
      <c r="C150" s="13" t="s">
        <v>742</v>
      </c>
      <c r="D150" s="13" t="s">
        <v>743</v>
      </c>
      <c r="E150" s="12" t="s">
        <v>26</v>
      </c>
      <c r="F150" s="12" t="s">
        <v>4</v>
      </c>
      <c r="G150" s="12" t="s">
        <v>26</v>
      </c>
      <c r="H150" s="12" t="s">
        <v>28</v>
      </c>
      <c r="I150" s="14">
        <v>0.64</v>
      </c>
      <c r="J150" s="12"/>
      <c r="K150" s="12" t="s">
        <v>26</v>
      </c>
      <c r="L150" s="14">
        <v>0.64</v>
      </c>
      <c r="M150" s="12"/>
      <c r="N150" s="14"/>
      <c r="O150" s="12">
        <v>1</v>
      </c>
      <c r="P150" s="12" t="s">
        <v>744</v>
      </c>
      <c r="Q150" s="13" t="s">
        <v>745</v>
      </c>
      <c r="R150" s="10"/>
      <c r="S150" s="10"/>
      <c r="T150" s="11"/>
    </row>
    <row r="151" spans="1:20" ht="84" x14ac:dyDescent="0.35">
      <c r="A151" s="12" t="s">
        <v>413</v>
      </c>
      <c r="B151" s="12" t="s">
        <v>4</v>
      </c>
      <c r="C151" s="13" t="s">
        <v>746</v>
      </c>
      <c r="D151" s="13" t="s">
        <v>747</v>
      </c>
      <c r="E151" s="12" t="s">
        <v>424</v>
      </c>
      <c r="F151" s="12" t="s">
        <v>4</v>
      </c>
      <c r="G151" s="12" t="s">
        <v>424</v>
      </c>
      <c r="H151" s="12" t="s">
        <v>424</v>
      </c>
      <c r="I151" s="14">
        <v>0.64</v>
      </c>
      <c r="J151" s="12"/>
      <c r="K151" s="12" t="s">
        <v>426</v>
      </c>
      <c r="L151" s="14">
        <v>0.64</v>
      </c>
      <c r="M151" s="12"/>
      <c r="N151" s="14"/>
      <c r="O151" s="12">
        <v>1</v>
      </c>
      <c r="P151" s="12" t="s">
        <v>748</v>
      </c>
      <c r="Q151" s="13" t="s">
        <v>749</v>
      </c>
      <c r="R151" s="10"/>
      <c r="S151" s="10"/>
      <c r="T151" s="11"/>
    </row>
    <row r="152" spans="1:20" ht="98" x14ac:dyDescent="0.35">
      <c r="A152" s="12" t="s">
        <v>413</v>
      </c>
      <c r="B152" s="12" t="s">
        <v>4</v>
      </c>
      <c r="C152" s="13" t="s">
        <v>750</v>
      </c>
      <c r="D152" s="13" t="s">
        <v>751</v>
      </c>
      <c r="E152" s="12" t="s">
        <v>752</v>
      </c>
      <c r="F152" s="12" t="s">
        <v>4</v>
      </c>
      <c r="G152" s="12" t="s">
        <v>752</v>
      </c>
      <c r="H152" s="12" t="s">
        <v>753</v>
      </c>
      <c r="I152" s="14">
        <v>0.8</v>
      </c>
      <c r="J152" s="12"/>
      <c r="K152" s="12"/>
      <c r="L152" s="14"/>
      <c r="M152" s="12"/>
      <c r="N152" s="14"/>
      <c r="O152" s="12">
        <v>1</v>
      </c>
      <c r="P152" s="12" t="s">
        <v>754</v>
      </c>
      <c r="Q152" s="13" t="s">
        <v>755</v>
      </c>
      <c r="R152" s="10"/>
      <c r="S152" s="10"/>
      <c r="T152" s="11"/>
    </row>
    <row r="153" spans="1:20" ht="28" x14ac:dyDescent="0.35">
      <c r="A153" s="12" t="s">
        <v>413</v>
      </c>
      <c r="B153" s="12" t="s">
        <v>4</v>
      </c>
      <c r="C153" s="13" t="s">
        <v>756</v>
      </c>
      <c r="D153" s="13" t="s">
        <v>757</v>
      </c>
      <c r="E153" s="12" t="s">
        <v>533</v>
      </c>
      <c r="F153" s="12" t="s">
        <v>4</v>
      </c>
      <c r="G153" s="12" t="s">
        <v>533</v>
      </c>
      <c r="H153" s="12" t="s">
        <v>112</v>
      </c>
      <c r="I153" s="14">
        <v>0.8</v>
      </c>
      <c r="J153" s="12"/>
      <c r="K153" s="12"/>
      <c r="L153" s="14"/>
      <c r="M153" s="12"/>
      <c r="N153" s="14"/>
      <c r="O153" s="12">
        <v>1</v>
      </c>
      <c r="P153" s="12" t="s">
        <v>758</v>
      </c>
      <c r="Q153" s="13" t="s">
        <v>759</v>
      </c>
      <c r="R153" s="10"/>
      <c r="S153" s="10"/>
      <c r="T153" s="11"/>
    </row>
    <row r="154" spans="1:20" ht="84" x14ac:dyDescent="0.35">
      <c r="A154" s="12" t="s">
        <v>413</v>
      </c>
      <c r="B154" s="12" t="s">
        <v>4</v>
      </c>
      <c r="C154" s="13" t="s">
        <v>760</v>
      </c>
      <c r="D154" s="13" t="s">
        <v>761</v>
      </c>
      <c r="E154" s="12" t="s">
        <v>722</v>
      </c>
      <c r="F154" s="12" t="s">
        <v>4</v>
      </c>
      <c r="G154" s="12" t="s">
        <v>722</v>
      </c>
      <c r="H154" s="12" t="s">
        <v>722</v>
      </c>
      <c r="I154" s="14">
        <v>0.8</v>
      </c>
      <c r="J154" s="12"/>
      <c r="K154" s="12"/>
      <c r="L154" s="14"/>
      <c r="M154" s="12"/>
      <c r="N154" s="14"/>
      <c r="O154" s="12">
        <v>1</v>
      </c>
      <c r="P154" s="12" t="s">
        <v>762</v>
      </c>
      <c r="Q154" s="13" t="s">
        <v>763</v>
      </c>
      <c r="R154" s="10"/>
      <c r="S154" s="10"/>
      <c r="T154" s="11"/>
    </row>
    <row r="155" spans="1:20" ht="56" x14ac:dyDescent="0.35">
      <c r="A155" s="12" t="s">
        <v>413</v>
      </c>
      <c r="B155" s="12" t="s">
        <v>4</v>
      </c>
      <c r="C155" s="13" t="s">
        <v>764</v>
      </c>
      <c r="D155" s="13" t="s">
        <v>765</v>
      </c>
      <c r="E155" s="12" t="s">
        <v>461</v>
      </c>
      <c r="F155" s="12" t="s">
        <v>4</v>
      </c>
      <c r="G155" s="12" t="s">
        <v>461</v>
      </c>
      <c r="H155" s="12" t="s">
        <v>463</v>
      </c>
      <c r="I155" s="14">
        <v>0.8</v>
      </c>
      <c r="J155" s="12"/>
      <c r="K155" s="12"/>
      <c r="L155" s="14"/>
      <c r="M155" s="12"/>
      <c r="N155" s="14"/>
      <c r="O155" s="12">
        <v>2</v>
      </c>
      <c r="P155" s="12" t="s">
        <v>766</v>
      </c>
      <c r="Q155" s="13" t="s">
        <v>767</v>
      </c>
      <c r="R155" s="10"/>
      <c r="S155" s="10"/>
      <c r="T155" s="11"/>
    </row>
    <row r="156" spans="1:20" ht="70" x14ac:dyDescent="0.35">
      <c r="A156" s="12" t="s">
        <v>413</v>
      </c>
      <c r="B156" s="12" t="s">
        <v>4</v>
      </c>
      <c r="C156" s="13" t="s">
        <v>768</v>
      </c>
      <c r="D156" s="13"/>
      <c r="E156" s="12" t="s">
        <v>461</v>
      </c>
      <c r="F156" s="12" t="s">
        <v>4</v>
      </c>
      <c r="G156" s="12" t="s">
        <v>461</v>
      </c>
      <c r="H156" s="12" t="s">
        <v>463</v>
      </c>
      <c r="I156" s="14">
        <v>0.8</v>
      </c>
      <c r="J156" s="12"/>
      <c r="K156" s="12"/>
      <c r="L156" s="14"/>
      <c r="M156" s="12"/>
      <c r="N156" s="14"/>
      <c r="O156" s="12">
        <v>1</v>
      </c>
      <c r="P156" s="12" t="s">
        <v>769</v>
      </c>
      <c r="Q156" s="13" t="s">
        <v>770</v>
      </c>
      <c r="R156" s="10"/>
      <c r="S156" s="10"/>
      <c r="T156" s="11"/>
    </row>
    <row r="157" spans="1:20" ht="56" x14ac:dyDescent="0.35">
      <c r="A157" s="12" t="s">
        <v>413</v>
      </c>
      <c r="B157" s="12" t="s">
        <v>4</v>
      </c>
      <c r="C157" s="13" t="s">
        <v>771</v>
      </c>
      <c r="D157" s="13" t="s">
        <v>772</v>
      </c>
      <c r="E157" s="12" t="s">
        <v>450</v>
      </c>
      <c r="F157" s="12" t="s">
        <v>4</v>
      </c>
      <c r="G157" s="12" t="s">
        <v>450</v>
      </c>
      <c r="H157" s="12" t="s">
        <v>451</v>
      </c>
      <c r="I157" s="14">
        <v>0.8</v>
      </c>
      <c r="J157" s="12"/>
      <c r="K157" s="12"/>
      <c r="L157" s="14"/>
      <c r="M157" s="12"/>
      <c r="N157" s="14"/>
      <c r="O157" s="12">
        <v>1</v>
      </c>
      <c r="P157" s="12" t="s">
        <v>773</v>
      </c>
      <c r="Q157" s="13" t="s">
        <v>774</v>
      </c>
      <c r="R157" s="10"/>
      <c r="S157" s="10"/>
      <c r="T157" s="11"/>
    </row>
    <row r="158" spans="1:20" ht="98" x14ac:dyDescent="0.35">
      <c r="A158" s="12" t="s">
        <v>413</v>
      </c>
      <c r="B158" s="12" t="s">
        <v>4</v>
      </c>
      <c r="C158" s="13" t="s">
        <v>775</v>
      </c>
      <c r="D158" s="13"/>
      <c r="E158" s="12" t="s">
        <v>67</v>
      </c>
      <c r="F158" s="12" t="s">
        <v>4</v>
      </c>
      <c r="G158" s="12" t="s">
        <v>67</v>
      </c>
      <c r="H158" s="12" t="s">
        <v>67</v>
      </c>
      <c r="I158" s="14">
        <v>0.8</v>
      </c>
      <c r="J158" s="12"/>
      <c r="K158" s="12"/>
      <c r="L158" s="14"/>
      <c r="M158" s="12"/>
      <c r="N158" s="14"/>
      <c r="O158" s="12">
        <v>1</v>
      </c>
      <c r="P158" s="12" t="s">
        <v>776</v>
      </c>
      <c r="Q158" s="13" t="s">
        <v>777</v>
      </c>
      <c r="R158" s="10"/>
      <c r="S158" s="10"/>
      <c r="T158" s="11"/>
    </row>
    <row r="159" spans="1:20" ht="84" x14ac:dyDescent="0.35">
      <c r="A159" s="12" t="s">
        <v>413</v>
      </c>
      <c r="B159" s="12" t="s">
        <v>4</v>
      </c>
      <c r="C159" s="13" t="s">
        <v>778</v>
      </c>
      <c r="D159" s="13"/>
      <c r="E159" s="12" t="s">
        <v>779</v>
      </c>
      <c r="F159" s="12" t="s">
        <v>4</v>
      </c>
      <c r="G159" s="12" t="s">
        <v>779</v>
      </c>
      <c r="H159" s="12" t="s">
        <v>780</v>
      </c>
      <c r="I159" s="14">
        <v>0.8</v>
      </c>
      <c r="J159" s="12"/>
      <c r="K159" s="12"/>
      <c r="L159" s="14"/>
      <c r="M159" s="12"/>
      <c r="N159" s="14"/>
      <c r="O159" s="12">
        <v>1</v>
      </c>
      <c r="P159" s="12" t="s">
        <v>781</v>
      </c>
      <c r="Q159" s="13" t="s">
        <v>782</v>
      </c>
      <c r="R159" s="10"/>
      <c r="S159" s="10"/>
      <c r="T159" s="11"/>
    </row>
    <row r="160" spans="1:20" ht="56" x14ac:dyDescent="0.35">
      <c r="A160" s="12" t="s">
        <v>413</v>
      </c>
      <c r="B160" s="12" t="s">
        <v>4</v>
      </c>
      <c r="C160" s="13" t="s">
        <v>783</v>
      </c>
      <c r="D160" s="13" t="s">
        <v>784</v>
      </c>
      <c r="E160" s="12" t="s">
        <v>152</v>
      </c>
      <c r="F160" s="12" t="s">
        <v>4</v>
      </c>
      <c r="G160" s="12" t="s">
        <v>152</v>
      </c>
      <c r="H160" s="12" t="s">
        <v>153</v>
      </c>
      <c r="I160" s="14">
        <v>0.8</v>
      </c>
      <c r="J160" s="12"/>
      <c r="K160" s="12"/>
      <c r="L160" s="14"/>
      <c r="M160" s="12"/>
      <c r="N160" s="14"/>
      <c r="O160" s="12">
        <v>1</v>
      </c>
      <c r="P160" s="12" t="s">
        <v>785</v>
      </c>
      <c r="Q160" s="13" t="s">
        <v>786</v>
      </c>
      <c r="R160" s="10"/>
      <c r="S160" s="10"/>
      <c r="T160" s="11"/>
    </row>
    <row r="161" spans="1:20" ht="42" x14ac:dyDescent="0.35">
      <c r="A161" s="12" t="s">
        <v>413</v>
      </c>
      <c r="B161" s="12" t="s">
        <v>4</v>
      </c>
      <c r="C161" s="13" t="s">
        <v>787</v>
      </c>
      <c r="D161" s="13" t="s">
        <v>788</v>
      </c>
      <c r="E161" s="12" t="s">
        <v>67</v>
      </c>
      <c r="F161" s="12" t="s">
        <v>4</v>
      </c>
      <c r="G161" s="12" t="s">
        <v>67</v>
      </c>
      <c r="H161" s="12" t="s">
        <v>67</v>
      </c>
      <c r="I161" s="14">
        <v>0.8</v>
      </c>
      <c r="J161" s="12"/>
      <c r="K161" s="12"/>
      <c r="L161" s="14"/>
      <c r="M161" s="12"/>
      <c r="N161" s="14"/>
      <c r="O161" s="12">
        <v>1</v>
      </c>
      <c r="P161" s="12" t="s">
        <v>789</v>
      </c>
      <c r="Q161" s="13" t="s">
        <v>790</v>
      </c>
      <c r="R161" s="10"/>
      <c r="S161" s="10"/>
      <c r="T161" s="11"/>
    </row>
    <row r="162" spans="1:20" ht="70" x14ac:dyDescent="0.35">
      <c r="A162" s="12" t="s">
        <v>413</v>
      </c>
      <c r="B162" s="12" t="s">
        <v>4</v>
      </c>
      <c r="C162" s="13" t="s">
        <v>791</v>
      </c>
      <c r="D162" s="13" t="s">
        <v>792</v>
      </c>
      <c r="E162" s="12" t="s">
        <v>67</v>
      </c>
      <c r="F162" s="12" t="s">
        <v>4</v>
      </c>
      <c r="G162" s="12" t="s">
        <v>67</v>
      </c>
      <c r="H162" s="12" t="s">
        <v>67</v>
      </c>
      <c r="I162" s="14">
        <v>0.8</v>
      </c>
      <c r="J162" s="12"/>
      <c r="K162" s="12"/>
      <c r="L162" s="14"/>
      <c r="M162" s="12"/>
      <c r="N162" s="14"/>
      <c r="O162" s="12">
        <v>2</v>
      </c>
      <c r="P162" s="12" t="s">
        <v>793</v>
      </c>
      <c r="Q162" s="13" t="s">
        <v>794</v>
      </c>
      <c r="R162" s="10"/>
      <c r="S162" s="10"/>
      <c r="T162" s="11"/>
    </row>
    <row r="163" spans="1:20" ht="56" x14ac:dyDescent="0.35">
      <c r="A163" s="12" t="s">
        <v>413</v>
      </c>
      <c r="B163" s="12" t="s">
        <v>4</v>
      </c>
      <c r="C163" s="13" t="s">
        <v>795</v>
      </c>
      <c r="D163" s="13" t="s">
        <v>796</v>
      </c>
      <c r="E163" s="12" t="s">
        <v>576</v>
      </c>
      <c r="F163" s="12" t="s">
        <v>4</v>
      </c>
      <c r="G163" s="12" t="s">
        <v>576</v>
      </c>
      <c r="H163" s="12" t="s">
        <v>578</v>
      </c>
      <c r="I163" s="14">
        <v>0.8</v>
      </c>
      <c r="J163" s="12"/>
      <c r="K163" s="12"/>
      <c r="L163" s="14"/>
      <c r="M163" s="12"/>
      <c r="N163" s="14"/>
      <c r="O163" s="12">
        <v>1</v>
      </c>
      <c r="P163" s="12" t="s">
        <v>797</v>
      </c>
      <c r="Q163" s="13" t="s">
        <v>798</v>
      </c>
      <c r="R163" s="10"/>
      <c r="S163" s="10"/>
      <c r="T163" s="11"/>
    </row>
    <row r="164" spans="1:20" ht="98" x14ac:dyDescent="0.35">
      <c r="A164" s="12" t="s">
        <v>413</v>
      </c>
      <c r="B164" s="12" t="s">
        <v>4</v>
      </c>
      <c r="C164" s="13" t="s">
        <v>799</v>
      </c>
      <c r="D164" s="13" t="s">
        <v>800</v>
      </c>
      <c r="E164" s="12" t="s">
        <v>67</v>
      </c>
      <c r="F164" s="12" t="s">
        <v>4</v>
      </c>
      <c r="G164" s="12" t="s">
        <v>67</v>
      </c>
      <c r="H164" s="12" t="s">
        <v>67</v>
      </c>
      <c r="I164" s="14">
        <v>0.8</v>
      </c>
      <c r="J164" s="12"/>
      <c r="K164" s="12"/>
      <c r="L164" s="14"/>
      <c r="M164" s="12"/>
      <c r="N164" s="14"/>
      <c r="O164" s="12">
        <v>1</v>
      </c>
      <c r="P164" s="12" t="s">
        <v>801</v>
      </c>
      <c r="Q164" s="13" t="s">
        <v>802</v>
      </c>
      <c r="R164" s="10"/>
      <c r="S164" s="10"/>
      <c r="T164" s="11"/>
    </row>
    <row r="165" spans="1:20" ht="84" x14ac:dyDescent="0.35">
      <c r="A165" s="12" t="s">
        <v>413</v>
      </c>
      <c r="B165" s="12" t="s">
        <v>4</v>
      </c>
      <c r="C165" s="13" t="s">
        <v>803</v>
      </c>
      <c r="D165" s="13" t="s">
        <v>804</v>
      </c>
      <c r="E165" s="12" t="s">
        <v>67</v>
      </c>
      <c r="F165" s="12" t="s">
        <v>4</v>
      </c>
      <c r="G165" s="12" t="s">
        <v>67</v>
      </c>
      <c r="H165" s="12" t="s">
        <v>67</v>
      </c>
      <c r="I165" s="14">
        <v>0.8</v>
      </c>
      <c r="J165" s="12"/>
      <c r="K165" s="12"/>
      <c r="L165" s="14"/>
      <c r="M165" s="12"/>
      <c r="N165" s="14"/>
      <c r="O165" s="12">
        <v>1</v>
      </c>
      <c r="P165" s="12" t="s">
        <v>805</v>
      </c>
      <c r="Q165" s="13" t="s">
        <v>806</v>
      </c>
      <c r="R165" s="10"/>
      <c r="S165" s="10"/>
      <c r="T165" s="11"/>
    </row>
    <row r="166" spans="1:20" ht="98" x14ac:dyDescent="0.35">
      <c r="A166" s="12" t="s">
        <v>413</v>
      </c>
      <c r="B166" s="12" t="s">
        <v>4</v>
      </c>
      <c r="C166" s="13" t="s">
        <v>807</v>
      </c>
      <c r="D166" s="13" t="s">
        <v>808</v>
      </c>
      <c r="E166" s="12" t="s">
        <v>67</v>
      </c>
      <c r="F166" s="12" t="s">
        <v>4</v>
      </c>
      <c r="G166" s="12" t="s">
        <v>67</v>
      </c>
      <c r="H166" s="12" t="s">
        <v>67</v>
      </c>
      <c r="I166" s="14">
        <v>0.8</v>
      </c>
      <c r="J166" s="12"/>
      <c r="K166" s="12"/>
      <c r="L166" s="14"/>
      <c r="M166" s="12"/>
      <c r="N166" s="14"/>
      <c r="O166" s="12">
        <v>1</v>
      </c>
      <c r="P166" s="12" t="s">
        <v>809</v>
      </c>
      <c r="Q166" s="13" t="s">
        <v>810</v>
      </c>
      <c r="R166" s="10"/>
      <c r="S166" s="10"/>
      <c r="T166" s="11"/>
    </row>
    <row r="167" spans="1:20" ht="70" x14ac:dyDescent="0.35">
      <c r="A167" s="12" t="s">
        <v>413</v>
      </c>
      <c r="B167" s="12" t="s">
        <v>4</v>
      </c>
      <c r="C167" s="13" t="s">
        <v>811</v>
      </c>
      <c r="D167" s="13" t="s">
        <v>812</v>
      </c>
      <c r="E167" s="12" t="s">
        <v>67</v>
      </c>
      <c r="F167" s="12" t="s">
        <v>4</v>
      </c>
      <c r="G167" s="12" t="s">
        <v>67</v>
      </c>
      <c r="H167" s="12" t="s">
        <v>67</v>
      </c>
      <c r="I167" s="14">
        <v>0.8</v>
      </c>
      <c r="J167" s="12"/>
      <c r="K167" s="12"/>
      <c r="L167" s="14"/>
      <c r="M167" s="12"/>
      <c r="N167" s="14"/>
      <c r="O167" s="12">
        <v>1</v>
      </c>
      <c r="P167" s="12" t="s">
        <v>813</v>
      </c>
      <c r="Q167" s="13" t="s">
        <v>814</v>
      </c>
      <c r="R167" s="10"/>
      <c r="S167" s="10"/>
      <c r="T167" s="11"/>
    </row>
    <row r="168" spans="1:20" ht="84" x14ac:dyDescent="0.35">
      <c r="A168" s="12" t="s">
        <v>413</v>
      </c>
      <c r="B168" s="12" t="s">
        <v>4</v>
      </c>
      <c r="C168" s="13" t="s">
        <v>815</v>
      </c>
      <c r="D168" s="13" t="s">
        <v>816</v>
      </c>
      <c r="E168" s="12" t="s">
        <v>67</v>
      </c>
      <c r="F168" s="12" t="s">
        <v>4</v>
      </c>
      <c r="G168" s="12" t="s">
        <v>67</v>
      </c>
      <c r="H168" s="12" t="s">
        <v>67</v>
      </c>
      <c r="I168" s="14">
        <v>0.8</v>
      </c>
      <c r="J168" s="12"/>
      <c r="K168" s="12"/>
      <c r="L168" s="14"/>
      <c r="M168" s="12"/>
      <c r="N168" s="14"/>
      <c r="O168" s="12">
        <v>1</v>
      </c>
      <c r="P168" s="12" t="s">
        <v>817</v>
      </c>
      <c r="Q168" s="13" t="s">
        <v>818</v>
      </c>
      <c r="R168" s="10"/>
      <c r="S168" s="10"/>
      <c r="T168" s="11"/>
    </row>
    <row r="169" spans="1:20" ht="98" x14ac:dyDescent="0.35">
      <c r="A169" s="12" t="s">
        <v>413</v>
      </c>
      <c r="B169" s="12" t="s">
        <v>4</v>
      </c>
      <c r="C169" s="13" t="s">
        <v>819</v>
      </c>
      <c r="D169" s="13" t="s">
        <v>820</v>
      </c>
      <c r="E169" s="12" t="s">
        <v>67</v>
      </c>
      <c r="F169" s="12" t="s">
        <v>4</v>
      </c>
      <c r="G169" s="12" t="s">
        <v>67</v>
      </c>
      <c r="H169" s="12" t="s">
        <v>67</v>
      </c>
      <c r="I169" s="14">
        <v>0.8</v>
      </c>
      <c r="J169" s="12"/>
      <c r="K169" s="12"/>
      <c r="L169" s="14"/>
      <c r="M169" s="12"/>
      <c r="N169" s="14"/>
      <c r="O169" s="12">
        <v>1</v>
      </c>
      <c r="P169" s="12" t="s">
        <v>821</v>
      </c>
      <c r="Q169" s="13" t="s">
        <v>822</v>
      </c>
      <c r="R169" s="10"/>
      <c r="S169" s="10"/>
      <c r="T169" s="11"/>
    </row>
    <row r="170" spans="1:20" ht="98" x14ac:dyDescent="0.35">
      <c r="A170" s="12" t="s">
        <v>413</v>
      </c>
      <c r="B170" s="12" t="s">
        <v>4</v>
      </c>
      <c r="C170" s="13" t="s">
        <v>823</v>
      </c>
      <c r="D170" s="13" t="s">
        <v>824</v>
      </c>
      <c r="E170" s="12" t="s">
        <v>67</v>
      </c>
      <c r="F170" s="12" t="s">
        <v>4</v>
      </c>
      <c r="G170" s="12" t="s">
        <v>67</v>
      </c>
      <c r="H170" s="12" t="s">
        <v>67</v>
      </c>
      <c r="I170" s="14">
        <v>0.8</v>
      </c>
      <c r="J170" s="12"/>
      <c r="K170" s="12"/>
      <c r="L170" s="14"/>
      <c r="M170" s="12"/>
      <c r="N170" s="14"/>
      <c r="O170" s="12">
        <v>1</v>
      </c>
      <c r="P170" s="12" t="s">
        <v>825</v>
      </c>
      <c r="Q170" s="13" t="s">
        <v>826</v>
      </c>
      <c r="R170" s="10"/>
      <c r="S170" s="10"/>
      <c r="T170" s="11"/>
    </row>
    <row r="171" spans="1:20" ht="56" x14ac:dyDescent="0.35">
      <c r="A171" s="12" t="s">
        <v>413</v>
      </c>
      <c r="B171" s="12" t="s">
        <v>4</v>
      </c>
      <c r="C171" s="13" t="s">
        <v>827</v>
      </c>
      <c r="D171" s="13" t="s">
        <v>828</v>
      </c>
      <c r="E171" s="12" t="s">
        <v>67</v>
      </c>
      <c r="F171" s="12" t="s">
        <v>4</v>
      </c>
      <c r="G171" s="12" t="s">
        <v>67</v>
      </c>
      <c r="H171" s="12" t="s">
        <v>67</v>
      </c>
      <c r="I171" s="14">
        <v>0.8</v>
      </c>
      <c r="J171" s="12"/>
      <c r="K171" s="12"/>
      <c r="L171" s="14"/>
      <c r="M171" s="12"/>
      <c r="N171" s="14"/>
      <c r="O171" s="12">
        <v>1</v>
      </c>
      <c r="P171" s="12" t="s">
        <v>829</v>
      </c>
      <c r="Q171" s="13" t="s">
        <v>830</v>
      </c>
      <c r="R171" s="10"/>
      <c r="S171" s="10"/>
      <c r="T171" s="11"/>
    </row>
    <row r="172" spans="1:20" ht="56" x14ac:dyDescent="0.35">
      <c r="A172" s="12" t="s">
        <v>413</v>
      </c>
      <c r="B172" s="12" t="s">
        <v>4</v>
      </c>
      <c r="C172" s="13" t="s">
        <v>831</v>
      </c>
      <c r="D172" s="13" t="s">
        <v>832</v>
      </c>
      <c r="E172" s="12" t="s">
        <v>67</v>
      </c>
      <c r="F172" s="12" t="s">
        <v>4</v>
      </c>
      <c r="G172" s="12" t="s">
        <v>67</v>
      </c>
      <c r="H172" s="12" t="s">
        <v>67</v>
      </c>
      <c r="I172" s="14">
        <v>0.8</v>
      </c>
      <c r="J172" s="12"/>
      <c r="K172" s="12"/>
      <c r="L172" s="14"/>
      <c r="M172" s="12"/>
      <c r="N172" s="14"/>
      <c r="O172" s="12">
        <v>2</v>
      </c>
      <c r="P172" s="12" t="s">
        <v>833</v>
      </c>
      <c r="Q172" s="13" t="s">
        <v>834</v>
      </c>
      <c r="R172" s="10"/>
      <c r="S172" s="10"/>
      <c r="T172" s="11"/>
    </row>
    <row r="173" spans="1:20" ht="56" x14ac:dyDescent="0.35">
      <c r="A173" s="12" t="s">
        <v>413</v>
      </c>
      <c r="B173" s="12" t="s">
        <v>4</v>
      </c>
      <c r="C173" s="13" t="s">
        <v>835</v>
      </c>
      <c r="D173" s="13"/>
      <c r="E173" s="12" t="s">
        <v>67</v>
      </c>
      <c r="F173" s="12" t="s">
        <v>4</v>
      </c>
      <c r="G173" s="12" t="s">
        <v>67</v>
      </c>
      <c r="H173" s="12" t="s">
        <v>67</v>
      </c>
      <c r="I173" s="14">
        <v>0.8</v>
      </c>
      <c r="J173" s="12"/>
      <c r="K173" s="12"/>
      <c r="L173" s="14"/>
      <c r="M173" s="12"/>
      <c r="N173" s="14"/>
      <c r="O173" s="12">
        <v>1</v>
      </c>
      <c r="P173" s="12" t="s">
        <v>836</v>
      </c>
      <c r="Q173" s="13" t="s">
        <v>837</v>
      </c>
      <c r="R173" s="10"/>
      <c r="S173" s="10"/>
      <c r="T173" s="11"/>
    </row>
    <row r="174" spans="1:20" ht="42" x14ac:dyDescent="0.35">
      <c r="A174" s="12" t="s">
        <v>413</v>
      </c>
      <c r="B174" s="12" t="s">
        <v>4</v>
      </c>
      <c r="C174" s="13" t="s">
        <v>838</v>
      </c>
      <c r="D174" s="13" t="s">
        <v>839</v>
      </c>
      <c r="E174" s="12" t="s">
        <v>67</v>
      </c>
      <c r="F174" s="12" t="s">
        <v>4</v>
      </c>
      <c r="G174" s="12" t="s">
        <v>67</v>
      </c>
      <c r="H174" s="12" t="s">
        <v>67</v>
      </c>
      <c r="I174" s="14">
        <v>0.8</v>
      </c>
      <c r="J174" s="12"/>
      <c r="K174" s="12"/>
      <c r="L174" s="14"/>
      <c r="M174" s="12"/>
      <c r="N174" s="14"/>
      <c r="O174" s="12">
        <v>1</v>
      </c>
      <c r="P174" s="12" t="s">
        <v>840</v>
      </c>
      <c r="Q174" s="13" t="s">
        <v>841</v>
      </c>
      <c r="R174" s="10"/>
      <c r="S174" s="10"/>
      <c r="T174" s="11"/>
    </row>
    <row r="175" spans="1:20" ht="84" x14ac:dyDescent="0.35">
      <c r="A175" s="12" t="s">
        <v>413</v>
      </c>
      <c r="B175" s="12" t="s">
        <v>4</v>
      </c>
      <c r="C175" s="13" t="s">
        <v>842</v>
      </c>
      <c r="D175" s="13"/>
      <c r="E175" s="12" t="s">
        <v>67</v>
      </c>
      <c r="F175" s="12" t="s">
        <v>4</v>
      </c>
      <c r="G175" s="12" t="s">
        <v>67</v>
      </c>
      <c r="H175" s="12" t="s">
        <v>67</v>
      </c>
      <c r="I175" s="14">
        <v>0.8</v>
      </c>
      <c r="J175" s="12"/>
      <c r="K175" s="12"/>
      <c r="L175" s="14"/>
      <c r="M175" s="12"/>
      <c r="N175" s="14"/>
      <c r="O175" s="12">
        <v>1</v>
      </c>
      <c r="P175" s="12" t="s">
        <v>843</v>
      </c>
      <c r="Q175" s="13" t="s">
        <v>844</v>
      </c>
      <c r="R175" s="10"/>
      <c r="S175" s="10"/>
      <c r="T175" s="11"/>
    </row>
    <row r="176" spans="1:20" ht="70" x14ac:dyDescent="0.35">
      <c r="A176" s="12" t="s">
        <v>413</v>
      </c>
      <c r="B176" s="12" t="s">
        <v>4</v>
      </c>
      <c r="C176" s="13" t="s">
        <v>845</v>
      </c>
      <c r="D176" s="13" t="s">
        <v>846</v>
      </c>
      <c r="E176" s="12" t="s">
        <v>67</v>
      </c>
      <c r="F176" s="12" t="s">
        <v>4</v>
      </c>
      <c r="G176" s="12" t="s">
        <v>67</v>
      </c>
      <c r="H176" s="12" t="s">
        <v>67</v>
      </c>
      <c r="I176" s="14">
        <v>0.8</v>
      </c>
      <c r="J176" s="12"/>
      <c r="K176" s="12"/>
      <c r="L176" s="14"/>
      <c r="M176" s="12"/>
      <c r="N176" s="14"/>
      <c r="O176" s="12">
        <v>1</v>
      </c>
      <c r="P176" s="12" t="s">
        <v>847</v>
      </c>
      <c r="Q176" s="13" t="s">
        <v>848</v>
      </c>
      <c r="R176" s="10"/>
      <c r="S176" s="10"/>
      <c r="T176" s="11"/>
    </row>
    <row r="177" spans="1:20" ht="84" x14ac:dyDescent="0.35">
      <c r="A177" s="12" t="s">
        <v>413</v>
      </c>
      <c r="B177" s="12" t="s">
        <v>4</v>
      </c>
      <c r="C177" s="13" t="s">
        <v>849</v>
      </c>
      <c r="D177" s="13" t="s">
        <v>850</v>
      </c>
      <c r="E177" s="12" t="s">
        <v>67</v>
      </c>
      <c r="F177" s="12" t="s">
        <v>4</v>
      </c>
      <c r="G177" s="12" t="s">
        <v>67</v>
      </c>
      <c r="H177" s="12" t="s">
        <v>67</v>
      </c>
      <c r="I177" s="14">
        <v>0.8</v>
      </c>
      <c r="J177" s="12"/>
      <c r="K177" s="12"/>
      <c r="L177" s="14"/>
      <c r="M177" s="12"/>
      <c r="N177" s="14"/>
      <c r="O177" s="12">
        <v>1</v>
      </c>
      <c r="P177" s="12" t="s">
        <v>851</v>
      </c>
      <c r="Q177" s="13" t="s">
        <v>852</v>
      </c>
      <c r="R177" s="10"/>
      <c r="S177" s="10"/>
      <c r="T177" s="11"/>
    </row>
    <row r="178" spans="1:20" ht="28" x14ac:dyDescent="0.35">
      <c r="A178" s="12" t="s">
        <v>413</v>
      </c>
      <c r="B178" s="12" t="s">
        <v>4</v>
      </c>
      <c r="C178" s="13" t="s">
        <v>853</v>
      </c>
      <c r="D178" s="13" t="s">
        <v>854</v>
      </c>
      <c r="E178" s="12" t="s">
        <v>485</v>
      </c>
      <c r="F178" s="12" t="s">
        <v>4</v>
      </c>
      <c r="G178" s="12" t="s">
        <v>485</v>
      </c>
      <c r="H178" s="12" t="s">
        <v>487</v>
      </c>
      <c r="I178" s="14">
        <v>0.8</v>
      </c>
      <c r="J178" s="12"/>
      <c r="K178" s="12"/>
      <c r="L178" s="14"/>
      <c r="M178" s="12"/>
      <c r="N178" s="14"/>
      <c r="O178" s="12">
        <v>1</v>
      </c>
      <c r="P178" s="12" t="s">
        <v>855</v>
      </c>
      <c r="Q178" s="13" t="s">
        <v>856</v>
      </c>
      <c r="R178" s="10"/>
      <c r="S178" s="10"/>
      <c r="T178" s="11"/>
    </row>
    <row r="179" spans="1:20" ht="98" x14ac:dyDescent="0.35">
      <c r="A179" s="12" t="s">
        <v>413</v>
      </c>
      <c r="B179" s="12" t="s">
        <v>4</v>
      </c>
      <c r="C179" s="13" t="s">
        <v>857</v>
      </c>
      <c r="D179" s="13" t="s">
        <v>858</v>
      </c>
      <c r="E179" s="12" t="s">
        <v>544</v>
      </c>
      <c r="F179" s="12" t="s">
        <v>4</v>
      </c>
      <c r="G179" s="12" t="s">
        <v>544</v>
      </c>
      <c r="H179" s="12" t="s">
        <v>545</v>
      </c>
      <c r="I179" s="14">
        <v>0.8</v>
      </c>
      <c r="J179" s="12"/>
      <c r="K179" s="12"/>
      <c r="L179" s="14"/>
      <c r="M179" s="12"/>
      <c r="N179" s="14"/>
      <c r="O179" s="12">
        <v>1</v>
      </c>
      <c r="P179" s="12" t="s">
        <v>859</v>
      </c>
      <c r="Q179" s="13" t="s">
        <v>860</v>
      </c>
      <c r="R179" s="10"/>
      <c r="S179" s="10"/>
      <c r="T179" s="11"/>
    </row>
    <row r="180" spans="1:20" ht="84" x14ac:dyDescent="0.35">
      <c r="A180" s="12" t="s">
        <v>413</v>
      </c>
      <c r="B180" s="12" t="s">
        <v>4</v>
      </c>
      <c r="C180" s="13" t="s">
        <v>861</v>
      </c>
      <c r="D180" s="13"/>
      <c r="E180" s="12" t="s">
        <v>112</v>
      </c>
      <c r="F180" s="12" t="s">
        <v>4</v>
      </c>
      <c r="G180" s="12" t="s">
        <v>112</v>
      </c>
      <c r="H180" s="12" t="s">
        <v>862</v>
      </c>
      <c r="I180" s="14">
        <v>0.64</v>
      </c>
      <c r="J180" s="12"/>
      <c r="K180" s="12" t="s">
        <v>112</v>
      </c>
      <c r="L180" s="14">
        <v>0.64</v>
      </c>
      <c r="M180" s="12"/>
      <c r="N180" s="14"/>
      <c r="O180" s="12">
        <v>1</v>
      </c>
      <c r="P180" s="12" t="s">
        <v>863</v>
      </c>
      <c r="Q180" s="13" t="s">
        <v>864</v>
      </c>
      <c r="R180" s="10"/>
      <c r="S180" s="10"/>
      <c r="T180" s="11"/>
    </row>
    <row r="181" spans="1:20" ht="84" x14ac:dyDescent="0.35">
      <c r="A181" s="12" t="s">
        <v>413</v>
      </c>
      <c r="B181" s="12" t="s">
        <v>4</v>
      </c>
      <c r="C181" s="13" t="s">
        <v>865</v>
      </c>
      <c r="D181" s="13" t="s">
        <v>866</v>
      </c>
      <c r="E181" s="12" t="s">
        <v>36</v>
      </c>
      <c r="F181" s="12" t="s">
        <v>4</v>
      </c>
      <c r="G181" s="12" t="s">
        <v>36</v>
      </c>
      <c r="H181" s="12" t="s">
        <v>36</v>
      </c>
      <c r="I181" s="14">
        <v>0.8</v>
      </c>
      <c r="J181" s="12"/>
      <c r="K181" s="12"/>
      <c r="L181" s="14"/>
      <c r="M181" s="12"/>
      <c r="N181" s="14"/>
      <c r="O181" s="12">
        <v>1</v>
      </c>
      <c r="P181" s="12" t="s">
        <v>867</v>
      </c>
      <c r="Q181" s="13" t="s">
        <v>868</v>
      </c>
      <c r="R181" s="10"/>
      <c r="S181" s="10"/>
      <c r="T181" s="11"/>
    </row>
    <row r="182" spans="1:20" ht="84" x14ac:dyDescent="0.35">
      <c r="A182" s="12" t="s">
        <v>413</v>
      </c>
      <c r="B182" s="12" t="s">
        <v>4</v>
      </c>
      <c r="C182" s="13" t="s">
        <v>869</v>
      </c>
      <c r="D182" s="13" t="s">
        <v>870</v>
      </c>
      <c r="E182" s="12" t="s">
        <v>67</v>
      </c>
      <c r="F182" s="12" t="s">
        <v>4</v>
      </c>
      <c r="G182" s="12" t="s">
        <v>67</v>
      </c>
      <c r="H182" s="12" t="s">
        <v>67</v>
      </c>
      <c r="I182" s="14">
        <v>0.8</v>
      </c>
      <c r="J182" s="12"/>
      <c r="K182" s="12"/>
      <c r="L182" s="14"/>
      <c r="M182" s="12"/>
      <c r="N182" s="14"/>
      <c r="O182" s="12">
        <v>3</v>
      </c>
      <c r="P182" s="12" t="s">
        <v>871</v>
      </c>
      <c r="Q182" s="13" t="s">
        <v>872</v>
      </c>
      <c r="R182" s="10"/>
      <c r="S182" s="10"/>
      <c r="T182" s="11"/>
    </row>
    <row r="183" spans="1:20" ht="84" x14ac:dyDescent="0.35">
      <c r="A183" s="12" t="s">
        <v>413</v>
      </c>
      <c r="B183" s="12" t="s">
        <v>4</v>
      </c>
      <c r="C183" s="13" t="s">
        <v>873</v>
      </c>
      <c r="D183" s="13" t="s">
        <v>874</v>
      </c>
      <c r="E183" s="12" t="s">
        <v>875</v>
      </c>
      <c r="F183" s="12" t="s">
        <v>4</v>
      </c>
      <c r="G183" s="12" t="s">
        <v>875</v>
      </c>
      <c r="H183" s="12" t="s">
        <v>876</v>
      </c>
      <c r="I183" s="14">
        <v>0.8</v>
      </c>
      <c r="J183" s="12"/>
      <c r="K183" s="12"/>
      <c r="L183" s="14"/>
      <c r="M183" s="12"/>
      <c r="N183" s="14"/>
      <c r="O183" s="12">
        <v>1</v>
      </c>
      <c r="P183" s="12" t="s">
        <v>877</v>
      </c>
      <c r="Q183" s="13" t="s">
        <v>878</v>
      </c>
      <c r="R183" s="10"/>
      <c r="S183" s="10"/>
      <c r="T183" s="11"/>
    </row>
    <row r="184" spans="1:20" ht="98" x14ac:dyDescent="0.35">
      <c r="A184" s="12" t="s">
        <v>413</v>
      </c>
      <c r="B184" s="12" t="s">
        <v>4</v>
      </c>
      <c r="C184" s="13" t="s">
        <v>879</v>
      </c>
      <c r="D184" s="13" t="s">
        <v>880</v>
      </c>
      <c r="E184" s="12" t="s">
        <v>67</v>
      </c>
      <c r="F184" s="12" t="s">
        <v>4</v>
      </c>
      <c r="G184" s="12" t="s">
        <v>67</v>
      </c>
      <c r="H184" s="12" t="s">
        <v>67</v>
      </c>
      <c r="I184" s="14">
        <v>0.8</v>
      </c>
      <c r="J184" s="12"/>
      <c r="K184" s="12"/>
      <c r="L184" s="14"/>
      <c r="M184" s="12"/>
      <c r="N184" s="14"/>
      <c r="O184" s="12">
        <v>1</v>
      </c>
      <c r="P184" s="12" t="s">
        <v>881</v>
      </c>
      <c r="Q184" s="13" t="s">
        <v>882</v>
      </c>
      <c r="R184" s="10"/>
      <c r="S184" s="10"/>
      <c r="T184" s="11"/>
    </row>
    <row r="185" spans="1:20" ht="70" x14ac:dyDescent="0.35">
      <c r="A185" s="12" t="s">
        <v>413</v>
      </c>
      <c r="B185" s="12" t="s">
        <v>4</v>
      </c>
      <c r="C185" s="13" t="s">
        <v>883</v>
      </c>
      <c r="D185" s="13" t="s">
        <v>884</v>
      </c>
      <c r="E185" s="12" t="s">
        <v>885</v>
      </c>
      <c r="F185" s="12" t="s">
        <v>4</v>
      </c>
      <c r="G185" s="12" t="s">
        <v>885</v>
      </c>
      <c r="H185" s="12" t="s">
        <v>886</v>
      </c>
      <c r="I185" s="14">
        <v>0.8</v>
      </c>
      <c r="J185" s="12"/>
      <c r="K185" s="12"/>
      <c r="L185" s="14"/>
      <c r="M185" s="12"/>
      <c r="N185" s="14"/>
      <c r="O185" s="12">
        <v>1</v>
      </c>
      <c r="P185" s="12" t="s">
        <v>887</v>
      </c>
      <c r="Q185" s="13" t="s">
        <v>888</v>
      </c>
      <c r="R185" s="10"/>
      <c r="S185" s="10"/>
      <c r="T185" s="11"/>
    </row>
    <row r="186" spans="1:20" ht="56" x14ac:dyDescent="0.35">
      <c r="A186" s="12" t="s">
        <v>413</v>
      </c>
      <c r="B186" s="12" t="s">
        <v>4</v>
      </c>
      <c r="C186" s="13" t="s">
        <v>889</v>
      </c>
      <c r="D186" s="13"/>
      <c r="E186" s="12" t="s">
        <v>424</v>
      </c>
      <c r="F186" s="12" t="s">
        <v>4</v>
      </c>
      <c r="G186" s="12" t="s">
        <v>424</v>
      </c>
      <c r="H186" s="12" t="s">
        <v>424</v>
      </c>
      <c r="I186" s="14">
        <v>0.64</v>
      </c>
      <c r="J186" s="12"/>
      <c r="K186" s="12" t="s">
        <v>426</v>
      </c>
      <c r="L186" s="14">
        <v>0.64</v>
      </c>
      <c r="M186" s="12"/>
      <c r="N186" s="14"/>
      <c r="O186" s="12">
        <v>1</v>
      </c>
      <c r="P186" s="12" t="s">
        <v>890</v>
      </c>
      <c r="Q186" s="13" t="s">
        <v>891</v>
      </c>
      <c r="R186" s="10"/>
      <c r="S186" s="10"/>
      <c r="T186" s="11"/>
    </row>
    <row r="187" spans="1:20" ht="70" x14ac:dyDescent="0.35">
      <c r="A187" s="12" t="s">
        <v>413</v>
      </c>
      <c r="B187" s="12" t="s">
        <v>4</v>
      </c>
      <c r="C187" s="13" t="s">
        <v>892</v>
      </c>
      <c r="D187" s="13" t="s">
        <v>893</v>
      </c>
      <c r="E187" s="12" t="s">
        <v>894</v>
      </c>
      <c r="F187" s="12" t="s">
        <v>4</v>
      </c>
      <c r="G187" s="12" t="s">
        <v>894</v>
      </c>
      <c r="H187" s="12" t="s">
        <v>894</v>
      </c>
      <c r="I187" s="14">
        <v>0.8</v>
      </c>
      <c r="J187" s="12"/>
      <c r="K187" s="12"/>
      <c r="L187" s="14"/>
      <c r="M187" s="12"/>
      <c r="N187" s="14"/>
      <c r="O187" s="12">
        <v>1</v>
      </c>
      <c r="P187" s="12" t="s">
        <v>895</v>
      </c>
      <c r="Q187" s="13" t="s">
        <v>896</v>
      </c>
      <c r="R187" s="10"/>
      <c r="S187" s="10"/>
      <c r="T187" s="11"/>
    </row>
    <row r="188" spans="1:20" ht="70" x14ac:dyDescent="0.35">
      <c r="A188" s="12" t="s">
        <v>413</v>
      </c>
      <c r="B188" s="12" t="s">
        <v>4</v>
      </c>
      <c r="C188" s="13" t="s">
        <v>897</v>
      </c>
      <c r="D188" s="13"/>
      <c r="E188" s="12" t="s">
        <v>875</v>
      </c>
      <c r="F188" s="12" t="s">
        <v>4</v>
      </c>
      <c r="G188" s="12" t="s">
        <v>875</v>
      </c>
      <c r="H188" s="12" t="s">
        <v>876</v>
      </c>
      <c r="I188" s="14">
        <v>0.8</v>
      </c>
      <c r="J188" s="12"/>
      <c r="K188" s="12"/>
      <c r="L188" s="14"/>
      <c r="M188" s="12"/>
      <c r="N188" s="14"/>
      <c r="O188" s="12">
        <v>1</v>
      </c>
      <c r="P188" s="12" t="s">
        <v>898</v>
      </c>
      <c r="Q188" s="13" t="s">
        <v>899</v>
      </c>
      <c r="R188" s="10"/>
      <c r="S188" s="10"/>
      <c r="T188" s="11"/>
    </row>
    <row r="189" spans="1:20" ht="84" x14ac:dyDescent="0.35">
      <c r="A189" s="12" t="s">
        <v>413</v>
      </c>
      <c r="B189" s="12" t="s">
        <v>4</v>
      </c>
      <c r="C189" s="13" t="s">
        <v>900</v>
      </c>
      <c r="D189" s="13"/>
      <c r="E189" s="12" t="s">
        <v>901</v>
      </c>
      <c r="F189" s="12" t="s">
        <v>4</v>
      </c>
      <c r="G189" s="12" t="s">
        <v>901</v>
      </c>
      <c r="H189" s="12" t="s">
        <v>902</v>
      </c>
      <c r="I189" s="14">
        <v>0.8</v>
      </c>
      <c r="J189" s="12"/>
      <c r="K189" s="12"/>
      <c r="L189" s="14"/>
      <c r="M189" s="12"/>
      <c r="N189" s="14"/>
      <c r="O189" s="12">
        <v>1</v>
      </c>
      <c r="P189" s="12" t="s">
        <v>903</v>
      </c>
      <c r="Q189" s="13" t="s">
        <v>904</v>
      </c>
      <c r="R189" s="10"/>
      <c r="S189" s="10"/>
      <c r="T189" s="11"/>
    </row>
    <row r="190" spans="1:20" ht="56" x14ac:dyDescent="0.35">
      <c r="A190" s="12" t="s">
        <v>413</v>
      </c>
      <c r="B190" s="12" t="s">
        <v>4</v>
      </c>
      <c r="C190" s="13" t="s">
        <v>905</v>
      </c>
      <c r="D190" s="13"/>
      <c r="E190" s="12" t="s">
        <v>906</v>
      </c>
      <c r="F190" s="12" t="s">
        <v>4</v>
      </c>
      <c r="G190" s="12" t="s">
        <v>906</v>
      </c>
      <c r="H190" s="12" t="s">
        <v>907</v>
      </c>
      <c r="I190" s="14">
        <v>0.8</v>
      </c>
      <c r="J190" s="12"/>
      <c r="K190" s="12"/>
      <c r="L190" s="14"/>
      <c r="M190" s="12"/>
      <c r="N190" s="14"/>
      <c r="O190" s="12">
        <v>2</v>
      </c>
      <c r="P190" s="12" t="s">
        <v>908</v>
      </c>
      <c r="Q190" s="13" t="s">
        <v>909</v>
      </c>
      <c r="R190" s="10"/>
      <c r="S190" s="10"/>
      <c r="T190" s="11"/>
    </row>
    <row r="191" spans="1:20" ht="56" x14ac:dyDescent="0.35">
      <c r="A191" s="12" t="s">
        <v>413</v>
      </c>
      <c r="B191" s="12" t="s">
        <v>4</v>
      </c>
      <c r="C191" s="13" t="s">
        <v>910</v>
      </c>
      <c r="D191" s="13" t="s">
        <v>911</v>
      </c>
      <c r="E191" s="12" t="s">
        <v>875</v>
      </c>
      <c r="F191" s="12" t="s">
        <v>4</v>
      </c>
      <c r="G191" s="12" t="s">
        <v>875</v>
      </c>
      <c r="H191" s="12" t="s">
        <v>876</v>
      </c>
      <c r="I191" s="14">
        <v>0.8</v>
      </c>
      <c r="J191" s="12"/>
      <c r="K191" s="12"/>
      <c r="L191" s="14"/>
      <c r="M191" s="12"/>
      <c r="N191" s="14"/>
      <c r="O191" s="12">
        <v>5</v>
      </c>
      <c r="P191" s="12" t="s">
        <v>912</v>
      </c>
      <c r="Q191" s="13" t="s">
        <v>913</v>
      </c>
      <c r="R191" s="10"/>
      <c r="S191" s="10"/>
      <c r="T191" s="11"/>
    </row>
    <row r="192" spans="1:20" ht="56" x14ac:dyDescent="0.35">
      <c r="A192" s="12" t="s">
        <v>413</v>
      </c>
      <c r="B192" s="12" t="s">
        <v>4</v>
      </c>
      <c r="C192" s="13" t="s">
        <v>914</v>
      </c>
      <c r="D192" s="13" t="s">
        <v>915</v>
      </c>
      <c r="E192" s="12" t="s">
        <v>916</v>
      </c>
      <c r="F192" s="12" t="s">
        <v>4</v>
      </c>
      <c r="G192" s="12" t="s">
        <v>916</v>
      </c>
      <c r="H192" s="12" t="s">
        <v>917</v>
      </c>
      <c r="I192" s="14">
        <v>0.8</v>
      </c>
      <c r="J192" s="12"/>
      <c r="K192" s="12"/>
      <c r="L192" s="14"/>
      <c r="M192" s="12"/>
      <c r="N192" s="14"/>
      <c r="O192" s="12">
        <v>1</v>
      </c>
      <c r="P192" s="12" t="s">
        <v>918</v>
      </c>
      <c r="Q192" s="13" t="s">
        <v>919</v>
      </c>
      <c r="R192" s="10"/>
      <c r="S192" s="10"/>
      <c r="T192" s="11"/>
    </row>
    <row r="193" spans="1:20" ht="56" x14ac:dyDescent="0.35">
      <c r="A193" s="12" t="s">
        <v>413</v>
      </c>
      <c r="B193" s="12" t="s">
        <v>4</v>
      </c>
      <c r="C193" s="13" t="s">
        <v>920</v>
      </c>
      <c r="D193" s="13" t="s">
        <v>921</v>
      </c>
      <c r="E193" s="12" t="s">
        <v>524</v>
      </c>
      <c r="F193" s="12" t="s">
        <v>4</v>
      </c>
      <c r="G193" s="12" t="s">
        <v>524</v>
      </c>
      <c r="H193" s="12" t="s">
        <v>526</v>
      </c>
      <c r="I193" s="14">
        <v>0.8</v>
      </c>
      <c r="J193" s="12"/>
      <c r="K193" s="12"/>
      <c r="L193" s="14"/>
      <c r="M193" s="12"/>
      <c r="N193" s="14"/>
      <c r="O193" s="12">
        <v>1</v>
      </c>
      <c r="P193" s="12" t="s">
        <v>922</v>
      </c>
      <c r="Q193" s="13" t="s">
        <v>923</v>
      </c>
      <c r="R193" s="10"/>
      <c r="S193" s="10"/>
      <c r="T193" s="11"/>
    </row>
    <row r="194" spans="1:20" ht="70" x14ac:dyDescent="0.35">
      <c r="A194" s="12" t="s">
        <v>413</v>
      </c>
      <c r="B194" s="12" t="s">
        <v>4</v>
      </c>
      <c r="C194" s="13" t="s">
        <v>924</v>
      </c>
      <c r="D194" s="13" t="s">
        <v>925</v>
      </c>
      <c r="E194" s="12" t="s">
        <v>524</v>
      </c>
      <c r="F194" s="12" t="s">
        <v>4</v>
      </c>
      <c r="G194" s="12" t="s">
        <v>524</v>
      </c>
      <c r="H194" s="12" t="s">
        <v>526</v>
      </c>
      <c r="I194" s="14">
        <v>0.8</v>
      </c>
      <c r="J194" s="12"/>
      <c r="K194" s="12"/>
      <c r="L194" s="14"/>
      <c r="M194" s="12"/>
      <c r="N194" s="14"/>
      <c r="O194" s="12">
        <v>1</v>
      </c>
      <c r="P194" s="12" t="s">
        <v>926</v>
      </c>
      <c r="Q194" s="13" t="s">
        <v>927</v>
      </c>
      <c r="R194" s="10"/>
      <c r="S194" s="10"/>
      <c r="T194" s="11"/>
    </row>
    <row r="195" spans="1:20" ht="56" x14ac:dyDescent="0.35">
      <c r="A195" s="12" t="s">
        <v>413</v>
      </c>
      <c r="B195" s="12" t="s">
        <v>4</v>
      </c>
      <c r="C195" s="13" t="s">
        <v>928</v>
      </c>
      <c r="D195" s="13" t="s">
        <v>929</v>
      </c>
      <c r="E195" s="12" t="s">
        <v>524</v>
      </c>
      <c r="F195" s="12" t="s">
        <v>4</v>
      </c>
      <c r="G195" s="12" t="s">
        <v>524</v>
      </c>
      <c r="H195" s="12" t="s">
        <v>526</v>
      </c>
      <c r="I195" s="14">
        <v>0.8</v>
      </c>
      <c r="J195" s="12"/>
      <c r="K195" s="12"/>
      <c r="L195" s="14"/>
      <c r="M195" s="12"/>
      <c r="N195" s="14"/>
      <c r="O195" s="12">
        <v>1</v>
      </c>
      <c r="P195" s="12" t="s">
        <v>930</v>
      </c>
      <c r="Q195" s="13" t="s">
        <v>931</v>
      </c>
      <c r="R195" s="10"/>
      <c r="S195" s="10"/>
      <c r="T195" s="11"/>
    </row>
    <row r="196" spans="1:20" ht="70" x14ac:dyDescent="0.35">
      <c r="A196" s="12" t="s">
        <v>413</v>
      </c>
      <c r="B196" s="12" t="s">
        <v>4</v>
      </c>
      <c r="C196" s="13" t="s">
        <v>932</v>
      </c>
      <c r="D196" s="13" t="s">
        <v>933</v>
      </c>
      <c r="E196" s="12" t="s">
        <v>524</v>
      </c>
      <c r="F196" s="12" t="s">
        <v>4</v>
      </c>
      <c r="G196" s="12" t="s">
        <v>524</v>
      </c>
      <c r="H196" s="12" t="s">
        <v>526</v>
      </c>
      <c r="I196" s="14">
        <v>0.8</v>
      </c>
      <c r="J196" s="12"/>
      <c r="K196" s="12"/>
      <c r="L196" s="14"/>
      <c r="M196" s="12"/>
      <c r="N196" s="14"/>
      <c r="O196" s="12">
        <v>1</v>
      </c>
      <c r="P196" s="12" t="s">
        <v>934</v>
      </c>
      <c r="Q196" s="13" t="s">
        <v>935</v>
      </c>
      <c r="R196" s="10"/>
      <c r="S196" s="10"/>
      <c r="T196" s="11"/>
    </row>
    <row r="197" spans="1:20" ht="42" x14ac:dyDescent="0.35">
      <c r="A197" s="12" t="s">
        <v>413</v>
      </c>
      <c r="B197" s="12" t="s">
        <v>4</v>
      </c>
      <c r="C197" s="13" t="s">
        <v>936</v>
      </c>
      <c r="D197" s="13" t="s">
        <v>937</v>
      </c>
      <c r="E197" s="12" t="s">
        <v>524</v>
      </c>
      <c r="F197" s="12" t="s">
        <v>4</v>
      </c>
      <c r="G197" s="12" t="s">
        <v>524</v>
      </c>
      <c r="H197" s="12" t="s">
        <v>526</v>
      </c>
      <c r="I197" s="14">
        <v>0.8</v>
      </c>
      <c r="J197" s="12"/>
      <c r="K197" s="12"/>
      <c r="L197" s="14"/>
      <c r="M197" s="12"/>
      <c r="N197" s="14"/>
      <c r="O197" s="12">
        <v>1</v>
      </c>
      <c r="P197" s="12" t="s">
        <v>938</v>
      </c>
      <c r="Q197" s="13" t="s">
        <v>939</v>
      </c>
      <c r="R197" s="10"/>
      <c r="S197" s="10"/>
      <c r="T197" s="11"/>
    </row>
    <row r="198" spans="1:20" ht="84" x14ac:dyDescent="0.35">
      <c r="A198" s="12" t="s">
        <v>413</v>
      </c>
      <c r="B198" s="12" t="s">
        <v>4</v>
      </c>
      <c r="C198" s="13" t="s">
        <v>940</v>
      </c>
      <c r="D198" s="13" t="s">
        <v>941</v>
      </c>
      <c r="E198" s="12" t="s">
        <v>942</v>
      </c>
      <c r="F198" s="12" t="s">
        <v>4</v>
      </c>
      <c r="G198" s="12" t="s">
        <v>942</v>
      </c>
      <c r="H198" s="12" t="s">
        <v>943</v>
      </c>
      <c r="I198" s="14">
        <v>0.8</v>
      </c>
      <c r="J198" s="12"/>
      <c r="K198" s="12"/>
      <c r="L198" s="14"/>
      <c r="M198" s="12"/>
      <c r="N198" s="14"/>
      <c r="O198" s="12">
        <v>1</v>
      </c>
      <c r="P198" s="12" t="s">
        <v>944</v>
      </c>
      <c r="Q198" s="13" t="s">
        <v>945</v>
      </c>
      <c r="R198" s="10"/>
      <c r="S198" s="10"/>
      <c r="T198" s="11"/>
    </row>
    <row r="199" spans="1:20" ht="84" x14ac:dyDescent="0.35">
      <c r="A199" s="12" t="s">
        <v>413</v>
      </c>
      <c r="B199" s="12" t="s">
        <v>4</v>
      </c>
      <c r="C199" s="13" t="s">
        <v>946</v>
      </c>
      <c r="D199" s="13" t="s">
        <v>947</v>
      </c>
      <c r="E199" s="12" t="s">
        <v>565</v>
      </c>
      <c r="F199" s="12" t="s">
        <v>4</v>
      </c>
      <c r="G199" s="12" t="s">
        <v>565</v>
      </c>
      <c r="H199" s="12" t="s">
        <v>565</v>
      </c>
      <c r="I199" s="14">
        <v>0.8</v>
      </c>
      <c r="J199" s="12"/>
      <c r="K199" s="12"/>
      <c r="L199" s="14"/>
      <c r="M199" s="12"/>
      <c r="N199" s="14"/>
      <c r="O199" s="12">
        <v>3</v>
      </c>
      <c r="P199" s="12" t="s">
        <v>948</v>
      </c>
      <c r="Q199" s="13" t="s">
        <v>949</v>
      </c>
      <c r="R199" s="10"/>
      <c r="S199" s="10"/>
      <c r="T199" s="11"/>
    </row>
    <row r="200" spans="1:20" ht="70" x14ac:dyDescent="0.35">
      <c r="A200" s="12" t="s">
        <v>413</v>
      </c>
      <c r="B200" s="12" t="s">
        <v>4</v>
      </c>
      <c r="C200" s="13" t="s">
        <v>950</v>
      </c>
      <c r="D200" s="13" t="s">
        <v>951</v>
      </c>
      <c r="E200" s="12" t="s">
        <v>533</v>
      </c>
      <c r="F200" s="12" t="s">
        <v>4</v>
      </c>
      <c r="G200" s="12" t="s">
        <v>533</v>
      </c>
      <c r="H200" s="12" t="s">
        <v>112</v>
      </c>
      <c r="I200" s="14">
        <v>0.8</v>
      </c>
      <c r="J200" s="12"/>
      <c r="K200" s="12"/>
      <c r="L200" s="14"/>
      <c r="M200" s="12"/>
      <c r="N200" s="14"/>
      <c r="O200" s="12">
        <v>1</v>
      </c>
      <c r="P200" s="12" t="s">
        <v>952</v>
      </c>
      <c r="Q200" s="13" t="s">
        <v>953</v>
      </c>
      <c r="R200" s="10"/>
      <c r="S200" s="10"/>
      <c r="T200" s="11"/>
    </row>
    <row r="201" spans="1:20" ht="70" x14ac:dyDescent="0.35">
      <c r="A201" s="12" t="s">
        <v>413</v>
      </c>
      <c r="B201" s="12" t="s">
        <v>4</v>
      </c>
      <c r="C201" s="13" t="s">
        <v>954</v>
      </c>
      <c r="D201" s="13" t="s">
        <v>955</v>
      </c>
      <c r="E201" s="12" t="s">
        <v>105</v>
      </c>
      <c r="F201" s="12" t="s">
        <v>4</v>
      </c>
      <c r="G201" s="12" t="s">
        <v>105</v>
      </c>
      <c r="H201" s="12" t="s">
        <v>106</v>
      </c>
      <c r="I201" s="14">
        <v>0.8</v>
      </c>
      <c r="J201" s="12"/>
      <c r="K201" s="12"/>
      <c r="L201" s="14"/>
      <c r="M201" s="12"/>
      <c r="N201" s="14"/>
      <c r="O201" s="12">
        <v>1</v>
      </c>
      <c r="P201" s="12" t="s">
        <v>956</v>
      </c>
      <c r="Q201" s="13" t="s">
        <v>957</v>
      </c>
      <c r="R201" s="10"/>
      <c r="S201" s="10"/>
      <c r="T201" s="11"/>
    </row>
    <row r="202" spans="1:20" ht="56" x14ac:dyDescent="0.35">
      <c r="A202" s="12" t="s">
        <v>413</v>
      </c>
      <c r="B202" s="12" t="s">
        <v>4</v>
      </c>
      <c r="C202" s="13" t="s">
        <v>958</v>
      </c>
      <c r="D202" s="13" t="s">
        <v>959</v>
      </c>
      <c r="E202" s="12" t="s">
        <v>36</v>
      </c>
      <c r="F202" s="12" t="s">
        <v>4</v>
      </c>
      <c r="G202" s="12" t="s">
        <v>36</v>
      </c>
      <c r="H202" s="12" t="s">
        <v>36</v>
      </c>
      <c r="I202" s="14">
        <v>0.8</v>
      </c>
      <c r="J202" s="12"/>
      <c r="K202" s="12"/>
      <c r="L202" s="14"/>
      <c r="M202" s="12"/>
      <c r="N202" s="14"/>
      <c r="O202" s="12">
        <v>1</v>
      </c>
      <c r="P202" s="12" t="s">
        <v>960</v>
      </c>
      <c r="Q202" s="13" t="s">
        <v>961</v>
      </c>
      <c r="R202" s="10"/>
      <c r="S202" s="10"/>
      <c r="T202" s="11"/>
    </row>
    <row r="203" spans="1:20" ht="42" x14ac:dyDescent="0.35">
      <c r="A203" s="12" t="s">
        <v>413</v>
      </c>
      <c r="B203" s="12" t="s">
        <v>4</v>
      </c>
      <c r="C203" s="13" t="s">
        <v>962</v>
      </c>
      <c r="D203" s="13" t="s">
        <v>963</v>
      </c>
      <c r="E203" s="12" t="s">
        <v>67</v>
      </c>
      <c r="F203" s="12" t="s">
        <v>4</v>
      </c>
      <c r="G203" s="12" t="s">
        <v>67</v>
      </c>
      <c r="H203" s="12" t="s">
        <v>67</v>
      </c>
      <c r="I203" s="14">
        <v>0.8</v>
      </c>
      <c r="J203" s="12"/>
      <c r="K203" s="12"/>
      <c r="L203" s="14"/>
      <c r="M203" s="12"/>
      <c r="N203" s="14"/>
      <c r="O203" s="12">
        <v>4</v>
      </c>
      <c r="P203" s="12" t="s">
        <v>964</v>
      </c>
      <c r="Q203" s="13" t="s">
        <v>965</v>
      </c>
      <c r="R203" s="10"/>
      <c r="S203" s="10"/>
      <c r="T203" s="11"/>
    </row>
    <row r="204" spans="1:20" ht="70" x14ac:dyDescent="0.35">
      <c r="A204" s="12" t="s">
        <v>413</v>
      </c>
      <c r="B204" s="12" t="s">
        <v>4</v>
      </c>
      <c r="C204" s="13" t="s">
        <v>966</v>
      </c>
      <c r="D204" s="13" t="s">
        <v>967</v>
      </c>
      <c r="E204" s="12" t="s">
        <v>67</v>
      </c>
      <c r="F204" s="12" t="s">
        <v>4</v>
      </c>
      <c r="G204" s="12" t="s">
        <v>67</v>
      </c>
      <c r="H204" s="12" t="s">
        <v>67</v>
      </c>
      <c r="I204" s="14">
        <v>0.8</v>
      </c>
      <c r="J204" s="12"/>
      <c r="K204" s="12"/>
      <c r="L204" s="14"/>
      <c r="M204" s="12"/>
      <c r="N204" s="14"/>
      <c r="O204" s="12">
        <v>1</v>
      </c>
      <c r="P204" s="12" t="s">
        <v>968</v>
      </c>
      <c r="Q204" s="13" t="s">
        <v>969</v>
      </c>
      <c r="R204" s="10"/>
      <c r="S204" s="10"/>
      <c r="T204" s="11"/>
    </row>
    <row r="205" spans="1:20" ht="98" x14ac:dyDescent="0.35">
      <c r="A205" s="12" t="s">
        <v>413</v>
      </c>
      <c r="B205" s="12" t="s">
        <v>4</v>
      </c>
      <c r="C205" s="13" t="s">
        <v>970</v>
      </c>
      <c r="D205" s="13" t="s">
        <v>971</v>
      </c>
      <c r="E205" s="12" t="s">
        <v>67</v>
      </c>
      <c r="F205" s="12" t="s">
        <v>4</v>
      </c>
      <c r="G205" s="12" t="s">
        <v>67</v>
      </c>
      <c r="H205" s="12" t="s">
        <v>67</v>
      </c>
      <c r="I205" s="14">
        <v>0.8</v>
      </c>
      <c r="J205" s="12"/>
      <c r="K205" s="12"/>
      <c r="L205" s="14"/>
      <c r="M205" s="12"/>
      <c r="N205" s="14"/>
      <c r="O205" s="12">
        <v>1</v>
      </c>
      <c r="P205" s="12" t="s">
        <v>972</v>
      </c>
      <c r="Q205" s="13" t="s">
        <v>973</v>
      </c>
      <c r="R205" s="10"/>
      <c r="S205" s="10"/>
      <c r="T205" s="11"/>
    </row>
    <row r="206" spans="1:20" ht="70" x14ac:dyDescent="0.35">
      <c r="A206" s="12" t="s">
        <v>413</v>
      </c>
      <c r="B206" s="12" t="s">
        <v>4</v>
      </c>
      <c r="C206" s="13" t="s">
        <v>974</v>
      </c>
      <c r="D206" s="13"/>
      <c r="E206" s="12" t="s">
        <v>67</v>
      </c>
      <c r="F206" s="12" t="s">
        <v>4</v>
      </c>
      <c r="G206" s="12" t="s">
        <v>67</v>
      </c>
      <c r="H206" s="12" t="s">
        <v>67</v>
      </c>
      <c r="I206" s="14">
        <v>0.8</v>
      </c>
      <c r="J206" s="12"/>
      <c r="K206" s="12"/>
      <c r="L206" s="14"/>
      <c r="M206" s="12"/>
      <c r="N206" s="14"/>
      <c r="O206" s="12">
        <v>1</v>
      </c>
      <c r="P206" s="12" t="s">
        <v>975</v>
      </c>
      <c r="Q206" s="13" t="s">
        <v>976</v>
      </c>
      <c r="R206" s="10"/>
      <c r="S206" s="10"/>
      <c r="T206" s="11"/>
    </row>
    <row r="207" spans="1:20" ht="56" x14ac:dyDescent="0.35">
      <c r="A207" s="12" t="s">
        <v>413</v>
      </c>
      <c r="B207" s="12" t="s">
        <v>4</v>
      </c>
      <c r="C207" s="13" t="s">
        <v>977</v>
      </c>
      <c r="D207" s="13"/>
      <c r="E207" s="12" t="s">
        <v>978</v>
      </c>
      <c r="F207" s="12" t="s">
        <v>4</v>
      </c>
      <c r="G207" s="12" t="s">
        <v>978</v>
      </c>
      <c r="H207" s="12" t="s">
        <v>978</v>
      </c>
      <c r="I207" s="14">
        <v>0.8</v>
      </c>
      <c r="J207" s="12"/>
      <c r="K207" s="12"/>
      <c r="L207" s="14"/>
      <c r="M207" s="12"/>
      <c r="N207" s="14"/>
      <c r="O207" s="12">
        <v>1</v>
      </c>
      <c r="P207" s="12" t="s">
        <v>979</v>
      </c>
      <c r="Q207" s="13" t="s">
        <v>980</v>
      </c>
      <c r="R207" s="10"/>
      <c r="S207" s="10"/>
      <c r="T207" s="11"/>
    </row>
    <row r="208" spans="1:20" ht="84" x14ac:dyDescent="0.35">
      <c r="A208" s="12" t="s">
        <v>413</v>
      </c>
      <c r="B208" s="12" t="s">
        <v>4</v>
      </c>
      <c r="C208" s="13" t="s">
        <v>981</v>
      </c>
      <c r="D208" s="13" t="s">
        <v>982</v>
      </c>
      <c r="E208" s="12" t="s">
        <v>548</v>
      </c>
      <c r="F208" s="12" t="s">
        <v>4</v>
      </c>
      <c r="G208" s="12" t="s">
        <v>548</v>
      </c>
      <c r="H208" s="12" t="s">
        <v>548</v>
      </c>
      <c r="I208" s="14">
        <v>0.8</v>
      </c>
      <c r="J208" s="12"/>
      <c r="K208" s="12"/>
      <c r="L208" s="14"/>
      <c r="M208" s="12"/>
      <c r="N208" s="14"/>
      <c r="O208" s="12">
        <v>1</v>
      </c>
      <c r="P208" s="12" t="s">
        <v>983</v>
      </c>
      <c r="Q208" s="13" t="s">
        <v>984</v>
      </c>
      <c r="R208" s="10"/>
      <c r="S208" s="10"/>
      <c r="T208" s="11"/>
    </row>
    <row r="209" spans="1:20" ht="84" x14ac:dyDescent="0.35">
      <c r="A209" s="12" t="s">
        <v>413</v>
      </c>
      <c r="B209" s="12" t="s">
        <v>4</v>
      </c>
      <c r="C209" s="13" t="s">
        <v>985</v>
      </c>
      <c r="D209" s="13" t="s">
        <v>986</v>
      </c>
      <c r="E209" s="12" t="s">
        <v>548</v>
      </c>
      <c r="F209" s="12" t="s">
        <v>4</v>
      </c>
      <c r="G209" s="12" t="s">
        <v>548</v>
      </c>
      <c r="H209" s="12" t="s">
        <v>548</v>
      </c>
      <c r="I209" s="14">
        <v>0.8</v>
      </c>
      <c r="J209" s="12"/>
      <c r="K209" s="12"/>
      <c r="L209" s="14"/>
      <c r="M209" s="12"/>
      <c r="N209" s="14"/>
      <c r="O209" s="12">
        <v>1</v>
      </c>
      <c r="P209" s="12" t="s">
        <v>987</v>
      </c>
      <c r="Q209" s="13" t="s">
        <v>988</v>
      </c>
      <c r="R209" s="10"/>
      <c r="S209" s="10"/>
      <c r="T209" s="11"/>
    </row>
    <row r="210" spans="1:20" ht="98" x14ac:dyDescent="0.35">
      <c r="A210" s="12" t="s">
        <v>413</v>
      </c>
      <c r="B210" s="12" t="s">
        <v>4</v>
      </c>
      <c r="C210" s="13" t="s">
        <v>989</v>
      </c>
      <c r="D210" s="13" t="s">
        <v>990</v>
      </c>
      <c r="E210" s="12" t="s">
        <v>991</v>
      </c>
      <c r="F210" s="12" t="s">
        <v>4</v>
      </c>
      <c r="G210" s="12" t="s">
        <v>991</v>
      </c>
      <c r="H210" s="12" t="s">
        <v>991</v>
      </c>
      <c r="I210" s="14">
        <v>0.8</v>
      </c>
      <c r="J210" s="12"/>
      <c r="K210" s="12"/>
      <c r="L210" s="14"/>
      <c r="M210" s="12"/>
      <c r="N210" s="14"/>
      <c r="O210" s="12">
        <v>1</v>
      </c>
      <c r="P210" s="12" t="s">
        <v>992</v>
      </c>
      <c r="Q210" s="13" t="s">
        <v>993</v>
      </c>
      <c r="R210" s="10"/>
      <c r="S210" s="10"/>
      <c r="T210" s="11"/>
    </row>
    <row r="211" spans="1:20" ht="84" x14ac:dyDescent="0.35">
      <c r="A211" s="12" t="s">
        <v>413</v>
      </c>
      <c r="B211" s="12" t="s">
        <v>4</v>
      </c>
      <c r="C211" s="13" t="s">
        <v>994</v>
      </c>
      <c r="D211" s="13" t="s">
        <v>45</v>
      </c>
      <c r="E211" s="12" t="s">
        <v>537</v>
      </c>
      <c r="F211" s="12" t="s">
        <v>4</v>
      </c>
      <c r="G211" s="12" t="s">
        <v>537</v>
      </c>
      <c r="H211" s="12" t="s">
        <v>539</v>
      </c>
      <c r="I211" s="14">
        <v>0.8</v>
      </c>
      <c r="J211" s="12"/>
      <c r="K211" s="12"/>
      <c r="L211" s="14"/>
      <c r="M211" s="12"/>
      <c r="N211" s="14"/>
      <c r="O211" s="12">
        <v>1</v>
      </c>
      <c r="P211" s="12" t="s">
        <v>48</v>
      </c>
      <c r="Q211" s="13" t="s">
        <v>49</v>
      </c>
      <c r="R211" s="10"/>
      <c r="S211" s="10"/>
      <c r="T211" s="11"/>
    </row>
    <row r="212" spans="1:20" ht="56" x14ac:dyDescent="0.35">
      <c r="A212" s="12" t="s">
        <v>413</v>
      </c>
      <c r="B212" s="12" t="s">
        <v>4</v>
      </c>
      <c r="C212" s="13" t="s">
        <v>995</v>
      </c>
      <c r="D212" s="13" t="s">
        <v>996</v>
      </c>
      <c r="E212" s="12" t="s">
        <v>36</v>
      </c>
      <c r="F212" s="12" t="s">
        <v>4</v>
      </c>
      <c r="G212" s="12" t="s">
        <v>36</v>
      </c>
      <c r="H212" s="12" t="s">
        <v>36</v>
      </c>
      <c r="I212" s="14">
        <v>0.8</v>
      </c>
      <c r="J212" s="12"/>
      <c r="K212" s="12"/>
      <c r="L212" s="14"/>
      <c r="M212" s="12"/>
      <c r="N212" s="14"/>
      <c r="O212" s="12">
        <v>1</v>
      </c>
      <c r="P212" s="12" t="s">
        <v>997</v>
      </c>
      <c r="Q212" s="13" t="s">
        <v>998</v>
      </c>
      <c r="R212" s="10"/>
      <c r="S212" s="10"/>
      <c r="T212" s="11"/>
    </row>
    <row r="213" spans="1:20" ht="56" x14ac:dyDescent="0.35">
      <c r="A213" s="12" t="s">
        <v>413</v>
      </c>
      <c r="B213" s="12" t="s">
        <v>4</v>
      </c>
      <c r="C213" s="13" t="s">
        <v>999</v>
      </c>
      <c r="D213" s="13" t="s">
        <v>1000</v>
      </c>
      <c r="E213" s="12" t="s">
        <v>36</v>
      </c>
      <c r="F213" s="12" t="s">
        <v>4</v>
      </c>
      <c r="G213" s="12" t="s">
        <v>36</v>
      </c>
      <c r="H213" s="12" t="s">
        <v>36</v>
      </c>
      <c r="I213" s="14">
        <v>0.8</v>
      </c>
      <c r="J213" s="12"/>
      <c r="K213" s="12"/>
      <c r="L213" s="14"/>
      <c r="M213" s="12"/>
      <c r="N213" s="14"/>
      <c r="O213" s="12">
        <v>2</v>
      </c>
      <c r="P213" s="12" t="s">
        <v>1001</v>
      </c>
      <c r="Q213" s="13" t="s">
        <v>1002</v>
      </c>
      <c r="R213" s="10"/>
      <c r="S213" s="10"/>
      <c r="T213" s="11"/>
    </row>
    <row r="214" spans="1:20" ht="84" x14ac:dyDescent="0.35">
      <c r="A214" s="12" t="s">
        <v>413</v>
      </c>
      <c r="B214" s="12" t="s">
        <v>4</v>
      </c>
      <c r="C214" s="13" t="s">
        <v>1003</v>
      </c>
      <c r="D214" s="13" t="s">
        <v>425</v>
      </c>
      <c r="E214" s="12" t="s">
        <v>514</v>
      </c>
      <c r="F214" s="12" t="s">
        <v>4</v>
      </c>
      <c r="G214" s="12" t="s">
        <v>514</v>
      </c>
      <c r="H214" s="12" t="s">
        <v>516</v>
      </c>
      <c r="I214" s="14">
        <v>0.8</v>
      </c>
      <c r="J214" s="12"/>
      <c r="K214" s="12"/>
      <c r="L214" s="14"/>
      <c r="M214" s="12"/>
      <c r="N214" s="14"/>
      <c r="O214" s="12">
        <v>1</v>
      </c>
      <c r="P214" s="12" t="s">
        <v>427</v>
      </c>
      <c r="Q214" s="13" t="s">
        <v>428</v>
      </c>
      <c r="R214" s="10"/>
      <c r="S214" s="10"/>
      <c r="T214" s="11"/>
    </row>
    <row r="215" spans="1:20" ht="98" x14ac:dyDescent="0.35">
      <c r="A215" s="12" t="s">
        <v>413</v>
      </c>
      <c r="B215" s="12" t="s">
        <v>4</v>
      </c>
      <c r="C215" s="13" t="s">
        <v>1004</v>
      </c>
      <c r="D215" s="13" t="s">
        <v>1005</v>
      </c>
      <c r="E215" s="12" t="s">
        <v>1006</v>
      </c>
      <c r="F215" s="12" t="s">
        <v>4</v>
      </c>
      <c r="G215" s="12" t="s">
        <v>1006</v>
      </c>
      <c r="H215" s="12" t="s">
        <v>1007</v>
      </c>
      <c r="I215" s="14">
        <v>0.8</v>
      </c>
      <c r="J215" s="12"/>
      <c r="K215" s="12"/>
      <c r="L215" s="14"/>
      <c r="M215" s="12"/>
      <c r="N215" s="14"/>
      <c r="O215" s="12">
        <v>1</v>
      </c>
      <c r="P215" s="12" t="s">
        <v>1008</v>
      </c>
      <c r="Q215" s="13" t="s">
        <v>1009</v>
      </c>
      <c r="R215" s="10"/>
      <c r="S215" s="10"/>
      <c r="T215" s="11"/>
    </row>
    <row r="216" spans="1:20" ht="84" x14ac:dyDescent="0.35">
      <c r="A216" s="12" t="s">
        <v>413</v>
      </c>
      <c r="B216" s="12" t="s">
        <v>4</v>
      </c>
      <c r="C216" s="13" t="s">
        <v>1010</v>
      </c>
      <c r="D216" s="13" t="s">
        <v>1011</v>
      </c>
      <c r="E216" s="12" t="s">
        <v>561</v>
      </c>
      <c r="F216" s="12" t="s">
        <v>4</v>
      </c>
      <c r="G216" s="12" t="s">
        <v>561</v>
      </c>
      <c r="H216" s="12" t="s">
        <v>562</v>
      </c>
      <c r="I216" s="14">
        <v>0.8</v>
      </c>
      <c r="J216" s="12"/>
      <c r="K216" s="12"/>
      <c r="L216" s="14"/>
      <c r="M216" s="12"/>
      <c r="N216" s="14"/>
      <c r="O216" s="12">
        <v>2</v>
      </c>
      <c r="P216" s="12" t="s">
        <v>1012</v>
      </c>
      <c r="Q216" s="13" t="s">
        <v>1013</v>
      </c>
      <c r="R216" s="10"/>
      <c r="S216" s="10"/>
      <c r="T216" s="11"/>
    </row>
    <row r="217" spans="1:20" ht="70" x14ac:dyDescent="0.35">
      <c r="A217" s="12" t="s">
        <v>413</v>
      </c>
      <c r="B217" s="12" t="s">
        <v>4</v>
      </c>
      <c r="C217" s="13" t="s">
        <v>1014</v>
      </c>
      <c r="D217" s="13" t="s">
        <v>1015</v>
      </c>
      <c r="E217" s="12" t="s">
        <v>450</v>
      </c>
      <c r="F217" s="12" t="s">
        <v>4</v>
      </c>
      <c r="G217" s="12" t="s">
        <v>450</v>
      </c>
      <c r="H217" s="12" t="s">
        <v>451</v>
      </c>
      <c r="I217" s="14">
        <v>0.8</v>
      </c>
      <c r="J217" s="12"/>
      <c r="K217" s="12"/>
      <c r="L217" s="14"/>
      <c r="M217" s="12"/>
      <c r="N217" s="14"/>
      <c r="O217" s="12">
        <v>1</v>
      </c>
      <c r="P217" s="12" t="s">
        <v>1016</v>
      </c>
      <c r="Q217" s="13" t="s">
        <v>1017</v>
      </c>
      <c r="R217" s="10"/>
      <c r="S217" s="10"/>
      <c r="T217" s="11"/>
    </row>
    <row r="218" spans="1:20" ht="56" x14ac:dyDescent="0.35">
      <c r="A218" s="12" t="s">
        <v>413</v>
      </c>
      <c r="B218" s="12" t="s">
        <v>4</v>
      </c>
      <c r="C218" s="13" t="s">
        <v>1018</v>
      </c>
      <c r="D218" s="13" t="s">
        <v>1019</v>
      </c>
      <c r="E218" s="12" t="s">
        <v>67</v>
      </c>
      <c r="F218" s="12" t="s">
        <v>4</v>
      </c>
      <c r="G218" s="12" t="s">
        <v>67</v>
      </c>
      <c r="H218" s="12" t="s">
        <v>67</v>
      </c>
      <c r="I218" s="14">
        <v>0.8</v>
      </c>
      <c r="J218" s="12"/>
      <c r="K218" s="12"/>
      <c r="L218" s="14"/>
      <c r="M218" s="12"/>
      <c r="N218" s="14"/>
      <c r="O218" s="12">
        <v>1</v>
      </c>
      <c r="P218" s="12" t="s">
        <v>1020</v>
      </c>
      <c r="Q218" s="13" t="s">
        <v>1021</v>
      </c>
      <c r="R218" s="10"/>
      <c r="S218" s="10"/>
      <c r="T218" s="11"/>
    </row>
    <row r="219" spans="1:20" ht="84" x14ac:dyDescent="0.35">
      <c r="A219" s="12" t="s">
        <v>413</v>
      </c>
      <c r="B219" s="12" t="s">
        <v>4</v>
      </c>
      <c r="C219" s="13" t="s">
        <v>1022</v>
      </c>
      <c r="D219" s="13" t="s">
        <v>1023</v>
      </c>
      <c r="E219" s="12" t="s">
        <v>67</v>
      </c>
      <c r="F219" s="12" t="s">
        <v>4</v>
      </c>
      <c r="G219" s="12" t="s">
        <v>67</v>
      </c>
      <c r="H219" s="12" t="s">
        <v>67</v>
      </c>
      <c r="I219" s="14">
        <v>0.8</v>
      </c>
      <c r="J219" s="12"/>
      <c r="K219" s="12"/>
      <c r="L219" s="14"/>
      <c r="M219" s="12"/>
      <c r="N219" s="14"/>
      <c r="O219" s="12">
        <v>1</v>
      </c>
      <c r="P219" s="12" t="s">
        <v>1024</v>
      </c>
      <c r="Q219" s="13" t="s">
        <v>1025</v>
      </c>
      <c r="R219" s="10"/>
      <c r="S219" s="10"/>
      <c r="T219" s="11"/>
    </row>
    <row r="220" spans="1:20" ht="84" x14ac:dyDescent="0.35">
      <c r="A220" s="12" t="s">
        <v>413</v>
      </c>
      <c r="B220" s="12" t="s">
        <v>4</v>
      </c>
      <c r="C220" s="13" t="s">
        <v>1026</v>
      </c>
      <c r="D220" s="13" t="s">
        <v>1027</v>
      </c>
      <c r="E220" s="12" t="s">
        <v>450</v>
      </c>
      <c r="F220" s="12" t="s">
        <v>4</v>
      </c>
      <c r="G220" s="12" t="s">
        <v>450</v>
      </c>
      <c r="H220" s="12" t="s">
        <v>451</v>
      </c>
      <c r="I220" s="14">
        <v>0.8</v>
      </c>
      <c r="J220" s="12"/>
      <c r="K220" s="12"/>
      <c r="L220" s="14"/>
      <c r="M220" s="12"/>
      <c r="N220" s="14"/>
      <c r="O220" s="12">
        <v>1</v>
      </c>
      <c r="P220" s="12" t="s">
        <v>1028</v>
      </c>
      <c r="Q220" s="13" t="s">
        <v>1029</v>
      </c>
      <c r="R220" s="10"/>
      <c r="S220" s="10"/>
      <c r="T220" s="11"/>
    </row>
    <row r="221" spans="1:20" ht="98" x14ac:dyDescent="0.35">
      <c r="A221" s="12" t="s">
        <v>413</v>
      </c>
      <c r="B221" s="12" t="s">
        <v>4</v>
      </c>
      <c r="C221" s="13" t="s">
        <v>1030</v>
      </c>
      <c r="D221" s="13" t="s">
        <v>1031</v>
      </c>
      <c r="E221" s="12" t="s">
        <v>537</v>
      </c>
      <c r="F221" s="12" t="s">
        <v>4</v>
      </c>
      <c r="G221" s="12" t="s">
        <v>537</v>
      </c>
      <c r="H221" s="12" t="s">
        <v>539</v>
      </c>
      <c r="I221" s="14">
        <v>0.8</v>
      </c>
      <c r="J221" s="12"/>
      <c r="K221" s="12"/>
      <c r="L221" s="14"/>
      <c r="M221" s="12"/>
      <c r="N221" s="14"/>
      <c r="O221" s="12">
        <v>1</v>
      </c>
      <c r="P221" s="12" t="s">
        <v>1032</v>
      </c>
      <c r="Q221" s="13" t="s">
        <v>1033</v>
      </c>
      <c r="R221" s="10"/>
      <c r="S221" s="10"/>
      <c r="T221" s="11"/>
    </row>
    <row r="222" spans="1:20" ht="84" x14ac:dyDescent="0.35">
      <c r="A222" s="12" t="s">
        <v>413</v>
      </c>
      <c r="B222" s="12" t="s">
        <v>4</v>
      </c>
      <c r="C222" s="13" t="s">
        <v>1034</v>
      </c>
      <c r="D222" s="13" t="s">
        <v>1035</v>
      </c>
      <c r="E222" s="12" t="s">
        <v>466</v>
      </c>
      <c r="F222" s="12" t="s">
        <v>4</v>
      </c>
      <c r="G222" s="12" t="s">
        <v>466</v>
      </c>
      <c r="H222" s="12" t="s">
        <v>466</v>
      </c>
      <c r="I222" s="14">
        <v>0.8</v>
      </c>
      <c r="J222" s="12"/>
      <c r="K222" s="12"/>
      <c r="L222" s="14"/>
      <c r="M222" s="12"/>
      <c r="N222" s="14"/>
      <c r="O222" s="12">
        <v>1</v>
      </c>
      <c r="P222" s="12" t="s">
        <v>1036</v>
      </c>
      <c r="Q222" s="13" t="s">
        <v>1037</v>
      </c>
      <c r="R222" s="10"/>
      <c r="S222" s="10"/>
      <c r="T222" s="11"/>
    </row>
    <row r="223" spans="1:20" ht="98" x14ac:dyDescent="0.35">
      <c r="A223" s="12" t="s">
        <v>413</v>
      </c>
      <c r="B223" s="12" t="s">
        <v>4</v>
      </c>
      <c r="C223" s="13" t="s">
        <v>1038</v>
      </c>
      <c r="D223" s="13" t="s">
        <v>1039</v>
      </c>
      <c r="E223" s="12" t="s">
        <v>67</v>
      </c>
      <c r="F223" s="12" t="s">
        <v>4</v>
      </c>
      <c r="G223" s="12" t="s">
        <v>67</v>
      </c>
      <c r="H223" s="12" t="s">
        <v>67</v>
      </c>
      <c r="I223" s="14">
        <v>0.8</v>
      </c>
      <c r="J223" s="12"/>
      <c r="K223" s="12"/>
      <c r="L223" s="14"/>
      <c r="M223" s="12"/>
      <c r="N223" s="14"/>
      <c r="O223" s="12">
        <v>3</v>
      </c>
      <c r="P223" s="12" t="s">
        <v>1040</v>
      </c>
      <c r="Q223" s="13" t="s">
        <v>1041</v>
      </c>
      <c r="R223" s="10"/>
      <c r="S223" s="10"/>
      <c r="T223" s="11"/>
    </row>
    <row r="224" spans="1:20" ht="84" x14ac:dyDescent="0.35">
      <c r="A224" s="12" t="s">
        <v>413</v>
      </c>
      <c r="B224" s="12" t="s">
        <v>4</v>
      </c>
      <c r="C224" s="13" t="s">
        <v>1042</v>
      </c>
      <c r="D224" s="13" t="s">
        <v>1043</v>
      </c>
      <c r="E224" s="12" t="s">
        <v>105</v>
      </c>
      <c r="F224" s="12" t="s">
        <v>4</v>
      </c>
      <c r="G224" s="12" t="s">
        <v>105</v>
      </c>
      <c r="H224" s="12" t="s">
        <v>106</v>
      </c>
      <c r="I224" s="14">
        <v>0.8</v>
      </c>
      <c r="J224" s="12"/>
      <c r="K224" s="12"/>
      <c r="L224" s="14"/>
      <c r="M224" s="12"/>
      <c r="N224" s="14"/>
      <c r="O224" s="12">
        <v>1</v>
      </c>
      <c r="P224" s="12" t="s">
        <v>1044</v>
      </c>
      <c r="Q224" s="13" t="s">
        <v>1045</v>
      </c>
      <c r="R224" s="10"/>
      <c r="S224" s="10"/>
      <c r="T224" s="11"/>
    </row>
    <row r="225" spans="1:20" ht="56" x14ac:dyDescent="0.35">
      <c r="A225" s="12" t="s">
        <v>413</v>
      </c>
      <c r="B225" s="12" t="s">
        <v>4</v>
      </c>
      <c r="C225" s="13" t="s">
        <v>1046</v>
      </c>
      <c r="D225" s="13" t="s">
        <v>1047</v>
      </c>
      <c r="E225" s="12" t="s">
        <v>105</v>
      </c>
      <c r="F225" s="12" t="s">
        <v>4</v>
      </c>
      <c r="G225" s="12" t="s">
        <v>105</v>
      </c>
      <c r="H225" s="12" t="s">
        <v>106</v>
      </c>
      <c r="I225" s="14">
        <v>0.8</v>
      </c>
      <c r="J225" s="12"/>
      <c r="K225" s="12"/>
      <c r="L225" s="14"/>
      <c r="M225" s="12"/>
      <c r="N225" s="14"/>
      <c r="O225" s="12">
        <v>1</v>
      </c>
      <c r="P225" s="12" t="s">
        <v>1048</v>
      </c>
      <c r="Q225" s="13" t="s">
        <v>1049</v>
      </c>
      <c r="R225" s="10"/>
      <c r="S225" s="10"/>
      <c r="T225" s="11"/>
    </row>
    <row r="226" spans="1:20" ht="84" x14ac:dyDescent="0.35">
      <c r="A226" s="12" t="s">
        <v>413</v>
      </c>
      <c r="B226" s="12" t="s">
        <v>4</v>
      </c>
      <c r="C226" s="13" t="s">
        <v>1050</v>
      </c>
      <c r="D226" s="13" t="s">
        <v>1051</v>
      </c>
      <c r="E226" s="12" t="s">
        <v>105</v>
      </c>
      <c r="F226" s="12" t="s">
        <v>4</v>
      </c>
      <c r="G226" s="12" t="s">
        <v>105</v>
      </c>
      <c r="H226" s="12" t="s">
        <v>106</v>
      </c>
      <c r="I226" s="14">
        <v>0.8</v>
      </c>
      <c r="J226" s="12"/>
      <c r="K226" s="12"/>
      <c r="L226" s="14"/>
      <c r="M226" s="12"/>
      <c r="N226" s="14"/>
      <c r="O226" s="12">
        <v>1</v>
      </c>
      <c r="P226" s="12" t="s">
        <v>1052</v>
      </c>
      <c r="Q226" s="13" t="s">
        <v>1053</v>
      </c>
      <c r="R226" s="10"/>
      <c r="S226" s="10"/>
      <c r="T226" s="11"/>
    </row>
    <row r="227" spans="1:20" ht="56" x14ac:dyDescent="0.35">
      <c r="A227" s="12" t="s">
        <v>413</v>
      </c>
      <c r="B227" s="12" t="s">
        <v>4</v>
      </c>
      <c r="C227" s="13" t="s">
        <v>1054</v>
      </c>
      <c r="D227" s="13" t="s">
        <v>1055</v>
      </c>
      <c r="E227" s="12" t="s">
        <v>63</v>
      </c>
      <c r="F227" s="12" t="s">
        <v>4</v>
      </c>
      <c r="G227" s="12" t="s">
        <v>63</v>
      </c>
      <c r="H227" s="12" t="s">
        <v>63</v>
      </c>
      <c r="I227" s="14">
        <v>0.8</v>
      </c>
      <c r="J227" s="12"/>
      <c r="K227" s="12"/>
      <c r="L227" s="14"/>
      <c r="M227" s="12"/>
      <c r="N227" s="14"/>
      <c r="O227" s="12">
        <v>1</v>
      </c>
      <c r="P227" s="12" t="s">
        <v>1056</v>
      </c>
      <c r="Q227" s="13" t="s">
        <v>1057</v>
      </c>
      <c r="R227" s="10"/>
      <c r="S227" s="10"/>
      <c r="T227" s="11"/>
    </row>
    <row r="228" spans="1:20" ht="84" x14ac:dyDescent="0.35">
      <c r="A228" s="12" t="s">
        <v>413</v>
      </c>
      <c r="B228" s="12" t="s">
        <v>4</v>
      </c>
      <c r="C228" s="13" t="s">
        <v>1058</v>
      </c>
      <c r="D228" s="13" t="s">
        <v>1059</v>
      </c>
      <c r="E228" s="12" t="s">
        <v>63</v>
      </c>
      <c r="F228" s="12" t="s">
        <v>4</v>
      </c>
      <c r="G228" s="12" t="s">
        <v>63</v>
      </c>
      <c r="H228" s="12" t="s">
        <v>63</v>
      </c>
      <c r="I228" s="14">
        <v>0.8</v>
      </c>
      <c r="J228" s="12"/>
      <c r="K228" s="12"/>
      <c r="L228" s="14"/>
      <c r="M228" s="12"/>
      <c r="N228" s="14"/>
      <c r="O228" s="12">
        <v>1</v>
      </c>
      <c r="P228" s="12" t="s">
        <v>1060</v>
      </c>
      <c r="Q228" s="13" t="s">
        <v>1061</v>
      </c>
      <c r="R228" s="10"/>
      <c r="S228" s="10"/>
      <c r="T228" s="11"/>
    </row>
    <row r="229" spans="1:20" ht="84" x14ac:dyDescent="0.35">
      <c r="A229" s="12" t="s">
        <v>413</v>
      </c>
      <c r="B229" s="12" t="s">
        <v>4</v>
      </c>
      <c r="C229" s="13" t="s">
        <v>1062</v>
      </c>
      <c r="D229" s="13" t="s">
        <v>1063</v>
      </c>
      <c r="E229" s="12" t="s">
        <v>1064</v>
      </c>
      <c r="F229" s="12" t="s">
        <v>4</v>
      </c>
      <c r="G229" s="12" t="s">
        <v>1064</v>
      </c>
      <c r="H229" s="12" t="s">
        <v>1064</v>
      </c>
      <c r="I229" s="14">
        <v>0.8</v>
      </c>
      <c r="J229" s="12"/>
      <c r="K229" s="12"/>
      <c r="L229" s="14"/>
      <c r="M229" s="12"/>
      <c r="N229" s="14"/>
      <c r="O229" s="12">
        <v>1</v>
      </c>
      <c r="P229" s="12" t="s">
        <v>1065</v>
      </c>
      <c r="Q229" s="13" t="s">
        <v>1066</v>
      </c>
      <c r="R229" s="10"/>
      <c r="S229" s="10"/>
      <c r="T229" s="11"/>
    </row>
    <row r="230" spans="1:20" ht="84" x14ac:dyDescent="0.35">
      <c r="A230" s="12" t="s">
        <v>413</v>
      </c>
      <c r="B230" s="12" t="s">
        <v>4</v>
      </c>
      <c r="C230" s="13" t="s">
        <v>1067</v>
      </c>
      <c r="D230" s="13"/>
      <c r="E230" s="12" t="s">
        <v>1064</v>
      </c>
      <c r="F230" s="12" t="s">
        <v>4</v>
      </c>
      <c r="G230" s="12" t="s">
        <v>1064</v>
      </c>
      <c r="H230" s="12" t="s">
        <v>1064</v>
      </c>
      <c r="I230" s="14">
        <v>0.8</v>
      </c>
      <c r="J230" s="12"/>
      <c r="K230" s="12"/>
      <c r="L230" s="14"/>
      <c r="M230" s="12"/>
      <c r="N230" s="14"/>
      <c r="O230" s="12">
        <v>1</v>
      </c>
      <c r="P230" s="12" t="s">
        <v>1068</v>
      </c>
      <c r="Q230" s="13" t="s">
        <v>1069</v>
      </c>
      <c r="R230" s="10"/>
      <c r="S230" s="10"/>
      <c r="T230" s="11"/>
    </row>
    <row r="231" spans="1:20" ht="84" x14ac:dyDescent="0.35">
      <c r="A231" s="12" t="s">
        <v>413</v>
      </c>
      <c r="B231" s="12" t="s">
        <v>4</v>
      </c>
      <c r="C231" s="13" t="s">
        <v>1070</v>
      </c>
      <c r="D231" s="13" t="s">
        <v>1071</v>
      </c>
      <c r="E231" s="12" t="s">
        <v>583</v>
      </c>
      <c r="F231" s="12" t="s">
        <v>4</v>
      </c>
      <c r="G231" s="12" t="s">
        <v>583</v>
      </c>
      <c r="H231" s="12" t="s">
        <v>583</v>
      </c>
      <c r="I231" s="14">
        <v>0.8</v>
      </c>
      <c r="J231" s="12"/>
      <c r="K231" s="12"/>
      <c r="L231" s="14"/>
      <c r="M231" s="12"/>
      <c r="N231" s="14"/>
      <c r="O231" s="12">
        <v>1</v>
      </c>
      <c r="P231" s="12" t="s">
        <v>1072</v>
      </c>
      <c r="Q231" s="13" t="s">
        <v>1073</v>
      </c>
      <c r="R231" s="10"/>
      <c r="S231" s="10"/>
      <c r="T231" s="11"/>
    </row>
    <row r="232" spans="1:20" ht="42" x14ac:dyDescent="0.35">
      <c r="A232" s="12" t="s">
        <v>413</v>
      </c>
      <c r="B232" s="12" t="s">
        <v>4</v>
      </c>
      <c r="C232" s="13" t="s">
        <v>1074</v>
      </c>
      <c r="D232" s="13"/>
      <c r="E232" s="12" t="s">
        <v>1075</v>
      </c>
      <c r="F232" s="12" t="s">
        <v>4</v>
      </c>
      <c r="G232" s="12" t="s">
        <v>1075</v>
      </c>
      <c r="H232" s="12" t="s">
        <v>1076</v>
      </c>
      <c r="I232" s="14">
        <v>0.8</v>
      </c>
      <c r="J232" s="12"/>
      <c r="K232" s="12"/>
      <c r="L232" s="14"/>
      <c r="M232" s="12"/>
      <c r="N232" s="14"/>
      <c r="O232" s="12">
        <v>1</v>
      </c>
      <c r="P232" s="12" t="s">
        <v>1077</v>
      </c>
      <c r="Q232" s="13" t="s">
        <v>1078</v>
      </c>
      <c r="R232" s="10"/>
      <c r="S232" s="10"/>
      <c r="T232" s="11"/>
    </row>
    <row r="233" spans="1:20" ht="98" x14ac:dyDescent="0.35">
      <c r="A233" s="12" t="s">
        <v>413</v>
      </c>
      <c r="B233" s="12" t="s">
        <v>4</v>
      </c>
      <c r="C233" s="13" t="s">
        <v>1079</v>
      </c>
      <c r="D233" s="13" t="s">
        <v>1080</v>
      </c>
      <c r="E233" s="12" t="s">
        <v>1081</v>
      </c>
      <c r="F233" s="12" t="s">
        <v>4</v>
      </c>
      <c r="G233" s="12" t="s">
        <v>1081</v>
      </c>
      <c r="H233" s="12" t="s">
        <v>1081</v>
      </c>
      <c r="I233" s="14">
        <v>0.8</v>
      </c>
      <c r="J233" s="12"/>
      <c r="K233" s="12"/>
      <c r="L233" s="14"/>
      <c r="M233" s="12"/>
      <c r="N233" s="14"/>
      <c r="O233" s="12">
        <v>1</v>
      </c>
      <c r="P233" s="12" t="s">
        <v>1082</v>
      </c>
      <c r="Q233" s="13" t="s">
        <v>1083</v>
      </c>
      <c r="R233" s="10"/>
      <c r="S233" s="10"/>
      <c r="T233" s="11"/>
    </row>
    <row r="234" spans="1:20" ht="84" x14ac:dyDescent="0.35">
      <c r="A234" s="12" t="s">
        <v>413</v>
      </c>
      <c r="B234" s="12" t="s">
        <v>4</v>
      </c>
      <c r="C234" s="13" t="s">
        <v>1084</v>
      </c>
      <c r="D234" s="13" t="s">
        <v>1085</v>
      </c>
      <c r="E234" s="12" t="s">
        <v>544</v>
      </c>
      <c r="F234" s="12" t="s">
        <v>4</v>
      </c>
      <c r="G234" s="12" t="s">
        <v>544</v>
      </c>
      <c r="H234" s="12" t="s">
        <v>545</v>
      </c>
      <c r="I234" s="14">
        <v>0.8</v>
      </c>
      <c r="J234" s="12"/>
      <c r="K234" s="12"/>
      <c r="L234" s="14"/>
      <c r="M234" s="12"/>
      <c r="N234" s="14"/>
      <c r="O234" s="12">
        <v>1</v>
      </c>
      <c r="P234" s="12" t="s">
        <v>1086</v>
      </c>
      <c r="Q234" s="13" t="s">
        <v>1087</v>
      </c>
      <c r="R234" s="10"/>
      <c r="S234" s="10"/>
      <c r="T234" s="11"/>
    </row>
    <row r="235" spans="1:20" ht="84" x14ac:dyDescent="0.35">
      <c r="A235" s="12" t="s">
        <v>413</v>
      </c>
      <c r="B235" s="12" t="s">
        <v>4</v>
      </c>
      <c r="C235" s="13" t="s">
        <v>1088</v>
      </c>
      <c r="D235" s="13"/>
      <c r="E235" s="12" t="s">
        <v>1081</v>
      </c>
      <c r="F235" s="12" t="s">
        <v>4</v>
      </c>
      <c r="G235" s="12" t="s">
        <v>1081</v>
      </c>
      <c r="H235" s="12" t="s">
        <v>1081</v>
      </c>
      <c r="I235" s="14">
        <v>0.8</v>
      </c>
      <c r="J235" s="12"/>
      <c r="K235" s="12"/>
      <c r="L235" s="14"/>
      <c r="M235" s="12"/>
      <c r="N235" s="14"/>
      <c r="O235" s="12">
        <v>1</v>
      </c>
      <c r="P235" s="12" t="s">
        <v>1089</v>
      </c>
      <c r="Q235" s="13" t="s">
        <v>1090</v>
      </c>
      <c r="R235" s="10"/>
      <c r="S235" s="10"/>
      <c r="T235" s="11"/>
    </row>
    <row r="236" spans="1:20" ht="84" x14ac:dyDescent="0.35">
      <c r="A236" s="12" t="s">
        <v>413</v>
      </c>
      <c r="B236" s="12" t="s">
        <v>4</v>
      </c>
      <c r="C236" s="13" t="s">
        <v>1091</v>
      </c>
      <c r="D236" s="13" t="s">
        <v>1092</v>
      </c>
      <c r="E236" s="12" t="s">
        <v>67</v>
      </c>
      <c r="F236" s="12" t="s">
        <v>4</v>
      </c>
      <c r="G236" s="12" t="s">
        <v>67</v>
      </c>
      <c r="H236" s="12" t="s">
        <v>67</v>
      </c>
      <c r="I236" s="14">
        <v>0.8</v>
      </c>
      <c r="J236" s="12"/>
      <c r="K236" s="12"/>
      <c r="L236" s="14"/>
      <c r="M236" s="12"/>
      <c r="N236" s="14"/>
      <c r="O236" s="12">
        <v>1</v>
      </c>
      <c r="P236" s="12" t="s">
        <v>1093</v>
      </c>
      <c r="Q236" s="13" t="s">
        <v>1094</v>
      </c>
      <c r="R236" s="10"/>
      <c r="S236" s="10"/>
      <c r="T236" s="11"/>
    </row>
    <row r="237" spans="1:20" ht="56" x14ac:dyDescent="0.35">
      <c r="A237" s="12" t="s">
        <v>413</v>
      </c>
      <c r="B237" s="12" t="s">
        <v>4</v>
      </c>
      <c r="C237" s="13" t="s">
        <v>1095</v>
      </c>
      <c r="D237" s="13" t="s">
        <v>1096</v>
      </c>
      <c r="E237" s="12" t="s">
        <v>906</v>
      </c>
      <c r="F237" s="12" t="s">
        <v>4</v>
      </c>
      <c r="G237" s="12" t="s">
        <v>906</v>
      </c>
      <c r="H237" s="12" t="s">
        <v>907</v>
      </c>
      <c r="I237" s="14">
        <v>0.8</v>
      </c>
      <c r="J237" s="12"/>
      <c r="K237" s="12"/>
      <c r="L237" s="14"/>
      <c r="M237" s="12"/>
      <c r="N237" s="14"/>
      <c r="O237" s="12">
        <v>1</v>
      </c>
      <c r="P237" s="12" t="s">
        <v>1097</v>
      </c>
      <c r="Q237" s="13" t="s">
        <v>1098</v>
      </c>
      <c r="R237" s="10"/>
      <c r="S237" s="10"/>
      <c r="T237" s="11"/>
    </row>
    <row r="238" spans="1:20" ht="84" x14ac:dyDescent="0.35">
      <c r="A238" s="12" t="s">
        <v>413</v>
      </c>
      <c r="B238" s="12" t="s">
        <v>4</v>
      </c>
      <c r="C238" s="13" t="s">
        <v>1099</v>
      </c>
      <c r="D238" s="13" t="s">
        <v>1100</v>
      </c>
      <c r="E238" s="12" t="s">
        <v>1101</v>
      </c>
      <c r="F238" s="12" t="s">
        <v>4</v>
      </c>
      <c r="G238" s="12" t="s">
        <v>1101</v>
      </c>
      <c r="H238" s="12" t="s">
        <v>1102</v>
      </c>
      <c r="I238" s="14">
        <v>0.8</v>
      </c>
      <c r="J238" s="12"/>
      <c r="K238" s="12"/>
      <c r="L238" s="14"/>
      <c r="M238" s="12"/>
      <c r="N238" s="14"/>
      <c r="O238" s="12">
        <v>1</v>
      </c>
      <c r="P238" s="12" t="s">
        <v>1103</v>
      </c>
      <c r="Q238" s="13" t="s">
        <v>1104</v>
      </c>
      <c r="R238" s="10"/>
      <c r="S238" s="10"/>
      <c r="T238" s="11"/>
    </row>
    <row r="239" spans="1:20" ht="98" x14ac:dyDescent="0.35">
      <c r="A239" s="12" t="s">
        <v>413</v>
      </c>
      <c r="B239" s="12" t="s">
        <v>4</v>
      </c>
      <c r="C239" s="13" t="s">
        <v>1105</v>
      </c>
      <c r="D239" s="13" t="s">
        <v>1039</v>
      </c>
      <c r="E239" s="12" t="s">
        <v>1106</v>
      </c>
      <c r="F239" s="12" t="s">
        <v>4</v>
      </c>
      <c r="G239" s="12" t="s">
        <v>1106</v>
      </c>
      <c r="H239" s="12" t="s">
        <v>1106</v>
      </c>
      <c r="I239" s="14">
        <v>0.8</v>
      </c>
      <c r="J239" s="12"/>
      <c r="K239" s="12"/>
      <c r="L239" s="14"/>
      <c r="M239" s="12"/>
      <c r="N239" s="14"/>
      <c r="O239" s="12">
        <v>1</v>
      </c>
      <c r="P239" s="12" t="s">
        <v>1040</v>
      </c>
      <c r="Q239" s="13" t="s">
        <v>1041</v>
      </c>
      <c r="R239" s="10"/>
      <c r="S239" s="10"/>
      <c r="T239" s="11"/>
    </row>
    <row r="240" spans="1:20" ht="70" x14ac:dyDescent="0.35">
      <c r="A240" s="12" t="s">
        <v>413</v>
      </c>
      <c r="B240" s="12" t="s">
        <v>4</v>
      </c>
      <c r="C240" s="13" t="s">
        <v>1107</v>
      </c>
      <c r="D240" s="13"/>
      <c r="E240" s="12" t="s">
        <v>56</v>
      </c>
      <c r="F240" s="12" t="s">
        <v>4</v>
      </c>
      <c r="G240" s="12" t="s">
        <v>56</v>
      </c>
      <c r="H240" s="12" t="s">
        <v>57</v>
      </c>
      <c r="I240" s="14">
        <v>0.8</v>
      </c>
      <c r="J240" s="12"/>
      <c r="K240" s="12"/>
      <c r="L240" s="14"/>
      <c r="M240" s="12"/>
      <c r="N240" s="14"/>
      <c r="O240" s="12">
        <v>1</v>
      </c>
      <c r="P240" s="12" t="s">
        <v>1108</v>
      </c>
      <c r="Q240" s="13" t="s">
        <v>1109</v>
      </c>
      <c r="R240" s="10"/>
      <c r="S240" s="10"/>
      <c r="T240" s="11"/>
    </row>
    <row r="241" spans="1:20" ht="98" x14ac:dyDescent="0.35">
      <c r="A241" s="12" t="s">
        <v>413</v>
      </c>
      <c r="B241" s="12" t="s">
        <v>4</v>
      </c>
      <c r="C241" s="13" t="s">
        <v>1110</v>
      </c>
      <c r="D241" s="13" t="s">
        <v>1111</v>
      </c>
      <c r="E241" s="12" t="s">
        <v>1006</v>
      </c>
      <c r="F241" s="12" t="s">
        <v>4</v>
      </c>
      <c r="G241" s="12" t="s">
        <v>1006</v>
      </c>
      <c r="H241" s="12" t="s">
        <v>1007</v>
      </c>
      <c r="I241" s="14">
        <v>0.8</v>
      </c>
      <c r="J241" s="12"/>
      <c r="K241" s="12"/>
      <c r="L241" s="14"/>
      <c r="M241" s="12"/>
      <c r="N241" s="14"/>
      <c r="O241" s="12">
        <v>1</v>
      </c>
      <c r="P241" s="12" t="s">
        <v>1112</v>
      </c>
      <c r="Q241" s="13" t="s">
        <v>1113</v>
      </c>
      <c r="R241" s="10"/>
      <c r="S241" s="10"/>
      <c r="T241" s="11"/>
    </row>
    <row r="242" spans="1:20" ht="70" x14ac:dyDescent="0.35">
      <c r="A242" s="12" t="s">
        <v>413</v>
      </c>
      <c r="B242" s="12" t="s">
        <v>115</v>
      </c>
      <c r="C242" s="13" t="s">
        <v>1114</v>
      </c>
      <c r="D242" s="13" t="s">
        <v>1115</v>
      </c>
      <c r="E242" s="12" t="s">
        <v>1116</v>
      </c>
      <c r="F242" s="12" t="s">
        <v>115</v>
      </c>
      <c r="G242" s="12" t="s">
        <v>1117</v>
      </c>
      <c r="H242" s="12" t="s">
        <v>1117</v>
      </c>
      <c r="I242" s="14">
        <v>0.6</v>
      </c>
      <c r="J242" s="12"/>
      <c r="K242" s="12"/>
      <c r="L242" s="14"/>
      <c r="M242" s="12"/>
      <c r="N242" s="14"/>
      <c r="O242" s="12">
        <v>1</v>
      </c>
      <c r="P242" s="12" t="s">
        <v>1118</v>
      </c>
      <c r="Q242" s="13" t="s">
        <v>1119</v>
      </c>
      <c r="R242" s="10"/>
      <c r="S242" s="10"/>
      <c r="T242" s="11"/>
    </row>
    <row r="243" spans="1:20" ht="56" x14ac:dyDescent="0.35">
      <c r="A243" s="12" t="s">
        <v>413</v>
      </c>
      <c r="B243" s="12" t="s">
        <v>115</v>
      </c>
      <c r="C243" s="13" t="s">
        <v>1120</v>
      </c>
      <c r="D243" s="13" t="s">
        <v>515</v>
      </c>
      <c r="E243" s="12" t="s">
        <v>1120</v>
      </c>
      <c r="F243" s="12" t="s">
        <v>115</v>
      </c>
      <c r="G243" s="12" t="s">
        <v>1121</v>
      </c>
      <c r="H243" s="12" t="s">
        <v>1122</v>
      </c>
      <c r="I243" s="14">
        <v>0.6</v>
      </c>
      <c r="J243" s="12"/>
      <c r="K243" s="12"/>
      <c r="L243" s="14"/>
      <c r="M243" s="12"/>
      <c r="N243" s="14"/>
      <c r="O243" s="12">
        <v>2</v>
      </c>
      <c r="P243" s="12" t="s">
        <v>517</v>
      </c>
      <c r="Q243" s="13" t="s">
        <v>518</v>
      </c>
      <c r="R243" s="10"/>
      <c r="S243" s="10"/>
      <c r="T243" s="11"/>
    </row>
    <row r="244" spans="1:20" ht="56" x14ac:dyDescent="0.35">
      <c r="A244" s="12" t="s">
        <v>413</v>
      </c>
      <c r="B244" s="12" t="s">
        <v>115</v>
      </c>
      <c r="C244" s="13" t="s">
        <v>1123</v>
      </c>
      <c r="D244" s="13" t="s">
        <v>1124</v>
      </c>
      <c r="E244" s="12" t="s">
        <v>129</v>
      </c>
      <c r="F244" s="12" t="s">
        <v>115</v>
      </c>
      <c r="G244" s="12" t="s">
        <v>130</v>
      </c>
      <c r="H244" s="12" t="s">
        <v>130</v>
      </c>
      <c r="I244" s="14">
        <v>0.6</v>
      </c>
      <c r="J244" s="12"/>
      <c r="K244" s="12"/>
      <c r="L244" s="14"/>
      <c r="M244" s="12"/>
      <c r="N244" s="14"/>
      <c r="O244" s="12">
        <v>1</v>
      </c>
      <c r="P244" s="12" t="s">
        <v>1125</v>
      </c>
      <c r="Q244" s="13" t="s">
        <v>1126</v>
      </c>
      <c r="R244" s="10"/>
      <c r="S244" s="10"/>
      <c r="T244" s="11"/>
    </row>
    <row r="245" spans="1:20" ht="84" x14ac:dyDescent="0.35">
      <c r="A245" s="12" t="s">
        <v>413</v>
      </c>
      <c r="B245" s="12" t="s">
        <v>115</v>
      </c>
      <c r="C245" s="13" t="s">
        <v>1127</v>
      </c>
      <c r="D245" s="13" t="s">
        <v>1128</v>
      </c>
      <c r="E245" s="12" t="s">
        <v>1129</v>
      </c>
      <c r="F245" s="12" t="s">
        <v>115</v>
      </c>
      <c r="G245" s="12" t="s">
        <v>1130</v>
      </c>
      <c r="H245" s="12" t="s">
        <v>1131</v>
      </c>
      <c r="I245" s="14">
        <v>0.6</v>
      </c>
      <c r="J245" s="12"/>
      <c r="K245" s="12"/>
      <c r="L245" s="14"/>
      <c r="M245" s="12"/>
      <c r="N245" s="14"/>
      <c r="O245" s="12">
        <v>1</v>
      </c>
      <c r="P245" s="12" t="s">
        <v>1132</v>
      </c>
      <c r="Q245" s="13" t="s">
        <v>1133</v>
      </c>
      <c r="R245" s="10"/>
      <c r="S245" s="10"/>
      <c r="T245" s="11"/>
    </row>
    <row r="246" spans="1:20" ht="84" x14ac:dyDescent="0.35">
      <c r="A246" s="12" t="s">
        <v>413</v>
      </c>
      <c r="B246" s="12" t="s">
        <v>115</v>
      </c>
      <c r="C246" s="13" t="s">
        <v>1134</v>
      </c>
      <c r="D246" s="13"/>
      <c r="E246" s="12" t="s">
        <v>1135</v>
      </c>
      <c r="F246" s="12" t="s">
        <v>115</v>
      </c>
      <c r="G246" s="12" t="s">
        <v>111</v>
      </c>
      <c r="H246" s="12" t="s">
        <v>112</v>
      </c>
      <c r="I246" s="14">
        <v>0.6</v>
      </c>
      <c r="J246" s="12"/>
      <c r="K246" s="12"/>
      <c r="L246" s="14"/>
      <c r="M246" s="12"/>
      <c r="N246" s="14"/>
      <c r="O246" s="12">
        <v>2</v>
      </c>
      <c r="P246" s="12" t="s">
        <v>1136</v>
      </c>
      <c r="Q246" s="13" t="s">
        <v>1137</v>
      </c>
      <c r="R246" s="10"/>
      <c r="S246" s="10"/>
      <c r="T246" s="11"/>
    </row>
    <row r="247" spans="1:20" ht="84" x14ac:dyDescent="0.35">
      <c r="A247" s="12" t="s">
        <v>413</v>
      </c>
      <c r="B247" s="12" t="s">
        <v>115</v>
      </c>
      <c r="C247" s="13" t="s">
        <v>1138</v>
      </c>
      <c r="D247" s="13" t="s">
        <v>1139</v>
      </c>
      <c r="E247" s="12" t="s">
        <v>1140</v>
      </c>
      <c r="F247" s="12" t="s">
        <v>115</v>
      </c>
      <c r="G247" s="12" t="s">
        <v>1141</v>
      </c>
      <c r="H247" s="12" t="s">
        <v>1141</v>
      </c>
      <c r="I247" s="14">
        <v>0.6</v>
      </c>
      <c r="J247" s="12"/>
      <c r="K247" s="12"/>
      <c r="L247" s="14"/>
      <c r="M247" s="12"/>
      <c r="N247" s="14"/>
      <c r="O247" s="12">
        <v>1</v>
      </c>
      <c r="P247" s="12" t="s">
        <v>1142</v>
      </c>
      <c r="Q247" s="13" t="s">
        <v>1143</v>
      </c>
      <c r="R247" s="10"/>
      <c r="S247" s="10"/>
      <c r="T247" s="11"/>
    </row>
    <row r="248" spans="1:20" ht="84" x14ac:dyDescent="0.35">
      <c r="A248" s="12" t="s">
        <v>413</v>
      </c>
      <c r="B248" s="12" t="s">
        <v>115</v>
      </c>
      <c r="C248" s="13" t="s">
        <v>1144</v>
      </c>
      <c r="D248" s="13" t="s">
        <v>1145</v>
      </c>
      <c r="E248" s="12" t="s">
        <v>124</v>
      </c>
      <c r="F248" s="12" t="s">
        <v>115</v>
      </c>
      <c r="G248" s="12" t="s">
        <v>63</v>
      </c>
      <c r="H248" s="12" t="s">
        <v>63</v>
      </c>
      <c r="I248" s="14">
        <v>0.6</v>
      </c>
      <c r="J248" s="12"/>
      <c r="K248" s="12"/>
      <c r="L248" s="14"/>
      <c r="M248" s="12"/>
      <c r="N248" s="14"/>
      <c r="O248" s="12">
        <v>1</v>
      </c>
      <c r="P248" s="12" t="s">
        <v>1146</v>
      </c>
      <c r="Q248" s="13" t="s">
        <v>1147</v>
      </c>
      <c r="R248" s="10"/>
      <c r="S248" s="10"/>
      <c r="T248" s="11"/>
    </row>
    <row r="249" spans="1:20" ht="84" x14ac:dyDescent="0.35">
      <c r="A249" s="12" t="s">
        <v>413</v>
      </c>
      <c r="B249" s="12" t="s">
        <v>115</v>
      </c>
      <c r="C249" s="13" t="s">
        <v>1148</v>
      </c>
      <c r="D249" s="13" t="s">
        <v>1149</v>
      </c>
      <c r="E249" s="12" t="s">
        <v>124</v>
      </c>
      <c r="F249" s="12" t="s">
        <v>115</v>
      </c>
      <c r="G249" s="12" t="s">
        <v>63</v>
      </c>
      <c r="H249" s="12" t="s">
        <v>63</v>
      </c>
      <c r="I249" s="14">
        <v>0.6</v>
      </c>
      <c r="J249" s="12"/>
      <c r="K249" s="12"/>
      <c r="L249" s="14"/>
      <c r="M249" s="12"/>
      <c r="N249" s="14"/>
      <c r="O249" s="12">
        <v>1</v>
      </c>
      <c r="P249" s="12" t="s">
        <v>1150</v>
      </c>
      <c r="Q249" s="13" t="s">
        <v>1151</v>
      </c>
      <c r="R249" s="10"/>
      <c r="S249" s="10"/>
      <c r="T249" s="11"/>
    </row>
    <row r="250" spans="1:20" ht="56" x14ac:dyDescent="0.35">
      <c r="A250" s="12" t="s">
        <v>413</v>
      </c>
      <c r="B250" s="12" t="s">
        <v>115</v>
      </c>
      <c r="C250" s="13" t="s">
        <v>1152</v>
      </c>
      <c r="D250" s="13" t="s">
        <v>1153</v>
      </c>
      <c r="E250" s="12" t="s">
        <v>1152</v>
      </c>
      <c r="F250" s="12" t="s">
        <v>115</v>
      </c>
      <c r="G250" s="12" t="s">
        <v>63</v>
      </c>
      <c r="H250" s="12" t="s">
        <v>63</v>
      </c>
      <c r="I250" s="14">
        <v>0.6</v>
      </c>
      <c r="J250" s="12"/>
      <c r="K250" s="12"/>
      <c r="L250" s="14"/>
      <c r="M250" s="12"/>
      <c r="N250" s="14"/>
      <c r="O250" s="12">
        <v>1</v>
      </c>
      <c r="P250" s="12" t="s">
        <v>1154</v>
      </c>
      <c r="Q250" s="13" t="s">
        <v>1155</v>
      </c>
      <c r="R250" s="10"/>
      <c r="S250" s="10"/>
      <c r="T250" s="11"/>
    </row>
    <row r="251" spans="1:20" ht="70" x14ac:dyDescent="0.35">
      <c r="A251" s="12" t="s">
        <v>413</v>
      </c>
      <c r="B251" s="12" t="s">
        <v>115</v>
      </c>
      <c r="C251" s="13" t="s">
        <v>1156</v>
      </c>
      <c r="D251" s="13" t="s">
        <v>1157</v>
      </c>
      <c r="E251" s="12" t="s">
        <v>1129</v>
      </c>
      <c r="F251" s="12" t="s">
        <v>115</v>
      </c>
      <c r="G251" s="12" t="s">
        <v>1130</v>
      </c>
      <c r="H251" s="12" t="s">
        <v>1131</v>
      </c>
      <c r="I251" s="14">
        <v>0.6</v>
      </c>
      <c r="J251" s="12"/>
      <c r="K251" s="12"/>
      <c r="L251" s="14"/>
      <c r="M251" s="12"/>
      <c r="N251" s="14"/>
      <c r="O251" s="12">
        <v>1</v>
      </c>
      <c r="P251" s="12" t="s">
        <v>1158</v>
      </c>
      <c r="Q251" s="13" t="s">
        <v>1159</v>
      </c>
      <c r="R251" s="10"/>
      <c r="S251" s="10"/>
      <c r="T251" s="11"/>
    </row>
    <row r="252" spans="1:20" ht="42" x14ac:dyDescent="0.35">
      <c r="A252" s="12" t="s">
        <v>413</v>
      </c>
      <c r="B252" s="12" t="s">
        <v>115</v>
      </c>
      <c r="C252" s="13" t="s">
        <v>1160</v>
      </c>
      <c r="D252" s="13" t="s">
        <v>1161</v>
      </c>
      <c r="E252" s="12" t="s">
        <v>1162</v>
      </c>
      <c r="F252" s="12" t="s">
        <v>115</v>
      </c>
      <c r="G252" s="12" t="s">
        <v>1163</v>
      </c>
      <c r="H252" s="12" t="s">
        <v>1164</v>
      </c>
      <c r="I252" s="14">
        <v>0.6</v>
      </c>
      <c r="J252" s="12"/>
      <c r="K252" s="12"/>
      <c r="L252" s="14"/>
      <c r="M252" s="12"/>
      <c r="N252" s="14"/>
      <c r="O252" s="12">
        <v>2</v>
      </c>
      <c r="P252" s="12" t="s">
        <v>1165</v>
      </c>
      <c r="Q252" s="13" t="s">
        <v>1166</v>
      </c>
      <c r="R252" s="10"/>
      <c r="S252" s="10"/>
      <c r="T252" s="11"/>
    </row>
    <row r="253" spans="1:20" ht="56" x14ac:dyDescent="0.35">
      <c r="A253" s="12" t="s">
        <v>413</v>
      </c>
      <c r="B253" s="12" t="s">
        <v>115</v>
      </c>
      <c r="C253" s="13" t="s">
        <v>1167</v>
      </c>
      <c r="D253" s="13" t="s">
        <v>1168</v>
      </c>
      <c r="E253" s="12" t="s">
        <v>1129</v>
      </c>
      <c r="F253" s="12" t="s">
        <v>115</v>
      </c>
      <c r="G253" s="12" t="s">
        <v>1130</v>
      </c>
      <c r="H253" s="12" t="s">
        <v>1131</v>
      </c>
      <c r="I253" s="14">
        <v>0.6</v>
      </c>
      <c r="J253" s="12"/>
      <c r="K253" s="12"/>
      <c r="L253" s="14"/>
      <c r="M253" s="12"/>
      <c r="N253" s="14"/>
      <c r="O253" s="12">
        <v>1</v>
      </c>
      <c r="P253" s="12" t="s">
        <v>1169</v>
      </c>
      <c r="Q253" s="13" t="s">
        <v>1170</v>
      </c>
      <c r="R253" s="10"/>
      <c r="S253" s="10"/>
      <c r="T253" s="11"/>
    </row>
    <row r="254" spans="1:20" ht="84" x14ac:dyDescent="0.35">
      <c r="A254" s="12" t="s">
        <v>413</v>
      </c>
      <c r="B254" s="12" t="s">
        <v>115</v>
      </c>
      <c r="C254" s="13" t="s">
        <v>1171</v>
      </c>
      <c r="D254" s="13" t="s">
        <v>1172</v>
      </c>
      <c r="E254" s="12" t="s">
        <v>1173</v>
      </c>
      <c r="F254" s="12" t="s">
        <v>115</v>
      </c>
      <c r="G254" s="12" t="s">
        <v>119</v>
      </c>
      <c r="H254" s="12" t="s">
        <v>119</v>
      </c>
      <c r="I254" s="14">
        <v>0.6</v>
      </c>
      <c r="J254" s="12"/>
      <c r="K254" s="12"/>
      <c r="L254" s="14"/>
      <c r="M254" s="12"/>
      <c r="N254" s="14"/>
      <c r="O254" s="12">
        <v>1</v>
      </c>
      <c r="P254" s="12" t="s">
        <v>1174</v>
      </c>
      <c r="Q254" s="13" t="s">
        <v>1175</v>
      </c>
      <c r="R254" s="10"/>
      <c r="S254" s="10"/>
      <c r="T254" s="11"/>
    </row>
    <row r="255" spans="1:20" ht="84" x14ac:dyDescent="0.35">
      <c r="A255" s="12" t="s">
        <v>413</v>
      </c>
      <c r="B255" s="12" t="s">
        <v>115</v>
      </c>
      <c r="C255" s="13" t="s">
        <v>1176</v>
      </c>
      <c r="D255" s="13" t="s">
        <v>1177</v>
      </c>
      <c r="E255" s="12" t="s">
        <v>1176</v>
      </c>
      <c r="F255" s="12" t="s">
        <v>115</v>
      </c>
      <c r="G255" s="12" t="s">
        <v>105</v>
      </c>
      <c r="H255" s="12" t="s">
        <v>106</v>
      </c>
      <c r="I255" s="14">
        <v>0.6</v>
      </c>
      <c r="J255" s="12"/>
      <c r="K255" s="12"/>
      <c r="L255" s="14"/>
      <c r="M255" s="12"/>
      <c r="N255" s="14"/>
      <c r="O255" s="12">
        <v>1</v>
      </c>
      <c r="P255" s="12" t="s">
        <v>1178</v>
      </c>
      <c r="Q255" s="13" t="s">
        <v>1179</v>
      </c>
      <c r="R255" s="10"/>
      <c r="S255" s="10"/>
      <c r="T255" s="11"/>
    </row>
    <row r="256" spans="1:20" ht="84" x14ac:dyDescent="0.35">
      <c r="A256" s="12" t="s">
        <v>413</v>
      </c>
      <c r="B256" s="12" t="s">
        <v>115</v>
      </c>
      <c r="C256" s="13" t="s">
        <v>1180</v>
      </c>
      <c r="D256" s="13" t="s">
        <v>1181</v>
      </c>
      <c r="E256" s="12" t="s">
        <v>118</v>
      </c>
      <c r="F256" s="12" t="s">
        <v>115</v>
      </c>
      <c r="G256" s="12" t="s">
        <v>119</v>
      </c>
      <c r="H256" s="12" t="s">
        <v>119</v>
      </c>
      <c r="I256" s="14">
        <v>0.6</v>
      </c>
      <c r="J256" s="12"/>
      <c r="K256" s="12"/>
      <c r="L256" s="14"/>
      <c r="M256" s="12"/>
      <c r="N256" s="14"/>
      <c r="O256" s="12">
        <v>1</v>
      </c>
      <c r="P256" s="12" t="s">
        <v>1182</v>
      </c>
      <c r="Q256" s="13" t="s">
        <v>1183</v>
      </c>
      <c r="R256" s="10"/>
      <c r="S256" s="10"/>
      <c r="T256" s="11"/>
    </row>
    <row r="257" spans="1:20" ht="56" x14ac:dyDescent="0.35">
      <c r="A257" s="12" t="s">
        <v>413</v>
      </c>
      <c r="B257" s="12" t="s">
        <v>115</v>
      </c>
      <c r="C257" s="13" t="s">
        <v>1184</v>
      </c>
      <c r="D257" s="13" t="s">
        <v>1185</v>
      </c>
      <c r="E257" s="12" t="s">
        <v>139</v>
      </c>
      <c r="F257" s="12" t="s">
        <v>115</v>
      </c>
      <c r="G257" s="12" t="s">
        <v>119</v>
      </c>
      <c r="H257" s="12" t="s">
        <v>119</v>
      </c>
      <c r="I257" s="14">
        <v>0.6</v>
      </c>
      <c r="J257" s="12"/>
      <c r="K257" s="12"/>
      <c r="L257" s="14"/>
      <c r="M257" s="12"/>
      <c r="N257" s="14"/>
      <c r="O257" s="12">
        <v>2</v>
      </c>
      <c r="P257" s="12" t="s">
        <v>1186</v>
      </c>
      <c r="Q257" s="13" t="s">
        <v>1187</v>
      </c>
      <c r="R257" s="10"/>
      <c r="S257" s="10"/>
      <c r="T257" s="11"/>
    </row>
    <row r="258" spans="1:20" ht="84" x14ac:dyDescent="0.35">
      <c r="A258" s="12" t="s">
        <v>413</v>
      </c>
      <c r="B258" s="12" t="s">
        <v>115</v>
      </c>
      <c r="C258" s="13" t="s">
        <v>1188</v>
      </c>
      <c r="D258" s="13" t="s">
        <v>1189</v>
      </c>
      <c r="E258" s="12" t="s">
        <v>1188</v>
      </c>
      <c r="F258" s="12" t="s">
        <v>115</v>
      </c>
      <c r="G258" s="12" t="s">
        <v>130</v>
      </c>
      <c r="H258" s="12" t="s">
        <v>130</v>
      </c>
      <c r="I258" s="14">
        <v>0.6</v>
      </c>
      <c r="J258" s="12"/>
      <c r="K258" s="12"/>
      <c r="L258" s="14"/>
      <c r="M258" s="12"/>
      <c r="N258" s="14"/>
      <c r="O258" s="12">
        <v>1</v>
      </c>
      <c r="P258" s="12" t="s">
        <v>1190</v>
      </c>
      <c r="Q258" s="13" t="s">
        <v>1191</v>
      </c>
      <c r="R258" s="10"/>
      <c r="S258" s="10"/>
      <c r="T258" s="11"/>
    </row>
    <row r="259" spans="1:20" ht="84" x14ac:dyDescent="0.35">
      <c r="A259" s="12" t="s">
        <v>413</v>
      </c>
      <c r="B259" s="12" t="s">
        <v>115</v>
      </c>
      <c r="C259" s="13" t="s">
        <v>1192</v>
      </c>
      <c r="D259" s="13" t="s">
        <v>1193</v>
      </c>
      <c r="E259" s="12" t="s">
        <v>1194</v>
      </c>
      <c r="F259" s="12" t="s">
        <v>115</v>
      </c>
      <c r="G259" s="12" t="s">
        <v>1195</v>
      </c>
      <c r="H259" s="12" t="s">
        <v>1195</v>
      </c>
      <c r="I259" s="14">
        <v>0.6</v>
      </c>
      <c r="J259" s="12"/>
      <c r="K259" s="12"/>
      <c r="L259" s="14"/>
      <c r="M259" s="12"/>
      <c r="N259" s="14"/>
      <c r="O259" s="12">
        <v>1</v>
      </c>
      <c r="P259" s="12" t="s">
        <v>1196</v>
      </c>
      <c r="Q259" s="13" t="s">
        <v>1197</v>
      </c>
      <c r="R259" s="10"/>
      <c r="S259" s="10"/>
      <c r="T259" s="11"/>
    </row>
    <row r="260" spans="1:20" ht="56" x14ac:dyDescent="0.35">
      <c r="A260" s="12" t="s">
        <v>413</v>
      </c>
      <c r="B260" s="12" t="s">
        <v>115</v>
      </c>
      <c r="C260" s="13" t="s">
        <v>1198</v>
      </c>
      <c r="D260" s="13" t="s">
        <v>1199</v>
      </c>
      <c r="E260" s="12" t="s">
        <v>1200</v>
      </c>
      <c r="F260" s="12" t="s">
        <v>115</v>
      </c>
      <c r="G260" s="12" t="s">
        <v>1201</v>
      </c>
      <c r="H260" s="12" t="s">
        <v>1202</v>
      </c>
      <c r="I260" s="14">
        <v>0.6</v>
      </c>
      <c r="J260" s="12"/>
      <c r="K260" s="12"/>
      <c r="L260" s="14"/>
      <c r="M260" s="12"/>
      <c r="N260" s="14"/>
      <c r="O260" s="12">
        <v>1</v>
      </c>
      <c r="P260" s="12" t="s">
        <v>1203</v>
      </c>
      <c r="Q260" s="13" t="s">
        <v>1204</v>
      </c>
      <c r="R260" s="10"/>
      <c r="S260" s="10"/>
      <c r="T260" s="11"/>
    </row>
    <row r="261" spans="1:20" ht="70" x14ac:dyDescent="0.35">
      <c r="A261" s="12" t="s">
        <v>413</v>
      </c>
      <c r="B261" s="12" t="s">
        <v>115</v>
      </c>
      <c r="C261" s="13" t="s">
        <v>1205</v>
      </c>
      <c r="D261" s="13" t="s">
        <v>1206</v>
      </c>
      <c r="E261" s="12" t="s">
        <v>1205</v>
      </c>
      <c r="F261" s="12" t="s">
        <v>115</v>
      </c>
      <c r="G261" s="12" t="s">
        <v>105</v>
      </c>
      <c r="H261" s="12" t="s">
        <v>106</v>
      </c>
      <c r="I261" s="14">
        <v>0.6</v>
      </c>
      <c r="J261" s="12"/>
      <c r="K261" s="12"/>
      <c r="L261" s="14"/>
      <c r="M261" s="12"/>
      <c r="N261" s="14"/>
      <c r="O261" s="12">
        <v>1</v>
      </c>
      <c r="P261" s="12" t="s">
        <v>1207</v>
      </c>
      <c r="Q261" s="13" t="s">
        <v>1208</v>
      </c>
      <c r="R261" s="10"/>
      <c r="S261" s="10"/>
      <c r="T261" s="11"/>
    </row>
    <row r="262" spans="1:20" ht="84" x14ac:dyDescent="0.35">
      <c r="A262" s="12" t="s">
        <v>413</v>
      </c>
      <c r="B262" s="12" t="s">
        <v>115</v>
      </c>
      <c r="C262" s="13" t="s">
        <v>1209</v>
      </c>
      <c r="D262" s="13" t="s">
        <v>1210</v>
      </c>
      <c r="E262" s="12" t="s">
        <v>1205</v>
      </c>
      <c r="F262" s="12" t="s">
        <v>115</v>
      </c>
      <c r="G262" s="12" t="s">
        <v>105</v>
      </c>
      <c r="H262" s="12" t="s">
        <v>106</v>
      </c>
      <c r="I262" s="14">
        <v>0.6</v>
      </c>
      <c r="J262" s="12"/>
      <c r="K262" s="12"/>
      <c r="L262" s="14"/>
      <c r="M262" s="12"/>
      <c r="N262" s="14"/>
      <c r="O262" s="12">
        <v>2</v>
      </c>
      <c r="P262" s="12" t="s">
        <v>1211</v>
      </c>
      <c r="Q262" s="13" t="s">
        <v>1212</v>
      </c>
      <c r="R262" s="10"/>
      <c r="S262" s="10"/>
      <c r="T262" s="11"/>
    </row>
    <row r="263" spans="1:20" ht="42" x14ac:dyDescent="0.35">
      <c r="A263" s="12" t="s">
        <v>413</v>
      </c>
      <c r="B263" s="12" t="s">
        <v>115</v>
      </c>
      <c r="C263" s="13" t="s">
        <v>1213</v>
      </c>
      <c r="D263" s="13"/>
      <c r="E263" s="12" t="s">
        <v>129</v>
      </c>
      <c r="F263" s="12" t="s">
        <v>115</v>
      </c>
      <c r="G263" s="12" t="s">
        <v>130</v>
      </c>
      <c r="H263" s="12" t="s">
        <v>130</v>
      </c>
      <c r="I263" s="14">
        <v>0.6</v>
      </c>
      <c r="J263" s="12"/>
      <c r="K263" s="12"/>
      <c r="L263" s="14"/>
      <c r="M263" s="12"/>
      <c r="N263" s="14"/>
      <c r="O263" s="12">
        <v>1</v>
      </c>
      <c r="P263" s="12" t="s">
        <v>1214</v>
      </c>
      <c r="Q263" s="13" t="s">
        <v>1215</v>
      </c>
      <c r="R263" s="10"/>
      <c r="S263" s="10"/>
      <c r="T263" s="11"/>
    </row>
    <row r="264" spans="1:20" ht="56" x14ac:dyDescent="0.35">
      <c r="A264" s="12" t="s">
        <v>413</v>
      </c>
      <c r="B264" s="12" t="s">
        <v>115</v>
      </c>
      <c r="C264" s="13" t="s">
        <v>129</v>
      </c>
      <c r="D264" s="13" t="s">
        <v>1216</v>
      </c>
      <c r="E264" s="12" t="s">
        <v>129</v>
      </c>
      <c r="F264" s="12" t="s">
        <v>115</v>
      </c>
      <c r="G264" s="12" t="s">
        <v>130</v>
      </c>
      <c r="H264" s="12" t="s">
        <v>130</v>
      </c>
      <c r="I264" s="14">
        <v>0.6</v>
      </c>
      <c r="J264" s="12"/>
      <c r="K264" s="12"/>
      <c r="L264" s="14"/>
      <c r="M264" s="12"/>
      <c r="N264" s="14"/>
      <c r="O264" s="12">
        <v>4</v>
      </c>
      <c r="P264" s="12" t="s">
        <v>1217</v>
      </c>
      <c r="Q264" s="13" t="s">
        <v>1218</v>
      </c>
      <c r="R264" s="10"/>
      <c r="S264" s="10"/>
      <c r="T264" s="11"/>
    </row>
    <row r="265" spans="1:20" ht="154" x14ac:dyDescent="0.35">
      <c r="A265" s="12" t="s">
        <v>413</v>
      </c>
      <c r="B265" s="12" t="s">
        <v>115</v>
      </c>
      <c r="C265" s="13" t="s">
        <v>1219</v>
      </c>
      <c r="D265" s="13" t="s">
        <v>1220</v>
      </c>
      <c r="E265" s="12" t="s">
        <v>1221</v>
      </c>
      <c r="F265" s="12" t="s">
        <v>115</v>
      </c>
      <c r="G265" s="12" t="s">
        <v>1222</v>
      </c>
      <c r="H265" s="12" t="s">
        <v>1223</v>
      </c>
      <c r="I265" s="14">
        <v>0.48</v>
      </c>
      <c r="J265" s="12"/>
      <c r="K265" s="12" t="s">
        <v>1224</v>
      </c>
      <c r="L265" s="14">
        <v>0.48</v>
      </c>
      <c r="M265" s="12"/>
      <c r="N265" s="14"/>
      <c r="O265" s="12">
        <v>1</v>
      </c>
      <c r="P265" s="12" t="s">
        <v>1225</v>
      </c>
      <c r="Q265" s="13" t="s">
        <v>1226</v>
      </c>
      <c r="R265" s="10"/>
      <c r="S265" s="10"/>
      <c r="T265" s="11"/>
    </row>
    <row r="266" spans="1:20" ht="168" x14ac:dyDescent="0.35">
      <c r="A266" s="12" t="s">
        <v>413</v>
      </c>
      <c r="B266" s="12" t="s">
        <v>115</v>
      </c>
      <c r="C266" s="13" t="s">
        <v>1227</v>
      </c>
      <c r="D266" s="13" t="s">
        <v>1228</v>
      </c>
      <c r="E266" s="12" t="s">
        <v>1221</v>
      </c>
      <c r="F266" s="12" t="s">
        <v>115</v>
      </c>
      <c r="G266" s="12" t="s">
        <v>1222</v>
      </c>
      <c r="H266" s="12" t="s">
        <v>1223</v>
      </c>
      <c r="I266" s="14">
        <v>0.48</v>
      </c>
      <c r="J266" s="12"/>
      <c r="K266" s="12" t="s">
        <v>1224</v>
      </c>
      <c r="L266" s="14">
        <v>0.48</v>
      </c>
      <c r="M266" s="12"/>
      <c r="N266" s="14"/>
      <c r="O266" s="12">
        <v>1</v>
      </c>
      <c r="P266" s="12" t="s">
        <v>1229</v>
      </c>
      <c r="Q266" s="13" t="s">
        <v>1230</v>
      </c>
      <c r="R266" s="10"/>
      <c r="S266" s="10"/>
      <c r="T266" s="11"/>
    </row>
    <row r="267" spans="1:20" ht="84" x14ac:dyDescent="0.35">
      <c r="A267" s="12" t="s">
        <v>413</v>
      </c>
      <c r="B267" s="12" t="s">
        <v>115</v>
      </c>
      <c r="C267" s="13" t="s">
        <v>1231</v>
      </c>
      <c r="D267" s="13" t="s">
        <v>1232</v>
      </c>
      <c r="E267" s="12" t="s">
        <v>129</v>
      </c>
      <c r="F267" s="12" t="s">
        <v>115</v>
      </c>
      <c r="G267" s="12" t="s">
        <v>130</v>
      </c>
      <c r="H267" s="12" t="s">
        <v>130</v>
      </c>
      <c r="I267" s="14">
        <v>0.6</v>
      </c>
      <c r="J267" s="12"/>
      <c r="K267" s="12"/>
      <c r="L267" s="14"/>
      <c r="M267" s="12"/>
      <c r="N267" s="14"/>
      <c r="O267" s="12">
        <v>1</v>
      </c>
      <c r="P267" s="12" t="s">
        <v>1233</v>
      </c>
      <c r="Q267" s="13" t="s">
        <v>1234</v>
      </c>
      <c r="R267" s="10"/>
      <c r="S267" s="10"/>
      <c r="T267" s="11"/>
    </row>
    <row r="268" spans="1:20" ht="70" x14ac:dyDescent="0.35">
      <c r="A268" s="12" t="s">
        <v>413</v>
      </c>
      <c r="B268" s="12" t="s">
        <v>115</v>
      </c>
      <c r="C268" s="13" t="s">
        <v>1235</v>
      </c>
      <c r="D268" s="13" t="s">
        <v>1236</v>
      </c>
      <c r="E268" s="12" t="s">
        <v>1221</v>
      </c>
      <c r="F268" s="12" t="s">
        <v>115</v>
      </c>
      <c r="G268" s="12" t="s">
        <v>1222</v>
      </c>
      <c r="H268" s="12" t="s">
        <v>1223</v>
      </c>
      <c r="I268" s="14">
        <v>0.48</v>
      </c>
      <c r="J268" s="12"/>
      <c r="K268" s="12" t="s">
        <v>1224</v>
      </c>
      <c r="L268" s="14">
        <v>0.48</v>
      </c>
      <c r="M268" s="12"/>
      <c r="N268" s="14"/>
      <c r="O268" s="12">
        <v>1</v>
      </c>
      <c r="P268" s="12" t="s">
        <v>1237</v>
      </c>
      <c r="Q268" s="13" t="s">
        <v>1238</v>
      </c>
      <c r="R268" s="10"/>
      <c r="S268" s="10"/>
      <c r="T268" s="11"/>
    </row>
    <row r="269" spans="1:20" ht="84" x14ac:dyDescent="0.35">
      <c r="A269" s="12" t="s">
        <v>413</v>
      </c>
      <c r="B269" s="12" t="s">
        <v>115</v>
      </c>
      <c r="C269" s="13" t="s">
        <v>1239</v>
      </c>
      <c r="D269" s="13"/>
      <c r="E269" s="12" t="s">
        <v>129</v>
      </c>
      <c r="F269" s="12" t="s">
        <v>115</v>
      </c>
      <c r="G269" s="12" t="s">
        <v>130</v>
      </c>
      <c r="H269" s="12" t="s">
        <v>130</v>
      </c>
      <c r="I269" s="14">
        <v>0.6</v>
      </c>
      <c r="J269" s="12"/>
      <c r="K269" s="12"/>
      <c r="L269" s="14"/>
      <c r="M269" s="12"/>
      <c r="N269" s="14"/>
      <c r="O269" s="12">
        <v>1</v>
      </c>
      <c r="P269" s="12" t="s">
        <v>1240</v>
      </c>
      <c r="Q269" s="13" t="s">
        <v>1241</v>
      </c>
      <c r="R269" s="10"/>
      <c r="S269" s="10"/>
      <c r="T269" s="11"/>
    </row>
    <row r="270" spans="1:20" ht="126" x14ac:dyDescent="0.35">
      <c r="A270" s="12" t="s">
        <v>413</v>
      </c>
      <c r="B270" s="12" t="s">
        <v>115</v>
      </c>
      <c r="C270" s="13" t="s">
        <v>1242</v>
      </c>
      <c r="D270" s="13" t="s">
        <v>1243</v>
      </c>
      <c r="E270" s="12" t="s">
        <v>118</v>
      </c>
      <c r="F270" s="12" t="s">
        <v>115</v>
      </c>
      <c r="G270" s="12" t="s">
        <v>119</v>
      </c>
      <c r="H270" s="12" t="s">
        <v>119</v>
      </c>
      <c r="I270" s="14">
        <v>0.6</v>
      </c>
      <c r="J270" s="12"/>
      <c r="K270" s="12"/>
      <c r="L270" s="14"/>
      <c r="M270" s="12"/>
      <c r="N270" s="14"/>
      <c r="O270" s="12">
        <v>1</v>
      </c>
      <c r="P270" s="12" t="s">
        <v>1244</v>
      </c>
      <c r="Q270" s="13" t="s">
        <v>1245</v>
      </c>
      <c r="R270" s="10"/>
      <c r="S270" s="10"/>
      <c r="T270" s="11"/>
    </row>
    <row r="271" spans="1:20" ht="84" x14ac:dyDescent="0.35">
      <c r="A271" s="12" t="s">
        <v>413</v>
      </c>
      <c r="B271" s="12" t="s">
        <v>170</v>
      </c>
      <c r="C271" s="13" t="s">
        <v>1246</v>
      </c>
      <c r="D271" s="13" t="s">
        <v>1247</v>
      </c>
      <c r="E271" s="12" t="s">
        <v>173</v>
      </c>
      <c r="F271" s="12" t="s">
        <v>174</v>
      </c>
      <c r="G271" s="12"/>
      <c r="H271" s="12" t="s">
        <v>1248</v>
      </c>
      <c r="I271" s="14">
        <v>0.29920000000000002</v>
      </c>
      <c r="J271" s="12">
        <v>46.5</v>
      </c>
      <c r="K271" s="12" t="s">
        <v>1249</v>
      </c>
      <c r="L271" s="14">
        <v>0.24429999999999999</v>
      </c>
      <c r="M271" s="12" t="s">
        <v>1250</v>
      </c>
      <c r="N271" s="14">
        <v>0.2296</v>
      </c>
      <c r="O271" s="12">
        <v>1</v>
      </c>
      <c r="P271" s="12" t="s">
        <v>1251</v>
      </c>
      <c r="Q271" s="13" t="s">
        <v>1252</v>
      </c>
      <c r="R271" s="10"/>
      <c r="S271" s="10"/>
      <c r="T271" s="11"/>
    </row>
    <row r="272" spans="1:20" ht="56" x14ac:dyDescent="0.35">
      <c r="A272" s="12" t="s">
        <v>413</v>
      </c>
      <c r="B272" s="12" t="s">
        <v>170</v>
      </c>
      <c r="C272" s="13" t="s">
        <v>1253</v>
      </c>
      <c r="D272" s="13" t="s">
        <v>1254</v>
      </c>
      <c r="E272" s="12" t="s">
        <v>1255</v>
      </c>
      <c r="F272" s="12" t="s">
        <v>174</v>
      </c>
      <c r="G272" s="12"/>
      <c r="H272" s="12" t="s">
        <v>1256</v>
      </c>
      <c r="I272" s="14">
        <v>0.29949999999999999</v>
      </c>
      <c r="J272" s="12">
        <v>46.5</v>
      </c>
      <c r="K272" s="12"/>
      <c r="L272" s="14"/>
      <c r="M272" s="12"/>
      <c r="N272" s="14"/>
      <c r="O272" s="12">
        <v>1</v>
      </c>
      <c r="P272" s="12" t="s">
        <v>1257</v>
      </c>
      <c r="Q272" s="13" t="s">
        <v>1258</v>
      </c>
      <c r="R272" s="10"/>
      <c r="S272" s="10"/>
      <c r="T272" s="11"/>
    </row>
    <row r="273" spans="1:20" ht="84" x14ac:dyDescent="0.35">
      <c r="A273" s="12" t="s">
        <v>413</v>
      </c>
      <c r="B273" s="12" t="s">
        <v>170</v>
      </c>
      <c r="C273" s="13" t="s">
        <v>1259</v>
      </c>
      <c r="D273" s="13" t="s">
        <v>1260</v>
      </c>
      <c r="E273" s="12" t="s">
        <v>1259</v>
      </c>
      <c r="F273" s="12" t="s">
        <v>174</v>
      </c>
      <c r="G273" s="12"/>
      <c r="H273" s="12" t="s">
        <v>1261</v>
      </c>
      <c r="I273" s="14">
        <v>0.2989</v>
      </c>
      <c r="J273" s="12">
        <v>46.4</v>
      </c>
      <c r="K273" s="12" t="s">
        <v>1262</v>
      </c>
      <c r="L273" s="14">
        <v>0.2457</v>
      </c>
      <c r="M273" s="12" t="s">
        <v>1263</v>
      </c>
      <c r="N273" s="14">
        <v>0.2261</v>
      </c>
      <c r="O273" s="12">
        <v>1</v>
      </c>
      <c r="P273" s="12" t="s">
        <v>1264</v>
      </c>
      <c r="Q273" s="13" t="s">
        <v>1265</v>
      </c>
      <c r="R273" s="10"/>
      <c r="S273" s="10"/>
      <c r="T273" s="11"/>
    </row>
    <row r="274" spans="1:20" ht="70" x14ac:dyDescent="0.35">
      <c r="A274" s="12" t="s">
        <v>413</v>
      </c>
      <c r="B274" s="12" t="s">
        <v>170</v>
      </c>
      <c r="C274" s="13" t="s">
        <v>1266</v>
      </c>
      <c r="D274" s="13"/>
      <c r="E274" s="12" t="s">
        <v>1267</v>
      </c>
      <c r="F274" s="12" t="s">
        <v>174</v>
      </c>
      <c r="G274" s="12"/>
      <c r="H274" s="12" t="s">
        <v>1268</v>
      </c>
      <c r="I274" s="14">
        <v>0.29880000000000001</v>
      </c>
      <c r="J274" s="12">
        <v>46.3</v>
      </c>
      <c r="K274" s="12" t="s">
        <v>1269</v>
      </c>
      <c r="L274" s="14">
        <v>0.26840000000000003</v>
      </c>
      <c r="M274" s="12" t="s">
        <v>1270</v>
      </c>
      <c r="N274" s="14">
        <v>0.2351</v>
      </c>
      <c r="O274" s="12">
        <v>1</v>
      </c>
      <c r="P274" s="12" t="s">
        <v>1271</v>
      </c>
      <c r="Q274" s="13" t="s">
        <v>1272</v>
      </c>
      <c r="R274" s="10"/>
      <c r="S274" s="10"/>
      <c r="T274" s="11"/>
    </row>
    <row r="275" spans="1:20" ht="56" x14ac:dyDescent="0.35">
      <c r="A275" s="12" t="s">
        <v>413</v>
      </c>
      <c r="B275" s="12" t="s">
        <v>170</v>
      </c>
      <c r="C275" s="13" t="s">
        <v>1273</v>
      </c>
      <c r="D275" s="13" t="s">
        <v>1274</v>
      </c>
      <c r="E275" s="12" t="s">
        <v>1273</v>
      </c>
      <c r="F275" s="12" t="s">
        <v>174</v>
      </c>
      <c r="G275" s="12"/>
      <c r="H275" s="12" t="s">
        <v>176</v>
      </c>
      <c r="I275" s="14">
        <v>0.29820000000000002</v>
      </c>
      <c r="J275" s="12">
        <v>46.2</v>
      </c>
      <c r="K275" s="12" t="s">
        <v>1275</v>
      </c>
      <c r="L275" s="14">
        <v>0.24310000000000001</v>
      </c>
      <c r="M275" s="12"/>
      <c r="N275" s="14"/>
      <c r="O275" s="12">
        <v>1</v>
      </c>
      <c r="P275" s="12" t="s">
        <v>1276</v>
      </c>
      <c r="Q275" s="13" t="s">
        <v>1277</v>
      </c>
      <c r="R275" s="10"/>
      <c r="S275" s="10"/>
      <c r="T275" s="11"/>
    </row>
    <row r="276" spans="1:20" ht="84" x14ac:dyDescent="0.35">
      <c r="A276" s="12" t="s">
        <v>413</v>
      </c>
      <c r="B276" s="12" t="s">
        <v>170</v>
      </c>
      <c r="C276" s="13" t="s">
        <v>1278</v>
      </c>
      <c r="D276" s="13" t="s">
        <v>1279</v>
      </c>
      <c r="E276" s="12" t="s">
        <v>1280</v>
      </c>
      <c r="F276" s="12" t="s">
        <v>174</v>
      </c>
      <c r="G276" s="12"/>
      <c r="H276" s="12" t="s">
        <v>201</v>
      </c>
      <c r="I276" s="14">
        <v>0.29759999999999998</v>
      </c>
      <c r="J276" s="12">
        <v>46</v>
      </c>
      <c r="K276" s="12" t="s">
        <v>1281</v>
      </c>
      <c r="L276" s="14">
        <v>0.25419999999999998</v>
      </c>
      <c r="M276" s="12" t="s">
        <v>26</v>
      </c>
      <c r="N276" s="14">
        <v>0.23549999999999999</v>
      </c>
      <c r="O276" s="12">
        <v>1</v>
      </c>
      <c r="P276" s="12" t="s">
        <v>1282</v>
      </c>
      <c r="Q276" s="13" t="s">
        <v>1283</v>
      </c>
      <c r="R276" s="10"/>
      <c r="S276" s="10"/>
      <c r="T276" s="11"/>
    </row>
    <row r="277" spans="1:20" ht="56" x14ac:dyDescent="0.35">
      <c r="A277" s="12" t="s">
        <v>413</v>
      </c>
      <c r="B277" s="12" t="s">
        <v>170</v>
      </c>
      <c r="C277" s="13" t="s">
        <v>1284</v>
      </c>
      <c r="D277" s="13" t="s">
        <v>1285</v>
      </c>
      <c r="E277" s="12" t="s">
        <v>1286</v>
      </c>
      <c r="F277" s="12" t="s">
        <v>174</v>
      </c>
      <c r="G277" s="12"/>
      <c r="H277" s="12" t="s">
        <v>1287</v>
      </c>
      <c r="I277" s="14">
        <v>0.29670000000000002</v>
      </c>
      <c r="J277" s="12">
        <v>45.8</v>
      </c>
      <c r="K277" s="12" t="s">
        <v>1288</v>
      </c>
      <c r="L277" s="14">
        <v>0.26879999999999998</v>
      </c>
      <c r="M277" s="12" t="s">
        <v>1289</v>
      </c>
      <c r="N277" s="14">
        <v>0.23200000000000001</v>
      </c>
      <c r="O277" s="12">
        <v>1</v>
      </c>
      <c r="P277" s="12" t="s">
        <v>1290</v>
      </c>
      <c r="Q277" s="13" t="s">
        <v>1291</v>
      </c>
      <c r="R277" s="10"/>
      <c r="S277" s="10"/>
      <c r="T277" s="11"/>
    </row>
    <row r="278" spans="1:20" ht="154" x14ac:dyDescent="0.35">
      <c r="A278" s="12" t="s">
        <v>413</v>
      </c>
      <c r="B278" s="12" t="s">
        <v>170</v>
      </c>
      <c r="C278" s="13" t="s">
        <v>1292</v>
      </c>
      <c r="D278" s="13" t="s">
        <v>1293</v>
      </c>
      <c r="E278" s="12" t="s">
        <v>1294</v>
      </c>
      <c r="F278" s="12" t="s">
        <v>174</v>
      </c>
      <c r="G278" s="12"/>
      <c r="H278" s="12" t="s">
        <v>299</v>
      </c>
      <c r="I278" s="14">
        <v>0.29649999999999999</v>
      </c>
      <c r="J278" s="12">
        <v>45.7</v>
      </c>
      <c r="K278" s="12" t="s">
        <v>1295</v>
      </c>
      <c r="L278" s="14">
        <v>0.22789999999999999</v>
      </c>
      <c r="M278" s="12" t="s">
        <v>220</v>
      </c>
      <c r="N278" s="14">
        <v>0.21149999999999999</v>
      </c>
      <c r="O278" s="12">
        <v>1</v>
      </c>
      <c r="P278" s="12" t="s">
        <v>1296</v>
      </c>
      <c r="Q278" s="13" t="s">
        <v>1297</v>
      </c>
      <c r="R278" s="10"/>
      <c r="S278" s="10"/>
      <c r="T278" s="11"/>
    </row>
    <row r="279" spans="1:20" ht="84" x14ac:dyDescent="0.35">
      <c r="A279" s="12" t="s">
        <v>413</v>
      </c>
      <c r="B279" s="12" t="s">
        <v>170</v>
      </c>
      <c r="C279" s="13" t="s">
        <v>1298</v>
      </c>
      <c r="D279" s="13" t="s">
        <v>1299</v>
      </c>
      <c r="E279" s="12" t="s">
        <v>1300</v>
      </c>
      <c r="F279" s="12" t="s">
        <v>174</v>
      </c>
      <c r="G279" s="12"/>
      <c r="H279" s="12" t="s">
        <v>1301</v>
      </c>
      <c r="I279" s="14">
        <v>0.29609999999999997</v>
      </c>
      <c r="J279" s="12">
        <v>45.6</v>
      </c>
      <c r="K279" s="12" t="s">
        <v>1302</v>
      </c>
      <c r="L279" s="14">
        <v>0.2576</v>
      </c>
      <c r="M279" s="12" t="s">
        <v>1303</v>
      </c>
      <c r="N279" s="14">
        <v>0.24279999999999999</v>
      </c>
      <c r="O279" s="12">
        <v>1</v>
      </c>
      <c r="P279" s="12" t="s">
        <v>1304</v>
      </c>
      <c r="Q279" s="13" t="s">
        <v>1305</v>
      </c>
      <c r="R279" s="10"/>
      <c r="S279" s="10"/>
      <c r="T279" s="11"/>
    </row>
    <row r="280" spans="1:20" ht="70" x14ac:dyDescent="0.35">
      <c r="A280" s="12" t="s">
        <v>413</v>
      </c>
      <c r="B280" s="12" t="s">
        <v>170</v>
      </c>
      <c r="C280" s="13" t="s">
        <v>1306</v>
      </c>
      <c r="D280" s="13" t="s">
        <v>1307</v>
      </c>
      <c r="E280" s="12" t="s">
        <v>1308</v>
      </c>
      <c r="F280" s="12" t="s">
        <v>174</v>
      </c>
      <c r="G280" s="12"/>
      <c r="H280" s="12" t="s">
        <v>1309</v>
      </c>
      <c r="I280" s="14">
        <v>0.29559999999999997</v>
      </c>
      <c r="J280" s="12">
        <v>45.5</v>
      </c>
      <c r="K280" s="12" t="s">
        <v>1310</v>
      </c>
      <c r="L280" s="14">
        <v>0.2923</v>
      </c>
      <c r="M280" s="12" t="s">
        <v>1311</v>
      </c>
      <c r="N280" s="14">
        <v>0.28939999999999999</v>
      </c>
      <c r="O280" s="12">
        <v>1</v>
      </c>
      <c r="P280" s="12" t="s">
        <v>1312</v>
      </c>
      <c r="Q280" s="13" t="s">
        <v>1313</v>
      </c>
      <c r="R280" s="10"/>
      <c r="S280" s="10"/>
      <c r="T280" s="11"/>
    </row>
    <row r="281" spans="1:20" ht="56" x14ac:dyDescent="0.35">
      <c r="A281" s="12" t="s">
        <v>413</v>
      </c>
      <c r="B281" s="12" t="s">
        <v>170</v>
      </c>
      <c r="C281" s="13" t="s">
        <v>1314</v>
      </c>
      <c r="D281" s="13"/>
      <c r="E281" s="12" t="s">
        <v>1255</v>
      </c>
      <c r="F281" s="12" t="s">
        <v>174</v>
      </c>
      <c r="G281" s="12"/>
      <c r="H281" s="12" t="s">
        <v>1315</v>
      </c>
      <c r="I281" s="14">
        <v>0.29559999999999997</v>
      </c>
      <c r="J281" s="12">
        <v>45.5</v>
      </c>
      <c r="K281" s="12" t="s">
        <v>1316</v>
      </c>
      <c r="L281" s="14">
        <v>0.28179999999999999</v>
      </c>
      <c r="M281" s="12" t="s">
        <v>1317</v>
      </c>
      <c r="N281" s="14">
        <v>0.27850000000000003</v>
      </c>
      <c r="O281" s="12">
        <v>1</v>
      </c>
      <c r="P281" s="12" t="s">
        <v>1318</v>
      </c>
      <c r="Q281" s="13" t="s">
        <v>1319</v>
      </c>
      <c r="R281" s="10"/>
      <c r="S281" s="10"/>
      <c r="T281" s="11"/>
    </row>
    <row r="282" spans="1:20" ht="42" x14ac:dyDescent="0.35">
      <c r="A282" s="12" t="s">
        <v>413</v>
      </c>
      <c r="B282" s="12" t="s">
        <v>170</v>
      </c>
      <c r="C282" s="13" t="s">
        <v>1320</v>
      </c>
      <c r="D282" s="13" t="s">
        <v>1321</v>
      </c>
      <c r="E282" s="12" t="s">
        <v>1322</v>
      </c>
      <c r="F282" s="12" t="s">
        <v>174</v>
      </c>
      <c r="G282" s="12"/>
      <c r="H282" s="12" t="s">
        <v>1323</v>
      </c>
      <c r="I282" s="14">
        <v>0.29480000000000001</v>
      </c>
      <c r="J282" s="12">
        <v>45.3</v>
      </c>
      <c r="K282" s="12" t="s">
        <v>424</v>
      </c>
      <c r="L282" s="14">
        <v>0.27589999999999998</v>
      </c>
      <c r="M282" s="12" t="s">
        <v>1324</v>
      </c>
      <c r="N282" s="14">
        <v>0.2616</v>
      </c>
      <c r="O282" s="12">
        <v>1</v>
      </c>
      <c r="P282" s="12" t="s">
        <v>1325</v>
      </c>
      <c r="Q282" s="13" t="s">
        <v>1326</v>
      </c>
      <c r="R282" s="10"/>
      <c r="S282" s="10"/>
      <c r="T282" s="11"/>
    </row>
    <row r="283" spans="1:20" ht="56" x14ac:dyDescent="0.35">
      <c r="A283" s="12" t="s">
        <v>413</v>
      </c>
      <c r="B283" s="12" t="s">
        <v>170</v>
      </c>
      <c r="C283" s="13" t="s">
        <v>1327</v>
      </c>
      <c r="D283" s="13" t="s">
        <v>1328</v>
      </c>
      <c r="E283" s="12" t="s">
        <v>1329</v>
      </c>
      <c r="F283" s="12" t="s">
        <v>174</v>
      </c>
      <c r="G283" s="12"/>
      <c r="H283" s="12" t="s">
        <v>1330</v>
      </c>
      <c r="I283" s="14">
        <v>0.2949</v>
      </c>
      <c r="J283" s="12">
        <v>45.3</v>
      </c>
      <c r="K283" s="12" t="s">
        <v>1331</v>
      </c>
      <c r="L283" s="14">
        <v>0.28570000000000001</v>
      </c>
      <c r="M283" s="12" t="s">
        <v>1332</v>
      </c>
      <c r="N283" s="14">
        <v>0.28149999999999997</v>
      </c>
      <c r="O283" s="12">
        <v>1</v>
      </c>
      <c r="P283" s="12" t="s">
        <v>1333</v>
      </c>
      <c r="Q283" s="13" t="s">
        <v>1334</v>
      </c>
      <c r="R283" s="10"/>
      <c r="S283" s="10"/>
      <c r="T283" s="11"/>
    </row>
    <row r="284" spans="1:20" ht="70" x14ac:dyDescent="0.35">
      <c r="A284" s="12" t="s">
        <v>413</v>
      </c>
      <c r="B284" s="12" t="s">
        <v>170</v>
      </c>
      <c r="C284" s="13" t="s">
        <v>1335</v>
      </c>
      <c r="D284" s="13" t="s">
        <v>89</v>
      </c>
      <c r="E284" s="12" t="s">
        <v>1336</v>
      </c>
      <c r="F284" s="12" t="s">
        <v>174</v>
      </c>
      <c r="G284" s="12"/>
      <c r="H284" s="12" t="s">
        <v>1337</v>
      </c>
      <c r="I284" s="14">
        <v>0.29360000000000003</v>
      </c>
      <c r="J284" s="12">
        <v>45</v>
      </c>
      <c r="K284" s="12" t="s">
        <v>1338</v>
      </c>
      <c r="L284" s="14">
        <v>0.29289999999999999</v>
      </c>
      <c r="M284" s="12" t="s">
        <v>1339</v>
      </c>
      <c r="N284" s="14">
        <v>0.28970000000000001</v>
      </c>
      <c r="O284" s="12">
        <v>1</v>
      </c>
      <c r="P284" s="12" t="s">
        <v>92</v>
      </c>
      <c r="Q284" s="13" t="s">
        <v>93</v>
      </c>
      <c r="R284" s="10"/>
      <c r="S284" s="10"/>
      <c r="T284" s="11"/>
    </row>
    <row r="285" spans="1:20" ht="28" x14ac:dyDescent="0.35">
      <c r="A285" s="12" t="s">
        <v>413</v>
      </c>
      <c r="B285" s="12" t="s">
        <v>170</v>
      </c>
      <c r="C285" s="13" t="s">
        <v>1340</v>
      </c>
      <c r="D285" s="13" t="s">
        <v>1341</v>
      </c>
      <c r="E285" s="12" t="s">
        <v>1342</v>
      </c>
      <c r="F285" s="12" t="s">
        <v>174</v>
      </c>
      <c r="G285" s="12"/>
      <c r="H285" s="12" t="s">
        <v>1343</v>
      </c>
      <c r="I285" s="14">
        <v>0.29330000000000001</v>
      </c>
      <c r="J285" s="12">
        <v>44.9</v>
      </c>
      <c r="K285" s="12" t="s">
        <v>1344</v>
      </c>
      <c r="L285" s="14">
        <v>0.2011</v>
      </c>
      <c r="M285" s="12"/>
      <c r="N285" s="14"/>
      <c r="O285" s="12">
        <v>1</v>
      </c>
      <c r="P285" s="12" t="s">
        <v>1345</v>
      </c>
      <c r="Q285" s="13" t="s">
        <v>1346</v>
      </c>
      <c r="R285" s="10"/>
      <c r="S285" s="10"/>
      <c r="T285" s="11"/>
    </row>
    <row r="286" spans="1:20" ht="84" x14ac:dyDescent="0.35">
      <c r="A286" s="12" t="s">
        <v>413</v>
      </c>
      <c r="B286" s="12" t="s">
        <v>170</v>
      </c>
      <c r="C286" s="13" t="s">
        <v>1347</v>
      </c>
      <c r="D286" s="13"/>
      <c r="E286" s="12" t="s">
        <v>1348</v>
      </c>
      <c r="F286" s="12" t="s">
        <v>174</v>
      </c>
      <c r="G286" s="12"/>
      <c r="H286" s="12" t="s">
        <v>1349</v>
      </c>
      <c r="I286" s="14">
        <v>0.29339999999999999</v>
      </c>
      <c r="J286" s="12">
        <v>44.9</v>
      </c>
      <c r="K286" s="12" t="s">
        <v>1350</v>
      </c>
      <c r="L286" s="14">
        <v>0.28179999999999999</v>
      </c>
      <c r="M286" s="12" t="s">
        <v>1351</v>
      </c>
      <c r="N286" s="14">
        <v>0.22009999999999999</v>
      </c>
      <c r="O286" s="12">
        <v>1</v>
      </c>
      <c r="P286" s="12" t="s">
        <v>1352</v>
      </c>
      <c r="Q286" s="13" t="s">
        <v>1353</v>
      </c>
      <c r="R286" s="10"/>
      <c r="S286" s="10"/>
      <c r="T286" s="11"/>
    </row>
    <row r="287" spans="1:20" ht="56" x14ac:dyDescent="0.35">
      <c r="A287" s="12" t="s">
        <v>413</v>
      </c>
      <c r="B287" s="12" t="s">
        <v>170</v>
      </c>
      <c r="C287" s="13" t="s">
        <v>1354</v>
      </c>
      <c r="D287" s="13"/>
      <c r="E287" s="12" t="s">
        <v>1255</v>
      </c>
      <c r="F287" s="12" t="s">
        <v>174</v>
      </c>
      <c r="G287" s="12"/>
      <c r="H287" s="12" t="s">
        <v>1317</v>
      </c>
      <c r="I287" s="14">
        <v>0.29310000000000003</v>
      </c>
      <c r="J287" s="12">
        <v>44.8</v>
      </c>
      <c r="K287" s="12" t="s">
        <v>1316</v>
      </c>
      <c r="L287" s="14">
        <v>0.26579999999999998</v>
      </c>
      <c r="M287" s="12" t="s">
        <v>1355</v>
      </c>
      <c r="N287" s="14">
        <v>0.23949999999999999</v>
      </c>
      <c r="O287" s="12">
        <v>1</v>
      </c>
      <c r="P287" s="12" t="s">
        <v>1356</v>
      </c>
      <c r="Q287" s="13" t="s">
        <v>1357</v>
      </c>
      <c r="R287" s="10"/>
      <c r="S287" s="10"/>
      <c r="T287" s="11"/>
    </row>
    <row r="288" spans="1:20" ht="84" x14ac:dyDescent="0.35">
      <c r="A288" s="12" t="s">
        <v>413</v>
      </c>
      <c r="B288" s="12" t="s">
        <v>170</v>
      </c>
      <c r="C288" s="13" t="s">
        <v>1358</v>
      </c>
      <c r="D288" s="13" t="s">
        <v>1359</v>
      </c>
      <c r="E288" s="12" t="s">
        <v>1360</v>
      </c>
      <c r="F288" s="12" t="s">
        <v>174</v>
      </c>
      <c r="G288" s="12"/>
      <c r="H288" s="12" t="s">
        <v>1361</v>
      </c>
      <c r="I288" s="14">
        <v>0.2923</v>
      </c>
      <c r="J288" s="12">
        <v>44.6</v>
      </c>
      <c r="K288" s="12" t="s">
        <v>1362</v>
      </c>
      <c r="L288" s="14">
        <v>0.2616</v>
      </c>
      <c r="M288" s="12" t="s">
        <v>1363</v>
      </c>
      <c r="N288" s="14">
        <v>0.253</v>
      </c>
      <c r="O288" s="12">
        <v>1</v>
      </c>
      <c r="P288" s="12" t="s">
        <v>1364</v>
      </c>
      <c r="Q288" s="13" t="s">
        <v>1365</v>
      </c>
      <c r="R288" s="10"/>
      <c r="S288" s="10"/>
      <c r="T288" s="11"/>
    </row>
    <row r="289" spans="1:20" ht="98" x14ac:dyDescent="0.35">
      <c r="A289" s="12" t="s">
        <v>413</v>
      </c>
      <c r="B289" s="12" t="s">
        <v>170</v>
      </c>
      <c r="C289" s="13" t="s">
        <v>1366</v>
      </c>
      <c r="D289" s="13" t="s">
        <v>1367</v>
      </c>
      <c r="E289" s="12" t="s">
        <v>1368</v>
      </c>
      <c r="F289" s="12" t="s">
        <v>174</v>
      </c>
      <c r="G289" s="12"/>
      <c r="H289" s="12" t="s">
        <v>1369</v>
      </c>
      <c r="I289" s="14">
        <v>0.29160000000000003</v>
      </c>
      <c r="J289" s="12">
        <v>44.4</v>
      </c>
      <c r="K289" s="12" t="s">
        <v>219</v>
      </c>
      <c r="L289" s="14">
        <v>0.2354</v>
      </c>
      <c r="M289" s="12" t="s">
        <v>175</v>
      </c>
      <c r="N289" s="14">
        <v>0.20810000000000001</v>
      </c>
      <c r="O289" s="12">
        <v>1</v>
      </c>
      <c r="P289" s="12" t="s">
        <v>1370</v>
      </c>
      <c r="Q289" s="13" t="s">
        <v>1371</v>
      </c>
      <c r="R289" s="10"/>
      <c r="S289" s="10"/>
      <c r="T289" s="11"/>
    </row>
    <row r="290" spans="1:20" ht="70" x14ac:dyDescent="0.35">
      <c r="A290" s="12" t="s">
        <v>413</v>
      </c>
      <c r="B290" s="12" t="s">
        <v>170</v>
      </c>
      <c r="C290" s="13" t="s">
        <v>1372</v>
      </c>
      <c r="D290" s="13" t="s">
        <v>1373</v>
      </c>
      <c r="E290" s="12" t="s">
        <v>1374</v>
      </c>
      <c r="F290" s="12" t="s">
        <v>174</v>
      </c>
      <c r="G290" s="12"/>
      <c r="H290" s="12" t="s">
        <v>1375</v>
      </c>
      <c r="I290" s="14">
        <v>0.29170000000000001</v>
      </c>
      <c r="J290" s="12">
        <v>44.4</v>
      </c>
      <c r="K290" s="12" t="s">
        <v>1376</v>
      </c>
      <c r="L290" s="14">
        <v>0.24579999999999999</v>
      </c>
      <c r="M290" s="12" t="s">
        <v>1377</v>
      </c>
      <c r="N290" s="14">
        <v>0.23569999999999999</v>
      </c>
      <c r="O290" s="12">
        <v>1</v>
      </c>
      <c r="P290" s="12" t="s">
        <v>1378</v>
      </c>
      <c r="Q290" s="13" t="s">
        <v>1379</v>
      </c>
      <c r="R290" s="10"/>
      <c r="S290" s="10"/>
      <c r="T290" s="11"/>
    </row>
    <row r="291" spans="1:20" ht="70" x14ac:dyDescent="0.35">
      <c r="A291" s="12" t="s">
        <v>413</v>
      </c>
      <c r="B291" s="12" t="s">
        <v>170</v>
      </c>
      <c r="C291" s="13" t="s">
        <v>1380</v>
      </c>
      <c r="D291" s="13"/>
      <c r="E291" s="12" t="s">
        <v>1381</v>
      </c>
      <c r="F291" s="12" t="s">
        <v>174</v>
      </c>
      <c r="G291" s="12"/>
      <c r="H291" s="12" t="s">
        <v>1382</v>
      </c>
      <c r="I291" s="14">
        <v>0.29170000000000001</v>
      </c>
      <c r="J291" s="12">
        <v>44.4</v>
      </c>
      <c r="K291" s="12" t="s">
        <v>1383</v>
      </c>
      <c r="L291" s="14">
        <v>0.26800000000000002</v>
      </c>
      <c r="M291" s="12" t="s">
        <v>1384</v>
      </c>
      <c r="N291" s="14">
        <v>0.24840000000000001</v>
      </c>
      <c r="O291" s="12">
        <v>1</v>
      </c>
      <c r="P291" s="12" t="s">
        <v>1385</v>
      </c>
      <c r="Q291" s="13" t="s">
        <v>1386</v>
      </c>
      <c r="R291" s="10"/>
      <c r="S291" s="10"/>
      <c r="T291" s="11"/>
    </row>
    <row r="292" spans="1:20" ht="70" x14ac:dyDescent="0.35">
      <c r="A292" s="12" t="s">
        <v>413</v>
      </c>
      <c r="B292" s="12" t="s">
        <v>170</v>
      </c>
      <c r="C292" s="13" t="s">
        <v>1387</v>
      </c>
      <c r="D292" s="13"/>
      <c r="E292" s="12" t="s">
        <v>232</v>
      </c>
      <c r="F292" s="12" t="s">
        <v>174</v>
      </c>
      <c r="G292" s="12"/>
      <c r="H292" s="12" t="s">
        <v>1388</v>
      </c>
      <c r="I292" s="14">
        <v>0.29049999999999998</v>
      </c>
      <c r="J292" s="12">
        <v>44.1</v>
      </c>
      <c r="K292" s="12" t="s">
        <v>1389</v>
      </c>
      <c r="L292" s="14">
        <v>0.28060000000000002</v>
      </c>
      <c r="M292" s="12" t="s">
        <v>1390</v>
      </c>
      <c r="N292" s="14">
        <v>0.26090000000000002</v>
      </c>
      <c r="O292" s="12">
        <v>5</v>
      </c>
      <c r="P292" s="12" t="s">
        <v>1391</v>
      </c>
      <c r="Q292" s="13" t="s">
        <v>1392</v>
      </c>
      <c r="R292" s="10"/>
      <c r="S292" s="10"/>
      <c r="T292" s="11"/>
    </row>
    <row r="293" spans="1:20" ht="84" x14ac:dyDescent="0.35">
      <c r="A293" s="12" t="s">
        <v>413</v>
      </c>
      <c r="B293" s="12" t="s">
        <v>170</v>
      </c>
      <c r="C293" s="13" t="s">
        <v>1393</v>
      </c>
      <c r="D293" s="13"/>
      <c r="E293" s="12" t="s">
        <v>1394</v>
      </c>
      <c r="F293" s="12" t="s">
        <v>174</v>
      </c>
      <c r="G293" s="12"/>
      <c r="H293" s="12" t="s">
        <v>1395</v>
      </c>
      <c r="I293" s="14">
        <v>0.2898</v>
      </c>
      <c r="J293" s="12">
        <v>44</v>
      </c>
      <c r="K293" s="12" t="s">
        <v>1396</v>
      </c>
      <c r="L293" s="14">
        <v>0.26179999999999998</v>
      </c>
      <c r="M293" s="12" t="s">
        <v>1397</v>
      </c>
      <c r="N293" s="14">
        <v>0.25280000000000002</v>
      </c>
      <c r="O293" s="12">
        <v>1</v>
      </c>
      <c r="P293" s="12" t="s">
        <v>1398</v>
      </c>
      <c r="Q293" s="13" t="s">
        <v>1399</v>
      </c>
      <c r="R293" s="10"/>
      <c r="S293" s="10"/>
      <c r="T293" s="11"/>
    </row>
    <row r="294" spans="1:20" ht="84" x14ac:dyDescent="0.35">
      <c r="A294" s="12" t="s">
        <v>413</v>
      </c>
      <c r="B294" s="12" t="s">
        <v>170</v>
      </c>
      <c r="C294" s="13" t="s">
        <v>1400</v>
      </c>
      <c r="D294" s="13" t="s">
        <v>1401</v>
      </c>
      <c r="E294" s="12" t="s">
        <v>1394</v>
      </c>
      <c r="F294" s="12" t="s">
        <v>174</v>
      </c>
      <c r="G294" s="12"/>
      <c r="H294" s="12" t="s">
        <v>1402</v>
      </c>
      <c r="I294" s="14">
        <v>0.28949999999999998</v>
      </c>
      <c r="J294" s="12">
        <v>43.9</v>
      </c>
      <c r="K294" s="12" t="s">
        <v>1397</v>
      </c>
      <c r="L294" s="14">
        <v>0.25519999999999998</v>
      </c>
      <c r="M294" s="12" t="s">
        <v>1403</v>
      </c>
      <c r="N294" s="14">
        <v>0.2233</v>
      </c>
      <c r="O294" s="12">
        <v>1</v>
      </c>
      <c r="P294" s="12" t="s">
        <v>1404</v>
      </c>
      <c r="Q294" s="13" t="s">
        <v>1405</v>
      </c>
      <c r="R294" s="10"/>
      <c r="S294" s="10"/>
      <c r="T294" s="11"/>
    </row>
    <row r="295" spans="1:20" ht="84" x14ac:dyDescent="0.35">
      <c r="A295" s="12" t="s">
        <v>413</v>
      </c>
      <c r="B295" s="12" t="s">
        <v>170</v>
      </c>
      <c r="C295" s="13" t="s">
        <v>1406</v>
      </c>
      <c r="D295" s="13" t="s">
        <v>1407</v>
      </c>
      <c r="E295" s="12" t="s">
        <v>1406</v>
      </c>
      <c r="F295" s="12" t="s">
        <v>174</v>
      </c>
      <c r="G295" s="12"/>
      <c r="H295" s="12" t="s">
        <v>1408</v>
      </c>
      <c r="I295" s="14">
        <v>0.28799999999999998</v>
      </c>
      <c r="J295" s="12">
        <v>43.5</v>
      </c>
      <c r="K295" s="12" t="s">
        <v>1409</v>
      </c>
      <c r="L295" s="14">
        <v>0.27660000000000001</v>
      </c>
      <c r="M295" s="12" t="s">
        <v>1410</v>
      </c>
      <c r="N295" s="14">
        <v>0.26240000000000002</v>
      </c>
      <c r="O295" s="12">
        <v>1</v>
      </c>
      <c r="P295" s="12" t="s">
        <v>1411</v>
      </c>
      <c r="Q295" s="13" t="s">
        <v>1412</v>
      </c>
      <c r="R295" s="10"/>
      <c r="S295" s="10"/>
      <c r="T295" s="11"/>
    </row>
    <row r="296" spans="1:20" ht="56" x14ac:dyDescent="0.35">
      <c r="A296" s="12" t="s">
        <v>413</v>
      </c>
      <c r="B296" s="12" t="s">
        <v>170</v>
      </c>
      <c r="C296" s="13" t="s">
        <v>1413</v>
      </c>
      <c r="D296" s="13"/>
      <c r="E296" s="12" t="s">
        <v>232</v>
      </c>
      <c r="F296" s="12" t="s">
        <v>174</v>
      </c>
      <c r="G296" s="12"/>
      <c r="H296" s="12" t="s">
        <v>1414</v>
      </c>
      <c r="I296" s="14">
        <v>0.2858</v>
      </c>
      <c r="J296" s="12">
        <v>42.9</v>
      </c>
      <c r="K296" s="12" t="s">
        <v>1415</v>
      </c>
      <c r="L296" s="14">
        <v>0.28179999999999999</v>
      </c>
      <c r="M296" s="12" t="s">
        <v>1416</v>
      </c>
      <c r="N296" s="14">
        <v>0.2495</v>
      </c>
      <c r="O296" s="12">
        <v>1</v>
      </c>
      <c r="P296" s="12" t="s">
        <v>1417</v>
      </c>
      <c r="Q296" s="13" t="s">
        <v>1418</v>
      </c>
      <c r="R296" s="10"/>
      <c r="S296" s="10"/>
      <c r="T296" s="11"/>
    </row>
    <row r="297" spans="1:20" ht="84" x14ac:dyDescent="0.35">
      <c r="A297" s="12" t="s">
        <v>413</v>
      </c>
      <c r="B297" s="12" t="s">
        <v>170</v>
      </c>
      <c r="C297" s="13" t="s">
        <v>1419</v>
      </c>
      <c r="D297" s="13" t="s">
        <v>1420</v>
      </c>
      <c r="E297" s="12" t="s">
        <v>1419</v>
      </c>
      <c r="F297" s="12" t="s">
        <v>174</v>
      </c>
      <c r="G297" s="12"/>
      <c r="H297" s="12" t="s">
        <v>1421</v>
      </c>
      <c r="I297" s="14">
        <v>0.28549999999999998</v>
      </c>
      <c r="J297" s="12">
        <v>42.8</v>
      </c>
      <c r="K297" s="12"/>
      <c r="L297" s="14"/>
      <c r="M297" s="12"/>
      <c r="N297" s="14"/>
      <c r="O297" s="12">
        <v>1</v>
      </c>
      <c r="P297" s="12" t="s">
        <v>1422</v>
      </c>
      <c r="Q297" s="13" t="s">
        <v>1423</v>
      </c>
      <c r="R297" s="10"/>
      <c r="S297" s="10"/>
      <c r="T297" s="11"/>
    </row>
    <row r="298" spans="1:20" ht="70" x14ac:dyDescent="0.35">
      <c r="A298" s="12" t="s">
        <v>413</v>
      </c>
      <c r="B298" s="12" t="s">
        <v>170</v>
      </c>
      <c r="C298" s="13" t="s">
        <v>1424</v>
      </c>
      <c r="D298" s="13" t="s">
        <v>1425</v>
      </c>
      <c r="E298" s="12" t="s">
        <v>1426</v>
      </c>
      <c r="F298" s="12" t="s">
        <v>174</v>
      </c>
      <c r="G298" s="12"/>
      <c r="H298" s="12" t="s">
        <v>1427</v>
      </c>
      <c r="I298" s="14">
        <v>0.28470000000000001</v>
      </c>
      <c r="J298" s="12">
        <v>42.6</v>
      </c>
      <c r="K298" s="12" t="s">
        <v>1428</v>
      </c>
      <c r="L298" s="14">
        <v>0.24660000000000001</v>
      </c>
      <c r="M298" s="12" t="s">
        <v>1429</v>
      </c>
      <c r="N298" s="14">
        <v>0.2243</v>
      </c>
      <c r="O298" s="12">
        <v>1</v>
      </c>
      <c r="P298" s="12" t="s">
        <v>1430</v>
      </c>
      <c r="Q298" s="13" t="s">
        <v>1431</v>
      </c>
      <c r="R298" s="10"/>
      <c r="S298" s="10"/>
      <c r="T298" s="11"/>
    </row>
    <row r="299" spans="1:20" ht="42" x14ac:dyDescent="0.35">
      <c r="A299" s="12" t="s">
        <v>413</v>
      </c>
      <c r="B299" s="12" t="s">
        <v>170</v>
      </c>
      <c r="C299" s="13" t="s">
        <v>1432</v>
      </c>
      <c r="D299" s="13" t="s">
        <v>1161</v>
      </c>
      <c r="E299" s="12" t="s">
        <v>1433</v>
      </c>
      <c r="F299" s="12" t="s">
        <v>174</v>
      </c>
      <c r="G299" s="12"/>
      <c r="H299" s="12" t="s">
        <v>1301</v>
      </c>
      <c r="I299" s="14">
        <v>0.2828</v>
      </c>
      <c r="J299" s="12">
        <v>42.1</v>
      </c>
      <c r="K299" s="12" t="s">
        <v>1302</v>
      </c>
      <c r="L299" s="14">
        <v>0.22059999999999999</v>
      </c>
      <c r="M299" s="12" t="s">
        <v>1434</v>
      </c>
      <c r="N299" s="14">
        <v>0.214</v>
      </c>
      <c r="O299" s="12">
        <v>1</v>
      </c>
      <c r="P299" s="12" t="s">
        <v>1165</v>
      </c>
      <c r="Q299" s="13" t="s">
        <v>1166</v>
      </c>
      <c r="R299" s="10"/>
      <c r="S299" s="10"/>
      <c r="T299" s="11"/>
    </row>
    <row r="300" spans="1:20" ht="98" x14ac:dyDescent="0.35">
      <c r="A300" s="12" t="s">
        <v>413</v>
      </c>
      <c r="B300" s="12" t="s">
        <v>170</v>
      </c>
      <c r="C300" s="13" t="s">
        <v>1435</v>
      </c>
      <c r="D300" s="13" t="s">
        <v>1436</v>
      </c>
      <c r="E300" s="12" t="s">
        <v>1437</v>
      </c>
      <c r="F300" s="12" t="s">
        <v>174</v>
      </c>
      <c r="G300" s="12"/>
      <c r="H300" s="12" t="s">
        <v>1438</v>
      </c>
      <c r="I300" s="14">
        <v>0.2828</v>
      </c>
      <c r="J300" s="12">
        <v>42.1</v>
      </c>
      <c r="K300" s="12" t="s">
        <v>221</v>
      </c>
      <c r="L300" s="14">
        <v>0.26779999999999998</v>
      </c>
      <c r="M300" s="12" t="s">
        <v>1439</v>
      </c>
      <c r="N300" s="14">
        <v>0.25130000000000002</v>
      </c>
      <c r="O300" s="12">
        <v>1</v>
      </c>
      <c r="P300" s="12" t="s">
        <v>1440</v>
      </c>
      <c r="Q300" s="13" t="s">
        <v>1441</v>
      </c>
      <c r="R300" s="10"/>
      <c r="S300" s="10"/>
      <c r="T300" s="11"/>
    </row>
    <row r="301" spans="1:20" ht="70" x14ac:dyDescent="0.35">
      <c r="A301" s="12" t="s">
        <v>413</v>
      </c>
      <c r="B301" s="12" t="s">
        <v>170</v>
      </c>
      <c r="C301" s="13" t="s">
        <v>1442</v>
      </c>
      <c r="D301" s="13" t="s">
        <v>1443</v>
      </c>
      <c r="E301" s="12" t="s">
        <v>1444</v>
      </c>
      <c r="F301" s="12" t="s">
        <v>174</v>
      </c>
      <c r="G301" s="12"/>
      <c r="H301" s="12" t="s">
        <v>1310</v>
      </c>
      <c r="I301" s="14">
        <v>0.28249999999999997</v>
      </c>
      <c r="J301" s="12">
        <v>42</v>
      </c>
      <c r="K301" s="12" t="s">
        <v>1445</v>
      </c>
      <c r="L301" s="14">
        <v>0.23599999999999999</v>
      </c>
      <c r="M301" s="12"/>
      <c r="N301" s="14"/>
      <c r="O301" s="12">
        <v>1</v>
      </c>
      <c r="P301" s="12" t="s">
        <v>1446</v>
      </c>
      <c r="Q301" s="13" t="s">
        <v>1447</v>
      </c>
      <c r="R301" s="10"/>
      <c r="S301" s="10"/>
      <c r="T301" s="11"/>
    </row>
    <row r="302" spans="1:20" ht="56" x14ac:dyDescent="0.35">
      <c r="A302" s="12" t="s">
        <v>413</v>
      </c>
      <c r="B302" s="12" t="s">
        <v>170</v>
      </c>
      <c r="C302" s="13" t="s">
        <v>1448</v>
      </c>
      <c r="D302" s="13" t="s">
        <v>1449</v>
      </c>
      <c r="E302" s="12" t="s">
        <v>309</v>
      </c>
      <c r="F302" s="12" t="s">
        <v>174</v>
      </c>
      <c r="G302" s="12"/>
      <c r="H302" s="12" t="s">
        <v>1445</v>
      </c>
      <c r="I302" s="14">
        <v>0.2823</v>
      </c>
      <c r="J302" s="12">
        <v>41.9</v>
      </c>
      <c r="K302" s="12" t="s">
        <v>1450</v>
      </c>
      <c r="L302" s="14">
        <v>0.27960000000000002</v>
      </c>
      <c r="M302" s="12"/>
      <c r="N302" s="14"/>
      <c r="O302" s="12">
        <v>1</v>
      </c>
      <c r="P302" s="12" t="s">
        <v>1451</v>
      </c>
      <c r="Q302" s="13" t="s">
        <v>1452</v>
      </c>
      <c r="R302" s="10"/>
      <c r="S302" s="10"/>
      <c r="T302" s="11"/>
    </row>
    <row r="303" spans="1:20" ht="56" x14ac:dyDescent="0.35">
      <c r="A303" s="12" t="s">
        <v>413</v>
      </c>
      <c r="B303" s="12" t="s">
        <v>170</v>
      </c>
      <c r="C303" s="13" t="s">
        <v>1453</v>
      </c>
      <c r="D303" s="13" t="s">
        <v>1454</v>
      </c>
      <c r="E303" s="12" t="s">
        <v>1455</v>
      </c>
      <c r="F303" s="12" t="s">
        <v>174</v>
      </c>
      <c r="G303" s="12"/>
      <c r="H303" s="12" t="s">
        <v>1456</v>
      </c>
      <c r="I303" s="14">
        <v>0.28050000000000003</v>
      </c>
      <c r="J303" s="12">
        <v>41.5</v>
      </c>
      <c r="K303" s="12" t="s">
        <v>1457</v>
      </c>
      <c r="L303" s="14">
        <v>0.27129999999999999</v>
      </c>
      <c r="M303" s="12" t="s">
        <v>1458</v>
      </c>
      <c r="N303" s="14">
        <v>0.26179999999999998</v>
      </c>
      <c r="O303" s="12">
        <v>1</v>
      </c>
      <c r="P303" s="12" t="s">
        <v>1459</v>
      </c>
      <c r="Q303" s="13" t="s">
        <v>1460</v>
      </c>
      <c r="R303" s="10"/>
      <c r="S303" s="10"/>
      <c r="T303" s="11"/>
    </row>
    <row r="304" spans="1:20" ht="42" x14ac:dyDescent="0.35">
      <c r="A304" s="12" t="s">
        <v>413</v>
      </c>
      <c r="B304" s="12" t="s">
        <v>170</v>
      </c>
      <c r="C304" s="13" t="s">
        <v>1461</v>
      </c>
      <c r="D304" s="13"/>
      <c r="E304" s="12" t="s">
        <v>1462</v>
      </c>
      <c r="F304" s="12" t="s">
        <v>174</v>
      </c>
      <c r="G304" s="12"/>
      <c r="H304" s="12" t="s">
        <v>1463</v>
      </c>
      <c r="I304" s="14">
        <v>0.28029999999999999</v>
      </c>
      <c r="J304" s="12">
        <v>41.4</v>
      </c>
      <c r="K304" s="12" t="s">
        <v>1301</v>
      </c>
      <c r="L304" s="14">
        <v>0.20660000000000001</v>
      </c>
      <c r="M304" s="12"/>
      <c r="N304" s="14"/>
      <c r="O304" s="12">
        <v>1</v>
      </c>
      <c r="P304" s="12" t="s">
        <v>1464</v>
      </c>
      <c r="Q304" s="13" t="s">
        <v>1465</v>
      </c>
      <c r="R304" s="10"/>
      <c r="S304" s="10"/>
      <c r="T304" s="11"/>
    </row>
    <row r="305" spans="1:20" ht="70" x14ac:dyDescent="0.35">
      <c r="A305" s="12" t="s">
        <v>413</v>
      </c>
      <c r="B305" s="12" t="s">
        <v>170</v>
      </c>
      <c r="C305" s="13" t="s">
        <v>1466</v>
      </c>
      <c r="D305" s="13"/>
      <c r="E305" s="12" t="s">
        <v>1467</v>
      </c>
      <c r="F305" s="12" t="s">
        <v>174</v>
      </c>
      <c r="G305" s="12"/>
      <c r="H305" s="12" t="s">
        <v>1468</v>
      </c>
      <c r="I305" s="14">
        <v>0.2802</v>
      </c>
      <c r="J305" s="12">
        <v>41.4</v>
      </c>
      <c r="K305" s="12" t="s">
        <v>1469</v>
      </c>
      <c r="L305" s="14">
        <v>0.27600000000000002</v>
      </c>
      <c r="M305" s="12" t="s">
        <v>1470</v>
      </c>
      <c r="N305" s="14">
        <v>0.26950000000000002</v>
      </c>
      <c r="O305" s="12">
        <v>1</v>
      </c>
      <c r="P305" s="12" t="s">
        <v>1471</v>
      </c>
      <c r="Q305" s="13" t="s">
        <v>1472</v>
      </c>
      <c r="R305" s="10"/>
      <c r="S305" s="10"/>
      <c r="T305" s="11"/>
    </row>
    <row r="306" spans="1:20" ht="84" x14ac:dyDescent="0.35">
      <c r="A306" s="12" t="s">
        <v>413</v>
      </c>
      <c r="B306" s="12" t="s">
        <v>170</v>
      </c>
      <c r="C306" s="13" t="s">
        <v>1473</v>
      </c>
      <c r="D306" s="13" t="s">
        <v>1474</v>
      </c>
      <c r="E306" s="12" t="s">
        <v>1475</v>
      </c>
      <c r="F306" s="12" t="s">
        <v>174</v>
      </c>
      <c r="G306" s="12"/>
      <c r="H306" s="12" t="s">
        <v>1476</v>
      </c>
      <c r="I306" s="14">
        <v>0.27950000000000003</v>
      </c>
      <c r="J306" s="12">
        <v>41.2</v>
      </c>
      <c r="K306" s="12" t="s">
        <v>1477</v>
      </c>
      <c r="L306" s="14">
        <v>0.26150000000000001</v>
      </c>
      <c r="M306" s="12" t="s">
        <v>1478</v>
      </c>
      <c r="N306" s="14">
        <v>0.25430000000000003</v>
      </c>
      <c r="O306" s="12">
        <v>8</v>
      </c>
      <c r="P306" s="12" t="s">
        <v>1479</v>
      </c>
      <c r="Q306" s="13" t="s">
        <v>1480</v>
      </c>
      <c r="R306" s="10"/>
      <c r="S306" s="10"/>
      <c r="T306" s="11"/>
    </row>
    <row r="307" spans="1:20" ht="56" x14ac:dyDescent="0.35">
      <c r="A307" s="12" t="s">
        <v>413</v>
      </c>
      <c r="B307" s="12" t="s">
        <v>170</v>
      </c>
      <c r="C307" s="13" t="s">
        <v>1481</v>
      </c>
      <c r="D307" s="13" t="s">
        <v>1482</v>
      </c>
      <c r="E307" s="12" t="s">
        <v>1483</v>
      </c>
      <c r="F307" s="12" t="s">
        <v>174</v>
      </c>
      <c r="G307" s="12"/>
      <c r="H307" s="12" t="s">
        <v>248</v>
      </c>
      <c r="I307" s="14">
        <v>0.27910000000000001</v>
      </c>
      <c r="J307" s="12">
        <v>41.1</v>
      </c>
      <c r="K307" s="12"/>
      <c r="L307" s="14"/>
      <c r="M307" s="12"/>
      <c r="N307" s="14"/>
      <c r="O307" s="12">
        <v>1</v>
      </c>
      <c r="P307" s="12" t="s">
        <v>1484</v>
      </c>
      <c r="Q307" s="13" t="s">
        <v>1485</v>
      </c>
      <c r="R307" s="10"/>
      <c r="S307" s="10"/>
      <c r="T307" s="11"/>
    </row>
    <row r="308" spans="1:20" ht="56" x14ac:dyDescent="0.35">
      <c r="A308" s="12" t="s">
        <v>413</v>
      </c>
      <c r="B308" s="12" t="s">
        <v>170</v>
      </c>
      <c r="C308" s="13" t="s">
        <v>1486</v>
      </c>
      <c r="D308" s="13" t="s">
        <v>1487</v>
      </c>
      <c r="E308" s="12" t="s">
        <v>1488</v>
      </c>
      <c r="F308" s="12" t="s">
        <v>174</v>
      </c>
      <c r="G308" s="12"/>
      <c r="H308" s="12" t="s">
        <v>299</v>
      </c>
      <c r="I308" s="14">
        <v>0.27810000000000001</v>
      </c>
      <c r="J308" s="12">
        <v>40.799999999999997</v>
      </c>
      <c r="K308" s="12" t="s">
        <v>1489</v>
      </c>
      <c r="L308" s="14">
        <v>0.27729999999999999</v>
      </c>
      <c r="M308" s="12" t="s">
        <v>1490</v>
      </c>
      <c r="N308" s="14">
        <v>0.24110000000000001</v>
      </c>
      <c r="O308" s="12">
        <v>1</v>
      </c>
      <c r="P308" s="12" t="s">
        <v>1491</v>
      </c>
      <c r="Q308" s="13" t="s">
        <v>1492</v>
      </c>
      <c r="R308" s="10"/>
      <c r="S308" s="10"/>
      <c r="T308" s="11"/>
    </row>
    <row r="309" spans="1:20" ht="84" x14ac:dyDescent="0.35">
      <c r="A309" s="12" t="s">
        <v>413</v>
      </c>
      <c r="B309" s="12" t="s">
        <v>170</v>
      </c>
      <c r="C309" s="13" t="s">
        <v>1493</v>
      </c>
      <c r="D309" s="13"/>
      <c r="E309" s="12" t="s">
        <v>232</v>
      </c>
      <c r="F309" s="12" t="s">
        <v>174</v>
      </c>
      <c r="G309" s="12"/>
      <c r="H309" s="12" t="s">
        <v>1494</v>
      </c>
      <c r="I309" s="14">
        <v>0.27710000000000001</v>
      </c>
      <c r="J309" s="12">
        <v>40.6</v>
      </c>
      <c r="K309" s="12" t="s">
        <v>1495</v>
      </c>
      <c r="L309" s="14">
        <v>0.27560000000000001</v>
      </c>
      <c r="M309" s="12" t="s">
        <v>1496</v>
      </c>
      <c r="N309" s="14">
        <v>0.2641</v>
      </c>
      <c r="O309" s="12">
        <v>1</v>
      </c>
      <c r="P309" s="12" t="s">
        <v>1497</v>
      </c>
      <c r="Q309" s="13" t="s">
        <v>1498</v>
      </c>
      <c r="R309" s="10"/>
      <c r="S309" s="10"/>
      <c r="T309" s="11"/>
    </row>
    <row r="310" spans="1:20" ht="84" x14ac:dyDescent="0.35">
      <c r="A310" s="12" t="s">
        <v>413</v>
      </c>
      <c r="B310" s="12" t="s">
        <v>170</v>
      </c>
      <c r="C310" s="13" t="s">
        <v>1499</v>
      </c>
      <c r="D310" s="13"/>
      <c r="E310" s="12" t="s">
        <v>1500</v>
      </c>
      <c r="F310" s="12" t="s">
        <v>174</v>
      </c>
      <c r="G310" s="12"/>
      <c r="H310" s="12" t="s">
        <v>1501</v>
      </c>
      <c r="I310" s="14">
        <v>0.27650000000000002</v>
      </c>
      <c r="J310" s="12">
        <v>40.4</v>
      </c>
      <c r="K310" s="12" t="s">
        <v>1502</v>
      </c>
      <c r="L310" s="14">
        <v>0.2329</v>
      </c>
      <c r="M310" s="12" t="s">
        <v>1503</v>
      </c>
      <c r="N310" s="14">
        <v>0.20530000000000001</v>
      </c>
      <c r="O310" s="12">
        <v>1</v>
      </c>
      <c r="P310" s="12" t="s">
        <v>1504</v>
      </c>
      <c r="Q310" s="13" t="s">
        <v>1505</v>
      </c>
      <c r="R310" s="10"/>
      <c r="S310" s="10"/>
      <c r="T310" s="11"/>
    </row>
    <row r="311" spans="1:20" ht="42" x14ac:dyDescent="0.35">
      <c r="A311" s="12" t="s">
        <v>413</v>
      </c>
      <c r="B311" s="12" t="s">
        <v>170</v>
      </c>
      <c r="C311" s="13" t="s">
        <v>1506</v>
      </c>
      <c r="D311" s="13" t="s">
        <v>1507</v>
      </c>
      <c r="E311" s="12" t="s">
        <v>1508</v>
      </c>
      <c r="F311" s="12" t="s">
        <v>174</v>
      </c>
      <c r="G311" s="12"/>
      <c r="H311" s="12" t="s">
        <v>1509</v>
      </c>
      <c r="I311" s="14">
        <v>0.27650000000000002</v>
      </c>
      <c r="J311" s="12">
        <v>40.4</v>
      </c>
      <c r="K311" s="12" t="s">
        <v>1510</v>
      </c>
      <c r="L311" s="14">
        <v>0.2611</v>
      </c>
      <c r="M311" s="12" t="s">
        <v>1511</v>
      </c>
      <c r="N311" s="14">
        <v>0.23769999999999999</v>
      </c>
      <c r="O311" s="12">
        <v>3</v>
      </c>
      <c r="P311" s="12" t="s">
        <v>1512</v>
      </c>
      <c r="Q311" s="13" t="s">
        <v>1513</v>
      </c>
      <c r="R311" s="10"/>
      <c r="S311" s="10"/>
      <c r="T311" s="11"/>
    </row>
    <row r="312" spans="1:20" ht="56" x14ac:dyDescent="0.35">
      <c r="A312" s="12" t="s">
        <v>413</v>
      </c>
      <c r="B312" s="12" t="s">
        <v>170</v>
      </c>
      <c r="C312" s="13" t="s">
        <v>1514</v>
      </c>
      <c r="D312" s="13" t="s">
        <v>1515</v>
      </c>
      <c r="E312" s="12" t="s">
        <v>1514</v>
      </c>
      <c r="F312" s="12" t="s">
        <v>174</v>
      </c>
      <c r="G312" s="12"/>
      <c r="H312" s="12" t="s">
        <v>1315</v>
      </c>
      <c r="I312" s="14">
        <v>0.2762</v>
      </c>
      <c r="J312" s="12">
        <v>40.299999999999997</v>
      </c>
      <c r="K312" s="12" t="s">
        <v>1516</v>
      </c>
      <c r="L312" s="14">
        <v>0.23680000000000001</v>
      </c>
      <c r="M312" s="12" t="s">
        <v>1517</v>
      </c>
      <c r="N312" s="14">
        <v>0.22889999999999999</v>
      </c>
      <c r="O312" s="12">
        <v>4</v>
      </c>
      <c r="P312" s="12" t="s">
        <v>1518</v>
      </c>
      <c r="Q312" s="13" t="s">
        <v>1519</v>
      </c>
      <c r="R312" s="10"/>
      <c r="S312" s="10"/>
      <c r="T312" s="11"/>
    </row>
    <row r="313" spans="1:20" ht="70" x14ac:dyDescent="0.35">
      <c r="A313" s="12" t="s">
        <v>413</v>
      </c>
      <c r="B313" s="12" t="s">
        <v>170</v>
      </c>
      <c r="C313" s="13" t="s">
        <v>1520</v>
      </c>
      <c r="D313" s="13"/>
      <c r="E313" s="12" t="s">
        <v>1521</v>
      </c>
      <c r="F313" s="12" t="s">
        <v>174</v>
      </c>
      <c r="G313" s="12"/>
      <c r="H313" s="12" t="s">
        <v>1522</v>
      </c>
      <c r="I313" s="14">
        <v>0.27579999999999999</v>
      </c>
      <c r="J313" s="12">
        <v>40.200000000000003</v>
      </c>
      <c r="K313" s="12" t="s">
        <v>1523</v>
      </c>
      <c r="L313" s="14">
        <v>0.25869999999999999</v>
      </c>
      <c r="M313" s="12" t="s">
        <v>1369</v>
      </c>
      <c r="N313" s="14">
        <v>0.24540000000000001</v>
      </c>
      <c r="O313" s="12">
        <v>1</v>
      </c>
      <c r="P313" s="12" t="s">
        <v>1524</v>
      </c>
      <c r="Q313" s="13" t="s">
        <v>1525</v>
      </c>
      <c r="R313" s="10"/>
      <c r="S313" s="10"/>
      <c r="T313" s="11"/>
    </row>
    <row r="314" spans="1:20" ht="70" x14ac:dyDescent="0.35">
      <c r="A314" s="12" t="s">
        <v>413</v>
      </c>
      <c r="B314" s="12" t="s">
        <v>170</v>
      </c>
      <c r="C314" s="13" t="s">
        <v>1526</v>
      </c>
      <c r="D314" s="13" t="s">
        <v>1527</v>
      </c>
      <c r="E314" s="12" t="s">
        <v>1528</v>
      </c>
      <c r="F314" s="12" t="s">
        <v>174</v>
      </c>
      <c r="G314" s="12"/>
      <c r="H314" s="12" t="s">
        <v>1529</v>
      </c>
      <c r="I314" s="14">
        <v>0.27529999999999999</v>
      </c>
      <c r="J314" s="12">
        <v>40.1</v>
      </c>
      <c r="K314" s="12" t="s">
        <v>1530</v>
      </c>
      <c r="L314" s="14">
        <v>0.23719999999999999</v>
      </c>
      <c r="M314" s="12"/>
      <c r="N314" s="14"/>
      <c r="O314" s="12">
        <v>1</v>
      </c>
      <c r="P314" s="12" t="s">
        <v>1531</v>
      </c>
      <c r="Q314" s="13" t="s">
        <v>1532</v>
      </c>
      <c r="R314" s="10"/>
      <c r="S314" s="10"/>
      <c r="T314" s="11"/>
    </row>
    <row r="315" spans="1:20" ht="98" x14ac:dyDescent="0.35">
      <c r="A315" s="12" t="s">
        <v>413</v>
      </c>
      <c r="B315" s="12" t="s">
        <v>170</v>
      </c>
      <c r="C315" s="13" t="s">
        <v>1533</v>
      </c>
      <c r="D315" s="13" t="s">
        <v>1534</v>
      </c>
      <c r="E315" s="12" t="s">
        <v>1535</v>
      </c>
      <c r="F315" s="12" t="s">
        <v>174</v>
      </c>
      <c r="G315" s="12"/>
      <c r="H315" s="12" t="s">
        <v>1490</v>
      </c>
      <c r="I315" s="14">
        <v>0.27489999999999998</v>
      </c>
      <c r="J315" s="12">
        <v>40</v>
      </c>
      <c r="K315" s="12" t="s">
        <v>1536</v>
      </c>
      <c r="L315" s="14">
        <v>0.27150000000000002</v>
      </c>
      <c r="M315" s="12" t="s">
        <v>1537</v>
      </c>
      <c r="N315" s="14">
        <v>0.2198</v>
      </c>
      <c r="O315" s="12">
        <v>1</v>
      </c>
      <c r="P315" s="12" t="s">
        <v>1538</v>
      </c>
      <c r="Q315" s="13" t="s">
        <v>1539</v>
      </c>
      <c r="R315" s="10"/>
      <c r="S315" s="10"/>
      <c r="T315" s="11"/>
    </row>
    <row r="316" spans="1:20" ht="84" x14ac:dyDescent="0.35">
      <c r="A316" s="12" t="s">
        <v>413</v>
      </c>
      <c r="B316" s="12" t="s">
        <v>170</v>
      </c>
      <c r="C316" s="13" t="s">
        <v>1540</v>
      </c>
      <c r="D316" s="13" t="s">
        <v>1541</v>
      </c>
      <c r="E316" s="12" t="s">
        <v>1542</v>
      </c>
      <c r="F316" s="12" t="s">
        <v>174</v>
      </c>
      <c r="G316" s="12"/>
      <c r="H316" s="12" t="s">
        <v>212</v>
      </c>
      <c r="I316" s="14">
        <v>0.27500000000000002</v>
      </c>
      <c r="J316" s="12">
        <v>40</v>
      </c>
      <c r="K316" s="12" t="s">
        <v>1543</v>
      </c>
      <c r="L316" s="14">
        <v>0.23649999999999999</v>
      </c>
      <c r="M316" s="12" t="s">
        <v>1544</v>
      </c>
      <c r="N316" s="14">
        <v>0.20979999999999999</v>
      </c>
      <c r="O316" s="12">
        <v>1</v>
      </c>
      <c r="P316" s="12" t="s">
        <v>1545</v>
      </c>
      <c r="Q316" s="13" t="s">
        <v>1546</v>
      </c>
      <c r="R316" s="10"/>
      <c r="S316" s="10"/>
      <c r="T316" s="11"/>
    </row>
    <row r="317" spans="1:20" ht="56" x14ac:dyDescent="0.35">
      <c r="A317" s="12" t="s">
        <v>413</v>
      </c>
      <c r="B317" s="12" t="s">
        <v>170</v>
      </c>
      <c r="C317" s="13" t="s">
        <v>1547</v>
      </c>
      <c r="D317" s="13" t="s">
        <v>1548</v>
      </c>
      <c r="E317" s="12" t="s">
        <v>1308</v>
      </c>
      <c r="F317" s="12" t="s">
        <v>174</v>
      </c>
      <c r="G317" s="12"/>
      <c r="H317" s="12" t="s">
        <v>1549</v>
      </c>
      <c r="I317" s="14">
        <v>0.27510000000000001</v>
      </c>
      <c r="J317" s="12">
        <v>40</v>
      </c>
      <c r="K317" s="12" t="s">
        <v>1550</v>
      </c>
      <c r="L317" s="14">
        <v>0.22900000000000001</v>
      </c>
      <c r="M317" s="12" t="s">
        <v>1450</v>
      </c>
      <c r="N317" s="14">
        <v>0.22550000000000001</v>
      </c>
      <c r="O317" s="12">
        <v>1</v>
      </c>
      <c r="P317" s="12" t="s">
        <v>1551</v>
      </c>
      <c r="Q317" s="13" t="s">
        <v>1552</v>
      </c>
      <c r="R317" s="10"/>
      <c r="S317" s="10"/>
      <c r="T317" s="11"/>
    </row>
    <row r="318" spans="1:20" ht="56" x14ac:dyDescent="0.35">
      <c r="A318" s="12" t="s">
        <v>413</v>
      </c>
      <c r="B318" s="12" t="s">
        <v>170</v>
      </c>
      <c r="C318" s="13" t="s">
        <v>1553</v>
      </c>
      <c r="D318" s="13"/>
      <c r="E318" s="12" t="s">
        <v>232</v>
      </c>
      <c r="F318" s="12" t="s">
        <v>174</v>
      </c>
      <c r="G318" s="12"/>
      <c r="H318" s="12" t="s">
        <v>1402</v>
      </c>
      <c r="I318" s="14">
        <v>0.27429999999999999</v>
      </c>
      <c r="J318" s="12">
        <v>39.799999999999997</v>
      </c>
      <c r="K318" s="12" t="s">
        <v>1415</v>
      </c>
      <c r="L318" s="14">
        <v>0.24560000000000001</v>
      </c>
      <c r="M318" s="12" t="s">
        <v>235</v>
      </c>
      <c r="N318" s="14">
        <v>0.24379999999999999</v>
      </c>
      <c r="O318" s="12">
        <v>6</v>
      </c>
      <c r="P318" s="12" t="s">
        <v>1554</v>
      </c>
      <c r="Q318" s="13" t="s">
        <v>1555</v>
      </c>
      <c r="R318" s="10"/>
      <c r="S318" s="10"/>
      <c r="T318" s="11"/>
    </row>
    <row r="319" spans="1:20" ht="84" x14ac:dyDescent="0.35">
      <c r="A319" s="12" t="s">
        <v>413</v>
      </c>
      <c r="B319" s="12" t="s">
        <v>170</v>
      </c>
      <c r="C319" s="13" t="s">
        <v>1556</v>
      </c>
      <c r="D319" s="13" t="s">
        <v>1557</v>
      </c>
      <c r="E319" s="12" t="s">
        <v>1535</v>
      </c>
      <c r="F319" s="12" t="s">
        <v>174</v>
      </c>
      <c r="G319" s="12"/>
      <c r="H319" s="12" t="s">
        <v>1558</v>
      </c>
      <c r="I319" s="14">
        <v>0.2737</v>
      </c>
      <c r="J319" s="12">
        <v>39.700000000000003</v>
      </c>
      <c r="K319" s="12" t="s">
        <v>1559</v>
      </c>
      <c r="L319" s="14">
        <v>0.27139999999999997</v>
      </c>
      <c r="M319" s="12" t="s">
        <v>1560</v>
      </c>
      <c r="N319" s="14">
        <v>0.25040000000000001</v>
      </c>
      <c r="O319" s="12">
        <v>1</v>
      </c>
      <c r="P319" s="12" t="s">
        <v>1561</v>
      </c>
      <c r="Q319" s="13" t="s">
        <v>1562</v>
      </c>
      <c r="R319" s="10"/>
      <c r="S319" s="10"/>
      <c r="T319" s="11"/>
    </row>
    <row r="320" spans="1:20" ht="84" x14ac:dyDescent="0.35">
      <c r="A320" s="12" t="s">
        <v>413</v>
      </c>
      <c r="B320" s="12" t="s">
        <v>170</v>
      </c>
      <c r="C320" s="13" t="s">
        <v>1563</v>
      </c>
      <c r="D320" s="13" t="s">
        <v>1564</v>
      </c>
      <c r="E320" s="12" t="s">
        <v>1565</v>
      </c>
      <c r="F320" s="12" t="s">
        <v>174</v>
      </c>
      <c r="G320" s="12"/>
      <c r="H320" s="12" t="s">
        <v>470</v>
      </c>
      <c r="I320" s="14">
        <v>0.27410000000000001</v>
      </c>
      <c r="J320" s="12">
        <v>39.700000000000003</v>
      </c>
      <c r="K320" s="12"/>
      <c r="L320" s="14"/>
      <c r="M320" s="12"/>
      <c r="N320" s="14"/>
      <c r="O320" s="12">
        <v>1</v>
      </c>
      <c r="P320" s="12" t="s">
        <v>1566</v>
      </c>
      <c r="Q320" s="13" t="s">
        <v>1567</v>
      </c>
      <c r="R320" s="10"/>
      <c r="S320" s="10"/>
      <c r="T320" s="11"/>
    </row>
    <row r="321" spans="1:20" ht="84" x14ac:dyDescent="0.35">
      <c r="A321" s="12" t="s">
        <v>413</v>
      </c>
      <c r="B321" s="12" t="s">
        <v>170</v>
      </c>
      <c r="C321" s="13" t="s">
        <v>1568</v>
      </c>
      <c r="D321" s="13" t="s">
        <v>1569</v>
      </c>
      <c r="E321" s="12" t="s">
        <v>1570</v>
      </c>
      <c r="F321" s="12" t="s">
        <v>174</v>
      </c>
      <c r="G321" s="12"/>
      <c r="H321" s="12" t="s">
        <v>1571</v>
      </c>
      <c r="I321" s="14">
        <v>0.27360000000000001</v>
      </c>
      <c r="J321" s="12">
        <v>39.6</v>
      </c>
      <c r="K321" s="12" t="s">
        <v>1572</v>
      </c>
      <c r="L321" s="14">
        <v>0.25979999999999998</v>
      </c>
      <c r="M321" s="12" t="s">
        <v>1573</v>
      </c>
      <c r="N321" s="14">
        <v>0.2422</v>
      </c>
      <c r="O321" s="12">
        <v>1</v>
      </c>
      <c r="P321" s="12" t="s">
        <v>1574</v>
      </c>
      <c r="Q321" s="13" t="s">
        <v>1575</v>
      </c>
      <c r="R321" s="10"/>
      <c r="S321" s="10"/>
      <c r="T321" s="11"/>
    </row>
    <row r="322" spans="1:20" ht="112" x14ac:dyDescent="0.35">
      <c r="A322" s="12" t="s">
        <v>413</v>
      </c>
      <c r="B322" s="12" t="s">
        <v>170</v>
      </c>
      <c r="C322" s="13" t="s">
        <v>1576</v>
      </c>
      <c r="D322" s="13" t="s">
        <v>1577</v>
      </c>
      <c r="E322" s="12" t="s">
        <v>1578</v>
      </c>
      <c r="F322" s="12" t="s">
        <v>174</v>
      </c>
      <c r="G322" s="12"/>
      <c r="H322" s="12" t="s">
        <v>1579</v>
      </c>
      <c r="I322" s="14">
        <v>0.27239999999999998</v>
      </c>
      <c r="J322" s="12">
        <v>39.299999999999997</v>
      </c>
      <c r="K322" s="12" t="s">
        <v>1580</v>
      </c>
      <c r="L322" s="14">
        <v>0.20599999999999999</v>
      </c>
      <c r="M322" s="12"/>
      <c r="N322" s="14"/>
      <c r="O322" s="12">
        <v>1</v>
      </c>
      <c r="P322" s="12" t="s">
        <v>1581</v>
      </c>
      <c r="Q322" s="13" t="s">
        <v>1582</v>
      </c>
      <c r="R322" s="10"/>
      <c r="S322" s="10"/>
      <c r="T322" s="11"/>
    </row>
    <row r="323" spans="1:20" ht="112" x14ac:dyDescent="0.35">
      <c r="A323" s="12" t="s">
        <v>413</v>
      </c>
      <c r="B323" s="12" t="s">
        <v>170</v>
      </c>
      <c r="C323" s="13" t="s">
        <v>1583</v>
      </c>
      <c r="D323" s="13"/>
      <c r="E323" s="12" t="s">
        <v>1584</v>
      </c>
      <c r="F323" s="12" t="s">
        <v>174</v>
      </c>
      <c r="G323" s="12"/>
      <c r="H323" s="12" t="s">
        <v>248</v>
      </c>
      <c r="I323" s="14">
        <v>0.27189999999999998</v>
      </c>
      <c r="J323" s="12">
        <v>39.200000000000003</v>
      </c>
      <c r="K323" s="12"/>
      <c r="L323" s="14"/>
      <c r="M323" s="12"/>
      <c r="N323" s="14"/>
      <c r="O323" s="12">
        <v>1</v>
      </c>
      <c r="P323" s="12" t="s">
        <v>1585</v>
      </c>
      <c r="Q323" s="13" t="s">
        <v>1586</v>
      </c>
      <c r="R323" s="10"/>
      <c r="S323" s="10"/>
      <c r="T323" s="11"/>
    </row>
    <row r="324" spans="1:20" ht="84" x14ac:dyDescent="0.35">
      <c r="A324" s="12" t="s">
        <v>413</v>
      </c>
      <c r="B324" s="12" t="s">
        <v>170</v>
      </c>
      <c r="C324" s="13" t="s">
        <v>1587</v>
      </c>
      <c r="D324" s="13" t="s">
        <v>1588</v>
      </c>
      <c r="E324" s="12"/>
      <c r="F324" s="12" t="s">
        <v>174</v>
      </c>
      <c r="G324" s="12"/>
      <c r="H324" s="12" t="s">
        <v>1589</v>
      </c>
      <c r="I324" s="14">
        <v>0.27150000000000002</v>
      </c>
      <c r="J324" s="12">
        <v>39.1</v>
      </c>
      <c r="K324" s="12" t="s">
        <v>1590</v>
      </c>
      <c r="L324" s="14">
        <v>0.27079999999999999</v>
      </c>
      <c r="M324" s="12" t="s">
        <v>299</v>
      </c>
      <c r="N324" s="14">
        <v>0.25469999999999998</v>
      </c>
      <c r="O324" s="12">
        <v>5</v>
      </c>
      <c r="P324" s="12" t="s">
        <v>1591</v>
      </c>
      <c r="Q324" s="13" t="s">
        <v>1592</v>
      </c>
      <c r="R324" s="10"/>
      <c r="S324" s="10"/>
      <c r="T324" s="11"/>
    </row>
    <row r="325" spans="1:20" ht="84" x14ac:dyDescent="0.35">
      <c r="A325" s="12" t="s">
        <v>413</v>
      </c>
      <c r="B325" s="12" t="s">
        <v>170</v>
      </c>
      <c r="C325" s="13" t="s">
        <v>1593</v>
      </c>
      <c r="D325" s="13" t="s">
        <v>1594</v>
      </c>
      <c r="E325" s="12" t="s">
        <v>1595</v>
      </c>
      <c r="F325" s="12" t="s">
        <v>174</v>
      </c>
      <c r="G325" s="12"/>
      <c r="H325" s="12" t="s">
        <v>1317</v>
      </c>
      <c r="I325" s="14">
        <v>0.27129999999999999</v>
      </c>
      <c r="J325" s="12">
        <v>39</v>
      </c>
      <c r="K325" s="12" t="s">
        <v>1596</v>
      </c>
      <c r="L325" s="14">
        <v>0.26279999999999998</v>
      </c>
      <c r="M325" s="12" t="s">
        <v>1589</v>
      </c>
      <c r="N325" s="14">
        <v>0.2442</v>
      </c>
      <c r="O325" s="12">
        <v>1</v>
      </c>
      <c r="P325" s="12" t="s">
        <v>1597</v>
      </c>
      <c r="Q325" s="13" t="s">
        <v>1598</v>
      </c>
      <c r="R325" s="10"/>
      <c r="S325" s="10"/>
      <c r="T325" s="11"/>
    </row>
    <row r="326" spans="1:20" ht="70" x14ac:dyDescent="0.35">
      <c r="A326" s="12" t="s">
        <v>413</v>
      </c>
      <c r="B326" s="12" t="s">
        <v>170</v>
      </c>
      <c r="C326" s="13" t="s">
        <v>1599</v>
      </c>
      <c r="D326" s="13" t="s">
        <v>1600</v>
      </c>
      <c r="E326" s="12" t="s">
        <v>1601</v>
      </c>
      <c r="F326" s="12" t="s">
        <v>174</v>
      </c>
      <c r="G326" s="12"/>
      <c r="H326" s="12" t="s">
        <v>1602</v>
      </c>
      <c r="I326" s="14">
        <v>0.27089999999999997</v>
      </c>
      <c r="J326" s="12">
        <v>38.9</v>
      </c>
      <c r="K326" s="12" t="s">
        <v>1603</v>
      </c>
      <c r="L326" s="14">
        <v>0.25509999999999999</v>
      </c>
      <c r="M326" s="12" t="s">
        <v>1604</v>
      </c>
      <c r="N326" s="14">
        <v>0.23519999999999999</v>
      </c>
      <c r="O326" s="12">
        <v>1</v>
      </c>
      <c r="P326" s="12" t="s">
        <v>1605</v>
      </c>
      <c r="Q326" s="13" t="s">
        <v>1606</v>
      </c>
      <c r="R326" s="10"/>
      <c r="S326" s="10"/>
      <c r="T326" s="11"/>
    </row>
    <row r="327" spans="1:20" ht="56" x14ac:dyDescent="0.35">
      <c r="A327" s="12" t="s">
        <v>413</v>
      </c>
      <c r="B327" s="12" t="s">
        <v>170</v>
      </c>
      <c r="C327" s="13" t="s">
        <v>1607</v>
      </c>
      <c r="D327" s="13" t="s">
        <v>1608</v>
      </c>
      <c r="E327" s="12" t="s">
        <v>1609</v>
      </c>
      <c r="F327" s="12" t="s">
        <v>174</v>
      </c>
      <c r="G327" s="12"/>
      <c r="H327" s="12" t="s">
        <v>1610</v>
      </c>
      <c r="I327" s="14">
        <v>0.2702</v>
      </c>
      <c r="J327" s="12">
        <v>38.700000000000003</v>
      </c>
      <c r="K327" s="12" t="s">
        <v>1611</v>
      </c>
      <c r="L327" s="14">
        <v>0.25119999999999998</v>
      </c>
      <c r="M327" s="12" t="s">
        <v>1612</v>
      </c>
      <c r="N327" s="14">
        <v>0.2092</v>
      </c>
      <c r="O327" s="12">
        <v>2</v>
      </c>
      <c r="P327" s="12" t="s">
        <v>1613</v>
      </c>
      <c r="Q327" s="13" t="s">
        <v>1614</v>
      </c>
      <c r="R327" s="10"/>
      <c r="S327" s="10"/>
      <c r="T327" s="11"/>
    </row>
    <row r="328" spans="1:20" ht="84" x14ac:dyDescent="0.35">
      <c r="A328" s="12" t="s">
        <v>413</v>
      </c>
      <c r="B328" s="12" t="s">
        <v>170</v>
      </c>
      <c r="C328" s="13" t="s">
        <v>1615</v>
      </c>
      <c r="D328" s="13" t="s">
        <v>1616</v>
      </c>
      <c r="E328" s="12" t="s">
        <v>1542</v>
      </c>
      <c r="F328" s="12" t="s">
        <v>174</v>
      </c>
      <c r="G328" s="12"/>
      <c r="H328" s="12" t="s">
        <v>212</v>
      </c>
      <c r="I328" s="14">
        <v>0.26979999999999998</v>
      </c>
      <c r="J328" s="12">
        <v>38.6</v>
      </c>
      <c r="K328" s="12" t="s">
        <v>1543</v>
      </c>
      <c r="L328" s="14">
        <v>0.24790000000000001</v>
      </c>
      <c r="M328" s="12"/>
      <c r="N328" s="14"/>
      <c r="O328" s="12">
        <v>1</v>
      </c>
      <c r="P328" s="12" t="s">
        <v>1617</v>
      </c>
      <c r="Q328" s="13" t="s">
        <v>1618</v>
      </c>
      <c r="R328" s="10"/>
      <c r="S328" s="10"/>
      <c r="T328" s="11"/>
    </row>
    <row r="329" spans="1:20" ht="84" x14ac:dyDescent="0.35">
      <c r="A329" s="12" t="s">
        <v>413</v>
      </c>
      <c r="B329" s="12" t="s">
        <v>170</v>
      </c>
      <c r="C329" s="13" t="s">
        <v>1619</v>
      </c>
      <c r="D329" s="13" t="s">
        <v>1620</v>
      </c>
      <c r="E329" s="12" t="s">
        <v>1621</v>
      </c>
      <c r="F329" s="12" t="s">
        <v>174</v>
      </c>
      <c r="G329" s="12"/>
      <c r="H329" s="12" t="s">
        <v>1332</v>
      </c>
      <c r="I329" s="14">
        <v>0.26939999999999997</v>
      </c>
      <c r="J329" s="12">
        <v>38.5</v>
      </c>
      <c r="K329" s="12" t="s">
        <v>1622</v>
      </c>
      <c r="L329" s="14">
        <v>0.26840000000000003</v>
      </c>
      <c r="M329" s="12" t="s">
        <v>1623</v>
      </c>
      <c r="N329" s="14">
        <v>0.254</v>
      </c>
      <c r="O329" s="12">
        <v>1</v>
      </c>
      <c r="P329" s="12" t="s">
        <v>1624</v>
      </c>
      <c r="Q329" s="13" t="s">
        <v>1625</v>
      </c>
      <c r="R329" s="10"/>
      <c r="S329" s="10"/>
      <c r="T329" s="11"/>
    </row>
    <row r="330" spans="1:20" ht="56" x14ac:dyDescent="0.35">
      <c r="A330" s="12" t="s">
        <v>413</v>
      </c>
      <c r="B330" s="12" t="s">
        <v>170</v>
      </c>
      <c r="C330" s="13" t="s">
        <v>1626</v>
      </c>
      <c r="D330" s="13" t="s">
        <v>1627</v>
      </c>
      <c r="E330" s="12"/>
      <c r="F330" s="12" t="s">
        <v>174</v>
      </c>
      <c r="G330" s="12"/>
      <c r="H330" s="12" t="s">
        <v>1628</v>
      </c>
      <c r="I330" s="14">
        <v>0.26900000000000002</v>
      </c>
      <c r="J330" s="12">
        <v>38.4</v>
      </c>
      <c r="K330" s="12" t="s">
        <v>1629</v>
      </c>
      <c r="L330" s="14">
        <v>0.22140000000000001</v>
      </c>
      <c r="M330" s="12" t="s">
        <v>1630</v>
      </c>
      <c r="N330" s="14">
        <v>0.20530000000000001</v>
      </c>
      <c r="O330" s="12">
        <v>4</v>
      </c>
      <c r="P330" s="12" t="s">
        <v>1631</v>
      </c>
      <c r="Q330" s="13" t="s">
        <v>1632</v>
      </c>
      <c r="R330" s="10"/>
      <c r="S330" s="10"/>
      <c r="T330" s="11"/>
    </row>
    <row r="331" spans="1:20" ht="84" x14ac:dyDescent="0.35">
      <c r="A331" s="12" t="s">
        <v>413</v>
      </c>
      <c r="B331" s="12" t="s">
        <v>170</v>
      </c>
      <c r="C331" s="13" t="s">
        <v>1633</v>
      </c>
      <c r="D331" s="13"/>
      <c r="E331" s="12" t="s">
        <v>232</v>
      </c>
      <c r="F331" s="12" t="s">
        <v>174</v>
      </c>
      <c r="G331" s="12"/>
      <c r="H331" s="12" t="s">
        <v>1634</v>
      </c>
      <c r="I331" s="14">
        <v>0.26740000000000003</v>
      </c>
      <c r="J331" s="12">
        <v>38</v>
      </c>
      <c r="K331" s="12" t="s">
        <v>1496</v>
      </c>
      <c r="L331" s="14">
        <v>0.22839999999999999</v>
      </c>
      <c r="M331" s="12" t="s">
        <v>243</v>
      </c>
      <c r="N331" s="14">
        <v>0.22209999999999999</v>
      </c>
      <c r="O331" s="12">
        <v>1</v>
      </c>
      <c r="P331" s="12" t="s">
        <v>1635</v>
      </c>
      <c r="Q331" s="13" t="s">
        <v>1636</v>
      </c>
      <c r="R331" s="10"/>
      <c r="S331" s="10"/>
      <c r="T331" s="11"/>
    </row>
    <row r="332" spans="1:20" ht="56" x14ac:dyDescent="0.35">
      <c r="A332" s="12" t="s">
        <v>413</v>
      </c>
      <c r="B332" s="12" t="s">
        <v>170</v>
      </c>
      <c r="C332" s="13" t="s">
        <v>1637</v>
      </c>
      <c r="D332" s="13" t="s">
        <v>1638</v>
      </c>
      <c r="E332" s="12" t="s">
        <v>1639</v>
      </c>
      <c r="F332" s="12" t="s">
        <v>174</v>
      </c>
      <c r="G332" s="12"/>
      <c r="H332" s="12" t="s">
        <v>1640</v>
      </c>
      <c r="I332" s="14">
        <v>0.26729999999999998</v>
      </c>
      <c r="J332" s="12">
        <v>38</v>
      </c>
      <c r="K332" s="12" t="s">
        <v>1641</v>
      </c>
      <c r="L332" s="14">
        <v>0.24929999999999999</v>
      </c>
      <c r="M332" s="12" t="s">
        <v>194</v>
      </c>
      <c r="N332" s="14">
        <v>0.22070000000000001</v>
      </c>
      <c r="O332" s="12">
        <v>1</v>
      </c>
      <c r="P332" s="12" t="s">
        <v>1642</v>
      </c>
      <c r="Q332" s="13" t="s">
        <v>1643</v>
      </c>
      <c r="R332" s="10"/>
      <c r="S332" s="10"/>
      <c r="T332" s="11"/>
    </row>
    <row r="333" spans="1:20" ht="84" x14ac:dyDescent="0.35">
      <c r="A333" s="12" t="s">
        <v>413</v>
      </c>
      <c r="B333" s="12" t="s">
        <v>170</v>
      </c>
      <c r="C333" s="13" t="s">
        <v>1644</v>
      </c>
      <c r="D333" s="13" t="s">
        <v>1645</v>
      </c>
      <c r="E333" s="12" t="s">
        <v>1308</v>
      </c>
      <c r="F333" s="12" t="s">
        <v>174</v>
      </c>
      <c r="G333" s="12"/>
      <c r="H333" s="12" t="s">
        <v>1646</v>
      </c>
      <c r="I333" s="14">
        <v>0.2671</v>
      </c>
      <c r="J333" s="12">
        <v>37.9</v>
      </c>
      <c r="K333" s="12" t="s">
        <v>1445</v>
      </c>
      <c r="L333" s="14">
        <v>0.2137</v>
      </c>
      <c r="M333" s="12"/>
      <c r="N333" s="14"/>
      <c r="O333" s="12">
        <v>1</v>
      </c>
      <c r="P333" s="12" t="s">
        <v>1647</v>
      </c>
      <c r="Q333" s="13" t="s">
        <v>1648</v>
      </c>
      <c r="R333" s="10"/>
      <c r="S333" s="10"/>
      <c r="T333" s="11"/>
    </row>
    <row r="334" spans="1:20" ht="56" x14ac:dyDescent="0.35">
      <c r="A334" s="12" t="s">
        <v>413</v>
      </c>
      <c r="B334" s="12" t="s">
        <v>170</v>
      </c>
      <c r="C334" s="13" t="s">
        <v>1649</v>
      </c>
      <c r="D334" s="13"/>
      <c r="E334" s="12" t="s">
        <v>1650</v>
      </c>
      <c r="F334" s="12" t="s">
        <v>174</v>
      </c>
      <c r="G334" s="12"/>
      <c r="H334" s="12" t="s">
        <v>1476</v>
      </c>
      <c r="I334" s="14">
        <v>0.2666</v>
      </c>
      <c r="J334" s="12">
        <v>37.799999999999997</v>
      </c>
      <c r="K334" s="12" t="s">
        <v>1651</v>
      </c>
      <c r="L334" s="14">
        <v>0.22739999999999999</v>
      </c>
      <c r="M334" s="12" t="s">
        <v>1652</v>
      </c>
      <c r="N334" s="14">
        <v>0.2273</v>
      </c>
      <c r="O334" s="12">
        <v>1</v>
      </c>
      <c r="P334" s="12" t="s">
        <v>1653</v>
      </c>
      <c r="Q334" s="13" t="s">
        <v>1654</v>
      </c>
      <c r="R334" s="10"/>
      <c r="S334" s="10"/>
      <c r="T334" s="11"/>
    </row>
    <row r="335" spans="1:20" ht="84" x14ac:dyDescent="0.35">
      <c r="A335" s="12" t="s">
        <v>413</v>
      </c>
      <c r="B335" s="12" t="s">
        <v>170</v>
      </c>
      <c r="C335" s="13" t="s">
        <v>1655</v>
      </c>
      <c r="D335" s="13" t="s">
        <v>1656</v>
      </c>
      <c r="E335" s="12" t="s">
        <v>1657</v>
      </c>
      <c r="F335" s="12" t="s">
        <v>174</v>
      </c>
      <c r="G335" s="12"/>
      <c r="H335" s="12" t="s">
        <v>1658</v>
      </c>
      <c r="I335" s="14">
        <v>0.26629999999999998</v>
      </c>
      <c r="J335" s="12">
        <v>37.700000000000003</v>
      </c>
      <c r="K335" s="12" t="s">
        <v>1659</v>
      </c>
      <c r="L335" s="14">
        <v>0.26590000000000003</v>
      </c>
      <c r="M335" s="12" t="s">
        <v>1122</v>
      </c>
      <c r="N335" s="14">
        <v>0.22020000000000001</v>
      </c>
      <c r="O335" s="12">
        <v>4</v>
      </c>
      <c r="P335" s="12" t="s">
        <v>1660</v>
      </c>
      <c r="Q335" s="13" t="s">
        <v>1661</v>
      </c>
      <c r="R335" s="10"/>
      <c r="S335" s="10"/>
      <c r="T335" s="11"/>
    </row>
    <row r="336" spans="1:20" ht="42" x14ac:dyDescent="0.35">
      <c r="A336" s="12" t="s">
        <v>413</v>
      </c>
      <c r="B336" s="12" t="s">
        <v>170</v>
      </c>
      <c r="C336" s="13" t="s">
        <v>1662</v>
      </c>
      <c r="D336" s="13" t="s">
        <v>1663</v>
      </c>
      <c r="E336" s="12" t="s">
        <v>1280</v>
      </c>
      <c r="F336" s="12" t="s">
        <v>174</v>
      </c>
      <c r="G336" s="12"/>
      <c r="H336" s="12" t="s">
        <v>1664</v>
      </c>
      <c r="I336" s="14">
        <v>0.26500000000000001</v>
      </c>
      <c r="J336" s="12">
        <v>37.299999999999997</v>
      </c>
      <c r="K336" s="12" t="s">
        <v>1665</v>
      </c>
      <c r="L336" s="14">
        <v>0.21049999999999999</v>
      </c>
      <c r="M336" s="12" t="s">
        <v>1666</v>
      </c>
      <c r="N336" s="14">
        <v>0.2104</v>
      </c>
      <c r="O336" s="12">
        <v>3</v>
      </c>
      <c r="P336" s="12" t="s">
        <v>1667</v>
      </c>
      <c r="Q336" s="13" t="s">
        <v>1668</v>
      </c>
      <c r="R336" s="10"/>
      <c r="S336" s="10"/>
      <c r="T336" s="11"/>
    </row>
    <row r="337" spans="1:20" ht="70" x14ac:dyDescent="0.35">
      <c r="A337" s="12" t="s">
        <v>413</v>
      </c>
      <c r="B337" s="12" t="s">
        <v>170</v>
      </c>
      <c r="C337" s="13" t="s">
        <v>1669</v>
      </c>
      <c r="D337" s="13" t="s">
        <v>1670</v>
      </c>
      <c r="E337" s="12" t="s">
        <v>1671</v>
      </c>
      <c r="F337" s="12" t="s">
        <v>174</v>
      </c>
      <c r="G337" s="12"/>
      <c r="H337" s="12" t="s">
        <v>1672</v>
      </c>
      <c r="I337" s="14">
        <v>0.26429999999999998</v>
      </c>
      <c r="J337" s="12">
        <v>37.1</v>
      </c>
      <c r="K337" s="12" t="s">
        <v>1673</v>
      </c>
      <c r="L337" s="14">
        <v>0.25109999999999999</v>
      </c>
      <c r="M337" s="12" t="s">
        <v>1674</v>
      </c>
      <c r="N337" s="14">
        <v>0.2462</v>
      </c>
      <c r="O337" s="12">
        <v>1</v>
      </c>
      <c r="P337" s="12" t="s">
        <v>1675</v>
      </c>
      <c r="Q337" s="13" t="s">
        <v>1676</v>
      </c>
      <c r="R337" s="10"/>
      <c r="S337" s="10"/>
      <c r="T337" s="11"/>
    </row>
    <row r="338" spans="1:20" ht="84" x14ac:dyDescent="0.35">
      <c r="A338" s="12" t="s">
        <v>413</v>
      </c>
      <c r="B338" s="12" t="s">
        <v>170</v>
      </c>
      <c r="C338" s="13" t="s">
        <v>1677</v>
      </c>
      <c r="D338" s="13" t="s">
        <v>1678</v>
      </c>
      <c r="E338" s="12" t="s">
        <v>1679</v>
      </c>
      <c r="F338" s="12" t="s">
        <v>174</v>
      </c>
      <c r="G338" s="12"/>
      <c r="H338" s="12" t="s">
        <v>753</v>
      </c>
      <c r="I338" s="14">
        <v>0.26219999999999999</v>
      </c>
      <c r="J338" s="12">
        <v>36.6</v>
      </c>
      <c r="K338" s="12" t="s">
        <v>1680</v>
      </c>
      <c r="L338" s="14">
        <v>0.20669999999999999</v>
      </c>
      <c r="M338" s="12"/>
      <c r="N338" s="14"/>
      <c r="O338" s="12">
        <v>2</v>
      </c>
      <c r="P338" s="12" t="s">
        <v>1681</v>
      </c>
      <c r="Q338" s="13" t="s">
        <v>1682</v>
      </c>
      <c r="R338" s="10"/>
      <c r="S338" s="10"/>
      <c r="T338" s="11"/>
    </row>
    <row r="339" spans="1:20" ht="70" x14ac:dyDescent="0.35">
      <c r="A339" s="12" t="s">
        <v>413</v>
      </c>
      <c r="B339" s="12" t="s">
        <v>170</v>
      </c>
      <c r="C339" s="13" t="s">
        <v>1683</v>
      </c>
      <c r="D339" s="13"/>
      <c r="E339" s="12" t="s">
        <v>1684</v>
      </c>
      <c r="F339" s="12" t="s">
        <v>174</v>
      </c>
      <c r="G339" s="12"/>
      <c r="H339" s="12" t="s">
        <v>233</v>
      </c>
      <c r="I339" s="14">
        <v>0.26190000000000002</v>
      </c>
      <c r="J339" s="12">
        <v>36.5</v>
      </c>
      <c r="K339" s="12" t="s">
        <v>1685</v>
      </c>
      <c r="L339" s="14">
        <v>0.22009999999999999</v>
      </c>
      <c r="M339" s="12"/>
      <c r="N339" s="14"/>
      <c r="O339" s="12">
        <v>1</v>
      </c>
      <c r="P339" s="12" t="s">
        <v>1686</v>
      </c>
      <c r="Q339" s="13" t="s">
        <v>1687</v>
      </c>
      <c r="R339" s="10"/>
      <c r="S339" s="10"/>
      <c r="T339" s="11"/>
    </row>
    <row r="340" spans="1:20" ht="56" x14ac:dyDescent="0.35">
      <c r="A340" s="12" t="s">
        <v>413</v>
      </c>
      <c r="B340" s="12" t="s">
        <v>170</v>
      </c>
      <c r="C340" s="13" t="s">
        <v>1688</v>
      </c>
      <c r="D340" s="13" t="s">
        <v>1689</v>
      </c>
      <c r="E340" s="12" t="s">
        <v>1690</v>
      </c>
      <c r="F340" s="12" t="s">
        <v>174</v>
      </c>
      <c r="G340" s="12"/>
      <c r="H340" s="12" t="s">
        <v>1691</v>
      </c>
      <c r="I340" s="14">
        <v>0.26</v>
      </c>
      <c r="J340" s="12">
        <v>36</v>
      </c>
      <c r="K340" s="12"/>
      <c r="L340" s="14"/>
      <c r="M340" s="12"/>
      <c r="N340" s="14"/>
      <c r="O340" s="12">
        <v>1</v>
      </c>
      <c r="P340" s="12" t="s">
        <v>1692</v>
      </c>
      <c r="Q340" s="13" t="s">
        <v>1693</v>
      </c>
      <c r="R340" s="10"/>
      <c r="S340" s="10"/>
      <c r="T340" s="11"/>
    </row>
    <row r="341" spans="1:20" ht="84" x14ac:dyDescent="0.35">
      <c r="A341" s="12" t="s">
        <v>413</v>
      </c>
      <c r="B341" s="12" t="s">
        <v>170</v>
      </c>
      <c r="C341" s="13" t="s">
        <v>1694</v>
      </c>
      <c r="D341" s="13" t="s">
        <v>1695</v>
      </c>
      <c r="E341" s="12" t="s">
        <v>1696</v>
      </c>
      <c r="F341" s="12" t="s">
        <v>174</v>
      </c>
      <c r="G341" s="12"/>
      <c r="H341" s="12" t="s">
        <v>1697</v>
      </c>
      <c r="I341" s="14">
        <v>0.25940000000000002</v>
      </c>
      <c r="J341" s="12">
        <v>35.799999999999997</v>
      </c>
      <c r="K341" s="12"/>
      <c r="L341" s="14"/>
      <c r="M341" s="12"/>
      <c r="N341" s="14"/>
      <c r="O341" s="12">
        <v>2</v>
      </c>
      <c r="P341" s="12" t="s">
        <v>1698</v>
      </c>
      <c r="Q341" s="13" t="s">
        <v>1699</v>
      </c>
      <c r="R341" s="10"/>
      <c r="S341" s="10"/>
      <c r="T341" s="11"/>
    </row>
    <row r="342" spans="1:20" ht="56" x14ac:dyDescent="0.35">
      <c r="A342" s="12" t="s">
        <v>413</v>
      </c>
      <c r="B342" s="12" t="s">
        <v>170</v>
      </c>
      <c r="C342" s="13" t="s">
        <v>1700</v>
      </c>
      <c r="D342" s="13" t="s">
        <v>1701</v>
      </c>
      <c r="E342" s="12" t="s">
        <v>1702</v>
      </c>
      <c r="F342" s="12" t="s">
        <v>174</v>
      </c>
      <c r="G342" s="12"/>
      <c r="H342" s="12" t="s">
        <v>1703</v>
      </c>
      <c r="I342" s="14">
        <v>0.25890000000000002</v>
      </c>
      <c r="J342" s="12">
        <v>35.700000000000003</v>
      </c>
      <c r="K342" s="12"/>
      <c r="L342" s="14"/>
      <c r="M342" s="12"/>
      <c r="N342" s="14"/>
      <c r="O342" s="12">
        <v>2</v>
      </c>
      <c r="P342" s="12" t="s">
        <v>1704</v>
      </c>
      <c r="Q342" s="13" t="s">
        <v>1705</v>
      </c>
      <c r="R342" s="10"/>
      <c r="S342" s="10"/>
      <c r="T342" s="11"/>
    </row>
    <row r="343" spans="1:20" ht="70" x14ac:dyDescent="0.35">
      <c r="A343" s="12" t="s">
        <v>413</v>
      </c>
      <c r="B343" s="12" t="s">
        <v>170</v>
      </c>
      <c r="C343" s="13" t="s">
        <v>1706</v>
      </c>
      <c r="D343" s="13" t="s">
        <v>1707</v>
      </c>
      <c r="E343" s="12" t="s">
        <v>1708</v>
      </c>
      <c r="F343" s="12" t="s">
        <v>174</v>
      </c>
      <c r="G343" s="12"/>
      <c r="H343" s="12" t="s">
        <v>1302</v>
      </c>
      <c r="I343" s="14">
        <v>0.25879999999999997</v>
      </c>
      <c r="J343" s="12">
        <v>35.700000000000003</v>
      </c>
      <c r="K343" s="12" t="s">
        <v>1301</v>
      </c>
      <c r="L343" s="14">
        <v>0.224</v>
      </c>
      <c r="M343" s="12"/>
      <c r="N343" s="14"/>
      <c r="O343" s="12">
        <v>1</v>
      </c>
      <c r="P343" s="12" t="s">
        <v>1709</v>
      </c>
      <c r="Q343" s="13" t="s">
        <v>1710</v>
      </c>
      <c r="R343" s="10"/>
      <c r="S343" s="10"/>
      <c r="T343" s="11"/>
    </row>
    <row r="344" spans="1:20" ht="70" x14ac:dyDescent="0.35">
      <c r="A344" s="12" t="s">
        <v>413</v>
      </c>
      <c r="B344" s="12" t="s">
        <v>170</v>
      </c>
      <c r="C344" s="13" t="s">
        <v>1467</v>
      </c>
      <c r="D344" s="13" t="s">
        <v>1711</v>
      </c>
      <c r="E344" s="12" t="s">
        <v>1467</v>
      </c>
      <c r="F344" s="12" t="s">
        <v>174</v>
      </c>
      <c r="G344" s="12"/>
      <c r="H344" s="12" t="s">
        <v>1712</v>
      </c>
      <c r="I344" s="14">
        <v>0.25819999999999999</v>
      </c>
      <c r="J344" s="12">
        <v>35.5</v>
      </c>
      <c r="K344" s="12" t="s">
        <v>1713</v>
      </c>
      <c r="L344" s="14">
        <v>0.2384</v>
      </c>
      <c r="M344" s="12" t="s">
        <v>1714</v>
      </c>
      <c r="N344" s="14">
        <v>0.2039</v>
      </c>
      <c r="O344" s="12">
        <v>3</v>
      </c>
      <c r="P344" s="12" t="s">
        <v>1715</v>
      </c>
      <c r="Q344" s="13" t="s">
        <v>1716</v>
      </c>
      <c r="R344" s="10"/>
      <c r="S344" s="10"/>
      <c r="T344" s="11"/>
    </row>
    <row r="345" spans="1:20" ht="70" x14ac:dyDescent="0.35">
      <c r="A345" s="12" t="s">
        <v>413</v>
      </c>
      <c r="B345" s="12" t="s">
        <v>170</v>
      </c>
      <c r="C345" s="13" t="s">
        <v>1717</v>
      </c>
      <c r="D345" s="13"/>
      <c r="E345" s="12" t="s">
        <v>1718</v>
      </c>
      <c r="F345" s="12" t="s">
        <v>174</v>
      </c>
      <c r="G345" s="12"/>
      <c r="H345" s="12" t="s">
        <v>1719</v>
      </c>
      <c r="I345" s="14">
        <v>0.25719999999999998</v>
      </c>
      <c r="J345" s="12">
        <v>35.200000000000003</v>
      </c>
      <c r="K345" s="12"/>
      <c r="L345" s="14"/>
      <c r="M345" s="12"/>
      <c r="N345" s="14"/>
      <c r="O345" s="12">
        <v>1</v>
      </c>
      <c r="P345" s="12" t="s">
        <v>1720</v>
      </c>
      <c r="Q345" s="13" t="s">
        <v>1721</v>
      </c>
      <c r="R345" s="10"/>
      <c r="S345" s="10"/>
      <c r="T345" s="11"/>
    </row>
    <row r="346" spans="1:20" ht="84" x14ac:dyDescent="0.35">
      <c r="A346" s="12" t="s">
        <v>413</v>
      </c>
      <c r="B346" s="12" t="s">
        <v>170</v>
      </c>
      <c r="C346" s="13" t="s">
        <v>1722</v>
      </c>
      <c r="D346" s="13" t="s">
        <v>1723</v>
      </c>
      <c r="E346" s="12" t="s">
        <v>1722</v>
      </c>
      <c r="F346" s="12" t="s">
        <v>174</v>
      </c>
      <c r="G346" s="12"/>
      <c r="H346" s="12" t="s">
        <v>1724</v>
      </c>
      <c r="I346" s="14">
        <v>0.25640000000000002</v>
      </c>
      <c r="J346" s="12">
        <v>35.1</v>
      </c>
      <c r="K346" s="12"/>
      <c r="L346" s="14"/>
      <c r="M346" s="12"/>
      <c r="N346" s="14"/>
      <c r="O346" s="12">
        <v>1</v>
      </c>
      <c r="P346" s="12" t="s">
        <v>1725</v>
      </c>
      <c r="Q346" s="13" t="s">
        <v>1726</v>
      </c>
      <c r="R346" s="10"/>
      <c r="S346" s="10"/>
      <c r="T346" s="11"/>
    </row>
    <row r="347" spans="1:20" ht="70" x14ac:dyDescent="0.35">
      <c r="A347" s="12" t="s">
        <v>413</v>
      </c>
      <c r="B347" s="12" t="s">
        <v>170</v>
      </c>
      <c r="C347" s="13" t="s">
        <v>1727</v>
      </c>
      <c r="D347" s="13" t="s">
        <v>1728</v>
      </c>
      <c r="E347" s="12" t="s">
        <v>1729</v>
      </c>
      <c r="F347" s="12" t="s">
        <v>174</v>
      </c>
      <c r="G347" s="12"/>
      <c r="H347" s="12" t="s">
        <v>1730</v>
      </c>
      <c r="I347" s="14">
        <v>0.25590000000000002</v>
      </c>
      <c r="J347" s="12">
        <v>34.9</v>
      </c>
      <c r="K347" s="12" t="s">
        <v>1731</v>
      </c>
      <c r="L347" s="14">
        <v>0.24030000000000001</v>
      </c>
      <c r="M347" s="12"/>
      <c r="N347" s="14"/>
      <c r="O347" s="12">
        <v>1</v>
      </c>
      <c r="P347" s="12" t="s">
        <v>1732</v>
      </c>
      <c r="Q347" s="13" t="s">
        <v>1733</v>
      </c>
      <c r="R347" s="10"/>
      <c r="S347" s="10"/>
      <c r="T347" s="11"/>
    </row>
    <row r="348" spans="1:20" ht="70" x14ac:dyDescent="0.35">
      <c r="A348" s="12" t="s">
        <v>413</v>
      </c>
      <c r="B348" s="12" t="s">
        <v>170</v>
      </c>
      <c r="C348" s="13" t="s">
        <v>1734</v>
      </c>
      <c r="D348" s="13" t="s">
        <v>1735</v>
      </c>
      <c r="E348" s="12" t="s">
        <v>197</v>
      </c>
      <c r="F348" s="12" t="s">
        <v>174</v>
      </c>
      <c r="G348" s="12"/>
      <c r="H348" s="12" t="s">
        <v>1736</v>
      </c>
      <c r="I348" s="14">
        <v>0.25419999999999998</v>
      </c>
      <c r="J348" s="12">
        <v>34.5</v>
      </c>
      <c r="K348" s="12" t="s">
        <v>1737</v>
      </c>
      <c r="L348" s="14">
        <v>0.2273</v>
      </c>
      <c r="M348" s="12" t="s">
        <v>1445</v>
      </c>
      <c r="N348" s="14">
        <v>0.219</v>
      </c>
      <c r="O348" s="12">
        <v>1</v>
      </c>
      <c r="P348" s="12" t="s">
        <v>1738</v>
      </c>
      <c r="Q348" s="13" t="s">
        <v>1739</v>
      </c>
      <c r="R348" s="10"/>
      <c r="S348" s="10"/>
      <c r="T348" s="11"/>
    </row>
    <row r="349" spans="1:20" ht="84" x14ac:dyDescent="0.35">
      <c r="A349" s="12" t="s">
        <v>413</v>
      </c>
      <c r="B349" s="12" t="s">
        <v>170</v>
      </c>
      <c r="C349" s="13" t="s">
        <v>1740</v>
      </c>
      <c r="D349" s="13"/>
      <c r="E349" s="12" t="s">
        <v>232</v>
      </c>
      <c r="F349" s="12" t="s">
        <v>174</v>
      </c>
      <c r="G349" s="12"/>
      <c r="H349" s="12" t="s">
        <v>1331</v>
      </c>
      <c r="I349" s="14">
        <v>0.25430000000000003</v>
      </c>
      <c r="J349" s="12">
        <v>34.5</v>
      </c>
      <c r="K349" s="12"/>
      <c r="L349" s="14"/>
      <c r="M349" s="12"/>
      <c r="N349" s="14"/>
      <c r="O349" s="12">
        <v>1</v>
      </c>
      <c r="P349" s="12" t="s">
        <v>1741</v>
      </c>
      <c r="Q349" s="13" t="s">
        <v>1742</v>
      </c>
      <c r="R349" s="10"/>
      <c r="S349" s="10"/>
      <c r="T349" s="11"/>
    </row>
    <row r="350" spans="1:20" ht="70" x14ac:dyDescent="0.35">
      <c r="A350" s="12" t="s">
        <v>413</v>
      </c>
      <c r="B350" s="12" t="s">
        <v>170</v>
      </c>
      <c r="C350" s="13" t="s">
        <v>1743</v>
      </c>
      <c r="D350" s="13" t="s">
        <v>1744</v>
      </c>
      <c r="E350" s="12" t="s">
        <v>1745</v>
      </c>
      <c r="F350" s="12" t="s">
        <v>174</v>
      </c>
      <c r="G350" s="12"/>
      <c r="H350" s="12" t="s">
        <v>1746</v>
      </c>
      <c r="I350" s="14">
        <v>0.25409999999999999</v>
      </c>
      <c r="J350" s="12">
        <v>34.4</v>
      </c>
      <c r="K350" s="12"/>
      <c r="L350" s="14"/>
      <c r="M350" s="12"/>
      <c r="N350" s="14"/>
      <c r="O350" s="12">
        <v>1</v>
      </c>
      <c r="P350" s="12" t="s">
        <v>1747</v>
      </c>
      <c r="Q350" s="13" t="s">
        <v>1748</v>
      </c>
      <c r="R350" s="10"/>
      <c r="S350" s="10"/>
      <c r="T350" s="11"/>
    </row>
    <row r="351" spans="1:20" ht="98" x14ac:dyDescent="0.35">
      <c r="A351" s="12" t="s">
        <v>413</v>
      </c>
      <c r="B351" s="12" t="s">
        <v>170</v>
      </c>
      <c r="C351" s="13" t="s">
        <v>1749</v>
      </c>
      <c r="D351" s="13" t="s">
        <v>1750</v>
      </c>
      <c r="E351" s="12" t="s">
        <v>1751</v>
      </c>
      <c r="F351" s="12" t="s">
        <v>174</v>
      </c>
      <c r="G351" s="12"/>
      <c r="H351" s="12" t="s">
        <v>1752</v>
      </c>
      <c r="I351" s="14">
        <v>0.25380000000000003</v>
      </c>
      <c r="J351" s="12">
        <v>34.4</v>
      </c>
      <c r="K351" s="12" t="s">
        <v>1753</v>
      </c>
      <c r="L351" s="14">
        <v>0.21440000000000001</v>
      </c>
      <c r="M351" s="12"/>
      <c r="N351" s="14"/>
      <c r="O351" s="12">
        <v>1</v>
      </c>
      <c r="P351" s="12" t="s">
        <v>1754</v>
      </c>
      <c r="Q351" s="13" t="s">
        <v>1755</v>
      </c>
      <c r="R351" s="10"/>
      <c r="S351" s="10"/>
      <c r="T351" s="11"/>
    </row>
    <row r="352" spans="1:20" ht="56" x14ac:dyDescent="0.35">
      <c r="A352" s="12" t="s">
        <v>413</v>
      </c>
      <c r="B352" s="12" t="s">
        <v>170</v>
      </c>
      <c r="C352" s="13" t="s">
        <v>1756</v>
      </c>
      <c r="D352" s="13" t="s">
        <v>1757</v>
      </c>
      <c r="E352" s="12" t="s">
        <v>1758</v>
      </c>
      <c r="F352" s="12" t="s">
        <v>174</v>
      </c>
      <c r="G352" s="12"/>
      <c r="H352" s="12" t="s">
        <v>1759</v>
      </c>
      <c r="I352" s="14">
        <v>0.25309999999999999</v>
      </c>
      <c r="J352" s="12">
        <v>34.200000000000003</v>
      </c>
      <c r="K352" s="12" t="s">
        <v>1760</v>
      </c>
      <c r="L352" s="14">
        <v>0.22869999999999999</v>
      </c>
      <c r="M352" s="12" t="s">
        <v>1761</v>
      </c>
      <c r="N352" s="14">
        <v>0.2253</v>
      </c>
      <c r="O352" s="12">
        <v>1</v>
      </c>
      <c r="P352" s="12" t="s">
        <v>1762</v>
      </c>
      <c r="Q352" s="13" t="s">
        <v>1763</v>
      </c>
      <c r="R352" s="10"/>
      <c r="S352" s="10"/>
      <c r="T352" s="11"/>
    </row>
    <row r="353" spans="1:20" ht="56" x14ac:dyDescent="0.35">
      <c r="A353" s="12" t="s">
        <v>413</v>
      </c>
      <c r="B353" s="12" t="s">
        <v>170</v>
      </c>
      <c r="C353" s="13" t="s">
        <v>1764</v>
      </c>
      <c r="D353" s="13" t="s">
        <v>1765</v>
      </c>
      <c r="E353" s="12" t="s">
        <v>1766</v>
      </c>
      <c r="F353" s="12" t="s">
        <v>174</v>
      </c>
      <c r="G353" s="12"/>
      <c r="H353" s="12" t="s">
        <v>1767</v>
      </c>
      <c r="I353" s="14">
        <v>0.25259999999999999</v>
      </c>
      <c r="J353" s="12">
        <v>34</v>
      </c>
      <c r="K353" s="12" t="s">
        <v>1768</v>
      </c>
      <c r="L353" s="14">
        <v>0.2432</v>
      </c>
      <c r="M353" s="12"/>
      <c r="N353" s="14"/>
      <c r="O353" s="12">
        <v>2</v>
      </c>
      <c r="P353" s="12" t="s">
        <v>1769</v>
      </c>
      <c r="Q353" s="13" t="s">
        <v>1770</v>
      </c>
      <c r="R353" s="10"/>
      <c r="S353" s="10"/>
      <c r="T353" s="11"/>
    </row>
    <row r="354" spans="1:20" ht="84" x14ac:dyDescent="0.35">
      <c r="A354" s="12" t="s">
        <v>413</v>
      </c>
      <c r="B354" s="12" t="s">
        <v>170</v>
      </c>
      <c r="C354" s="13" t="s">
        <v>1771</v>
      </c>
      <c r="D354" s="13"/>
      <c r="E354" s="12" t="s">
        <v>218</v>
      </c>
      <c r="F354" s="12" t="s">
        <v>174</v>
      </c>
      <c r="G354" s="12"/>
      <c r="H354" s="12" t="s">
        <v>220</v>
      </c>
      <c r="I354" s="14">
        <v>0.25209999999999999</v>
      </c>
      <c r="J354" s="12">
        <v>33.9</v>
      </c>
      <c r="K354" s="12" t="s">
        <v>221</v>
      </c>
      <c r="L354" s="14">
        <v>0.2419</v>
      </c>
      <c r="M354" s="12" t="s">
        <v>193</v>
      </c>
      <c r="N354" s="14">
        <v>0.23350000000000001</v>
      </c>
      <c r="O354" s="12">
        <v>1</v>
      </c>
      <c r="P354" s="12" t="s">
        <v>1772</v>
      </c>
      <c r="Q354" s="13" t="s">
        <v>1773</v>
      </c>
      <c r="R354" s="10"/>
      <c r="S354" s="10"/>
      <c r="T354" s="11"/>
    </row>
    <row r="355" spans="1:20" ht="56" x14ac:dyDescent="0.35">
      <c r="A355" s="12" t="s">
        <v>413</v>
      </c>
      <c r="B355" s="12" t="s">
        <v>170</v>
      </c>
      <c r="C355" s="13" t="s">
        <v>1774</v>
      </c>
      <c r="D355" s="13"/>
      <c r="E355" s="12" t="s">
        <v>1775</v>
      </c>
      <c r="F355" s="12" t="s">
        <v>174</v>
      </c>
      <c r="G355" s="12"/>
      <c r="H355" s="12" t="s">
        <v>1776</v>
      </c>
      <c r="I355" s="14">
        <v>0.25019999999999998</v>
      </c>
      <c r="J355" s="12">
        <v>33.4</v>
      </c>
      <c r="K355" s="12" t="s">
        <v>1777</v>
      </c>
      <c r="L355" s="14">
        <v>0.24690000000000001</v>
      </c>
      <c r="M355" s="12" t="s">
        <v>1778</v>
      </c>
      <c r="N355" s="14">
        <v>0.22950000000000001</v>
      </c>
      <c r="O355" s="12">
        <v>1</v>
      </c>
      <c r="P355" s="12" t="s">
        <v>1779</v>
      </c>
      <c r="Q355" s="13" t="s">
        <v>1780</v>
      </c>
      <c r="R355" s="10"/>
      <c r="S355" s="10"/>
      <c r="T355" s="11"/>
    </row>
    <row r="356" spans="1:20" ht="98" x14ac:dyDescent="0.35">
      <c r="A356" s="12" t="s">
        <v>413</v>
      </c>
      <c r="B356" s="12" t="s">
        <v>170</v>
      </c>
      <c r="C356" s="13" t="s">
        <v>1781</v>
      </c>
      <c r="D356" s="13" t="s">
        <v>1782</v>
      </c>
      <c r="E356" s="12" t="s">
        <v>1394</v>
      </c>
      <c r="F356" s="12" t="s">
        <v>174</v>
      </c>
      <c r="G356" s="12"/>
      <c r="H356" s="12" t="s">
        <v>1783</v>
      </c>
      <c r="I356" s="14">
        <v>0.24959999999999999</v>
      </c>
      <c r="J356" s="12">
        <v>33.200000000000003</v>
      </c>
      <c r="K356" s="12" t="s">
        <v>1784</v>
      </c>
      <c r="L356" s="14">
        <v>0.2356</v>
      </c>
      <c r="M356" s="12" t="s">
        <v>1445</v>
      </c>
      <c r="N356" s="14">
        <v>0.21429999999999999</v>
      </c>
      <c r="O356" s="12">
        <v>1</v>
      </c>
      <c r="P356" s="12" t="s">
        <v>1785</v>
      </c>
      <c r="Q356" s="13" t="s">
        <v>1786</v>
      </c>
      <c r="R356" s="10"/>
      <c r="S356" s="10"/>
      <c r="T356" s="11"/>
    </row>
    <row r="357" spans="1:20" ht="56" x14ac:dyDescent="0.35">
      <c r="A357" s="12" t="s">
        <v>413</v>
      </c>
      <c r="B357" s="12" t="s">
        <v>170</v>
      </c>
      <c r="C357" s="13" t="s">
        <v>1787</v>
      </c>
      <c r="D357" s="13" t="s">
        <v>1788</v>
      </c>
      <c r="E357" s="12" t="s">
        <v>1294</v>
      </c>
      <c r="F357" s="12" t="s">
        <v>174</v>
      </c>
      <c r="G357" s="12"/>
      <c r="H357" s="12" t="s">
        <v>1789</v>
      </c>
      <c r="I357" s="14">
        <v>0.24840000000000001</v>
      </c>
      <c r="J357" s="12">
        <v>32.9</v>
      </c>
      <c r="K357" s="12" t="s">
        <v>299</v>
      </c>
      <c r="L357" s="14">
        <v>0.23780000000000001</v>
      </c>
      <c r="M357" s="12" t="s">
        <v>1490</v>
      </c>
      <c r="N357" s="14">
        <v>0.23730000000000001</v>
      </c>
      <c r="O357" s="12">
        <v>1</v>
      </c>
      <c r="P357" s="12" t="s">
        <v>1790</v>
      </c>
      <c r="Q357" s="13" t="s">
        <v>1791</v>
      </c>
      <c r="R357" s="10"/>
      <c r="S357" s="10"/>
      <c r="T357" s="11"/>
    </row>
    <row r="358" spans="1:20" ht="56" x14ac:dyDescent="0.35">
      <c r="A358" s="12" t="s">
        <v>413</v>
      </c>
      <c r="B358" s="12" t="s">
        <v>170</v>
      </c>
      <c r="C358" s="13" t="s">
        <v>1792</v>
      </c>
      <c r="D358" s="13"/>
      <c r="E358" s="12"/>
      <c r="F358" s="12" t="s">
        <v>174</v>
      </c>
      <c r="G358" s="12"/>
      <c r="H358" s="12" t="s">
        <v>1793</v>
      </c>
      <c r="I358" s="14">
        <v>0.248</v>
      </c>
      <c r="J358" s="12">
        <v>32.799999999999997</v>
      </c>
      <c r="K358" s="12"/>
      <c r="L358" s="14"/>
      <c r="M358" s="12"/>
      <c r="N358" s="14"/>
      <c r="O358" s="12">
        <v>1</v>
      </c>
      <c r="P358" s="12" t="s">
        <v>1794</v>
      </c>
      <c r="Q358" s="13" t="s">
        <v>1795</v>
      </c>
      <c r="R358" s="10"/>
      <c r="S358" s="10"/>
      <c r="T358" s="11"/>
    </row>
    <row r="359" spans="1:20" ht="84" x14ac:dyDescent="0.35">
      <c r="A359" s="12" t="s">
        <v>413</v>
      </c>
      <c r="B359" s="12" t="s">
        <v>170</v>
      </c>
      <c r="C359" s="13" t="s">
        <v>1796</v>
      </c>
      <c r="D359" s="13" t="s">
        <v>1797</v>
      </c>
      <c r="E359" s="12" t="s">
        <v>1798</v>
      </c>
      <c r="F359" s="12" t="s">
        <v>174</v>
      </c>
      <c r="G359" s="12"/>
      <c r="H359" s="12" t="s">
        <v>1799</v>
      </c>
      <c r="I359" s="14">
        <v>0.24779999999999999</v>
      </c>
      <c r="J359" s="12">
        <v>32.700000000000003</v>
      </c>
      <c r="K359" s="12" t="s">
        <v>1309</v>
      </c>
      <c r="L359" s="14">
        <v>0.21149999999999999</v>
      </c>
      <c r="M359" s="12"/>
      <c r="N359" s="14"/>
      <c r="O359" s="12">
        <v>1</v>
      </c>
      <c r="P359" s="12" t="s">
        <v>1800</v>
      </c>
      <c r="Q359" s="13" t="s">
        <v>1801</v>
      </c>
      <c r="R359" s="10"/>
      <c r="S359" s="10"/>
      <c r="T359" s="11"/>
    </row>
    <row r="360" spans="1:20" ht="56" x14ac:dyDescent="0.35">
      <c r="A360" s="12" t="s">
        <v>413</v>
      </c>
      <c r="B360" s="12" t="s">
        <v>170</v>
      </c>
      <c r="C360" s="13" t="s">
        <v>1802</v>
      </c>
      <c r="D360" s="13" t="s">
        <v>1803</v>
      </c>
      <c r="E360" s="12" t="s">
        <v>1804</v>
      </c>
      <c r="F360" s="12" t="s">
        <v>174</v>
      </c>
      <c r="G360" s="12"/>
      <c r="H360" s="12" t="s">
        <v>1805</v>
      </c>
      <c r="I360" s="14">
        <v>0.2477</v>
      </c>
      <c r="J360" s="12">
        <v>32.700000000000003</v>
      </c>
      <c r="K360" s="12" t="s">
        <v>1806</v>
      </c>
      <c r="L360" s="14">
        <v>0.22109999999999999</v>
      </c>
      <c r="M360" s="12" t="s">
        <v>1807</v>
      </c>
      <c r="N360" s="14">
        <v>0.20799999999999999</v>
      </c>
      <c r="O360" s="12">
        <v>1</v>
      </c>
      <c r="P360" s="12" t="s">
        <v>1808</v>
      </c>
      <c r="Q360" s="13" t="s">
        <v>1809</v>
      </c>
      <c r="R360" s="10"/>
      <c r="S360" s="10"/>
      <c r="T360" s="11"/>
    </row>
    <row r="361" spans="1:20" ht="70" x14ac:dyDescent="0.35">
      <c r="A361" s="12" t="s">
        <v>413</v>
      </c>
      <c r="B361" s="12" t="s">
        <v>170</v>
      </c>
      <c r="C361" s="13" t="s">
        <v>1810</v>
      </c>
      <c r="D361" s="13" t="s">
        <v>1811</v>
      </c>
      <c r="E361" s="12" t="s">
        <v>1294</v>
      </c>
      <c r="F361" s="12" t="s">
        <v>174</v>
      </c>
      <c r="G361" s="12"/>
      <c r="H361" s="12" t="s">
        <v>1652</v>
      </c>
      <c r="I361" s="14">
        <v>0.24729999999999999</v>
      </c>
      <c r="J361" s="12">
        <v>32.6</v>
      </c>
      <c r="K361" s="12" t="s">
        <v>299</v>
      </c>
      <c r="L361" s="14">
        <v>0.22639999999999999</v>
      </c>
      <c r="M361" s="12" t="s">
        <v>1789</v>
      </c>
      <c r="N361" s="14">
        <v>0.22239999999999999</v>
      </c>
      <c r="O361" s="12">
        <v>1</v>
      </c>
      <c r="P361" s="12" t="s">
        <v>1812</v>
      </c>
      <c r="Q361" s="13" t="s">
        <v>1813</v>
      </c>
      <c r="R361" s="10"/>
      <c r="S361" s="10"/>
      <c r="T361" s="11"/>
    </row>
    <row r="362" spans="1:20" ht="70" x14ac:dyDescent="0.35">
      <c r="A362" s="12" t="s">
        <v>413</v>
      </c>
      <c r="B362" s="12" t="s">
        <v>170</v>
      </c>
      <c r="C362" s="13" t="s">
        <v>1814</v>
      </c>
      <c r="D362" s="13" t="s">
        <v>1815</v>
      </c>
      <c r="E362" s="12" t="s">
        <v>1814</v>
      </c>
      <c r="F362" s="12" t="s">
        <v>174</v>
      </c>
      <c r="G362" s="12"/>
      <c r="H362" s="12" t="s">
        <v>1816</v>
      </c>
      <c r="I362" s="14">
        <v>0.247</v>
      </c>
      <c r="J362" s="12">
        <v>32.5</v>
      </c>
      <c r="K362" s="12" t="s">
        <v>1817</v>
      </c>
      <c r="L362" s="14">
        <v>0.24049999999999999</v>
      </c>
      <c r="M362" s="12" t="s">
        <v>1818</v>
      </c>
      <c r="N362" s="14">
        <v>0.21240000000000001</v>
      </c>
      <c r="O362" s="12">
        <v>1</v>
      </c>
      <c r="P362" s="12" t="s">
        <v>1819</v>
      </c>
      <c r="Q362" s="13" t="s">
        <v>1820</v>
      </c>
      <c r="R362" s="10"/>
      <c r="S362" s="10"/>
      <c r="T362" s="11"/>
    </row>
    <row r="363" spans="1:20" ht="56" x14ac:dyDescent="0.35">
      <c r="A363" s="12" t="s">
        <v>413</v>
      </c>
      <c r="B363" s="12" t="s">
        <v>170</v>
      </c>
      <c r="C363" s="13" t="s">
        <v>1821</v>
      </c>
      <c r="D363" s="13" t="s">
        <v>1822</v>
      </c>
      <c r="E363" s="12" t="s">
        <v>1639</v>
      </c>
      <c r="F363" s="12" t="s">
        <v>174</v>
      </c>
      <c r="G363" s="12"/>
      <c r="H363" s="12" t="s">
        <v>1823</v>
      </c>
      <c r="I363" s="14">
        <v>0.24479999999999999</v>
      </c>
      <c r="J363" s="12">
        <v>31.9</v>
      </c>
      <c r="K363" s="12" t="s">
        <v>1824</v>
      </c>
      <c r="L363" s="14">
        <v>0.24399999999999999</v>
      </c>
      <c r="M363" s="12"/>
      <c r="N363" s="14"/>
      <c r="O363" s="12">
        <v>2</v>
      </c>
      <c r="P363" s="12" t="s">
        <v>1825</v>
      </c>
      <c r="Q363" s="13" t="s">
        <v>1826</v>
      </c>
      <c r="R363" s="10"/>
      <c r="S363" s="10"/>
      <c r="T363" s="11"/>
    </row>
    <row r="364" spans="1:20" ht="56" x14ac:dyDescent="0.35">
      <c r="A364" s="12" t="s">
        <v>413</v>
      </c>
      <c r="B364" s="12" t="s">
        <v>170</v>
      </c>
      <c r="C364" s="13" t="s">
        <v>1827</v>
      </c>
      <c r="D364" s="13" t="s">
        <v>1828</v>
      </c>
      <c r="E364" s="12" t="s">
        <v>1829</v>
      </c>
      <c r="F364" s="12" t="s">
        <v>174</v>
      </c>
      <c r="G364" s="12"/>
      <c r="H364" s="12" t="s">
        <v>1830</v>
      </c>
      <c r="I364" s="14">
        <v>0.24460000000000001</v>
      </c>
      <c r="J364" s="12">
        <v>31.9</v>
      </c>
      <c r="K364" s="12" t="s">
        <v>1831</v>
      </c>
      <c r="L364" s="14">
        <v>0.219</v>
      </c>
      <c r="M364" s="12" t="s">
        <v>1832</v>
      </c>
      <c r="N364" s="14">
        <v>0.21340000000000001</v>
      </c>
      <c r="O364" s="12">
        <v>1</v>
      </c>
      <c r="P364" s="12" t="s">
        <v>1833</v>
      </c>
      <c r="Q364" s="13" t="s">
        <v>1834</v>
      </c>
      <c r="R364" s="10"/>
      <c r="S364" s="10"/>
      <c r="T364" s="11"/>
    </row>
    <row r="365" spans="1:20" ht="84" x14ac:dyDescent="0.35">
      <c r="A365" s="12" t="s">
        <v>413</v>
      </c>
      <c r="B365" s="12" t="s">
        <v>170</v>
      </c>
      <c r="C365" s="13" t="s">
        <v>1835</v>
      </c>
      <c r="D365" s="13" t="s">
        <v>1836</v>
      </c>
      <c r="E365" s="12" t="s">
        <v>197</v>
      </c>
      <c r="F365" s="12" t="s">
        <v>174</v>
      </c>
      <c r="G365" s="12"/>
      <c r="H365" s="12" t="s">
        <v>1837</v>
      </c>
      <c r="I365" s="14">
        <v>0.24410000000000001</v>
      </c>
      <c r="J365" s="12">
        <v>31.8</v>
      </c>
      <c r="K365" s="12" t="s">
        <v>1838</v>
      </c>
      <c r="L365" s="14">
        <v>0.22470000000000001</v>
      </c>
      <c r="M365" s="12" t="s">
        <v>1839</v>
      </c>
      <c r="N365" s="14">
        <v>0.21410000000000001</v>
      </c>
      <c r="O365" s="12">
        <v>1</v>
      </c>
      <c r="P365" s="12" t="s">
        <v>1840</v>
      </c>
      <c r="Q365" s="13" t="s">
        <v>1841</v>
      </c>
      <c r="R365" s="10"/>
      <c r="S365" s="10"/>
      <c r="T365" s="11"/>
    </row>
    <row r="366" spans="1:20" ht="42" x14ac:dyDescent="0.35">
      <c r="A366" s="12" t="s">
        <v>413</v>
      </c>
      <c r="B366" s="12" t="s">
        <v>170</v>
      </c>
      <c r="C366" s="13" t="s">
        <v>1639</v>
      </c>
      <c r="D366" s="13" t="s">
        <v>1842</v>
      </c>
      <c r="E366" s="12" t="s">
        <v>1639</v>
      </c>
      <c r="F366" s="12" t="s">
        <v>174</v>
      </c>
      <c r="G366" s="12"/>
      <c r="H366" s="12" t="s">
        <v>1843</v>
      </c>
      <c r="I366" s="14">
        <v>0.2427</v>
      </c>
      <c r="J366" s="12">
        <v>31.4</v>
      </c>
      <c r="K366" s="12"/>
      <c r="L366" s="14"/>
      <c r="M366" s="12"/>
      <c r="N366" s="14"/>
      <c r="O366" s="12">
        <v>1</v>
      </c>
      <c r="P366" s="12" t="s">
        <v>1844</v>
      </c>
      <c r="Q366" s="13" t="s">
        <v>1845</v>
      </c>
      <c r="R366" s="10"/>
      <c r="S366" s="10"/>
      <c r="T366" s="11"/>
    </row>
    <row r="367" spans="1:20" ht="84" x14ac:dyDescent="0.35">
      <c r="A367" s="12" t="s">
        <v>413</v>
      </c>
      <c r="B367" s="12" t="s">
        <v>170</v>
      </c>
      <c r="C367" s="13" t="s">
        <v>1846</v>
      </c>
      <c r="D367" s="13" t="s">
        <v>1847</v>
      </c>
      <c r="E367" s="12" t="s">
        <v>1848</v>
      </c>
      <c r="F367" s="12" t="s">
        <v>174</v>
      </c>
      <c r="G367" s="12"/>
      <c r="H367" s="12" t="s">
        <v>1691</v>
      </c>
      <c r="I367" s="14">
        <v>0.24249999999999999</v>
      </c>
      <c r="J367" s="12">
        <v>31.3</v>
      </c>
      <c r="K367" s="12"/>
      <c r="L367" s="14"/>
      <c r="M367" s="12"/>
      <c r="N367" s="14"/>
      <c r="O367" s="12">
        <v>5</v>
      </c>
      <c r="P367" s="12" t="s">
        <v>1849</v>
      </c>
      <c r="Q367" s="13" t="s">
        <v>1850</v>
      </c>
      <c r="R367" s="10"/>
      <c r="S367" s="10"/>
      <c r="T367" s="11"/>
    </row>
    <row r="368" spans="1:20" ht="84" x14ac:dyDescent="0.35">
      <c r="A368" s="12" t="s">
        <v>413</v>
      </c>
      <c r="B368" s="12" t="s">
        <v>170</v>
      </c>
      <c r="C368" s="13" t="s">
        <v>1851</v>
      </c>
      <c r="D368" s="13" t="s">
        <v>1852</v>
      </c>
      <c r="E368" s="12" t="s">
        <v>1853</v>
      </c>
      <c r="F368" s="12" t="s">
        <v>174</v>
      </c>
      <c r="G368" s="12"/>
      <c r="H368" s="12" t="s">
        <v>221</v>
      </c>
      <c r="I368" s="14">
        <v>0.24199999999999999</v>
      </c>
      <c r="J368" s="12">
        <v>31.2</v>
      </c>
      <c r="K368" s="12"/>
      <c r="L368" s="14"/>
      <c r="M368" s="12"/>
      <c r="N368" s="14"/>
      <c r="O368" s="12">
        <v>1</v>
      </c>
      <c r="P368" s="12" t="s">
        <v>1854</v>
      </c>
      <c r="Q368" s="13" t="s">
        <v>1855</v>
      </c>
      <c r="R368" s="10"/>
      <c r="S368" s="10"/>
      <c r="T368" s="11"/>
    </row>
    <row r="369" spans="1:20" ht="84" x14ac:dyDescent="0.35">
      <c r="A369" s="12" t="s">
        <v>413</v>
      </c>
      <c r="B369" s="12" t="s">
        <v>170</v>
      </c>
      <c r="C369" s="13" t="s">
        <v>1856</v>
      </c>
      <c r="D369" s="13" t="s">
        <v>1857</v>
      </c>
      <c r="E369" s="12" t="s">
        <v>1856</v>
      </c>
      <c r="F369" s="12" t="s">
        <v>174</v>
      </c>
      <c r="G369" s="12"/>
      <c r="H369" s="12" t="s">
        <v>722</v>
      </c>
      <c r="I369" s="14">
        <v>0.24149999999999999</v>
      </c>
      <c r="J369" s="12">
        <v>31.1</v>
      </c>
      <c r="K369" s="12"/>
      <c r="L369" s="14"/>
      <c r="M369" s="12"/>
      <c r="N369" s="14"/>
      <c r="O369" s="12">
        <v>1</v>
      </c>
      <c r="P369" s="12" t="s">
        <v>1858</v>
      </c>
      <c r="Q369" s="13" t="s">
        <v>1859</v>
      </c>
      <c r="R369" s="10"/>
      <c r="S369" s="10"/>
      <c r="T369" s="11"/>
    </row>
    <row r="370" spans="1:20" ht="98" x14ac:dyDescent="0.35">
      <c r="A370" s="12" t="s">
        <v>413</v>
      </c>
      <c r="B370" s="12" t="s">
        <v>170</v>
      </c>
      <c r="C370" s="13" t="s">
        <v>1860</v>
      </c>
      <c r="D370" s="13" t="s">
        <v>1861</v>
      </c>
      <c r="E370" s="12" t="s">
        <v>470</v>
      </c>
      <c r="F370" s="12" t="s">
        <v>174</v>
      </c>
      <c r="G370" s="12"/>
      <c r="H370" s="12" t="s">
        <v>470</v>
      </c>
      <c r="I370" s="14">
        <v>0.24099999999999999</v>
      </c>
      <c r="J370" s="12">
        <v>30.9</v>
      </c>
      <c r="K370" s="12"/>
      <c r="L370" s="14"/>
      <c r="M370" s="12"/>
      <c r="N370" s="14"/>
      <c r="O370" s="12">
        <v>1</v>
      </c>
      <c r="P370" s="12" t="s">
        <v>1862</v>
      </c>
      <c r="Q370" s="13" t="s">
        <v>1863</v>
      </c>
      <c r="R370" s="10"/>
      <c r="S370" s="10"/>
      <c r="T370" s="11"/>
    </row>
    <row r="371" spans="1:20" ht="70" x14ac:dyDescent="0.35">
      <c r="A371" s="12" t="s">
        <v>413</v>
      </c>
      <c r="B371" s="12" t="s">
        <v>170</v>
      </c>
      <c r="C371" s="13" t="s">
        <v>1864</v>
      </c>
      <c r="D371" s="13" t="s">
        <v>1865</v>
      </c>
      <c r="E371" s="12" t="s">
        <v>1308</v>
      </c>
      <c r="F371" s="12" t="s">
        <v>174</v>
      </c>
      <c r="G371" s="12"/>
      <c r="H371" s="12" t="s">
        <v>1549</v>
      </c>
      <c r="I371" s="14">
        <v>0.24060000000000001</v>
      </c>
      <c r="J371" s="12">
        <v>30.8</v>
      </c>
      <c r="K371" s="12"/>
      <c r="L371" s="14"/>
      <c r="M371" s="12"/>
      <c r="N371" s="14"/>
      <c r="O371" s="12">
        <v>1</v>
      </c>
      <c r="P371" s="12" t="s">
        <v>1866</v>
      </c>
      <c r="Q371" s="13" t="s">
        <v>1867</v>
      </c>
      <c r="R371" s="10"/>
      <c r="S371" s="10"/>
      <c r="T371" s="11"/>
    </row>
    <row r="372" spans="1:20" ht="70" x14ac:dyDescent="0.35">
      <c r="A372" s="12" t="s">
        <v>413</v>
      </c>
      <c r="B372" s="12" t="s">
        <v>170</v>
      </c>
      <c r="C372" s="13" t="s">
        <v>1868</v>
      </c>
      <c r="D372" s="13" t="s">
        <v>1869</v>
      </c>
      <c r="E372" s="12" t="s">
        <v>1475</v>
      </c>
      <c r="F372" s="12" t="s">
        <v>174</v>
      </c>
      <c r="G372" s="12"/>
      <c r="H372" s="12" t="s">
        <v>1579</v>
      </c>
      <c r="I372" s="14">
        <v>0.24049999999999999</v>
      </c>
      <c r="J372" s="12">
        <v>30.8</v>
      </c>
      <c r="K372" s="12" t="s">
        <v>1537</v>
      </c>
      <c r="L372" s="14">
        <v>0.2014</v>
      </c>
      <c r="M372" s="12"/>
      <c r="N372" s="14"/>
      <c r="O372" s="12">
        <v>1</v>
      </c>
      <c r="P372" s="12" t="s">
        <v>1870</v>
      </c>
      <c r="Q372" s="13" t="s">
        <v>1871</v>
      </c>
      <c r="R372" s="10"/>
      <c r="S372" s="10"/>
      <c r="T372" s="11"/>
    </row>
    <row r="373" spans="1:20" ht="56" x14ac:dyDescent="0.35">
      <c r="A373" s="12" t="s">
        <v>413</v>
      </c>
      <c r="B373" s="12" t="s">
        <v>170</v>
      </c>
      <c r="C373" s="13" t="s">
        <v>1872</v>
      </c>
      <c r="D373" s="13" t="s">
        <v>1873</v>
      </c>
      <c r="E373" s="12" t="s">
        <v>1872</v>
      </c>
      <c r="F373" s="12" t="s">
        <v>174</v>
      </c>
      <c r="G373" s="12"/>
      <c r="H373" s="12" t="s">
        <v>1874</v>
      </c>
      <c r="I373" s="14">
        <v>0.24030000000000001</v>
      </c>
      <c r="J373" s="12">
        <v>30.7</v>
      </c>
      <c r="K373" s="12" t="s">
        <v>1875</v>
      </c>
      <c r="L373" s="14">
        <v>0.20699999999999999</v>
      </c>
      <c r="M373" s="12"/>
      <c r="N373" s="14"/>
      <c r="O373" s="12">
        <v>2</v>
      </c>
      <c r="P373" s="12" t="s">
        <v>1876</v>
      </c>
      <c r="Q373" s="13" t="s">
        <v>1877</v>
      </c>
      <c r="R373" s="10"/>
      <c r="S373" s="10"/>
      <c r="T373" s="11"/>
    </row>
    <row r="374" spans="1:20" ht="56" x14ac:dyDescent="0.35">
      <c r="A374" s="12" t="s">
        <v>413</v>
      </c>
      <c r="B374" s="12" t="s">
        <v>170</v>
      </c>
      <c r="C374" s="13" t="s">
        <v>1878</v>
      </c>
      <c r="D374" s="13"/>
      <c r="E374" s="12" t="s">
        <v>1879</v>
      </c>
      <c r="F374" s="12" t="s">
        <v>174</v>
      </c>
      <c r="G374" s="12"/>
      <c r="H374" s="12" t="s">
        <v>1880</v>
      </c>
      <c r="I374" s="14">
        <v>0.2399</v>
      </c>
      <c r="J374" s="12">
        <v>30.6</v>
      </c>
      <c r="K374" s="12" t="s">
        <v>1881</v>
      </c>
      <c r="L374" s="14">
        <v>0.23419999999999999</v>
      </c>
      <c r="M374" s="12" t="s">
        <v>1882</v>
      </c>
      <c r="N374" s="14">
        <v>0.23280000000000001</v>
      </c>
      <c r="O374" s="12">
        <v>1</v>
      </c>
      <c r="P374" s="12" t="s">
        <v>1883</v>
      </c>
      <c r="Q374" s="13" t="s">
        <v>1884</v>
      </c>
      <c r="R374" s="10"/>
      <c r="S374" s="10"/>
      <c r="T374" s="11"/>
    </row>
    <row r="375" spans="1:20" ht="84" x14ac:dyDescent="0.35">
      <c r="A375" s="12" t="s">
        <v>413</v>
      </c>
      <c r="B375" s="12" t="s">
        <v>170</v>
      </c>
      <c r="C375" s="13" t="s">
        <v>1885</v>
      </c>
      <c r="D375" s="13"/>
      <c r="E375" s="12" t="s">
        <v>1886</v>
      </c>
      <c r="F375" s="12" t="s">
        <v>174</v>
      </c>
      <c r="G375" s="12"/>
      <c r="H375" s="12" t="s">
        <v>1887</v>
      </c>
      <c r="I375" s="14">
        <v>0.2399</v>
      </c>
      <c r="J375" s="12">
        <v>30.6</v>
      </c>
      <c r="K375" s="12" t="s">
        <v>1888</v>
      </c>
      <c r="L375" s="14">
        <v>0.2384</v>
      </c>
      <c r="M375" s="12" t="s">
        <v>1889</v>
      </c>
      <c r="N375" s="14">
        <v>0.22370000000000001</v>
      </c>
      <c r="O375" s="12">
        <v>2</v>
      </c>
      <c r="P375" s="12" t="s">
        <v>1890</v>
      </c>
      <c r="Q375" s="13" t="s">
        <v>1891</v>
      </c>
      <c r="R375" s="10"/>
      <c r="S375" s="10"/>
      <c r="T375" s="11"/>
    </row>
    <row r="376" spans="1:20" ht="56" x14ac:dyDescent="0.35">
      <c r="A376" s="12" t="s">
        <v>413</v>
      </c>
      <c r="B376" s="12" t="s">
        <v>170</v>
      </c>
      <c r="C376" s="13" t="s">
        <v>1892</v>
      </c>
      <c r="D376" s="13" t="s">
        <v>1893</v>
      </c>
      <c r="E376" s="12" t="s">
        <v>1894</v>
      </c>
      <c r="F376" s="12" t="s">
        <v>174</v>
      </c>
      <c r="G376" s="12"/>
      <c r="H376" s="12" t="s">
        <v>1651</v>
      </c>
      <c r="I376" s="14">
        <v>0.23960000000000001</v>
      </c>
      <c r="J376" s="12">
        <v>30.6</v>
      </c>
      <c r="K376" s="12"/>
      <c r="L376" s="14"/>
      <c r="M376" s="12"/>
      <c r="N376" s="14"/>
      <c r="O376" s="12">
        <v>1</v>
      </c>
      <c r="P376" s="12" t="s">
        <v>1895</v>
      </c>
      <c r="Q376" s="13" t="s">
        <v>1896</v>
      </c>
      <c r="R376" s="10"/>
      <c r="S376" s="10"/>
      <c r="T376" s="11"/>
    </row>
    <row r="377" spans="1:20" ht="70" x14ac:dyDescent="0.35">
      <c r="A377" s="12" t="s">
        <v>413</v>
      </c>
      <c r="B377" s="12" t="s">
        <v>170</v>
      </c>
      <c r="C377" s="13" t="s">
        <v>1897</v>
      </c>
      <c r="D377" s="13" t="s">
        <v>1898</v>
      </c>
      <c r="E377" s="12" t="s">
        <v>352</v>
      </c>
      <c r="F377" s="12" t="s">
        <v>174</v>
      </c>
      <c r="G377" s="12"/>
      <c r="H377" s="12" t="s">
        <v>1899</v>
      </c>
      <c r="I377" s="14">
        <v>0.23899999999999999</v>
      </c>
      <c r="J377" s="12">
        <v>30.4</v>
      </c>
      <c r="K377" s="12" t="s">
        <v>1900</v>
      </c>
      <c r="L377" s="14">
        <v>0.21690000000000001</v>
      </c>
      <c r="M377" s="12"/>
      <c r="N377" s="14"/>
      <c r="O377" s="12">
        <v>1</v>
      </c>
      <c r="P377" s="12" t="s">
        <v>1901</v>
      </c>
      <c r="Q377" s="13" t="s">
        <v>1902</v>
      </c>
      <c r="R377" s="10"/>
      <c r="S377" s="10"/>
      <c r="T377" s="11"/>
    </row>
    <row r="378" spans="1:20" ht="70" x14ac:dyDescent="0.35">
      <c r="A378" s="12" t="s">
        <v>413</v>
      </c>
      <c r="B378" s="12" t="s">
        <v>170</v>
      </c>
      <c r="C378" s="13" t="s">
        <v>1903</v>
      </c>
      <c r="D378" s="13" t="s">
        <v>1904</v>
      </c>
      <c r="E378" s="12" t="s">
        <v>1905</v>
      </c>
      <c r="F378" s="12" t="s">
        <v>174</v>
      </c>
      <c r="G378" s="12"/>
      <c r="H378" s="12" t="s">
        <v>1248</v>
      </c>
      <c r="I378" s="14">
        <v>0.23880000000000001</v>
      </c>
      <c r="J378" s="12">
        <v>30.4</v>
      </c>
      <c r="K378" s="12" t="s">
        <v>1906</v>
      </c>
      <c r="L378" s="14">
        <v>0.21360000000000001</v>
      </c>
      <c r="M378" s="12" t="s">
        <v>1907</v>
      </c>
      <c r="N378" s="14">
        <v>0.21249999999999999</v>
      </c>
      <c r="O378" s="12">
        <v>1</v>
      </c>
      <c r="P378" s="12" t="s">
        <v>1908</v>
      </c>
      <c r="Q378" s="13" t="s">
        <v>1909</v>
      </c>
      <c r="R378" s="10"/>
      <c r="S378" s="10"/>
      <c r="T378" s="11"/>
    </row>
    <row r="379" spans="1:20" ht="70" x14ac:dyDescent="0.35">
      <c r="A379" s="12" t="s">
        <v>413</v>
      </c>
      <c r="B379" s="12" t="s">
        <v>170</v>
      </c>
      <c r="C379" s="13" t="s">
        <v>1433</v>
      </c>
      <c r="D379" s="13" t="s">
        <v>1910</v>
      </c>
      <c r="E379" s="12" t="s">
        <v>1433</v>
      </c>
      <c r="F379" s="12" t="s">
        <v>174</v>
      </c>
      <c r="G379" s="12"/>
      <c r="H379" s="12" t="s">
        <v>1911</v>
      </c>
      <c r="I379" s="14">
        <v>0.23780000000000001</v>
      </c>
      <c r="J379" s="12">
        <v>30.1</v>
      </c>
      <c r="K379" s="12"/>
      <c r="L379" s="14"/>
      <c r="M379" s="12"/>
      <c r="N379" s="14"/>
      <c r="O379" s="12">
        <v>1</v>
      </c>
      <c r="P379" s="12" t="s">
        <v>1912</v>
      </c>
      <c r="Q379" s="13" t="s">
        <v>1913</v>
      </c>
      <c r="R379" s="10"/>
      <c r="S379" s="10"/>
      <c r="T379" s="11"/>
    </row>
    <row r="380" spans="1:20" ht="98" x14ac:dyDescent="0.35">
      <c r="A380" s="12" t="s">
        <v>413</v>
      </c>
      <c r="B380" s="12" t="s">
        <v>170</v>
      </c>
      <c r="C380" s="13" t="s">
        <v>1914</v>
      </c>
      <c r="D380" s="13" t="s">
        <v>1915</v>
      </c>
      <c r="E380" s="12" t="s">
        <v>1916</v>
      </c>
      <c r="F380" s="12" t="s">
        <v>174</v>
      </c>
      <c r="G380" s="12"/>
      <c r="H380" s="12" t="s">
        <v>1450</v>
      </c>
      <c r="I380" s="14">
        <v>0.23780000000000001</v>
      </c>
      <c r="J380" s="12">
        <v>30.1</v>
      </c>
      <c r="K380" s="12" t="s">
        <v>1837</v>
      </c>
      <c r="L380" s="14">
        <v>0.2291</v>
      </c>
      <c r="M380" s="12" t="s">
        <v>1917</v>
      </c>
      <c r="N380" s="14">
        <v>0.22389999999999999</v>
      </c>
      <c r="O380" s="12">
        <v>1</v>
      </c>
      <c r="P380" s="12" t="s">
        <v>1918</v>
      </c>
      <c r="Q380" s="13" t="s">
        <v>1919</v>
      </c>
      <c r="R380" s="10"/>
      <c r="S380" s="10"/>
      <c r="T380" s="11"/>
    </row>
    <row r="381" spans="1:20" ht="98" x14ac:dyDescent="0.35">
      <c r="A381" s="12" t="s">
        <v>413</v>
      </c>
      <c r="B381" s="12" t="s">
        <v>170</v>
      </c>
      <c r="C381" s="13" t="s">
        <v>1920</v>
      </c>
      <c r="D381" s="13" t="s">
        <v>1534</v>
      </c>
      <c r="E381" s="12" t="s">
        <v>1921</v>
      </c>
      <c r="F381" s="12" t="s">
        <v>174</v>
      </c>
      <c r="G381" s="12"/>
      <c r="H381" s="12" t="s">
        <v>1922</v>
      </c>
      <c r="I381" s="14">
        <v>0.23749999999999999</v>
      </c>
      <c r="J381" s="12">
        <v>30</v>
      </c>
      <c r="K381" s="12" t="s">
        <v>1923</v>
      </c>
      <c r="L381" s="14">
        <v>0.20849999999999999</v>
      </c>
      <c r="M381" s="12"/>
      <c r="N381" s="14"/>
      <c r="O381" s="12">
        <v>1</v>
      </c>
      <c r="P381" s="12" t="s">
        <v>1538</v>
      </c>
      <c r="Q381" s="13" t="s">
        <v>1539</v>
      </c>
      <c r="R381" s="10"/>
      <c r="S381" s="10"/>
      <c r="T381" s="11"/>
    </row>
    <row r="382" spans="1:20" ht="70" x14ac:dyDescent="0.35">
      <c r="A382" s="12" t="s">
        <v>413</v>
      </c>
      <c r="B382" s="12" t="s">
        <v>170</v>
      </c>
      <c r="C382" s="13" t="s">
        <v>1924</v>
      </c>
      <c r="D382" s="13" t="s">
        <v>1925</v>
      </c>
      <c r="E382" s="12" t="s">
        <v>1280</v>
      </c>
      <c r="F382" s="12" t="s">
        <v>174</v>
      </c>
      <c r="G382" s="12"/>
      <c r="H382" s="12" t="s">
        <v>1926</v>
      </c>
      <c r="I382" s="14">
        <v>0.23749999999999999</v>
      </c>
      <c r="J382" s="12">
        <v>30</v>
      </c>
      <c r="K382" s="12" t="s">
        <v>1823</v>
      </c>
      <c r="L382" s="14">
        <v>0.23250000000000001</v>
      </c>
      <c r="M382" s="12" t="s">
        <v>273</v>
      </c>
      <c r="N382" s="14">
        <v>0.2311</v>
      </c>
      <c r="O382" s="12">
        <v>1</v>
      </c>
      <c r="P382" s="12" t="s">
        <v>1927</v>
      </c>
      <c r="Q382" s="13" t="s">
        <v>1928</v>
      </c>
      <c r="R382" s="10"/>
      <c r="S382" s="10"/>
      <c r="T382" s="11"/>
    </row>
    <row r="383" spans="1:20" ht="56" x14ac:dyDescent="0.35">
      <c r="A383" s="12" t="s">
        <v>413</v>
      </c>
      <c r="B383" s="12" t="s">
        <v>170</v>
      </c>
      <c r="C383" s="13" t="s">
        <v>1929</v>
      </c>
      <c r="D383" s="13" t="s">
        <v>1930</v>
      </c>
      <c r="E383" s="12" t="s">
        <v>1300</v>
      </c>
      <c r="F383" s="12" t="s">
        <v>174</v>
      </c>
      <c r="G383" s="12"/>
      <c r="H383" s="12" t="s">
        <v>1302</v>
      </c>
      <c r="I383" s="14">
        <v>0.23569999999999999</v>
      </c>
      <c r="J383" s="12">
        <v>29.5</v>
      </c>
      <c r="K383" s="12" t="s">
        <v>1301</v>
      </c>
      <c r="L383" s="14">
        <v>0.23280000000000001</v>
      </c>
      <c r="M383" s="12" t="s">
        <v>1889</v>
      </c>
      <c r="N383" s="14">
        <v>0.2087</v>
      </c>
      <c r="O383" s="12">
        <v>1</v>
      </c>
      <c r="P383" s="12" t="s">
        <v>1931</v>
      </c>
      <c r="Q383" s="13" t="s">
        <v>1932</v>
      </c>
      <c r="R383" s="10"/>
      <c r="S383" s="10"/>
      <c r="T383" s="11"/>
    </row>
    <row r="384" spans="1:20" ht="98" x14ac:dyDescent="0.35">
      <c r="A384" s="12" t="s">
        <v>413</v>
      </c>
      <c r="B384" s="12" t="s">
        <v>170</v>
      </c>
      <c r="C384" s="13" t="s">
        <v>1933</v>
      </c>
      <c r="D384" s="13" t="s">
        <v>1934</v>
      </c>
      <c r="E384" s="12" t="s">
        <v>1935</v>
      </c>
      <c r="F384" s="12" t="s">
        <v>174</v>
      </c>
      <c r="G384" s="12"/>
      <c r="H384" s="12" t="s">
        <v>219</v>
      </c>
      <c r="I384" s="14">
        <v>0.23580000000000001</v>
      </c>
      <c r="J384" s="12">
        <v>29.5</v>
      </c>
      <c r="K384" s="12" t="s">
        <v>299</v>
      </c>
      <c r="L384" s="14">
        <v>0.21529999999999999</v>
      </c>
      <c r="M384" s="12" t="s">
        <v>1789</v>
      </c>
      <c r="N384" s="14">
        <v>0.20499999999999999</v>
      </c>
      <c r="O384" s="12">
        <v>1</v>
      </c>
      <c r="P384" s="12" t="s">
        <v>1936</v>
      </c>
      <c r="Q384" s="13" t="s">
        <v>1937</v>
      </c>
      <c r="R384" s="10"/>
      <c r="S384" s="10"/>
      <c r="T384" s="11"/>
    </row>
    <row r="385" spans="1:20" ht="56" x14ac:dyDescent="0.35">
      <c r="A385" s="12" t="s">
        <v>413</v>
      </c>
      <c r="B385" s="12" t="s">
        <v>170</v>
      </c>
      <c r="C385" s="13" t="s">
        <v>1938</v>
      </c>
      <c r="D385" s="13"/>
      <c r="E385" s="12" t="s">
        <v>1939</v>
      </c>
      <c r="F385" s="12" t="s">
        <v>174</v>
      </c>
      <c r="G385" s="12"/>
      <c r="H385" s="12" t="s">
        <v>221</v>
      </c>
      <c r="I385" s="14">
        <v>0.23480000000000001</v>
      </c>
      <c r="J385" s="12">
        <v>29.3</v>
      </c>
      <c r="K385" s="12" t="s">
        <v>362</v>
      </c>
      <c r="L385" s="14">
        <v>0.22950000000000001</v>
      </c>
      <c r="M385" s="12" t="s">
        <v>1940</v>
      </c>
      <c r="N385" s="14">
        <v>0.2276</v>
      </c>
      <c r="O385" s="12">
        <v>1</v>
      </c>
      <c r="P385" s="12" t="s">
        <v>1941</v>
      </c>
      <c r="Q385" s="13" t="s">
        <v>1942</v>
      </c>
      <c r="R385" s="10"/>
      <c r="S385" s="10"/>
      <c r="T385" s="11"/>
    </row>
    <row r="386" spans="1:20" ht="28" x14ac:dyDescent="0.35">
      <c r="A386" s="12" t="s">
        <v>413</v>
      </c>
      <c r="B386" s="12" t="s">
        <v>170</v>
      </c>
      <c r="C386" s="13" t="s">
        <v>205</v>
      </c>
      <c r="D386" s="13" t="s">
        <v>1943</v>
      </c>
      <c r="E386" s="12" t="s">
        <v>205</v>
      </c>
      <c r="F386" s="12" t="s">
        <v>174</v>
      </c>
      <c r="G386" s="12"/>
      <c r="H386" s="12" t="s">
        <v>1944</v>
      </c>
      <c r="I386" s="14">
        <v>0.23499999999999999</v>
      </c>
      <c r="J386" s="12">
        <v>29.3</v>
      </c>
      <c r="K386" s="12" t="s">
        <v>1945</v>
      </c>
      <c r="L386" s="14">
        <v>0.23400000000000001</v>
      </c>
      <c r="M386" s="12" t="s">
        <v>1946</v>
      </c>
      <c r="N386" s="14">
        <v>0.22439999999999999</v>
      </c>
      <c r="O386" s="12">
        <v>2</v>
      </c>
      <c r="P386" s="12" t="s">
        <v>1947</v>
      </c>
      <c r="Q386" s="13" t="s">
        <v>1948</v>
      </c>
      <c r="R386" s="10"/>
      <c r="S386" s="10"/>
      <c r="T386" s="11"/>
    </row>
    <row r="387" spans="1:20" ht="70" x14ac:dyDescent="0.35">
      <c r="A387" s="12" t="s">
        <v>413</v>
      </c>
      <c r="B387" s="12" t="s">
        <v>170</v>
      </c>
      <c r="C387" s="13" t="s">
        <v>1949</v>
      </c>
      <c r="D387" s="13" t="s">
        <v>1950</v>
      </c>
      <c r="E387" s="12" t="s">
        <v>1814</v>
      </c>
      <c r="F387" s="12" t="s">
        <v>174</v>
      </c>
      <c r="G387" s="12"/>
      <c r="H387" s="12" t="s">
        <v>1416</v>
      </c>
      <c r="I387" s="14">
        <v>0.23469999999999999</v>
      </c>
      <c r="J387" s="12">
        <v>29.3</v>
      </c>
      <c r="K387" s="12" t="s">
        <v>1951</v>
      </c>
      <c r="L387" s="14">
        <v>0.20519999999999999</v>
      </c>
      <c r="M387" s="12"/>
      <c r="N387" s="14"/>
      <c r="O387" s="12">
        <v>1</v>
      </c>
      <c r="P387" s="12" t="s">
        <v>1952</v>
      </c>
      <c r="Q387" s="13" t="s">
        <v>1953</v>
      </c>
      <c r="R387" s="10"/>
      <c r="S387" s="10"/>
      <c r="T387" s="11"/>
    </row>
    <row r="388" spans="1:20" ht="84" x14ac:dyDescent="0.35">
      <c r="A388" s="12" t="s">
        <v>413</v>
      </c>
      <c r="B388" s="12" t="s">
        <v>170</v>
      </c>
      <c r="C388" s="13" t="s">
        <v>1954</v>
      </c>
      <c r="D388" s="13" t="s">
        <v>1955</v>
      </c>
      <c r="E388" s="12" t="s">
        <v>1956</v>
      </c>
      <c r="F388" s="12" t="s">
        <v>174</v>
      </c>
      <c r="G388" s="12"/>
      <c r="H388" s="12" t="s">
        <v>1414</v>
      </c>
      <c r="I388" s="14">
        <v>0.23369999999999999</v>
      </c>
      <c r="J388" s="12">
        <v>29</v>
      </c>
      <c r="K388" s="12" t="s">
        <v>1603</v>
      </c>
      <c r="L388" s="14">
        <v>0.20699999999999999</v>
      </c>
      <c r="M388" s="12" t="s">
        <v>1957</v>
      </c>
      <c r="N388" s="14">
        <v>0.20319999999999999</v>
      </c>
      <c r="O388" s="12">
        <v>1</v>
      </c>
      <c r="P388" s="12" t="s">
        <v>1958</v>
      </c>
      <c r="Q388" s="13" t="s">
        <v>1959</v>
      </c>
      <c r="R388" s="10"/>
      <c r="S388" s="10"/>
      <c r="T388" s="11"/>
    </row>
    <row r="389" spans="1:20" ht="70" x14ac:dyDescent="0.35">
      <c r="A389" s="12" t="s">
        <v>413</v>
      </c>
      <c r="B389" s="12" t="s">
        <v>170</v>
      </c>
      <c r="C389" s="13" t="s">
        <v>1960</v>
      </c>
      <c r="D389" s="13" t="s">
        <v>1961</v>
      </c>
      <c r="E389" s="12" t="s">
        <v>1962</v>
      </c>
      <c r="F389" s="12" t="s">
        <v>174</v>
      </c>
      <c r="G389" s="12"/>
      <c r="H389" s="12" t="s">
        <v>1963</v>
      </c>
      <c r="I389" s="14">
        <v>0.23350000000000001</v>
      </c>
      <c r="J389" s="12">
        <v>28.9</v>
      </c>
      <c r="K389" s="12" t="s">
        <v>1964</v>
      </c>
      <c r="L389" s="14">
        <v>0.2122</v>
      </c>
      <c r="M389" s="12"/>
      <c r="N389" s="14"/>
      <c r="O389" s="12">
        <v>1</v>
      </c>
      <c r="P389" s="12" t="s">
        <v>1965</v>
      </c>
      <c r="Q389" s="13" t="s">
        <v>1966</v>
      </c>
      <c r="R389" s="10"/>
      <c r="S389" s="10"/>
      <c r="T389" s="11"/>
    </row>
    <row r="390" spans="1:20" ht="70" x14ac:dyDescent="0.35">
      <c r="A390" s="12" t="s">
        <v>413</v>
      </c>
      <c r="B390" s="12" t="s">
        <v>170</v>
      </c>
      <c r="C390" s="13" t="s">
        <v>1967</v>
      </c>
      <c r="D390" s="13" t="s">
        <v>1968</v>
      </c>
      <c r="E390" s="12" t="s">
        <v>1969</v>
      </c>
      <c r="F390" s="12" t="s">
        <v>174</v>
      </c>
      <c r="G390" s="12"/>
      <c r="H390" s="12" t="s">
        <v>221</v>
      </c>
      <c r="I390" s="14">
        <v>0.23280000000000001</v>
      </c>
      <c r="J390" s="12">
        <v>28.8</v>
      </c>
      <c r="K390" s="12"/>
      <c r="L390" s="14"/>
      <c r="M390" s="12"/>
      <c r="N390" s="14"/>
      <c r="O390" s="12">
        <v>1</v>
      </c>
      <c r="P390" s="12" t="s">
        <v>1970</v>
      </c>
      <c r="Q390" s="13" t="s">
        <v>1971</v>
      </c>
      <c r="R390" s="10"/>
      <c r="S390" s="10"/>
      <c r="T390" s="11"/>
    </row>
    <row r="391" spans="1:20" ht="98" x14ac:dyDescent="0.35">
      <c r="A391" s="12" t="s">
        <v>413</v>
      </c>
      <c r="B391" s="12" t="s">
        <v>170</v>
      </c>
      <c r="C391" s="13" t="s">
        <v>1972</v>
      </c>
      <c r="D391" s="13" t="s">
        <v>1973</v>
      </c>
      <c r="E391" s="12" t="s">
        <v>1394</v>
      </c>
      <c r="F391" s="12" t="s">
        <v>174</v>
      </c>
      <c r="G391" s="12"/>
      <c r="H391" s="12" t="s">
        <v>1974</v>
      </c>
      <c r="I391" s="14">
        <v>0.23130000000000001</v>
      </c>
      <c r="J391" s="12">
        <v>28.4</v>
      </c>
      <c r="K391" s="12" t="s">
        <v>1975</v>
      </c>
      <c r="L391" s="14">
        <v>0.2031</v>
      </c>
      <c r="M391" s="12"/>
      <c r="N391" s="14"/>
      <c r="O391" s="12">
        <v>1</v>
      </c>
      <c r="P391" s="12" t="s">
        <v>1976</v>
      </c>
      <c r="Q391" s="13" t="s">
        <v>1977</v>
      </c>
      <c r="R391" s="10"/>
      <c r="S391" s="10"/>
      <c r="T391" s="11"/>
    </row>
    <row r="392" spans="1:20" ht="84" x14ac:dyDescent="0.35">
      <c r="A392" s="12" t="s">
        <v>413</v>
      </c>
      <c r="B392" s="12" t="s">
        <v>170</v>
      </c>
      <c r="C392" s="13" t="s">
        <v>1978</v>
      </c>
      <c r="D392" s="13" t="s">
        <v>1979</v>
      </c>
      <c r="E392" s="12" t="s">
        <v>184</v>
      </c>
      <c r="F392" s="12" t="s">
        <v>174</v>
      </c>
      <c r="G392" s="12"/>
      <c r="H392" s="12" t="s">
        <v>1573</v>
      </c>
      <c r="I392" s="14">
        <v>0.23069999999999999</v>
      </c>
      <c r="J392" s="12">
        <v>28.2</v>
      </c>
      <c r="K392" s="12" t="s">
        <v>1805</v>
      </c>
      <c r="L392" s="14">
        <v>0.21870000000000001</v>
      </c>
      <c r="M392" s="12" t="s">
        <v>1980</v>
      </c>
      <c r="N392" s="14">
        <v>0.217</v>
      </c>
      <c r="O392" s="12">
        <v>1</v>
      </c>
      <c r="P392" s="12" t="s">
        <v>1981</v>
      </c>
      <c r="Q392" s="13" t="s">
        <v>1982</v>
      </c>
      <c r="R392" s="10"/>
      <c r="S392" s="10"/>
      <c r="T392" s="11"/>
    </row>
    <row r="393" spans="1:20" ht="84" x14ac:dyDescent="0.35">
      <c r="A393" s="12" t="s">
        <v>413</v>
      </c>
      <c r="B393" s="12" t="s">
        <v>170</v>
      </c>
      <c r="C393" s="13" t="s">
        <v>1983</v>
      </c>
      <c r="D393" s="13" t="s">
        <v>1984</v>
      </c>
      <c r="E393" s="12" t="s">
        <v>1983</v>
      </c>
      <c r="F393" s="12" t="s">
        <v>174</v>
      </c>
      <c r="G393" s="12"/>
      <c r="H393" s="12" t="s">
        <v>561</v>
      </c>
      <c r="I393" s="14">
        <v>0.23069999999999999</v>
      </c>
      <c r="J393" s="12">
        <v>28.2</v>
      </c>
      <c r="K393" s="12"/>
      <c r="L393" s="14"/>
      <c r="M393" s="12"/>
      <c r="N393" s="14"/>
      <c r="O393" s="12">
        <v>1</v>
      </c>
      <c r="P393" s="12" t="s">
        <v>1985</v>
      </c>
      <c r="Q393" s="13" t="s">
        <v>1986</v>
      </c>
      <c r="R393" s="10"/>
      <c r="S393" s="10"/>
      <c r="T393" s="11"/>
    </row>
    <row r="394" spans="1:20" ht="84" x14ac:dyDescent="0.35">
      <c r="A394" s="12" t="s">
        <v>413</v>
      </c>
      <c r="B394" s="12" t="s">
        <v>170</v>
      </c>
      <c r="C394" s="13" t="s">
        <v>1987</v>
      </c>
      <c r="D394" s="13"/>
      <c r="E394" s="12" t="s">
        <v>1988</v>
      </c>
      <c r="F394" s="12" t="s">
        <v>174</v>
      </c>
      <c r="G394" s="12"/>
      <c r="H394" s="12" t="s">
        <v>1926</v>
      </c>
      <c r="I394" s="14">
        <v>0.23039999999999999</v>
      </c>
      <c r="J394" s="12">
        <v>28.1</v>
      </c>
      <c r="K394" s="12"/>
      <c r="L394" s="14"/>
      <c r="M394" s="12"/>
      <c r="N394" s="14"/>
      <c r="O394" s="12">
        <v>1</v>
      </c>
      <c r="P394" s="12" t="s">
        <v>1989</v>
      </c>
      <c r="Q394" s="13" t="s">
        <v>1990</v>
      </c>
      <c r="R394" s="10"/>
      <c r="S394" s="10"/>
      <c r="T394" s="11"/>
    </row>
    <row r="395" spans="1:20" ht="56" x14ac:dyDescent="0.35">
      <c r="A395" s="12" t="s">
        <v>413</v>
      </c>
      <c r="B395" s="12" t="s">
        <v>170</v>
      </c>
      <c r="C395" s="13" t="s">
        <v>1991</v>
      </c>
      <c r="D395" s="13" t="s">
        <v>372</v>
      </c>
      <c r="E395" s="12" t="s">
        <v>1992</v>
      </c>
      <c r="F395" s="12" t="s">
        <v>174</v>
      </c>
      <c r="G395" s="12"/>
      <c r="H395" s="12" t="s">
        <v>1993</v>
      </c>
      <c r="I395" s="14">
        <v>0.22969999999999999</v>
      </c>
      <c r="J395" s="12">
        <v>27.9</v>
      </c>
      <c r="K395" s="12"/>
      <c r="L395" s="14"/>
      <c r="M395" s="12"/>
      <c r="N395" s="14"/>
      <c r="O395" s="12">
        <v>2</v>
      </c>
      <c r="P395" s="12" t="s">
        <v>374</v>
      </c>
      <c r="Q395" s="13" t="s">
        <v>375</v>
      </c>
      <c r="R395" s="10"/>
      <c r="S395" s="10"/>
      <c r="T395" s="11"/>
    </row>
    <row r="396" spans="1:20" ht="56" x14ac:dyDescent="0.35">
      <c r="A396" s="12" t="s">
        <v>413</v>
      </c>
      <c r="B396" s="12" t="s">
        <v>170</v>
      </c>
      <c r="C396" s="13" t="s">
        <v>1994</v>
      </c>
      <c r="D396" s="13"/>
      <c r="E396" s="12" t="s">
        <v>232</v>
      </c>
      <c r="F396" s="12" t="s">
        <v>174</v>
      </c>
      <c r="G396" s="12"/>
      <c r="H396" s="12" t="s">
        <v>1402</v>
      </c>
      <c r="I396" s="14">
        <v>0.22919999999999999</v>
      </c>
      <c r="J396" s="12">
        <v>27.8</v>
      </c>
      <c r="K396" s="12"/>
      <c r="L396" s="14"/>
      <c r="M396" s="12"/>
      <c r="N396" s="14"/>
      <c r="O396" s="12">
        <v>1</v>
      </c>
      <c r="P396" s="12" t="s">
        <v>1995</v>
      </c>
      <c r="Q396" s="13" t="s">
        <v>1996</v>
      </c>
      <c r="R396" s="10"/>
      <c r="S396" s="10"/>
      <c r="T396" s="11"/>
    </row>
    <row r="397" spans="1:20" ht="56" x14ac:dyDescent="0.35">
      <c r="A397" s="12" t="s">
        <v>413</v>
      </c>
      <c r="B397" s="12" t="s">
        <v>170</v>
      </c>
      <c r="C397" s="13" t="s">
        <v>1997</v>
      </c>
      <c r="D397" s="13"/>
      <c r="E397" s="12" t="s">
        <v>232</v>
      </c>
      <c r="F397" s="12" t="s">
        <v>174</v>
      </c>
      <c r="G397" s="12"/>
      <c r="H397" s="12" t="s">
        <v>1402</v>
      </c>
      <c r="I397" s="14">
        <v>0.22939999999999999</v>
      </c>
      <c r="J397" s="12">
        <v>27.8</v>
      </c>
      <c r="K397" s="12" t="s">
        <v>1622</v>
      </c>
      <c r="L397" s="14">
        <v>0.21870000000000001</v>
      </c>
      <c r="M397" s="12"/>
      <c r="N397" s="14"/>
      <c r="O397" s="12">
        <v>1</v>
      </c>
      <c r="P397" s="12" t="s">
        <v>1998</v>
      </c>
      <c r="Q397" s="13" t="s">
        <v>1999</v>
      </c>
      <c r="R397" s="10"/>
      <c r="S397" s="10"/>
      <c r="T397" s="11"/>
    </row>
    <row r="398" spans="1:20" ht="56" x14ac:dyDescent="0.35">
      <c r="A398" s="12" t="s">
        <v>413</v>
      </c>
      <c r="B398" s="12" t="s">
        <v>170</v>
      </c>
      <c r="C398" s="13" t="s">
        <v>2000</v>
      </c>
      <c r="D398" s="13" t="s">
        <v>2001</v>
      </c>
      <c r="E398" s="12" t="s">
        <v>387</v>
      </c>
      <c r="F398" s="12" t="s">
        <v>174</v>
      </c>
      <c r="G398" s="12"/>
      <c r="H398" s="12" t="s">
        <v>2002</v>
      </c>
      <c r="I398" s="14">
        <v>0.2293</v>
      </c>
      <c r="J398" s="12">
        <v>27.8</v>
      </c>
      <c r="K398" s="12"/>
      <c r="L398" s="14"/>
      <c r="M398" s="12"/>
      <c r="N398" s="14"/>
      <c r="O398" s="12">
        <v>1</v>
      </c>
      <c r="P398" s="12" t="s">
        <v>2003</v>
      </c>
      <c r="Q398" s="13" t="s">
        <v>2004</v>
      </c>
      <c r="R398" s="10"/>
      <c r="S398" s="10"/>
      <c r="T398" s="11"/>
    </row>
    <row r="399" spans="1:20" ht="56" x14ac:dyDescent="0.35">
      <c r="A399" s="12" t="s">
        <v>413</v>
      </c>
      <c r="B399" s="12" t="s">
        <v>170</v>
      </c>
      <c r="C399" s="13" t="s">
        <v>2005</v>
      </c>
      <c r="D399" s="13" t="s">
        <v>2006</v>
      </c>
      <c r="E399" s="12" t="s">
        <v>352</v>
      </c>
      <c r="F399" s="12" t="s">
        <v>174</v>
      </c>
      <c r="G399" s="12"/>
      <c r="H399" s="12" t="s">
        <v>2007</v>
      </c>
      <c r="I399" s="14">
        <v>0.22689999999999999</v>
      </c>
      <c r="J399" s="12">
        <v>27.2</v>
      </c>
      <c r="K399" s="12" t="s">
        <v>355</v>
      </c>
      <c r="L399" s="14">
        <v>0.2215</v>
      </c>
      <c r="M399" s="12" t="s">
        <v>2008</v>
      </c>
      <c r="N399" s="14">
        <v>0.21690000000000001</v>
      </c>
      <c r="O399" s="12">
        <v>1</v>
      </c>
      <c r="P399" s="12" t="s">
        <v>2009</v>
      </c>
      <c r="Q399" s="13" t="s">
        <v>2010</v>
      </c>
      <c r="R399" s="10"/>
      <c r="S399" s="10"/>
      <c r="T399" s="11"/>
    </row>
    <row r="400" spans="1:20" ht="98" x14ac:dyDescent="0.35">
      <c r="A400" s="12" t="s">
        <v>413</v>
      </c>
      <c r="B400" s="12" t="s">
        <v>170</v>
      </c>
      <c r="C400" s="13" t="s">
        <v>2011</v>
      </c>
      <c r="D400" s="13" t="s">
        <v>225</v>
      </c>
      <c r="E400" s="12"/>
      <c r="F400" s="12" t="s">
        <v>174</v>
      </c>
      <c r="G400" s="12"/>
      <c r="H400" s="12" t="s">
        <v>2012</v>
      </c>
      <c r="I400" s="14">
        <v>0.2268</v>
      </c>
      <c r="J400" s="12">
        <v>27.2</v>
      </c>
      <c r="K400" s="12" t="s">
        <v>1666</v>
      </c>
      <c r="L400" s="14">
        <v>0.22120000000000001</v>
      </c>
      <c r="M400" s="12" t="s">
        <v>2013</v>
      </c>
      <c r="N400" s="14">
        <v>0.2016</v>
      </c>
      <c r="O400" s="12">
        <v>1</v>
      </c>
      <c r="P400" s="12" t="s">
        <v>229</v>
      </c>
      <c r="Q400" s="13" t="s">
        <v>230</v>
      </c>
      <c r="R400" s="10"/>
      <c r="S400" s="10"/>
      <c r="T400" s="11"/>
    </row>
    <row r="401" spans="1:20" ht="84" x14ac:dyDescent="0.35">
      <c r="A401" s="12" t="s">
        <v>413</v>
      </c>
      <c r="B401" s="12" t="s">
        <v>170</v>
      </c>
      <c r="C401" s="13" t="s">
        <v>2014</v>
      </c>
      <c r="D401" s="13" t="s">
        <v>2015</v>
      </c>
      <c r="E401" s="12" t="s">
        <v>1455</v>
      </c>
      <c r="F401" s="12" t="s">
        <v>174</v>
      </c>
      <c r="G401" s="12"/>
      <c r="H401" s="12" t="s">
        <v>2016</v>
      </c>
      <c r="I401" s="14">
        <v>0.22600000000000001</v>
      </c>
      <c r="J401" s="12">
        <v>26.9</v>
      </c>
      <c r="K401" s="12" t="s">
        <v>2017</v>
      </c>
      <c r="L401" s="14">
        <v>0.2208</v>
      </c>
      <c r="M401" s="12" t="s">
        <v>1309</v>
      </c>
      <c r="N401" s="14">
        <v>0.21390000000000001</v>
      </c>
      <c r="O401" s="12">
        <v>1</v>
      </c>
      <c r="P401" s="12" t="s">
        <v>2018</v>
      </c>
      <c r="Q401" s="13" t="s">
        <v>2019</v>
      </c>
      <c r="R401" s="10"/>
      <c r="S401" s="10"/>
      <c r="T401" s="11"/>
    </row>
    <row r="402" spans="1:20" ht="56" x14ac:dyDescent="0.35">
      <c r="A402" s="12" t="s">
        <v>413</v>
      </c>
      <c r="B402" s="12" t="s">
        <v>170</v>
      </c>
      <c r="C402" s="13" t="s">
        <v>2020</v>
      </c>
      <c r="D402" s="13"/>
      <c r="E402" s="12" t="s">
        <v>1829</v>
      </c>
      <c r="F402" s="12" t="s">
        <v>174</v>
      </c>
      <c r="G402" s="12"/>
      <c r="H402" s="12" t="s">
        <v>2021</v>
      </c>
      <c r="I402" s="14">
        <v>0.22509999999999999</v>
      </c>
      <c r="J402" s="12">
        <v>26.7</v>
      </c>
      <c r="K402" s="12"/>
      <c r="L402" s="14"/>
      <c r="M402" s="12"/>
      <c r="N402" s="14"/>
      <c r="O402" s="12">
        <v>1</v>
      </c>
      <c r="P402" s="12" t="s">
        <v>2022</v>
      </c>
      <c r="Q402" s="13" t="s">
        <v>2023</v>
      </c>
      <c r="R402" s="10"/>
      <c r="S402" s="10"/>
      <c r="T402" s="11"/>
    </row>
    <row r="403" spans="1:20" ht="84" x14ac:dyDescent="0.35">
      <c r="A403" s="12" t="s">
        <v>413</v>
      </c>
      <c r="B403" s="12" t="s">
        <v>170</v>
      </c>
      <c r="C403" s="13" t="s">
        <v>2024</v>
      </c>
      <c r="D403" s="13" t="s">
        <v>2025</v>
      </c>
      <c r="E403" s="12" t="s">
        <v>2026</v>
      </c>
      <c r="F403" s="12" t="s">
        <v>174</v>
      </c>
      <c r="G403" s="12"/>
      <c r="H403" s="12" t="s">
        <v>1445</v>
      </c>
      <c r="I403" s="14">
        <v>0.22520000000000001</v>
      </c>
      <c r="J403" s="12">
        <v>26.7</v>
      </c>
      <c r="K403" s="12"/>
      <c r="L403" s="14"/>
      <c r="M403" s="12"/>
      <c r="N403" s="14"/>
      <c r="O403" s="12">
        <v>1</v>
      </c>
      <c r="P403" s="12" t="s">
        <v>2027</v>
      </c>
      <c r="Q403" s="13" t="s">
        <v>2028</v>
      </c>
      <c r="R403" s="10"/>
      <c r="S403" s="10"/>
      <c r="T403" s="11"/>
    </row>
    <row r="404" spans="1:20" ht="56" x14ac:dyDescent="0.35">
      <c r="A404" s="12" t="s">
        <v>413</v>
      </c>
      <c r="B404" s="12" t="s">
        <v>170</v>
      </c>
      <c r="C404" s="13" t="s">
        <v>2029</v>
      </c>
      <c r="D404" s="13" t="s">
        <v>2030</v>
      </c>
      <c r="E404" s="12" t="s">
        <v>1308</v>
      </c>
      <c r="F404" s="12" t="s">
        <v>174</v>
      </c>
      <c r="G404" s="12"/>
      <c r="H404" s="12" t="s">
        <v>2031</v>
      </c>
      <c r="I404" s="14">
        <v>0.22489999999999999</v>
      </c>
      <c r="J404" s="12">
        <v>26.6</v>
      </c>
      <c r="K404" s="12"/>
      <c r="L404" s="14"/>
      <c r="M404" s="12"/>
      <c r="N404" s="14"/>
      <c r="O404" s="12">
        <v>1</v>
      </c>
      <c r="P404" s="12" t="s">
        <v>2032</v>
      </c>
      <c r="Q404" s="13" t="s">
        <v>2033</v>
      </c>
      <c r="R404" s="10"/>
      <c r="S404" s="10"/>
      <c r="T404" s="11"/>
    </row>
    <row r="405" spans="1:20" ht="98" x14ac:dyDescent="0.35">
      <c r="A405" s="12" t="s">
        <v>413</v>
      </c>
      <c r="B405" s="12" t="s">
        <v>170</v>
      </c>
      <c r="C405" s="13" t="s">
        <v>2034</v>
      </c>
      <c r="D405" s="13" t="s">
        <v>2035</v>
      </c>
      <c r="E405" s="12" t="s">
        <v>2036</v>
      </c>
      <c r="F405" s="12" t="s">
        <v>174</v>
      </c>
      <c r="G405" s="12"/>
      <c r="H405" s="12" t="s">
        <v>1951</v>
      </c>
      <c r="I405" s="14">
        <v>0.22409999999999999</v>
      </c>
      <c r="J405" s="12">
        <v>26.4</v>
      </c>
      <c r="K405" s="12" t="s">
        <v>2037</v>
      </c>
      <c r="L405" s="14">
        <v>0.21590000000000001</v>
      </c>
      <c r="M405" s="12"/>
      <c r="N405" s="14"/>
      <c r="O405" s="12">
        <v>1</v>
      </c>
      <c r="P405" s="12" t="s">
        <v>2038</v>
      </c>
      <c r="Q405" s="13" t="s">
        <v>2039</v>
      </c>
      <c r="R405" s="10"/>
      <c r="S405" s="10"/>
      <c r="T405" s="11"/>
    </row>
    <row r="406" spans="1:20" ht="84" x14ac:dyDescent="0.35">
      <c r="A406" s="12" t="s">
        <v>413</v>
      </c>
      <c r="B406" s="12" t="s">
        <v>170</v>
      </c>
      <c r="C406" s="13" t="s">
        <v>2040</v>
      </c>
      <c r="D406" s="13"/>
      <c r="E406" s="12" t="s">
        <v>2041</v>
      </c>
      <c r="F406" s="12" t="s">
        <v>174</v>
      </c>
      <c r="G406" s="12"/>
      <c r="H406" s="12" t="s">
        <v>1303</v>
      </c>
      <c r="I406" s="14">
        <v>0.22359999999999999</v>
      </c>
      <c r="J406" s="12">
        <v>26.3</v>
      </c>
      <c r="K406" s="12"/>
      <c r="L406" s="14"/>
      <c r="M406" s="12"/>
      <c r="N406" s="14"/>
      <c r="O406" s="12">
        <v>1</v>
      </c>
      <c r="P406" s="12" t="s">
        <v>2042</v>
      </c>
      <c r="Q406" s="13" t="s">
        <v>2043</v>
      </c>
      <c r="R406" s="10"/>
      <c r="S406" s="10"/>
      <c r="T406" s="11"/>
    </row>
    <row r="407" spans="1:20" ht="70" x14ac:dyDescent="0.35">
      <c r="A407" s="12" t="s">
        <v>413</v>
      </c>
      <c r="B407" s="12" t="s">
        <v>170</v>
      </c>
      <c r="C407" s="13" t="s">
        <v>2044</v>
      </c>
      <c r="D407" s="13"/>
      <c r="E407" s="12" t="s">
        <v>2045</v>
      </c>
      <c r="F407" s="12" t="s">
        <v>174</v>
      </c>
      <c r="G407" s="12"/>
      <c r="H407" s="12" t="s">
        <v>2046</v>
      </c>
      <c r="I407" s="14">
        <v>0.22359999999999999</v>
      </c>
      <c r="J407" s="12">
        <v>26.3</v>
      </c>
      <c r="K407" s="12"/>
      <c r="L407" s="14"/>
      <c r="M407" s="12"/>
      <c r="N407" s="14"/>
      <c r="O407" s="12">
        <v>1</v>
      </c>
      <c r="P407" s="12" t="s">
        <v>2047</v>
      </c>
      <c r="Q407" s="13" t="s">
        <v>2048</v>
      </c>
      <c r="R407" s="10"/>
      <c r="S407" s="10"/>
      <c r="T407" s="11"/>
    </row>
    <row r="408" spans="1:20" ht="84" x14ac:dyDescent="0.35">
      <c r="A408" s="12" t="s">
        <v>413</v>
      </c>
      <c r="B408" s="12" t="s">
        <v>170</v>
      </c>
      <c r="C408" s="13" t="s">
        <v>2049</v>
      </c>
      <c r="D408" s="13" t="s">
        <v>2050</v>
      </c>
      <c r="E408" s="12" t="s">
        <v>2051</v>
      </c>
      <c r="F408" s="12" t="s">
        <v>174</v>
      </c>
      <c r="G408" s="12"/>
      <c r="H408" s="12" t="s">
        <v>2052</v>
      </c>
      <c r="I408" s="14">
        <v>0.22239999999999999</v>
      </c>
      <c r="J408" s="12">
        <v>26</v>
      </c>
      <c r="K408" s="12"/>
      <c r="L408" s="14"/>
      <c r="M408" s="12"/>
      <c r="N408" s="14"/>
      <c r="O408" s="12">
        <v>2</v>
      </c>
      <c r="P408" s="12" t="s">
        <v>2053</v>
      </c>
      <c r="Q408" s="13" t="s">
        <v>2054</v>
      </c>
      <c r="R408" s="10"/>
      <c r="S408" s="10"/>
      <c r="T408" s="11"/>
    </row>
    <row r="409" spans="1:20" ht="84" x14ac:dyDescent="0.35">
      <c r="A409" s="12" t="s">
        <v>413</v>
      </c>
      <c r="B409" s="12" t="s">
        <v>170</v>
      </c>
      <c r="C409" s="13" t="s">
        <v>2055</v>
      </c>
      <c r="D409" s="13" t="s">
        <v>2056</v>
      </c>
      <c r="E409" s="12"/>
      <c r="F409" s="12" t="s">
        <v>174</v>
      </c>
      <c r="G409" s="12"/>
      <c r="H409" s="12" t="s">
        <v>2057</v>
      </c>
      <c r="I409" s="14">
        <v>0.2208</v>
      </c>
      <c r="J409" s="12">
        <v>25.6</v>
      </c>
      <c r="K409" s="12" t="s">
        <v>2058</v>
      </c>
      <c r="L409" s="14">
        <v>0.2064</v>
      </c>
      <c r="M409" s="12"/>
      <c r="N409" s="14"/>
      <c r="O409" s="12">
        <v>1</v>
      </c>
      <c r="P409" s="12" t="s">
        <v>2059</v>
      </c>
      <c r="Q409" s="13" t="s">
        <v>2060</v>
      </c>
      <c r="R409" s="10"/>
      <c r="S409" s="10"/>
      <c r="T409" s="11"/>
    </row>
    <row r="410" spans="1:20" ht="84" x14ac:dyDescent="0.35">
      <c r="A410" s="12" t="s">
        <v>413</v>
      </c>
      <c r="B410" s="12" t="s">
        <v>170</v>
      </c>
      <c r="C410" s="13" t="s">
        <v>2061</v>
      </c>
      <c r="D410" s="13" t="s">
        <v>2062</v>
      </c>
      <c r="E410" s="12" t="s">
        <v>1595</v>
      </c>
      <c r="F410" s="12" t="s">
        <v>174</v>
      </c>
      <c r="G410" s="12"/>
      <c r="H410" s="12" t="s">
        <v>2063</v>
      </c>
      <c r="I410" s="14">
        <v>0.221</v>
      </c>
      <c r="J410" s="12">
        <v>25.6</v>
      </c>
      <c r="K410" s="12" t="s">
        <v>2064</v>
      </c>
      <c r="L410" s="14">
        <v>0.2109</v>
      </c>
      <c r="M410" s="12" t="s">
        <v>2065</v>
      </c>
      <c r="N410" s="14">
        <v>0.2056</v>
      </c>
      <c r="O410" s="12">
        <v>1</v>
      </c>
      <c r="P410" s="12" t="s">
        <v>2066</v>
      </c>
      <c r="Q410" s="13" t="s">
        <v>2067</v>
      </c>
      <c r="R410" s="10"/>
      <c r="S410" s="10"/>
      <c r="T410" s="11"/>
    </row>
    <row r="411" spans="1:20" ht="84" x14ac:dyDescent="0.35">
      <c r="A411" s="12" t="s">
        <v>413</v>
      </c>
      <c r="B411" s="12" t="s">
        <v>170</v>
      </c>
      <c r="C411" s="13" t="s">
        <v>2068</v>
      </c>
      <c r="D411" s="13" t="s">
        <v>2069</v>
      </c>
      <c r="E411" s="12" t="s">
        <v>2068</v>
      </c>
      <c r="F411" s="12" t="s">
        <v>174</v>
      </c>
      <c r="G411" s="12"/>
      <c r="H411" s="12" t="s">
        <v>2070</v>
      </c>
      <c r="I411" s="14">
        <v>0.22009999999999999</v>
      </c>
      <c r="J411" s="12">
        <v>25.4</v>
      </c>
      <c r="K411" s="12"/>
      <c r="L411" s="14"/>
      <c r="M411" s="12"/>
      <c r="N411" s="14"/>
      <c r="O411" s="12">
        <v>3</v>
      </c>
      <c r="P411" s="12" t="s">
        <v>2071</v>
      </c>
      <c r="Q411" s="13" t="s">
        <v>2072</v>
      </c>
      <c r="R411" s="10"/>
      <c r="S411" s="10"/>
      <c r="T411" s="11"/>
    </row>
    <row r="412" spans="1:20" ht="84" x14ac:dyDescent="0.35">
      <c r="A412" s="12" t="s">
        <v>413</v>
      </c>
      <c r="B412" s="12" t="s">
        <v>170</v>
      </c>
      <c r="C412" s="13" t="s">
        <v>2073</v>
      </c>
      <c r="D412" s="13" t="s">
        <v>2074</v>
      </c>
      <c r="E412" s="12" t="s">
        <v>1775</v>
      </c>
      <c r="F412" s="12" t="s">
        <v>174</v>
      </c>
      <c r="G412" s="12"/>
      <c r="H412" s="12" t="s">
        <v>1778</v>
      </c>
      <c r="I412" s="14">
        <v>0.22020000000000001</v>
      </c>
      <c r="J412" s="12">
        <v>25.4</v>
      </c>
      <c r="K412" s="12" t="s">
        <v>2075</v>
      </c>
      <c r="L412" s="14">
        <v>0.21190000000000001</v>
      </c>
      <c r="M412" s="12"/>
      <c r="N412" s="14"/>
      <c r="O412" s="12">
        <v>2</v>
      </c>
      <c r="P412" s="12" t="s">
        <v>2076</v>
      </c>
      <c r="Q412" s="13" t="s">
        <v>2077</v>
      </c>
      <c r="R412" s="10"/>
      <c r="S412" s="10"/>
      <c r="T412" s="11"/>
    </row>
    <row r="413" spans="1:20" ht="56" x14ac:dyDescent="0.35">
      <c r="A413" s="12" t="s">
        <v>413</v>
      </c>
      <c r="B413" s="12" t="s">
        <v>170</v>
      </c>
      <c r="C413" s="13" t="s">
        <v>2078</v>
      </c>
      <c r="D413" s="13" t="s">
        <v>2079</v>
      </c>
      <c r="E413" s="12" t="s">
        <v>232</v>
      </c>
      <c r="F413" s="12" t="s">
        <v>174</v>
      </c>
      <c r="G413" s="12"/>
      <c r="H413" s="12" t="s">
        <v>1331</v>
      </c>
      <c r="I413" s="14">
        <v>0.2198</v>
      </c>
      <c r="J413" s="12">
        <v>25.3</v>
      </c>
      <c r="K413" s="12" t="s">
        <v>2080</v>
      </c>
      <c r="L413" s="14">
        <v>0.2049</v>
      </c>
      <c r="M413" s="12"/>
      <c r="N413" s="14"/>
      <c r="O413" s="12">
        <v>1</v>
      </c>
      <c r="P413" s="12" t="s">
        <v>2081</v>
      </c>
      <c r="Q413" s="13" t="s">
        <v>2082</v>
      </c>
      <c r="R413" s="10"/>
      <c r="S413" s="10"/>
      <c r="T413" s="11"/>
    </row>
    <row r="414" spans="1:20" ht="112" x14ac:dyDescent="0.35">
      <c r="A414" s="12" t="s">
        <v>413</v>
      </c>
      <c r="B414" s="12" t="s">
        <v>170</v>
      </c>
      <c r="C414" s="13" t="s">
        <v>2083</v>
      </c>
      <c r="D414" s="13" t="s">
        <v>2084</v>
      </c>
      <c r="E414" s="12" t="s">
        <v>2085</v>
      </c>
      <c r="F414" s="12" t="s">
        <v>174</v>
      </c>
      <c r="G414" s="12"/>
      <c r="H414" s="12" t="s">
        <v>2086</v>
      </c>
      <c r="I414" s="14">
        <v>0.21929999999999999</v>
      </c>
      <c r="J414" s="12">
        <v>25.2</v>
      </c>
      <c r="K414" s="12" t="s">
        <v>1311</v>
      </c>
      <c r="L414" s="14">
        <v>0.20810000000000001</v>
      </c>
      <c r="M414" s="12" t="s">
        <v>2087</v>
      </c>
      <c r="N414" s="14">
        <v>0.20499999999999999</v>
      </c>
      <c r="O414" s="12">
        <v>1</v>
      </c>
      <c r="P414" s="12" t="s">
        <v>2088</v>
      </c>
      <c r="Q414" s="13" t="s">
        <v>2089</v>
      </c>
      <c r="R414" s="10"/>
      <c r="S414" s="10"/>
      <c r="T414" s="11"/>
    </row>
    <row r="415" spans="1:20" ht="98" x14ac:dyDescent="0.35">
      <c r="A415" s="12" t="s">
        <v>413</v>
      </c>
      <c r="B415" s="12" t="s">
        <v>170</v>
      </c>
      <c r="C415" s="13" t="s">
        <v>2090</v>
      </c>
      <c r="D415" s="13" t="s">
        <v>2091</v>
      </c>
      <c r="E415" s="12" t="s">
        <v>2092</v>
      </c>
      <c r="F415" s="12" t="s">
        <v>174</v>
      </c>
      <c r="G415" s="12"/>
      <c r="H415" s="12" t="s">
        <v>2093</v>
      </c>
      <c r="I415" s="14">
        <v>0.21879999999999999</v>
      </c>
      <c r="J415" s="12">
        <v>25</v>
      </c>
      <c r="K415" s="12" t="s">
        <v>2094</v>
      </c>
      <c r="L415" s="14">
        <v>0.2029</v>
      </c>
      <c r="M415" s="12"/>
      <c r="N415" s="14"/>
      <c r="O415" s="12">
        <v>1</v>
      </c>
      <c r="P415" s="12" t="s">
        <v>2095</v>
      </c>
      <c r="Q415" s="13" t="s">
        <v>2096</v>
      </c>
      <c r="R415" s="10"/>
      <c r="S415" s="10"/>
      <c r="T415" s="11"/>
    </row>
    <row r="416" spans="1:20" ht="84" x14ac:dyDescent="0.35">
      <c r="A416" s="12" t="s">
        <v>413</v>
      </c>
      <c r="B416" s="12" t="s">
        <v>170</v>
      </c>
      <c r="C416" s="13" t="s">
        <v>2097</v>
      </c>
      <c r="D416" s="13" t="s">
        <v>2098</v>
      </c>
      <c r="E416" s="12" t="s">
        <v>232</v>
      </c>
      <c r="F416" s="12" t="s">
        <v>174</v>
      </c>
      <c r="G416" s="12"/>
      <c r="H416" s="12" t="s">
        <v>2099</v>
      </c>
      <c r="I416" s="14">
        <v>0.21840000000000001</v>
      </c>
      <c r="J416" s="12">
        <v>24.9</v>
      </c>
      <c r="K416" s="12"/>
      <c r="L416" s="14"/>
      <c r="M416" s="12"/>
      <c r="N416" s="14"/>
      <c r="O416" s="12">
        <v>2</v>
      </c>
      <c r="P416" s="12" t="s">
        <v>2100</v>
      </c>
      <c r="Q416" s="13" t="s">
        <v>2101</v>
      </c>
      <c r="R416" s="10"/>
      <c r="S416" s="10"/>
      <c r="T416" s="11"/>
    </row>
    <row r="417" spans="1:20" ht="98" x14ac:dyDescent="0.35">
      <c r="A417" s="12" t="s">
        <v>413</v>
      </c>
      <c r="B417" s="12" t="s">
        <v>170</v>
      </c>
      <c r="C417" s="13" t="s">
        <v>2102</v>
      </c>
      <c r="D417" s="13" t="s">
        <v>2103</v>
      </c>
      <c r="E417" s="12" t="s">
        <v>2104</v>
      </c>
      <c r="F417" s="12" t="s">
        <v>174</v>
      </c>
      <c r="G417" s="12"/>
      <c r="H417" s="12" t="s">
        <v>1302</v>
      </c>
      <c r="I417" s="14">
        <v>0.218</v>
      </c>
      <c r="J417" s="12">
        <v>24.8</v>
      </c>
      <c r="K417" s="12"/>
      <c r="L417" s="14"/>
      <c r="M417" s="12"/>
      <c r="N417" s="14"/>
      <c r="O417" s="12">
        <v>1</v>
      </c>
      <c r="P417" s="12" t="s">
        <v>2105</v>
      </c>
      <c r="Q417" s="13" t="s">
        <v>2106</v>
      </c>
      <c r="R417" s="10"/>
      <c r="S417" s="10"/>
      <c r="T417" s="11"/>
    </row>
    <row r="418" spans="1:20" ht="56" x14ac:dyDescent="0.35">
      <c r="A418" s="12" t="s">
        <v>413</v>
      </c>
      <c r="B418" s="12" t="s">
        <v>170</v>
      </c>
      <c r="C418" s="13" t="s">
        <v>2107</v>
      </c>
      <c r="D418" s="13"/>
      <c r="E418" s="12" t="s">
        <v>1905</v>
      </c>
      <c r="F418" s="12" t="s">
        <v>174</v>
      </c>
      <c r="G418" s="12"/>
      <c r="H418" s="12" t="s">
        <v>1691</v>
      </c>
      <c r="I418" s="14">
        <v>0.2177</v>
      </c>
      <c r="J418" s="12">
        <v>24.7</v>
      </c>
      <c r="K418" s="12"/>
      <c r="L418" s="14"/>
      <c r="M418" s="12"/>
      <c r="N418" s="14"/>
      <c r="O418" s="12">
        <v>4</v>
      </c>
      <c r="P418" s="12" t="s">
        <v>2108</v>
      </c>
      <c r="Q418" s="13" t="s">
        <v>2109</v>
      </c>
      <c r="R418" s="10"/>
      <c r="S418" s="10"/>
      <c r="T418" s="11"/>
    </row>
    <row r="419" spans="1:20" ht="112" x14ac:dyDescent="0.35">
      <c r="A419" s="12" t="s">
        <v>413</v>
      </c>
      <c r="B419" s="12" t="s">
        <v>170</v>
      </c>
      <c r="C419" s="13" t="s">
        <v>2110</v>
      </c>
      <c r="D419" s="13" t="s">
        <v>2111</v>
      </c>
      <c r="E419" s="12" t="s">
        <v>2112</v>
      </c>
      <c r="F419" s="12" t="s">
        <v>174</v>
      </c>
      <c r="G419" s="12"/>
      <c r="H419" s="12" t="s">
        <v>2113</v>
      </c>
      <c r="I419" s="14">
        <v>0.21709999999999999</v>
      </c>
      <c r="J419" s="12">
        <v>24.6</v>
      </c>
      <c r="K419" s="12" t="s">
        <v>2114</v>
      </c>
      <c r="L419" s="14">
        <v>0.21479999999999999</v>
      </c>
      <c r="M419" s="12"/>
      <c r="N419" s="14"/>
      <c r="O419" s="12">
        <v>2</v>
      </c>
      <c r="P419" s="12" t="s">
        <v>2115</v>
      </c>
      <c r="Q419" s="13" t="s">
        <v>2116</v>
      </c>
      <c r="R419" s="10"/>
      <c r="S419" s="10"/>
      <c r="T419" s="11"/>
    </row>
    <row r="420" spans="1:20" ht="84" x14ac:dyDescent="0.35">
      <c r="A420" s="12" t="s">
        <v>413</v>
      </c>
      <c r="B420" s="12" t="s">
        <v>170</v>
      </c>
      <c r="C420" s="13" t="s">
        <v>2117</v>
      </c>
      <c r="D420" s="13" t="s">
        <v>2118</v>
      </c>
      <c r="E420" s="12" t="s">
        <v>2119</v>
      </c>
      <c r="F420" s="12" t="s">
        <v>174</v>
      </c>
      <c r="G420" s="12"/>
      <c r="H420" s="12" t="s">
        <v>2120</v>
      </c>
      <c r="I420" s="14">
        <v>0.21740000000000001</v>
      </c>
      <c r="J420" s="12">
        <v>24.6</v>
      </c>
      <c r="K420" s="12"/>
      <c r="L420" s="14"/>
      <c r="M420" s="12"/>
      <c r="N420" s="14"/>
      <c r="O420" s="12">
        <v>1</v>
      </c>
      <c r="P420" s="12" t="s">
        <v>2121</v>
      </c>
      <c r="Q420" s="13" t="s">
        <v>2122</v>
      </c>
      <c r="R420" s="10"/>
      <c r="S420" s="10"/>
      <c r="T420" s="11"/>
    </row>
    <row r="421" spans="1:20" ht="42" x14ac:dyDescent="0.35">
      <c r="A421" s="12" t="s">
        <v>413</v>
      </c>
      <c r="B421" s="12" t="s">
        <v>170</v>
      </c>
      <c r="C421" s="13" t="s">
        <v>2123</v>
      </c>
      <c r="D421" s="13"/>
      <c r="E421" s="12" t="s">
        <v>2119</v>
      </c>
      <c r="F421" s="12" t="s">
        <v>174</v>
      </c>
      <c r="G421" s="12"/>
      <c r="H421" s="12" t="s">
        <v>2124</v>
      </c>
      <c r="I421" s="14">
        <v>0.21729999999999999</v>
      </c>
      <c r="J421" s="12">
        <v>24.6</v>
      </c>
      <c r="K421" s="12" t="s">
        <v>2125</v>
      </c>
      <c r="L421" s="14">
        <v>0.2112</v>
      </c>
      <c r="M421" s="12"/>
      <c r="N421" s="14"/>
      <c r="O421" s="12">
        <v>1</v>
      </c>
      <c r="P421" s="12" t="s">
        <v>2126</v>
      </c>
      <c r="Q421" s="13" t="s">
        <v>2127</v>
      </c>
      <c r="R421" s="10"/>
      <c r="S421" s="10"/>
      <c r="T421" s="11"/>
    </row>
    <row r="422" spans="1:20" ht="98" x14ac:dyDescent="0.35">
      <c r="A422" s="12" t="s">
        <v>413</v>
      </c>
      <c r="B422" s="12" t="s">
        <v>170</v>
      </c>
      <c r="C422" s="13" t="s">
        <v>2128</v>
      </c>
      <c r="D422" s="13" t="s">
        <v>2129</v>
      </c>
      <c r="E422" s="12" t="s">
        <v>2130</v>
      </c>
      <c r="F422" s="12" t="s">
        <v>174</v>
      </c>
      <c r="G422" s="12"/>
      <c r="H422" s="12" t="s">
        <v>2131</v>
      </c>
      <c r="I422" s="14">
        <v>0.21679999999999999</v>
      </c>
      <c r="J422" s="12">
        <v>24.5</v>
      </c>
      <c r="K422" s="12"/>
      <c r="L422" s="14"/>
      <c r="M422" s="12"/>
      <c r="N422" s="14"/>
      <c r="O422" s="12">
        <v>1</v>
      </c>
      <c r="P422" s="12" t="s">
        <v>2132</v>
      </c>
      <c r="Q422" s="13" t="s">
        <v>2133</v>
      </c>
      <c r="R422" s="10"/>
      <c r="S422" s="10"/>
      <c r="T422" s="11"/>
    </row>
    <row r="423" spans="1:20" ht="84" x14ac:dyDescent="0.35">
      <c r="A423" s="12" t="s">
        <v>413</v>
      </c>
      <c r="B423" s="12" t="s">
        <v>170</v>
      </c>
      <c r="C423" s="13" t="s">
        <v>2134</v>
      </c>
      <c r="D423" s="13" t="s">
        <v>2135</v>
      </c>
      <c r="E423" s="12" t="s">
        <v>1601</v>
      </c>
      <c r="F423" s="12" t="s">
        <v>174</v>
      </c>
      <c r="G423" s="12"/>
      <c r="H423" s="12" t="s">
        <v>2136</v>
      </c>
      <c r="I423" s="14">
        <v>0.21659999999999999</v>
      </c>
      <c r="J423" s="12">
        <v>24.4</v>
      </c>
      <c r="K423" s="12" t="s">
        <v>2137</v>
      </c>
      <c r="L423" s="14">
        <v>0.216</v>
      </c>
      <c r="M423" s="12" t="s">
        <v>470</v>
      </c>
      <c r="N423" s="14">
        <v>0.21579999999999999</v>
      </c>
      <c r="O423" s="12">
        <v>1</v>
      </c>
      <c r="P423" s="12" t="s">
        <v>2138</v>
      </c>
      <c r="Q423" s="13" t="s">
        <v>2139</v>
      </c>
      <c r="R423" s="10"/>
      <c r="S423" s="10"/>
      <c r="T423" s="11"/>
    </row>
    <row r="424" spans="1:20" ht="70" x14ac:dyDescent="0.35">
      <c r="A424" s="12" t="s">
        <v>413</v>
      </c>
      <c r="B424" s="12" t="s">
        <v>170</v>
      </c>
      <c r="C424" s="13" t="s">
        <v>2140</v>
      </c>
      <c r="D424" s="13"/>
      <c r="E424" s="12" t="s">
        <v>2141</v>
      </c>
      <c r="F424" s="12" t="s">
        <v>174</v>
      </c>
      <c r="G424" s="12"/>
      <c r="H424" s="12" t="s">
        <v>95</v>
      </c>
      <c r="I424" s="14">
        <v>0.216</v>
      </c>
      <c r="J424" s="12">
        <v>24.3</v>
      </c>
      <c r="K424" s="12"/>
      <c r="L424" s="14"/>
      <c r="M424" s="12"/>
      <c r="N424" s="14"/>
      <c r="O424" s="12">
        <v>3</v>
      </c>
      <c r="P424" s="12" t="s">
        <v>2142</v>
      </c>
      <c r="Q424" s="13" t="s">
        <v>2143</v>
      </c>
      <c r="R424" s="10"/>
      <c r="S424" s="10"/>
      <c r="T424" s="11"/>
    </row>
    <row r="425" spans="1:20" ht="98" x14ac:dyDescent="0.35">
      <c r="A425" s="12" t="s">
        <v>413</v>
      </c>
      <c r="B425" s="12" t="s">
        <v>170</v>
      </c>
      <c r="C425" s="13" t="s">
        <v>2144</v>
      </c>
      <c r="D425" s="13" t="s">
        <v>2145</v>
      </c>
      <c r="E425" s="12" t="s">
        <v>1475</v>
      </c>
      <c r="F425" s="12" t="s">
        <v>174</v>
      </c>
      <c r="G425" s="12"/>
      <c r="H425" s="12" t="s">
        <v>219</v>
      </c>
      <c r="I425" s="14">
        <v>0.21609999999999999</v>
      </c>
      <c r="J425" s="12">
        <v>24.3</v>
      </c>
      <c r="K425" s="12"/>
      <c r="L425" s="14"/>
      <c r="M425" s="12"/>
      <c r="N425" s="14"/>
      <c r="O425" s="12">
        <v>1</v>
      </c>
      <c r="P425" s="12" t="s">
        <v>2146</v>
      </c>
      <c r="Q425" s="13" t="s">
        <v>2147</v>
      </c>
      <c r="R425" s="10"/>
      <c r="S425" s="10"/>
      <c r="T425" s="11"/>
    </row>
    <row r="426" spans="1:20" ht="56" x14ac:dyDescent="0.35">
      <c r="A426" s="12" t="s">
        <v>413</v>
      </c>
      <c r="B426" s="12" t="s">
        <v>170</v>
      </c>
      <c r="C426" s="13" t="s">
        <v>2148</v>
      </c>
      <c r="D426" s="13" t="s">
        <v>2149</v>
      </c>
      <c r="E426" s="12" t="s">
        <v>1394</v>
      </c>
      <c r="F426" s="12" t="s">
        <v>174</v>
      </c>
      <c r="G426" s="12"/>
      <c r="H426" s="12" t="s">
        <v>2150</v>
      </c>
      <c r="I426" s="14">
        <v>0.21590000000000001</v>
      </c>
      <c r="J426" s="12">
        <v>24.2</v>
      </c>
      <c r="K426" s="12" t="s">
        <v>1397</v>
      </c>
      <c r="L426" s="14">
        <v>0.20269999999999999</v>
      </c>
      <c r="M426" s="12" t="s">
        <v>1402</v>
      </c>
      <c r="N426" s="14">
        <v>0.20050000000000001</v>
      </c>
      <c r="O426" s="12">
        <v>1</v>
      </c>
      <c r="P426" s="12" t="s">
        <v>2151</v>
      </c>
      <c r="Q426" s="13" t="s">
        <v>2152</v>
      </c>
      <c r="R426" s="10"/>
      <c r="S426" s="10"/>
      <c r="T426" s="11"/>
    </row>
    <row r="427" spans="1:20" ht="84" x14ac:dyDescent="0.35">
      <c r="A427" s="12" t="s">
        <v>413</v>
      </c>
      <c r="B427" s="12" t="s">
        <v>170</v>
      </c>
      <c r="C427" s="13" t="s">
        <v>2153</v>
      </c>
      <c r="D427" s="13" t="s">
        <v>2154</v>
      </c>
      <c r="E427" s="12" t="s">
        <v>1255</v>
      </c>
      <c r="F427" s="12" t="s">
        <v>174</v>
      </c>
      <c r="G427" s="12"/>
      <c r="H427" s="12" t="s">
        <v>2155</v>
      </c>
      <c r="I427" s="14">
        <v>0.2157</v>
      </c>
      <c r="J427" s="12">
        <v>24.2</v>
      </c>
      <c r="K427" s="12" t="s">
        <v>2156</v>
      </c>
      <c r="L427" s="14">
        <v>0.21129999999999999</v>
      </c>
      <c r="M427" s="12"/>
      <c r="N427" s="14"/>
      <c r="O427" s="12">
        <v>1</v>
      </c>
      <c r="P427" s="12" t="s">
        <v>2157</v>
      </c>
      <c r="Q427" s="13" t="s">
        <v>2158</v>
      </c>
      <c r="R427" s="10"/>
      <c r="S427" s="10"/>
      <c r="T427" s="11"/>
    </row>
    <row r="428" spans="1:20" ht="70" x14ac:dyDescent="0.35">
      <c r="A428" s="12" t="s">
        <v>413</v>
      </c>
      <c r="B428" s="12" t="s">
        <v>170</v>
      </c>
      <c r="C428" s="13" t="s">
        <v>2159</v>
      </c>
      <c r="D428" s="13" t="s">
        <v>2160</v>
      </c>
      <c r="E428" s="12" t="s">
        <v>2161</v>
      </c>
      <c r="F428" s="12" t="s">
        <v>174</v>
      </c>
      <c r="G428" s="12"/>
      <c r="H428" s="12" t="s">
        <v>2162</v>
      </c>
      <c r="I428" s="14">
        <v>0.2145</v>
      </c>
      <c r="J428" s="12">
        <v>23.9</v>
      </c>
      <c r="K428" s="12"/>
      <c r="L428" s="14"/>
      <c r="M428" s="12"/>
      <c r="N428" s="14"/>
      <c r="O428" s="12">
        <v>1</v>
      </c>
      <c r="P428" s="12" t="s">
        <v>2163</v>
      </c>
      <c r="Q428" s="13" t="s">
        <v>2164</v>
      </c>
      <c r="R428" s="10"/>
      <c r="S428" s="10"/>
      <c r="T428" s="11"/>
    </row>
    <row r="429" spans="1:20" ht="84" x14ac:dyDescent="0.35">
      <c r="A429" s="12" t="s">
        <v>413</v>
      </c>
      <c r="B429" s="12" t="s">
        <v>170</v>
      </c>
      <c r="C429" s="13" t="s">
        <v>2165</v>
      </c>
      <c r="D429" s="13" t="s">
        <v>2166</v>
      </c>
      <c r="E429" s="12" t="s">
        <v>2167</v>
      </c>
      <c r="F429" s="12" t="s">
        <v>174</v>
      </c>
      <c r="G429" s="12"/>
      <c r="H429" s="12" t="s">
        <v>2168</v>
      </c>
      <c r="I429" s="14">
        <v>0.21329999999999999</v>
      </c>
      <c r="J429" s="12">
        <v>23.6</v>
      </c>
      <c r="K429" s="12"/>
      <c r="L429" s="14"/>
      <c r="M429" s="12"/>
      <c r="N429" s="14"/>
      <c r="O429" s="12">
        <v>1</v>
      </c>
      <c r="P429" s="12" t="s">
        <v>2169</v>
      </c>
      <c r="Q429" s="13" t="s">
        <v>2170</v>
      </c>
      <c r="R429" s="10"/>
      <c r="S429" s="10"/>
      <c r="T429" s="11"/>
    </row>
    <row r="430" spans="1:20" ht="56" x14ac:dyDescent="0.35">
      <c r="A430" s="12" t="s">
        <v>413</v>
      </c>
      <c r="B430" s="12" t="s">
        <v>170</v>
      </c>
      <c r="C430" s="13" t="s">
        <v>2171</v>
      </c>
      <c r="D430" s="13" t="s">
        <v>2172</v>
      </c>
      <c r="E430" s="12" t="s">
        <v>2173</v>
      </c>
      <c r="F430" s="12" t="s">
        <v>174</v>
      </c>
      <c r="G430" s="12"/>
      <c r="H430" s="12" t="s">
        <v>221</v>
      </c>
      <c r="I430" s="14">
        <v>0.21310000000000001</v>
      </c>
      <c r="J430" s="12">
        <v>23.5</v>
      </c>
      <c r="K430" s="12"/>
      <c r="L430" s="14"/>
      <c r="M430" s="12"/>
      <c r="N430" s="14"/>
      <c r="O430" s="12">
        <v>1</v>
      </c>
      <c r="P430" s="12" t="s">
        <v>2174</v>
      </c>
      <c r="Q430" s="13" t="s">
        <v>2175</v>
      </c>
      <c r="R430" s="10"/>
      <c r="S430" s="10"/>
      <c r="T430" s="11"/>
    </row>
    <row r="431" spans="1:20" ht="56" x14ac:dyDescent="0.35">
      <c r="A431" s="12" t="s">
        <v>413</v>
      </c>
      <c r="B431" s="12" t="s">
        <v>170</v>
      </c>
      <c r="C431" s="13" t="s">
        <v>2176</v>
      </c>
      <c r="D431" s="13" t="s">
        <v>2177</v>
      </c>
      <c r="E431" s="12" t="s">
        <v>2178</v>
      </c>
      <c r="F431" s="12" t="s">
        <v>174</v>
      </c>
      <c r="G431" s="12"/>
      <c r="H431" s="12" t="s">
        <v>2179</v>
      </c>
      <c r="I431" s="14">
        <v>0.2132</v>
      </c>
      <c r="J431" s="12">
        <v>23.5</v>
      </c>
      <c r="K431" s="12"/>
      <c r="L431" s="14"/>
      <c r="M431" s="12"/>
      <c r="N431" s="14"/>
      <c r="O431" s="12">
        <v>1</v>
      </c>
      <c r="P431" s="12" t="s">
        <v>2180</v>
      </c>
      <c r="Q431" s="13" t="s">
        <v>2181</v>
      </c>
      <c r="R431" s="10"/>
      <c r="S431" s="10"/>
      <c r="T431" s="11"/>
    </row>
    <row r="432" spans="1:20" ht="42" x14ac:dyDescent="0.35">
      <c r="A432" s="12" t="s">
        <v>413</v>
      </c>
      <c r="B432" s="12" t="s">
        <v>170</v>
      </c>
      <c r="C432" s="13" t="s">
        <v>2182</v>
      </c>
      <c r="D432" s="13" t="s">
        <v>2183</v>
      </c>
      <c r="E432" s="12" t="s">
        <v>2184</v>
      </c>
      <c r="F432" s="12" t="s">
        <v>174</v>
      </c>
      <c r="G432" s="12"/>
      <c r="H432" s="12" t="s">
        <v>2185</v>
      </c>
      <c r="I432" s="14">
        <v>0.21290000000000001</v>
      </c>
      <c r="J432" s="12">
        <v>23.4</v>
      </c>
      <c r="K432" s="12"/>
      <c r="L432" s="14"/>
      <c r="M432" s="12"/>
      <c r="N432" s="14"/>
      <c r="O432" s="12">
        <v>1</v>
      </c>
      <c r="P432" s="12" t="s">
        <v>2186</v>
      </c>
      <c r="Q432" s="13" t="s">
        <v>2187</v>
      </c>
      <c r="R432" s="10"/>
      <c r="S432" s="10"/>
      <c r="T432" s="11"/>
    </row>
    <row r="433" spans="1:20" ht="98" x14ac:dyDescent="0.35">
      <c r="A433" s="12" t="s">
        <v>413</v>
      </c>
      <c r="B433" s="12" t="s">
        <v>170</v>
      </c>
      <c r="C433" s="13" t="s">
        <v>2188</v>
      </c>
      <c r="D433" s="13" t="s">
        <v>2189</v>
      </c>
      <c r="E433" s="12" t="s">
        <v>2190</v>
      </c>
      <c r="F433" s="12" t="s">
        <v>174</v>
      </c>
      <c r="G433" s="12"/>
      <c r="H433" s="12" t="s">
        <v>2179</v>
      </c>
      <c r="I433" s="14">
        <v>0.21279999999999999</v>
      </c>
      <c r="J433" s="12">
        <v>23.4</v>
      </c>
      <c r="K433" s="12" t="s">
        <v>2191</v>
      </c>
      <c r="L433" s="14">
        <v>0.20810000000000001</v>
      </c>
      <c r="M433" s="12"/>
      <c r="N433" s="14"/>
      <c r="O433" s="12">
        <v>1</v>
      </c>
      <c r="P433" s="12" t="s">
        <v>2192</v>
      </c>
      <c r="Q433" s="13" t="s">
        <v>2193</v>
      </c>
      <c r="R433" s="10"/>
      <c r="S433" s="10"/>
      <c r="T433" s="11"/>
    </row>
    <row r="434" spans="1:20" ht="70" x14ac:dyDescent="0.35">
      <c r="A434" s="12" t="s">
        <v>413</v>
      </c>
      <c r="B434" s="12" t="s">
        <v>170</v>
      </c>
      <c r="C434" s="13" t="s">
        <v>2194</v>
      </c>
      <c r="D434" s="13" t="s">
        <v>2195</v>
      </c>
      <c r="E434" s="12" t="s">
        <v>232</v>
      </c>
      <c r="F434" s="12" t="s">
        <v>174</v>
      </c>
      <c r="G434" s="12"/>
      <c r="H434" s="12" t="s">
        <v>1496</v>
      </c>
      <c r="I434" s="14">
        <v>0.21279999999999999</v>
      </c>
      <c r="J434" s="12">
        <v>23.4</v>
      </c>
      <c r="K434" s="12" t="s">
        <v>2196</v>
      </c>
      <c r="L434" s="14">
        <v>0.2094</v>
      </c>
      <c r="M434" s="12"/>
      <c r="N434" s="14"/>
      <c r="O434" s="12">
        <v>1</v>
      </c>
      <c r="P434" s="12" t="s">
        <v>2197</v>
      </c>
      <c r="Q434" s="13" t="s">
        <v>2198</v>
      </c>
      <c r="R434" s="10"/>
      <c r="S434" s="10"/>
      <c r="T434" s="11"/>
    </row>
    <row r="435" spans="1:20" ht="28" x14ac:dyDescent="0.35">
      <c r="A435" s="12" t="s">
        <v>413</v>
      </c>
      <c r="B435" s="12" t="s">
        <v>170</v>
      </c>
      <c r="C435" s="13" t="s">
        <v>2199</v>
      </c>
      <c r="D435" s="13"/>
      <c r="E435" s="12" t="s">
        <v>1426</v>
      </c>
      <c r="F435" s="12" t="s">
        <v>174</v>
      </c>
      <c r="G435" s="12"/>
      <c r="H435" s="12" t="s">
        <v>485</v>
      </c>
      <c r="I435" s="14">
        <v>0.21260000000000001</v>
      </c>
      <c r="J435" s="12">
        <v>23.4</v>
      </c>
      <c r="K435" s="12" t="s">
        <v>1427</v>
      </c>
      <c r="L435" s="14">
        <v>0.2109</v>
      </c>
      <c r="M435" s="12"/>
      <c r="N435" s="14"/>
      <c r="O435" s="12">
        <v>1</v>
      </c>
      <c r="P435" s="12" t="s">
        <v>2200</v>
      </c>
      <c r="Q435" s="13" t="s">
        <v>2201</v>
      </c>
      <c r="R435" s="10"/>
      <c r="S435" s="10"/>
      <c r="T435" s="11"/>
    </row>
    <row r="436" spans="1:20" ht="84" x14ac:dyDescent="0.35">
      <c r="A436" s="12" t="s">
        <v>413</v>
      </c>
      <c r="B436" s="12" t="s">
        <v>170</v>
      </c>
      <c r="C436" s="13" t="s">
        <v>2202</v>
      </c>
      <c r="D436" s="13" t="s">
        <v>2203</v>
      </c>
      <c r="E436" s="12" t="s">
        <v>1336</v>
      </c>
      <c r="F436" s="12" t="s">
        <v>174</v>
      </c>
      <c r="G436" s="12"/>
      <c r="H436" s="12" t="s">
        <v>2204</v>
      </c>
      <c r="I436" s="14">
        <v>0.21240000000000001</v>
      </c>
      <c r="J436" s="12">
        <v>23.3</v>
      </c>
      <c r="K436" s="12" t="s">
        <v>219</v>
      </c>
      <c r="L436" s="14">
        <v>0.20580000000000001</v>
      </c>
      <c r="M436" s="12"/>
      <c r="N436" s="14"/>
      <c r="O436" s="12">
        <v>1</v>
      </c>
      <c r="P436" s="12" t="s">
        <v>2205</v>
      </c>
      <c r="Q436" s="13" t="s">
        <v>2206</v>
      </c>
      <c r="R436" s="10"/>
      <c r="S436" s="10"/>
      <c r="T436" s="11"/>
    </row>
    <row r="437" spans="1:20" ht="84" x14ac:dyDescent="0.35">
      <c r="A437" s="12" t="s">
        <v>413</v>
      </c>
      <c r="B437" s="12" t="s">
        <v>170</v>
      </c>
      <c r="C437" s="13" t="s">
        <v>2207</v>
      </c>
      <c r="D437" s="13" t="s">
        <v>2208</v>
      </c>
      <c r="E437" s="12" t="s">
        <v>205</v>
      </c>
      <c r="F437" s="12" t="s">
        <v>174</v>
      </c>
      <c r="G437" s="12"/>
      <c r="H437" s="12" t="s">
        <v>2209</v>
      </c>
      <c r="I437" s="14">
        <v>0.21240000000000001</v>
      </c>
      <c r="J437" s="12">
        <v>23.3</v>
      </c>
      <c r="K437" s="12" t="s">
        <v>2210</v>
      </c>
      <c r="L437" s="14">
        <v>0.20880000000000001</v>
      </c>
      <c r="M437" s="12" t="s">
        <v>1759</v>
      </c>
      <c r="N437" s="14">
        <v>0.2001</v>
      </c>
      <c r="O437" s="12">
        <v>1</v>
      </c>
      <c r="P437" s="12" t="s">
        <v>2211</v>
      </c>
      <c r="Q437" s="13" t="s">
        <v>2212</v>
      </c>
      <c r="R437" s="10"/>
      <c r="S437" s="10"/>
      <c r="T437" s="11"/>
    </row>
    <row r="438" spans="1:20" ht="84" x14ac:dyDescent="0.35">
      <c r="A438" s="12" t="s">
        <v>413</v>
      </c>
      <c r="B438" s="12" t="s">
        <v>170</v>
      </c>
      <c r="C438" s="13" t="s">
        <v>2213</v>
      </c>
      <c r="D438" s="13" t="s">
        <v>1474</v>
      </c>
      <c r="E438" s="12" t="s">
        <v>2051</v>
      </c>
      <c r="F438" s="12" t="s">
        <v>174</v>
      </c>
      <c r="G438" s="12"/>
      <c r="H438" s="12" t="s">
        <v>2214</v>
      </c>
      <c r="I438" s="14">
        <v>0.21210000000000001</v>
      </c>
      <c r="J438" s="12">
        <v>23.2</v>
      </c>
      <c r="K438" s="12"/>
      <c r="L438" s="14"/>
      <c r="M438" s="12"/>
      <c r="N438" s="14"/>
      <c r="O438" s="12">
        <v>1</v>
      </c>
      <c r="P438" s="12" t="s">
        <v>1479</v>
      </c>
      <c r="Q438" s="13" t="s">
        <v>1480</v>
      </c>
      <c r="R438" s="10"/>
      <c r="S438" s="10"/>
      <c r="T438" s="11"/>
    </row>
    <row r="439" spans="1:20" ht="84" x14ac:dyDescent="0.35">
      <c r="A439" s="12" t="s">
        <v>413</v>
      </c>
      <c r="B439" s="12" t="s">
        <v>170</v>
      </c>
      <c r="C439" s="13" t="s">
        <v>2215</v>
      </c>
      <c r="D439" s="13" t="s">
        <v>2216</v>
      </c>
      <c r="E439" s="12" t="s">
        <v>1916</v>
      </c>
      <c r="F439" s="12" t="s">
        <v>174</v>
      </c>
      <c r="G439" s="12"/>
      <c r="H439" s="12" t="s">
        <v>2217</v>
      </c>
      <c r="I439" s="14">
        <v>0.2097</v>
      </c>
      <c r="J439" s="12">
        <v>22.6</v>
      </c>
      <c r="K439" s="12"/>
      <c r="L439" s="14"/>
      <c r="M439" s="12"/>
      <c r="N439" s="14"/>
      <c r="O439" s="12">
        <v>1</v>
      </c>
      <c r="P439" s="12" t="s">
        <v>2218</v>
      </c>
      <c r="Q439" s="13" t="s">
        <v>2219</v>
      </c>
      <c r="R439" s="10"/>
      <c r="S439" s="10"/>
      <c r="T439" s="11"/>
    </row>
    <row r="440" spans="1:20" ht="84" x14ac:dyDescent="0.35">
      <c r="A440" s="12" t="s">
        <v>413</v>
      </c>
      <c r="B440" s="12" t="s">
        <v>170</v>
      </c>
      <c r="C440" s="13" t="s">
        <v>2220</v>
      </c>
      <c r="D440" s="13" t="s">
        <v>2221</v>
      </c>
      <c r="E440" s="12" t="s">
        <v>232</v>
      </c>
      <c r="F440" s="12" t="s">
        <v>174</v>
      </c>
      <c r="G440" s="12"/>
      <c r="H440" s="12" t="s">
        <v>2222</v>
      </c>
      <c r="I440" s="14">
        <v>0.20810000000000001</v>
      </c>
      <c r="J440" s="12">
        <v>22.2</v>
      </c>
      <c r="K440" s="12"/>
      <c r="L440" s="14"/>
      <c r="M440" s="12"/>
      <c r="N440" s="14"/>
      <c r="O440" s="12">
        <v>1</v>
      </c>
      <c r="P440" s="12" t="s">
        <v>2223</v>
      </c>
      <c r="Q440" s="13" t="s">
        <v>2224</v>
      </c>
      <c r="R440" s="10"/>
      <c r="S440" s="10"/>
      <c r="T440" s="11"/>
    </row>
    <row r="441" spans="1:20" ht="98" x14ac:dyDescent="0.35">
      <c r="A441" s="12" t="s">
        <v>413</v>
      </c>
      <c r="B441" s="12" t="s">
        <v>170</v>
      </c>
      <c r="C441" s="13" t="s">
        <v>2225</v>
      </c>
      <c r="D441" s="13" t="s">
        <v>2226</v>
      </c>
      <c r="E441" s="12" t="s">
        <v>1294</v>
      </c>
      <c r="F441" s="12" t="s">
        <v>174</v>
      </c>
      <c r="G441" s="12"/>
      <c r="H441" s="12" t="s">
        <v>221</v>
      </c>
      <c r="I441" s="14">
        <v>0.20780000000000001</v>
      </c>
      <c r="J441" s="12">
        <v>22.1</v>
      </c>
      <c r="K441" s="12" t="s">
        <v>299</v>
      </c>
      <c r="L441" s="14">
        <v>0.20300000000000001</v>
      </c>
      <c r="M441" s="12"/>
      <c r="N441" s="14"/>
      <c r="O441" s="12">
        <v>1</v>
      </c>
      <c r="P441" s="12" t="s">
        <v>2227</v>
      </c>
      <c r="Q441" s="13" t="s">
        <v>2228</v>
      </c>
      <c r="R441" s="10"/>
      <c r="S441" s="10"/>
      <c r="T441" s="11"/>
    </row>
    <row r="442" spans="1:20" ht="56" x14ac:dyDescent="0.35">
      <c r="A442" s="12" t="s">
        <v>413</v>
      </c>
      <c r="B442" s="12" t="s">
        <v>170</v>
      </c>
      <c r="C442" s="13" t="s">
        <v>2229</v>
      </c>
      <c r="D442" s="13" t="s">
        <v>2230</v>
      </c>
      <c r="E442" s="12" t="s">
        <v>285</v>
      </c>
      <c r="F442" s="12" t="s">
        <v>174</v>
      </c>
      <c r="G442" s="12"/>
      <c r="H442" s="12" t="s">
        <v>286</v>
      </c>
      <c r="I442" s="14">
        <v>0.20580000000000001</v>
      </c>
      <c r="J442" s="12">
        <v>21.5</v>
      </c>
      <c r="K442" s="12"/>
      <c r="L442" s="14"/>
      <c r="M442" s="12"/>
      <c r="N442" s="14"/>
      <c r="O442" s="12">
        <v>1</v>
      </c>
      <c r="P442" s="12" t="s">
        <v>2231</v>
      </c>
      <c r="Q442" s="13" t="s">
        <v>2232</v>
      </c>
      <c r="R442" s="10"/>
      <c r="S442" s="10"/>
      <c r="T442" s="11"/>
    </row>
    <row r="443" spans="1:20" ht="84" x14ac:dyDescent="0.35">
      <c r="A443" s="12" t="s">
        <v>413</v>
      </c>
      <c r="B443" s="12" t="s">
        <v>170</v>
      </c>
      <c r="C443" s="13" t="s">
        <v>2233</v>
      </c>
      <c r="D443" s="13" t="s">
        <v>2234</v>
      </c>
      <c r="E443" s="12" t="s">
        <v>387</v>
      </c>
      <c r="F443" s="12" t="s">
        <v>174</v>
      </c>
      <c r="G443" s="12"/>
      <c r="H443" s="12" t="s">
        <v>2235</v>
      </c>
      <c r="I443" s="14">
        <v>0.20569999999999999</v>
      </c>
      <c r="J443" s="12">
        <v>21.5</v>
      </c>
      <c r="K443" s="12" t="s">
        <v>2236</v>
      </c>
      <c r="L443" s="14">
        <v>0.2006</v>
      </c>
      <c r="M443" s="12"/>
      <c r="N443" s="14"/>
      <c r="O443" s="12">
        <v>2</v>
      </c>
      <c r="P443" s="12" t="s">
        <v>2237</v>
      </c>
      <c r="Q443" s="13" t="s">
        <v>2238</v>
      </c>
      <c r="R443" s="10"/>
      <c r="S443" s="10"/>
      <c r="T443" s="11"/>
    </row>
    <row r="444" spans="1:20" ht="56" x14ac:dyDescent="0.35">
      <c r="A444" s="12" t="s">
        <v>413</v>
      </c>
      <c r="B444" s="12" t="s">
        <v>170</v>
      </c>
      <c r="C444" s="13" t="s">
        <v>2239</v>
      </c>
      <c r="D444" s="13" t="s">
        <v>2240</v>
      </c>
      <c r="E444" s="12" t="s">
        <v>2241</v>
      </c>
      <c r="F444" s="12" t="s">
        <v>174</v>
      </c>
      <c r="G444" s="12"/>
      <c r="H444" s="12" t="s">
        <v>2007</v>
      </c>
      <c r="I444" s="14">
        <v>0.20499999999999999</v>
      </c>
      <c r="J444" s="12">
        <v>21.3</v>
      </c>
      <c r="K444" s="12"/>
      <c r="L444" s="14"/>
      <c r="M444" s="12"/>
      <c r="N444" s="14"/>
      <c r="O444" s="12">
        <v>1</v>
      </c>
      <c r="P444" s="12" t="s">
        <v>2242</v>
      </c>
      <c r="Q444" s="13" t="s">
        <v>2243</v>
      </c>
      <c r="R444" s="10"/>
      <c r="S444" s="10"/>
      <c r="T444" s="11"/>
    </row>
    <row r="445" spans="1:20" ht="168" x14ac:dyDescent="0.35">
      <c r="A445" s="12" t="s">
        <v>413</v>
      </c>
      <c r="B445" s="12" t="s">
        <v>170</v>
      </c>
      <c r="C445" s="13" t="s">
        <v>2244</v>
      </c>
      <c r="D445" s="13" t="s">
        <v>2245</v>
      </c>
      <c r="E445" s="12" t="s">
        <v>232</v>
      </c>
      <c r="F445" s="12" t="s">
        <v>174</v>
      </c>
      <c r="G445" s="12"/>
      <c r="H445" s="12" t="s">
        <v>221</v>
      </c>
      <c r="I445" s="14">
        <v>0.20499999999999999</v>
      </c>
      <c r="J445" s="12">
        <v>21.3</v>
      </c>
      <c r="K445" s="12"/>
      <c r="L445" s="14"/>
      <c r="M445" s="12"/>
      <c r="N445" s="14"/>
      <c r="O445" s="12">
        <v>1</v>
      </c>
      <c r="P445" s="12" t="s">
        <v>2246</v>
      </c>
      <c r="Q445" s="13" t="s">
        <v>2247</v>
      </c>
      <c r="R445" s="10"/>
      <c r="S445" s="10"/>
      <c r="T445" s="11"/>
    </row>
    <row r="446" spans="1:20" ht="70" x14ac:dyDescent="0.35">
      <c r="A446" s="12" t="s">
        <v>413</v>
      </c>
      <c r="B446" s="12" t="s">
        <v>170</v>
      </c>
      <c r="C446" s="13" t="s">
        <v>2248</v>
      </c>
      <c r="D446" s="13"/>
      <c r="E446" s="12"/>
      <c r="F446" s="12" t="s">
        <v>174</v>
      </c>
      <c r="G446" s="12"/>
      <c r="H446" s="12" t="s">
        <v>2249</v>
      </c>
      <c r="I446" s="14">
        <v>0.2049</v>
      </c>
      <c r="J446" s="12">
        <v>21.3</v>
      </c>
      <c r="K446" s="12"/>
      <c r="L446" s="14"/>
      <c r="M446" s="12"/>
      <c r="N446" s="14"/>
      <c r="O446" s="12">
        <v>4</v>
      </c>
      <c r="P446" s="12" t="s">
        <v>2250</v>
      </c>
      <c r="Q446" s="13" t="s">
        <v>2251</v>
      </c>
      <c r="R446" s="10"/>
      <c r="S446" s="10"/>
      <c r="T446" s="11"/>
    </row>
    <row r="447" spans="1:20" ht="84" x14ac:dyDescent="0.35">
      <c r="A447" s="12" t="s">
        <v>413</v>
      </c>
      <c r="B447" s="12" t="s">
        <v>170</v>
      </c>
      <c r="C447" s="13" t="s">
        <v>2252</v>
      </c>
      <c r="D447" s="13" t="s">
        <v>2253</v>
      </c>
      <c r="E447" s="12" t="s">
        <v>2254</v>
      </c>
      <c r="F447" s="12" t="s">
        <v>174</v>
      </c>
      <c r="G447" s="12"/>
      <c r="H447" s="12" t="s">
        <v>2255</v>
      </c>
      <c r="I447" s="14">
        <v>0.2046</v>
      </c>
      <c r="J447" s="12">
        <v>21.2</v>
      </c>
      <c r="K447" s="12"/>
      <c r="L447" s="14"/>
      <c r="M447" s="12"/>
      <c r="N447" s="14"/>
      <c r="O447" s="12">
        <v>2</v>
      </c>
      <c r="P447" s="12" t="s">
        <v>2256</v>
      </c>
      <c r="Q447" s="13" t="s">
        <v>2257</v>
      </c>
      <c r="R447" s="10"/>
      <c r="S447" s="10"/>
      <c r="T447" s="11"/>
    </row>
    <row r="448" spans="1:20" ht="28" x14ac:dyDescent="0.35">
      <c r="A448" s="12" t="s">
        <v>413</v>
      </c>
      <c r="B448" s="12" t="s">
        <v>170</v>
      </c>
      <c r="C448" s="13" t="s">
        <v>2258</v>
      </c>
      <c r="D448" s="13" t="s">
        <v>2259</v>
      </c>
      <c r="E448" s="12" t="s">
        <v>1718</v>
      </c>
      <c r="F448" s="12" t="s">
        <v>174</v>
      </c>
      <c r="G448" s="12"/>
      <c r="H448" s="12" t="s">
        <v>2260</v>
      </c>
      <c r="I448" s="14">
        <v>0.2046</v>
      </c>
      <c r="J448" s="12">
        <v>21.2</v>
      </c>
      <c r="K448" s="12" t="s">
        <v>2261</v>
      </c>
      <c r="L448" s="14">
        <v>0.2031</v>
      </c>
      <c r="M448" s="12" t="s">
        <v>2262</v>
      </c>
      <c r="N448" s="14">
        <v>0.20050000000000001</v>
      </c>
      <c r="O448" s="12">
        <v>1</v>
      </c>
      <c r="P448" s="12" t="s">
        <v>2263</v>
      </c>
      <c r="Q448" s="13" t="s">
        <v>2264</v>
      </c>
      <c r="R448" s="10"/>
      <c r="S448" s="10"/>
      <c r="T448" s="11"/>
    </row>
    <row r="449" spans="1:20" ht="84" x14ac:dyDescent="0.35">
      <c r="A449" s="12" t="s">
        <v>413</v>
      </c>
      <c r="B449" s="12" t="s">
        <v>170</v>
      </c>
      <c r="C449" s="13" t="s">
        <v>2265</v>
      </c>
      <c r="D449" s="13" t="s">
        <v>2266</v>
      </c>
      <c r="E449" s="12" t="s">
        <v>205</v>
      </c>
      <c r="F449" s="12" t="s">
        <v>174</v>
      </c>
      <c r="G449" s="12"/>
      <c r="H449" s="12" t="s">
        <v>2267</v>
      </c>
      <c r="I449" s="14">
        <v>0.2024</v>
      </c>
      <c r="J449" s="12">
        <v>20.6</v>
      </c>
      <c r="K449" s="12"/>
      <c r="L449" s="14"/>
      <c r="M449" s="12"/>
      <c r="N449" s="14"/>
      <c r="O449" s="12">
        <v>1</v>
      </c>
      <c r="P449" s="12" t="s">
        <v>2268</v>
      </c>
      <c r="Q449" s="13" t="s">
        <v>2269</v>
      </c>
      <c r="R449" s="10"/>
      <c r="S449" s="10"/>
      <c r="T449" s="11"/>
    </row>
    <row r="450" spans="1:20" ht="84" x14ac:dyDescent="0.35">
      <c r="A450" s="12" t="s">
        <v>413</v>
      </c>
      <c r="B450" s="12" t="s">
        <v>170</v>
      </c>
      <c r="C450" s="13" t="s">
        <v>2270</v>
      </c>
      <c r="D450" s="13" t="s">
        <v>2271</v>
      </c>
      <c r="E450" s="12" t="s">
        <v>2272</v>
      </c>
      <c r="F450" s="12" t="s">
        <v>174</v>
      </c>
      <c r="G450" s="12"/>
      <c r="H450" s="12" t="s">
        <v>2273</v>
      </c>
      <c r="I450" s="14">
        <v>0.20180000000000001</v>
      </c>
      <c r="J450" s="12">
        <v>20.5</v>
      </c>
      <c r="K450" s="12"/>
      <c r="L450" s="14"/>
      <c r="M450" s="12"/>
      <c r="N450" s="14"/>
      <c r="O450" s="12">
        <v>1</v>
      </c>
      <c r="P450" s="12" t="s">
        <v>2274</v>
      </c>
      <c r="Q450" s="13" t="s">
        <v>2275</v>
      </c>
      <c r="R450" s="10"/>
      <c r="S450" s="10"/>
      <c r="T450" s="11"/>
    </row>
    <row r="451" spans="1:20" ht="84" x14ac:dyDescent="0.35">
      <c r="A451" s="12" t="s">
        <v>413</v>
      </c>
      <c r="B451" s="12" t="s">
        <v>170</v>
      </c>
      <c r="C451" s="13" t="s">
        <v>2276</v>
      </c>
      <c r="D451" s="13" t="s">
        <v>2277</v>
      </c>
      <c r="E451" s="12" t="s">
        <v>1595</v>
      </c>
      <c r="F451" s="12" t="s">
        <v>174</v>
      </c>
      <c r="G451" s="12"/>
      <c r="H451" s="12" t="s">
        <v>1589</v>
      </c>
      <c r="I451" s="14">
        <v>0.2019</v>
      </c>
      <c r="J451" s="12">
        <v>20.5</v>
      </c>
      <c r="K451" s="12"/>
      <c r="L451" s="14"/>
      <c r="M451" s="12"/>
      <c r="N451" s="14"/>
      <c r="O451" s="12">
        <v>4</v>
      </c>
      <c r="P451" s="12" t="s">
        <v>2278</v>
      </c>
      <c r="Q451" s="13" t="s">
        <v>2279</v>
      </c>
      <c r="R451" s="10"/>
      <c r="S451" s="10"/>
      <c r="T451" s="11"/>
    </row>
    <row r="452" spans="1:20" ht="112" x14ac:dyDescent="0.35">
      <c r="A452" s="12" t="s">
        <v>413</v>
      </c>
      <c r="B452" s="12" t="s">
        <v>170</v>
      </c>
      <c r="C452" s="13" t="s">
        <v>2280</v>
      </c>
      <c r="D452" s="13" t="s">
        <v>2281</v>
      </c>
      <c r="E452" s="12" t="s">
        <v>240</v>
      </c>
      <c r="F452" s="12" t="s">
        <v>174</v>
      </c>
      <c r="G452" s="12"/>
      <c r="H452" s="12" t="s">
        <v>219</v>
      </c>
      <c r="I452" s="14">
        <v>0.2009</v>
      </c>
      <c r="J452" s="12">
        <v>20.2</v>
      </c>
      <c r="K452" s="12"/>
      <c r="L452" s="14"/>
      <c r="M452" s="12"/>
      <c r="N452" s="14"/>
      <c r="O452" s="12">
        <v>1</v>
      </c>
      <c r="P452" s="12" t="s">
        <v>2282</v>
      </c>
      <c r="Q452" s="13" t="s">
        <v>2283</v>
      </c>
      <c r="R452" s="10"/>
      <c r="S452" s="10"/>
      <c r="T452" s="11"/>
    </row>
    <row r="453" spans="1:20" ht="98" x14ac:dyDescent="0.35">
      <c r="A453" s="12" t="s">
        <v>413</v>
      </c>
      <c r="B453" s="12" t="s">
        <v>170</v>
      </c>
      <c r="C453" s="13" t="s">
        <v>2284</v>
      </c>
      <c r="D453" s="13" t="s">
        <v>2285</v>
      </c>
      <c r="E453" s="12" t="s">
        <v>2286</v>
      </c>
      <c r="F453" s="12" t="s">
        <v>174</v>
      </c>
      <c r="G453" s="12"/>
      <c r="H453" s="12" t="s">
        <v>2287</v>
      </c>
      <c r="I453" s="14">
        <v>0.20030000000000001</v>
      </c>
      <c r="J453" s="12">
        <v>20.100000000000001</v>
      </c>
      <c r="K453" s="12"/>
      <c r="L453" s="14"/>
      <c r="M453" s="12"/>
      <c r="N453" s="14"/>
      <c r="O453" s="12">
        <v>1</v>
      </c>
      <c r="P453" s="12" t="s">
        <v>2288</v>
      </c>
      <c r="Q453" s="13" t="s">
        <v>2289</v>
      </c>
      <c r="R453" s="10"/>
      <c r="S453" s="10"/>
      <c r="T453" s="11"/>
    </row>
    <row r="454" spans="1:20" ht="70" x14ac:dyDescent="0.35">
      <c r="A454" s="12" t="s">
        <v>413</v>
      </c>
      <c r="B454" s="12" t="s">
        <v>238</v>
      </c>
      <c r="C454" s="13" t="s">
        <v>2290</v>
      </c>
      <c r="D454" s="13" t="s">
        <v>2291</v>
      </c>
      <c r="E454" s="12" t="s">
        <v>184</v>
      </c>
      <c r="F454" s="12" t="s">
        <v>174</v>
      </c>
      <c r="G454" s="12"/>
      <c r="H454" s="12" t="s">
        <v>2292</v>
      </c>
      <c r="I454" s="14">
        <v>0.4</v>
      </c>
      <c r="J454" s="12">
        <v>73.3</v>
      </c>
      <c r="K454" s="12" t="s">
        <v>2293</v>
      </c>
      <c r="L454" s="14">
        <v>0.3861</v>
      </c>
      <c r="M454" s="12" t="s">
        <v>1330</v>
      </c>
      <c r="N454" s="14">
        <v>0.38600000000000001</v>
      </c>
      <c r="O454" s="12">
        <v>1</v>
      </c>
      <c r="P454" s="12" t="s">
        <v>2294</v>
      </c>
      <c r="Q454" s="13" t="s">
        <v>2295</v>
      </c>
      <c r="R454" s="10"/>
      <c r="S454" s="10"/>
      <c r="T454" s="11"/>
    </row>
    <row r="455" spans="1:20" ht="98" x14ac:dyDescent="0.35">
      <c r="A455" s="12" t="s">
        <v>413</v>
      </c>
      <c r="B455" s="12" t="s">
        <v>238</v>
      </c>
      <c r="C455" s="13" t="s">
        <v>2296</v>
      </c>
      <c r="D455" s="13" t="s">
        <v>2297</v>
      </c>
      <c r="E455" s="12" t="s">
        <v>2298</v>
      </c>
      <c r="F455" s="12" t="s">
        <v>174</v>
      </c>
      <c r="G455" s="12"/>
      <c r="H455" s="12" t="s">
        <v>221</v>
      </c>
      <c r="I455" s="14">
        <v>0.39979999999999999</v>
      </c>
      <c r="J455" s="12">
        <v>73.3</v>
      </c>
      <c r="K455" s="12" t="s">
        <v>2299</v>
      </c>
      <c r="L455" s="14">
        <v>0.26450000000000001</v>
      </c>
      <c r="M455" s="12" t="s">
        <v>2300</v>
      </c>
      <c r="N455" s="14">
        <v>0.2515</v>
      </c>
      <c r="O455" s="12">
        <v>1</v>
      </c>
      <c r="P455" s="12" t="s">
        <v>2301</v>
      </c>
      <c r="Q455" s="13" t="s">
        <v>2302</v>
      </c>
      <c r="R455" s="10"/>
      <c r="S455" s="10"/>
      <c r="T455" s="11"/>
    </row>
    <row r="456" spans="1:20" ht="56" x14ac:dyDescent="0.35">
      <c r="A456" s="12" t="s">
        <v>413</v>
      </c>
      <c r="B456" s="12" t="s">
        <v>238</v>
      </c>
      <c r="C456" s="13" t="s">
        <v>2303</v>
      </c>
      <c r="D456" s="13" t="s">
        <v>2304</v>
      </c>
      <c r="E456" s="12" t="s">
        <v>232</v>
      </c>
      <c r="F456" s="12" t="s">
        <v>174</v>
      </c>
      <c r="G456" s="12"/>
      <c r="H456" s="12" t="s">
        <v>1331</v>
      </c>
      <c r="I456" s="14">
        <v>0.39889999999999998</v>
      </c>
      <c r="J456" s="12">
        <v>73</v>
      </c>
      <c r="K456" s="12" t="s">
        <v>2305</v>
      </c>
      <c r="L456" s="14">
        <v>0.36359999999999998</v>
      </c>
      <c r="M456" s="12" t="s">
        <v>1622</v>
      </c>
      <c r="N456" s="14">
        <v>0.35620000000000002</v>
      </c>
      <c r="O456" s="12">
        <v>1</v>
      </c>
      <c r="P456" s="12" t="s">
        <v>2306</v>
      </c>
      <c r="Q456" s="13" t="s">
        <v>2307</v>
      </c>
      <c r="R456" s="10"/>
      <c r="S456" s="10"/>
      <c r="T456" s="11"/>
    </row>
    <row r="457" spans="1:20" ht="84" x14ac:dyDescent="0.35">
      <c r="A457" s="12" t="s">
        <v>413</v>
      </c>
      <c r="B457" s="12" t="s">
        <v>238</v>
      </c>
      <c r="C457" s="13" t="s">
        <v>2308</v>
      </c>
      <c r="D457" s="13" t="s">
        <v>2309</v>
      </c>
      <c r="E457" s="12" t="s">
        <v>1829</v>
      </c>
      <c r="F457" s="12" t="s">
        <v>174</v>
      </c>
      <c r="G457" s="12"/>
      <c r="H457" s="12" t="s">
        <v>1832</v>
      </c>
      <c r="I457" s="14">
        <v>0.3987</v>
      </c>
      <c r="J457" s="12">
        <v>73</v>
      </c>
      <c r="K457" s="12" t="s">
        <v>2310</v>
      </c>
      <c r="L457" s="14">
        <v>0.39279999999999998</v>
      </c>
      <c r="M457" s="12" t="s">
        <v>2273</v>
      </c>
      <c r="N457" s="14">
        <v>0.38869999999999999</v>
      </c>
      <c r="O457" s="12">
        <v>1</v>
      </c>
      <c r="P457" s="12" t="s">
        <v>2311</v>
      </c>
      <c r="Q457" s="13" t="s">
        <v>2312</v>
      </c>
      <c r="R457" s="10"/>
      <c r="S457" s="10"/>
      <c r="T457" s="11"/>
    </row>
    <row r="458" spans="1:20" ht="98" x14ac:dyDescent="0.35">
      <c r="A458" s="12" t="s">
        <v>413</v>
      </c>
      <c r="B458" s="12" t="s">
        <v>238</v>
      </c>
      <c r="C458" s="13" t="s">
        <v>2313</v>
      </c>
      <c r="D458" s="13" t="s">
        <v>2314</v>
      </c>
      <c r="E458" s="12"/>
      <c r="F458" s="12" t="s">
        <v>174</v>
      </c>
      <c r="G458" s="12"/>
      <c r="H458" s="12" t="s">
        <v>2315</v>
      </c>
      <c r="I458" s="14">
        <v>0.39839999999999998</v>
      </c>
      <c r="J458" s="12">
        <v>72.900000000000006</v>
      </c>
      <c r="K458" s="12" t="s">
        <v>2316</v>
      </c>
      <c r="L458" s="14">
        <v>0.24829999999999999</v>
      </c>
      <c r="M458" s="12" t="s">
        <v>2317</v>
      </c>
      <c r="N458" s="14">
        <v>0.23019999999999999</v>
      </c>
      <c r="O458" s="12">
        <v>4</v>
      </c>
      <c r="P458" s="12" t="s">
        <v>2318</v>
      </c>
      <c r="Q458" s="13" t="s">
        <v>2319</v>
      </c>
      <c r="R458" s="10"/>
      <c r="S458" s="10"/>
      <c r="T458" s="11"/>
    </row>
    <row r="459" spans="1:20" ht="56" x14ac:dyDescent="0.35">
      <c r="A459" s="12" t="s">
        <v>413</v>
      </c>
      <c r="B459" s="12" t="s">
        <v>238</v>
      </c>
      <c r="C459" s="13" t="s">
        <v>2320</v>
      </c>
      <c r="D459" s="13" t="s">
        <v>2321</v>
      </c>
      <c r="E459" s="12" t="s">
        <v>2322</v>
      </c>
      <c r="F459" s="12" t="s">
        <v>174</v>
      </c>
      <c r="G459" s="12"/>
      <c r="H459" s="12" t="s">
        <v>2323</v>
      </c>
      <c r="I459" s="14">
        <v>0.39710000000000001</v>
      </c>
      <c r="J459" s="12">
        <v>72.599999999999994</v>
      </c>
      <c r="K459" s="12" t="s">
        <v>2324</v>
      </c>
      <c r="L459" s="14">
        <v>0.3044</v>
      </c>
      <c r="M459" s="12" t="s">
        <v>2325</v>
      </c>
      <c r="N459" s="14">
        <v>0.26279999999999998</v>
      </c>
      <c r="O459" s="12">
        <v>1</v>
      </c>
      <c r="P459" s="12" t="s">
        <v>2326</v>
      </c>
      <c r="Q459" s="13" t="s">
        <v>2327</v>
      </c>
      <c r="R459" s="10"/>
      <c r="S459" s="10"/>
      <c r="T459" s="11"/>
    </row>
    <row r="460" spans="1:20" ht="56" x14ac:dyDescent="0.35">
      <c r="A460" s="12" t="s">
        <v>413</v>
      </c>
      <c r="B460" s="12" t="s">
        <v>238</v>
      </c>
      <c r="C460" s="13" t="s">
        <v>2328</v>
      </c>
      <c r="D460" s="13" t="s">
        <v>2079</v>
      </c>
      <c r="E460" s="12" t="s">
        <v>2329</v>
      </c>
      <c r="F460" s="12" t="s">
        <v>174</v>
      </c>
      <c r="G460" s="12"/>
      <c r="H460" s="12" t="s">
        <v>2330</v>
      </c>
      <c r="I460" s="14">
        <v>0.39639999999999997</v>
      </c>
      <c r="J460" s="12">
        <v>72.400000000000006</v>
      </c>
      <c r="K460" s="12" t="s">
        <v>2331</v>
      </c>
      <c r="L460" s="14">
        <v>0.33529999999999999</v>
      </c>
      <c r="M460" s="12" t="s">
        <v>2332</v>
      </c>
      <c r="N460" s="14">
        <v>0.26700000000000002</v>
      </c>
      <c r="O460" s="12">
        <v>2</v>
      </c>
      <c r="P460" s="12" t="s">
        <v>2081</v>
      </c>
      <c r="Q460" s="13" t="s">
        <v>2082</v>
      </c>
      <c r="R460" s="10"/>
      <c r="S460" s="10"/>
      <c r="T460" s="11"/>
    </row>
    <row r="461" spans="1:20" ht="70" x14ac:dyDescent="0.35">
      <c r="A461" s="12" t="s">
        <v>413</v>
      </c>
      <c r="B461" s="12" t="s">
        <v>238</v>
      </c>
      <c r="C461" s="13" t="s">
        <v>2333</v>
      </c>
      <c r="D461" s="13" t="s">
        <v>2334</v>
      </c>
      <c r="E461" s="12" t="s">
        <v>1286</v>
      </c>
      <c r="F461" s="12" t="s">
        <v>174</v>
      </c>
      <c r="G461" s="12"/>
      <c r="H461" s="12" t="s">
        <v>312</v>
      </c>
      <c r="I461" s="14">
        <v>0.39579999999999999</v>
      </c>
      <c r="J461" s="12">
        <v>72.2</v>
      </c>
      <c r="K461" s="12" t="s">
        <v>273</v>
      </c>
      <c r="L461" s="14">
        <v>0.3957</v>
      </c>
      <c r="M461" s="12" t="s">
        <v>2335</v>
      </c>
      <c r="N461" s="14">
        <v>0.37969999999999998</v>
      </c>
      <c r="O461" s="12">
        <v>1</v>
      </c>
      <c r="P461" s="12" t="s">
        <v>2336</v>
      </c>
      <c r="Q461" s="13" t="s">
        <v>2337</v>
      </c>
      <c r="R461" s="10"/>
      <c r="S461" s="10"/>
      <c r="T461" s="11"/>
    </row>
    <row r="462" spans="1:20" ht="98" x14ac:dyDescent="0.35">
      <c r="A462" s="12" t="s">
        <v>413</v>
      </c>
      <c r="B462" s="12" t="s">
        <v>238</v>
      </c>
      <c r="C462" s="13" t="s">
        <v>2338</v>
      </c>
      <c r="D462" s="13" t="s">
        <v>2189</v>
      </c>
      <c r="E462" s="12" t="s">
        <v>352</v>
      </c>
      <c r="F462" s="12" t="s">
        <v>174</v>
      </c>
      <c r="G462" s="12"/>
      <c r="H462" s="12" t="s">
        <v>1824</v>
      </c>
      <c r="I462" s="14">
        <v>0.39500000000000002</v>
      </c>
      <c r="J462" s="12">
        <v>72</v>
      </c>
      <c r="K462" s="12" t="s">
        <v>2339</v>
      </c>
      <c r="L462" s="14">
        <v>0.31340000000000001</v>
      </c>
      <c r="M462" s="12" t="s">
        <v>2340</v>
      </c>
      <c r="N462" s="14">
        <v>0.31209999999999999</v>
      </c>
      <c r="O462" s="12">
        <v>1</v>
      </c>
      <c r="P462" s="12" t="s">
        <v>2192</v>
      </c>
      <c r="Q462" s="13" t="s">
        <v>2193</v>
      </c>
      <c r="R462" s="10"/>
      <c r="S462" s="10"/>
      <c r="T462" s="11"/>
    </row>
    <row r="463" spans="1:20" ht="56" x14ac:dyDescent="0.35">
      <c r="A463" s="12" t="s">
        <v>413</v>
      </c>
      <c r="B463" s="12" t="s">
        <v>238</v>
      </c>
      <c r="C463" s="13" t="s">
        <v>2341</v>
      </c>
      <c r="D463" s="13" t="s">
        <v>2342</v>
      </c>
      <c r="E463" s="12" t="s">
        <v>1804</v>
      </c>
      <c r="F463" s="12" t="s">
        <v>174</v>
      </c>
      <c r="G463" s="12"/>
      <c r="H463" s="12" t="s">
        <v>2343</v>
      </c>
      <c r="I463" s="14">
        <v>0.3947</v>
      </c>
      <c r="J463" s="12">
        <v>71.900000000000006</v>
      </c>
      <c r="K463" s="12" t="s">
        <v>2344</v>
      </c>
      <c r="L463" s="14">
        <v>0.2397</v>
      </c>
      <c r="M463" s="12" t="s">
        <v>2345</v>
      </c>
      <c r="N463" s="14">
        <v>0.20419999999999999</v>
      </c>
      <c r="O463" s="12">
        <v>1</v>
      </c>
      <c r="P463" s="12" t="s">
        <v>2346</v>
      </c>
      <c r="Q463" s="13" t="s">
        <v>2347</v>
      </c>
      <c r="R463" s="10"/>
      <c r="S463" s="10"/>
      <c r="T463" s="11"/>
    </row>
    <row r="464" spans="1:20" ht="56" x14ac:dyDescent="0.35">
      <c r="A464" s="12" t="s">
        <v>413</v>
      </c>
      <c r="B464" s="12" t="s">
        <v>238</v>
      </c>
      <c r="C464" s="13" t="s">
        <v>2348</v>
      </c>
      <c r="D464" s="13" t="s">
        <v>2349</v>
      </c>
      <c r="E464" s="12" t="s">
        <v>1475</v>
      </c>
      <c r="F464" s="12" t="s">
        <v>174</v>
      </c>
      <c r="G464" s="12"/>
      <c r="H464" s="12" t="s">
        <v>1476</v>
      </c>
      <c r="I464" s="14">
        <v>0.39460000000000001</v>
      </c>
      <c r="J464" s="12">
        <v>71.900000000000006</v>
      </c>
      <c r="K464" s="12" t="s">
        <v>2350</v>
      </c>
      <c r="L464" s="14">
        <v>0.38030000000000003</v>
      </c>
      <c r="M464" s="12" t="s">
        <v>273</v>
      </c>
      <c r="N464" s="14">
        <v>0.28660000000000002</v>
      </c>
      <c r="O464" s="12">
        <v>1</v>
      </c>
      <c r="P464" s="12" t="s">
        <v>2351</v>
      </c>
      <c r="Q464" s="13" t="s">
        <v>2352</v>
      </c>
      <c r="R464" s="10"/>
      <c r="S464" s="10"/>
      <c r="T464" s="11"/>
    </row>
    <row r="465" spans="1:20" ht="84" x14ac:dyDescent="0.35">
      <c r="A465" s="12" t="s">
        <v>413</v>
      </c>
      <c r="B465" s="12" t="s">
        <v>238</v>
      </c>
      <c r="C465" s="13" t="s">
        <v>2353</v>
      </c>
      <c r="D465" s="13"/>
      <c r="E465" s="12" t="s">
        <v>1905</v>
      </c>
      <c r="F465" s="12" t="s">
        <v>174</v>
      </c>
      <c r="G465" s="12"/>
      <c r="H465" s="12" t="s">
        <v>2354</v>
      </c>
      <c r="I465" s="14">
        <v>0.39410000000000001</v>
      </c>
      <c r="J465" s="12">
        <v>71.8</v>
      </c>
      <c r="K465" s="12" t="s">
        <v>2355</v>
      </c>
      <c r="L465" s="14">
        <v>0.34360000000000002</v>
      </c>
      <c r="M465" s="12" t="s">
        <v>2356</v>
      </c>
      <c r="N465" s="14">
        <v>0.31069999999999998</v>
      </c>
      <c r="O465" s="12">
        <v>2</v>
      </c>
      <c r="P465" s="12" t="s">
        <v>2357</v>
      </c>
      <c r="Q465" s="13" t="s">
        <v>2358</v>
      </c>
      <c r="R465" s="10"/>
      <c r="S465" s="10"/>
      <c r="T465" s="11"/>
    </row>
    <row r="466" spans="1:20" ht="42" x14ac:dyDescent="0.35">
      <c r="A466" s="12" t="s">
        <v>413</v>
      </c>
      <c r="B466" s="12" t="s">
        <v>238</v>
      </c>
      <c r="C466" s="13" t="s">
        <v>2359</v>
      </c>
      <c r="D466" s="13"/>
      <c r="E466" s="12" t="s">
        <v>2360</v>
      </c>
      <c r="F466" s="12" t="s">
        <v>174</v>
      </c>
      <c r="G466" s="12"/>
      <c r="H466" s="12" t="s">
        <v>2361</v>
      </c>
      <c r="I466" s="14">
        <v>0.39329999999999998</v>
      </c>
      <c r="J466" s="12">
        <v>71.599999999999994</v>
      </c>
      <c r="K466" s="12" t="s">
        <v>2362</v>
      </c>
      <c r="L466" s="14">
        <v>0.312</v>
      </c>
      <c r="M466" s="12" t="s">
        <v>1622</v>
      </c>
      <c r="N466" s="14">
        <v>0.28220000000000001</v>
      </c>
      <c r="O466" s="12">
        <v>1</v>
      </c>
      <c r="P466" s="12" t="s">
        <v>2363</v>
      </c>
      <c r="Q466" s="13" t="s">
        <v>2364</v>
      </c>
      <c r="R466" s="10"/>
      <c r="S466" s="10"/>
      <c r="T466" s="11"/>
    </row>
    <row r="467" spans="1:20" ht="56" x14ac:dyDescent="0.35">
      <c r="A467" s="12" t="s">
        <v>413</v>
      </c>
      <c r="B467" s="12" t="s">
        <v>238</v>
      </c>
      <c r="C467" s="13" t="s">
        <v>2365</v>
      </c>
      <c r="D467" s="13" t="s">
        <v>2366</v>
      </c>
      <c r="E467" s="12" t="s">
        <v>2367</v>
      </c>
      <c r="F467" s="12" t="s">
        <v>174</v>
      </c>
      <c r="G467" s="12"/>
      <c r="H467" s="12" t="s">
        <v>2368</v>
      </c>
      <c r="I467" s="14">
        <v>0.39340000000000003</v>
      </c>
      <c r="J467" s="12">
        <v>71.599999999999994</v>
      </c>
      <c r="K467" s="12" t="s">
        <v>2369</v>
      </c>
      <c r="L467" s="14">
        <v>0.3553</v>
      </c>
      <c r="M467" s="12" t="s">
        <v>2370</v>
      </c>
      <c r="N467" s="14">
        <v>0.3352</v>
      </c>
      <c r="O467" s="12">
        <v>1</v>
      </c>
      <c r="P467" s="12" t="s">
        <v>2371</v>
      </c>
      <c r="Q467" s="13" t="s">
        <v>2372</v>
      </c>
      <c r="R467" s="10"/>
      <c r="S467" s="10"/>
      <c r="T467" s="11"/>
    </row>
    <row r="468" spans="1:20" ht="84" x14ac:dyDescent="0.35">
      <c r="A468" s="12" t="s">
        <v>413</v>
      </c>
      <c r="B468" s="12" t="s">
        <v>238</v>
      </c>
      <c r="C468" s="13" t="s">
        <v>2051</v>
      </c>
      <c r="D468" s="13" t="s">
        <v>2373</v>
      </c>
      <c r="E468" s="12" t="s">
        <v>2051</v>
      </c>
      <c r="F468" s="12" t="s">
        <v>174</v>
      </c>
      <c r="G468" s="12"/>
      <c r="H468" s="12" t="s">
        <v>2374</v>
      </c>
      <c r="I468" s="14">
        <v>0.39150000000000001</v>
      </c>
      <c r="J468" s="12">
        <v>71.099999999999994</v>
      </c>
      <c r="K468" s="12" t="s">
        <v>2375</v>
      </c>
      <c r="L468" s="14">
        <v>0.36809999999999998</v>
      </c>
      <c r="M468" s="12" t="s">
        <v>2376</v>
      </c>
      <c r="N468" s="14">
        <v>0.35570000000000002</v>
      </c>
      <c r="O468" s="12">
        <v>1</v>
      </c>
      <c r="P468" s="12" t="s">
        <v>2377</v>
      </c>
      <c r="Q468" s="13" t="s">
        <v>2378</v>
      </c>
      <c r="R468" s="10"/>
      <c r="S468" s="10"/>
      <c r="T468" s="11"/>
    </row>
    <row r="469" spans="1:20" ht="70" x14ac:dyDescent="0.35">
      <c r="A469" s="12" t="s">
        <v>413</v>
      </c>
      <c r="B469" s="12" t="s">
        <v>238</v>
      </c>
      <c r="C469" s="13" t="s">
        <v>2379</v>
      </c>
      <c r="D469" s="13" t="s">
        <v>2380</v>
      </c>
      <c r="E469" s="12" t="s">
        <v>184</v>
      </c>
      <c r="F469" s="12" t="s">
        <v>174</v>
      </c>
      <c r="G469" s="12"/>
      <c r="H469" s="12" t="s">
        <v>221</v>
      </c>
      <c r="I469" s="14">
        <v>0.39029999999999998</v>
      </c>
      <c r="J469" s="12">
        <v>70.7</v>
      </c>
      <c r="K469" s="12" t="s">
        <v>220</v>
      </c>
      <c r="L469" s="14">
        <v>0.33829999999999999</v>
      </c>
      <c r="M469" s="12" t="s">
        <v>362</v>
      </c>
      <c r="N469" s="14">
        <v>0.3211</v>
      </c>
      <c r="O469" s="12">
        <v>1</v>
      </c>
      <c r="P469" s="12" t="s">
        <v>2381</v>
      </c>
      <c r="Q469" s="13" t="s">
        <v>2382</v>
      </c>
      <c r="R469" s="10"/>
      <c r="S469" s="10"/>
      <c r="T469" s="11"/>
    </row>
    <row r="470" spans="1:20" ht="56" x14ac:dyDescent="0.35">
      <c r="A470" s="12" t="s">
        <v>413</v>
      </c>
      <c r="B470" s="12" t="s">
        <v>238</v>
      </c>
      <c r="C470" s="13" t="s">
        <v>2383</v>
      </c>
      <c r="D470" s="13" t="s">
        <v>2384</v>
      </c>
      <c r="E470" s="12" t="s">
        <v>173</v>
      </c>
      <c r="F470" s="12" t="s">
        <v>174</v>
      </c>
      <c r="G470" s="12"/>
      <c r="H470" s="12" t="s">
        <v>2385</v>
      </c>
      <c r="I470" s="14">
        <v>0.39029999999999998</v>
      </c>
      <c r="J470" s="12">
        <v>70.7</v>
      </c>
      <c r="K470" s="12" t="s">
        <v>175</v>
      </c>
      <c r="L470" s="14">
        <v>0.3609</v>
      </c>
      <c r="M470" s="12" t="s">
        <v>2386</v>
      </c>
      <c r="N470" s="14">
        <v>0.35870000000000002</v>
      </c>
      <c r="O470" s="12">
        <v>1</v>
      </c>
      <c r="P470" s="12" t="s">
        <v>2387</v>
      </c>
      <c r="Q470" s="13" t="s">
        <v>2388</v>
      </c>
      <c r="R470" s="10"/>
      <c r="S470" s="10"/>
      <c r="T470" s="11"/>
    </row>
    <row r="471" spans="1:20" ht="56" x14ac:dyDescent="0.35">
      <c r="A471" s="12" t="s">
        <v>413</v>
      </c>
      <c r="B471" s="12" t="s">
        <v>238</v>
      </c>
      <c r="C471" s="13" t="s">
        <v>2389</v>
      </c>
      <c r="D471" s="13" t="s">
        <v>2390</v>
      </c>
      <c r="E471" s="12" t="s">
        <v>2178</v>
      </c>
      <c r="F471" s="12" t="s">
        <v>174</v>
      </c>
      <c r="G471" s="12"/>
      <c r="H471" s="12" t="s">
        <v>2391</v>
      </c>
      <c r="I471" s="14">
        <v>0.39</v>
      </c>
      <c r="J471" s="12">
        <v>70.7</v>
      </c>
      <c r="K471" s="12" t="s">
        <v>2392</v>
      </c>
      <c r="L471" s="14">
        <v>0.36899999999999999</v>
      </c>
      <c r="M471" s="12" t="s">
        <v>2393</v>
      </c>
      <c r="N471" s="14">
        <v>0.2492</v>
      </c>
      <c r="O471" s="12">
        <v>1</v>
      </c>
      <c r="P471" s="12" t="s">
        <v>2394</v>
      </c>
      <c r="Q471" s="13" t="s">
        <v>919</v>
      </c>
      <c r="R471" s="10"/>
      <c r="S471" s="10"/>
      <c r="T471" s="11"/>
    </row>
    <row r="472" spans="1:20" ht="84" x14ac:dyDescent="0.35">
      <c r="A472" s="12" t="s">
        <v>413</v>
      </c>
      <c r="B472" s="12" t="s">
        <v>238</v>
      </c>
      <c r="C472" s="13" t="s">
        <v>2395</v>
      </c>
      <c r="D472" s="13" t="s">
        <v>2396</v>
      </c>
      <c r="E472" s="12" t="s">
        <v>1848</v>
      </c>
      <c r="F472" s="12" t="s">
        <v>174</v>
      </c>
      <c r="G472" s="12"/>
      <c r="H472" s="12" t="s">
        <v>2397</v>
      </c>
      <c r="I472" s="14">
        <v>0.38979999999999998</v>
      </c>
      <c r="J472" s="12">
        <v>70.599999999999994</v>
      </c>
      <c r="K472" s="12" t="s">
        <v>2356</v>
      </c>
      <c r="L472" s="14">
        <v>0.34799999999999998</v>
      </c>
      <c r="M472" s="12" t="s">
        <v>2398</v>
      </c>
      <c r="N472" s="14">
        <v>0.32640000000000002</v>
      </c>
      <c r="O472" s="12">
        <v>1</v>
      </c>
      <c r="P472" s="12" t="s">
        <v>2399</v>
      </c>
      <c r="Q472" s="13" t="s">
        <v>2400</v>
      </c>
      <c r="R472" s="10"/>
      <c r="S472" s="10"/>
      <c r="T472" s="11"/>
    </row>
    <row r="473" spans="1:20" ht="56" x14ac:dyDescent="0.35">
      <c r="A473" s="12" t="s">
        <v>413</v>
      </c>
      <c r="B473" s="12" t="s">
        <v>238</v>
      </c>
      <c r="C473" s="13" t="s">
        <v>2401</v>
      </c>
      <c r="D473" s="13" t="s">
        <v>2402</v>
      </c>
      <c r="E473" s="12" t="s">
        <v>2401</v>
      </c>
      <c r="F473" s="12" t="s">
        <v>174</v>
      </c>
      <c r="G473" s="12"/>
      <c r="H473" s="12" t="s">
        <v>2403</v>
      </c>
      <c r="I473" s="14">
        <v>0.38979999999999998</v>
      </c>
      <c r="J473" s="12">
        <v>70.599999999999994</v>
      </c>
      <c r="K473" s="12" t="s">
        <v>1737</v>
      </c>
      <c r="L473" s="14">
        <v>0.30220000000000002</v>
      </c>
      <c r="M473" s="12" t="s">
        <v>2404</v>
      </c>
      <c r="N473" s="14">
        <v>0.25619999999999998</v>
      </c>
      <c r="O473" s="12">
        <v>2</v>
      </c>
      <c r="P473" s="12" t="s">
        <v>2405</v>
      </c>
      <c r="Q473" s="13" t="s">
        <v>2406</v>
      </c>
      <c r="R473" s="10"/>
      <c r="S473" s="10"/>
      <c r="T473" s="11"/>
    </row>
    <row r="474" spans="1:20" ht="70" x14ac:dyDescent="0.35">
      <c r="A474" s="12" t="s">
        <v>413</v>
      </c>
      <c r="B474" s="12" t="s">
        <v>238</v>
      </c>
      <c r="C474" s="13" t="s">
        <v>2407</v>
      </c>
      <c r="D474" s="13" t="s">
        <v>89</v>
      </c>
      <c r="E474" s="12" t="s">
        <v>2408</v>
      </c>
      <c r="F474" s="12" t="s">
        <v>174</v>
      </c>
      <c r="G474" s="12"/>
      <c r="H474" s="12" t="s">
        <v>2409</v>
      </c>
      <c r="I474" s="14">
        <v>0.38990000000000002</v>
      </c>
      <c r="J474" s="12">
        <v>70.599999999999994</v>
      </c>
      <c r="K474" s="12" t="s">
        <v>2410</v>
      </c>
      <c r="L474" s="14">
        <v>0.30730000000000002</v>
      </c>
      <c r="M474" s="12" t="s">
        <v>2411</v>
      </c>
      <c r="N474" s="14">
        <v>0.28510000000000002</v>
      </c>
      <c r="O474" s="12">
        <v>1</v>
      </c>
      <c r="P474" s="12" t="s">
        <v>92</v>
      </c>
      <c r="Q474" s="13" t="s">
        <v>93</v>
      </c>
      <c r="R474" s="10"/>
      <c r="S474" s="10"/>
      <c r="T474" s="11"/>
    </row>
    <row r="475" spans="1:20" ht="42" x14ac:dyDescent="0.35">
      <c r="A475" s="12" t="s">
        <v>413</v>
      </c>
      <c r="B475" s="12" t="s">
        <v>238</v>
      </c>
      <c r="C475" s="13" t="s">
        <v>2412</v>
      </c>
      <c r="D475" s="13"/>
      <c r="E475" s="12" t="s">
        <v>1962</v>
      </c>
      <c r="F475" s="12" t="s">
        <v>174</v>
      </c>
      <c r="G475" s="12"/>
      <c r="H475" s="12" t="s">
        <v>1963</v>
      </c>
      <c r="I475" s="14">
        <v>0.38919999999999999</v>
      </c>
      <c r="J475" s="12">
        <v>70.5</v>
      </c>
      <c r="K475" s="12" t="s">
        <v>2413</v>
      </c>
      <c r="L475" s="14">
        <v>0.3261</v>
      </c>
      <c r="M475" s="12" t="s">
        <v>2414</v>
      </c>
      <c r="N475" s="14">
        <v>0.30859999999999999</v>
      </c>
      <c r="O475" s="12">
        <v>1</v>
      </c>
      <c r="P475" s="12" t="s">
        <v>2415</v>
      </c>
      <c r="Q475" s="13" t="s">
        <v>2416</v>
      </c>
      <c r="R475" s="10"/>
      <c r="S475" s="10"/>
      <c r="T475" s="11"/>
    </row>
    <row r="476" spans="1:20" ht="56" x14ac:dyDescent="0.35">
      <c r="A476" s="12" t="s">
        <v>413</v>
      </c>
      <c r="B476" s="12" t="s">
        <v>238</v>
      </c>
      <c r="C476" s="13" t="s">
        <v>2417</v>
      </c>
      <c r="D476" s="13" t="s">
        <v>2418</v>
      </c>
      <c r="E476" s="12" t="s">
        <v>2419</v>
      </c>
      <c r="F476" s="12" t="s">
        <v>174</v>
      </c>
      <c r="G476" s="12"/>
      <c r="H476" s="12" t="s">
        <v>212</v>
      </c>
      <c r="I476" s="14">
        <v>0.38929999999999998</v>
      </c>
      <c r="J476" s="12">
        <v>70.5</v>
      </c>
      <c r="K476" s="12" t="s">
        <v>1543</v>
      </c>
      <c r="L476" s="14">
        <v>0.26250000000000001</v>
      </c>
      <c r="M476" s="12" t="s">
        <v>355</v>
      </c>
      <c r="N476" s="14">
        <v>0.2205</v>
      </c>
      <c r="O476" s="12">
        <v>1</v>
      </c>
      <c r="P476" s="12" t="s">
        <v>2420</v>
      </c>
      <c r="Q476" s="13" t="s">
        <v>2421</v>
      </c>
      <c r="R476" s="10"/>
      <c r="S476" s="10"/>
      <c r="T476" s="11"/>
    </row>
    <row r="477" spans="1:20" ht="84" x14ac:dyDescent="0.35">
      <c r="A477" s="12" t="s">
        <v>413</v>
      </c>
      <c r="B477" s="12" t="s">
        <v>238</v>
      </c>
      <c r="C477" s="13" t="s">
        <v>2422</v>
      </c>
      <c r="D477" s="13" t="s">
        <v>2423</v>
      </c>
      <c r="E477" s="12" t="s">
        <v>509</v>
      </c>
      <c r="F477" s="12" t="s">
        <v>174</v>
      </c>
      <c r="G477" s="12"/>
      <c r="H477" s="12" t="s">
        <v>511</v>
      </c>
      <c r="I477" s="14">
        <v>0.3891</v>
      </c>
      <c r="J477" s="12">
        <v>70.400000000000006</v>
      </c>
      <c r="K477" s="12" t="s">
        <v>2424</v>
      </c>
      <c r="L477" s="14">
        <v>0.2331</v>
      </c>
      <c r="M477" s="12" t="s">
        <v>2425</v>
      </c>
      <c r="N477" s="14">
        <v>0.2225</v>
      </c>
      <c r="O477" s="12">
        <v>1</v>
      </c>
      <c r="P477" s="12" t="s">
        <v>2426</v>
      </c>
      <c r="Q477" s="13" t="s">
        <v>2427</v>
      </c>
      <c r="R477" s="10"/>
      <c r="S477" s="10"/>
      <c r="T477" s="11"/>
    </row>
    <row r="478" spans="1:20" ht="84" x14ac:dyDescent="0.35">
      <c r="A478" s="12" t="s">
        <v>413</v>
      </c>
      <c r="B478" s="12" t="s">
        <v>238</v>
      </c>
      <c r="C478" s="13" t="s">
        <v>2167</v>
      </c>
      <c r="D478" s="13" t="s">
        <v>2428</v>
      </c>
      <c r="E478" s="12" t="s">
        <v>2167</v>
      </c>
      <c r="F478" s="12" t="s">
        <v>174</v>
      </c>
      <c r="G478" s="12"/>
      <c r="H478" s="12" t="s">
        <v>2168</v>
      </c>
      <c r="I478" s="14">
        <v>0.3891</v>
      </c>
      <c r="J478" s="12">
        <v>70.400000000000006</v>
      </c>
      <c r="K478" s="12" t="s">
        <v>470</v>
      </c>
      <c r="L478" s="14">
        <v>0.28039999999999998</v>
      </c>
      <c r="M478" s="12" t="s">
        <v>2429</v>
      </c>
      <c r="N478" s="14">
        <v>0.248</v>
      </c>
      <c r="O478" s="12">
        <v>1</v>
      </c>
      <c r="P478" s="12" t="s">
        <v>2430</v>
      </c>
      <c r="Q478" s="13" t="s">
        <v>2431</v>
      </c>
      <c r="R478" s="10"/>
      <c r="S478" s="10"/>
      <c r="T478" s="11"/>
    </row>
    <row r="479" spans="1:20" ht="42" x14ac:dyDescent="0.35">
      <c r="A479" s="12" t="s">
        <v>413</v>
      </c>
      <c r="B479" s="12" t="s">
        <v>238</v>
      </c>
      <c r="C479" s="13" t="s">
        <v>2432</v>
      </c>
      <c r="D479" s="13" t="s">
        <v>415</v>
      </c>
      <c r="E479" s="12" t="s">
        <v>2433</v>
      </c>
      <c r="F479" s="12" t="s">
        <v>174</v>
      </c>
      <c r="G479" s="12"/>
      <c r="H479" s="12" t="s">
        <v>2434</v>
      </c>
      <c r="I479" s="14">
        <v>0.38790000000000002</v>
      </c>
      <c r="J479" s="12">
        <v>70.099999999999994</v>
      </c>
      <c r="K479" s="12" t="s">
        <v>2435</v>
      </c>
      <c r="L479" s="14">
        <v>0.38250000000000001</v>
      </c>
      <c r="M479" s="12" t="s">
        <v>2436</v>
      </c>
      <c r="N479" s="14">
        <v>0.37459999999999999</v>
      </c>
      <c r="O479" s="12">
        <v>1</v>
      </c>
      <c r="P479" s="12" t="s">
        <v>416</v>
      </c>
      <c r="Q479" s="13" t="s">
        <v>417</v>
      </c>
      <c r="R479" s="10"/>
      <c r="S479" s="10"/>
      <c r="T479" s="11"/>
    </row>
    <row r="480" spans="1:20" ht="84" x14ac:dyDescent="0.35">
      <c r="A480" s="12" t="s">
        <v>413</v>
      </c>
      <c r="B480" s="12" t="s">
        <v>238</v>
      </c>
      <c r="C480" s="13" t="s">
        <v>2437</v>
      </c>
      <c r="D480" s="13" t="s">
        <v>2438</v>
      </c>
      <c r="E480" s="12" t="s">
        <v>1308</v>
      </c>
      <c r="F480" s="12" t="s">
        <v>174</v>
      </c>
      <c r="G480" s="12"/>
      <c r="H480" s="12" t="s">
        <v>1549</v>
      </c>
      <c r="I480" s="14">
        <v>0.3876</v>
      </c>
      <c r="J480" s="12">
        <v>70</v>
      </c>
      <c r="K480" s="12" t="s">
        <v>2439</v>
      </c>
      <c r="L480" s="14">
        <v>0.32200000000000001</v>
      </c>
      <c r="M480" s="12" t="s">
        <v>450</v>
      </c>
      <c r="N480" s="14">
        <v>0.28039999999999998</v>
      </c>
      <c r="O480" s="12">
        <v>2</v>
      </c>
      <c r="P480" s="12" t="s">
        <v>2440</v>
      </c>
      <c r="Q480" s="13" t="s">
        <v>2441</v>
      </c>
      <c r="R480" s="10"/>
      <c r="S480" s="10"/>
      <c r="T480" s="11"/>
    </row>
    <row r="481" spans="1:20" ht="98" x14ac:dyDescent="0.35">
      <c r="A481" s="12" t="s">
        <v>413</v>
      </c>
      <c r="B481" s="12" t="s">
        <v>238</v>
      </c>
      <c r="C481" s="13" t="s">
        <v>2442</v>
      </c>
      <c r="D481" s="13" t="s">
        <v>2443</v>
      </c>
      <c r="E481" s="12" t="s">
        <v>378</v>
      </c>
      <c r="F481" s="12" t="s">
        <v>174</v>
      </c>
      <c r="G481" s="12"/>
      <c r="H481" s="12" t="s">
        <v>1302</v>
      </c>
      <c r="I481" s="14">
        <v>0.38700000000000001</v>
      </c>
      <c r="J481" s="12">
        <v>69.900000000000006</v>
      </c>
      <c r="K481" s="12" t="s">
        <v>1301</v>
      </c>
      <c r="L481" s="14">
        <v>0.31580000000000003</v>
      </c>
      <c r="M481" s="12" t="s">
        <v>1303</v>
      </c>
      <c r="N481" s="14">
        <v>0.2752</v>
      </c>
      <c r="O481" s="12">
        <v>1</v>
      </c>
      <c r="P481" s="12" t="s">
        <v>2444</v>
      </c>
      <c r="Q481" s="13" t="s">
        <v>2445</v>
      </c>
      <c r="R481" s="10"/>
      <c r="S481" s="10"/>
      <c r="T481" s="11"/>
    </row>
    <row r="482" spans="1:20" ht="42" x14ac:dyDescent="0.35">
      <c r="A482" s="12" t="s">
        <v>413</v>
      </c>
      <c r="B482" s="12" t="s">
        <v>238</v>
      </c>
      <c r="C482" s="13" t="s">
        <v>232</v>
      </c>
      <c r="D482" s="13" t="s">
        <v>2446</v>
      </c>
      <c r="E482" s="12" t="s">
        <v>232</v>
      </c>
      <c r="F482" s="12" t="s">
        <v>174</v>
      </c>
      <c r="G482" s="12"/>
      <c r="H482" s="12" t="s">
        <v>2447</v>
      </c>
      <c r="I482" s="14">
        <v>0.38700000000000001</v>
      </c>
      <c r="J482" s="12">
        <v>69.900000000000006</v>
      </c>
      <c r="K482" s="12" t="s">
        <v>2448</v>
      </c>
      <c r="L482" s="14">
        <v>0.36280000000000001</v>
      </c>
      <c r="M482" s="12" t="s">
        <v>2449</v>
      </c>
      <c r="N482" s="14">
        <v>0.27550000000000002</v>
      </c>
      <c r="O482" s="12">
        <v>1</v>
      </c>
      <c r="P482" s="12" t="s">
        <v>2450</v>
      </c>
      <c r="Q482" s="13" t="s">
        <v>2451</v>
      </c>
      <c r="R482" s="10"/>
      <c r="S482" s="10"/>
      <c r="T482" s="11"/>
    </row>
    <row r="483" spans="1:20" ht="56" x14ac:dyDescent="0.35">
      <c r="A483" s="12" t="s">
        <v>413</v>
      </c>
      <c r="B483" s="12" t="s">
        <v>238</v>
      </c>
      <c r="C483" s="13" t="s">
        <v>2452</v>
      </c>
      <c r="D483" s="13" t="s">
        <v>2230</v>
      </c>
      <c r="E483" s="12" t="s">
        <v>2453</v>
      </c>
      <c r="F483" s="12" t="s">
        <v>174</v>
      </c>
      <c r="G483" s="12"/>
      <c r="H483" s="12" t="s">
        <v>2454</v>
      </c>
      <c r="I483" s="14">
        <v>0.38619999999999999</v>
      </c>
      <c r="J483" s="12">
        <v>69.7</v>
      </c>
      <c r="K483" s="12" t="s">
        <v>2455</v>
      </c>
      <c r="L483" s="14">
        <v>0.38290000000000002</v>
      </c>
      <c r="M483" s="12" t="s">
        <v>2456</v>
      </c>
      <c r="N483" s="14">
        <v>0.28739999999999999</v>
      </c>
      <c r="O483" s="12">
        <v>1</v>
      </c>
      <c r="P483" s="12" t="s">
        <v>2231</v>
      </c>
      <c r="Q483" s="13" t="s">
        <v>2232</v>
      </c>
      <c r="R483" s="10"/>
      <c r="S483" s="10"/>
      <c r="T483" s="11"/>
    </row>
    <row r="484" spans="1:20" ht="56" x14ac:dyDescent="0.35">
      <c r="A484" s="12" t="s">
        <v>413</v>
      </c>
      <c r="B484" s="12" t="s">
        <v>238</v>
      </c>
      <c r="C484" s="13" t="s">
        <v>2457</v>
      </c>
      <c r="D484" s="13" t="s">
        <v>2458</v>
      </c>
      <c r="E484" s="12" t="s">
        <v>1969</v>
      </c>
      <c r="F484" s="12" t="s">
        <v>174</v>
      </c>
      <c r="G484" s="12"/>
      <c r="H484" s="12" t="s">
        <v>221</v>
      </c>
      <c r="I484" s="14">
        <v>0.38579999999999998</v>
      </c>
      <c r="J484" s="12">
        <v>69.599999999999994</v>
      </c>
      <c r="K484" s="12" t="s">
        <v>2459</v>
      </c>
      <c r="L484" s="14">
        <v>0.2432</v>
      </c>
      <c r="M484" s="12" t="s">
        <v>2460</v>
      </c>
      <c r="N484" s="14">
        <v>0.2238</v>
      </c>
      <c r="O484" s="12">
        <v>5</v>
      </c>
      <c r="P484" s="12" t="s">
        <v>2461</v>
      </c>
      <c r="Q484" s="13" t="s">
        <v>2462</v>
      </c>
      <c r="R484" s="10"/>
      <c r="S484" s="10"/>
      <c r="T484" s="11"/>
    </row>
    <row r="485" spans="1:20" ht="112" x14ac:dyDescent="0.35">
      <c r="A485" s="12" t="s">
        <v>413</v>
      </c>
      <c r="B485" s="12" t="s">
        <v>238</v>
      </c>
      <c r="C485" s="13" t="s">
        <v>2463</v>
      </c>
      <c r="D485" s="13" t="s">
        <v>1577</v>
      </c>
      <c r="E485" s="12" t="s">
        <v>1437</v>
      </c>
      <c r="F485" s="12" t="s">
        <v>174</v>
      </c>
      <c r="G485" s="12"/>
      <c r="H485" s="12" t="s">
        <v>2464</v>
      </c>
      <c r="I485" s="14">
        <v>0.38619999999999999</v>
      </c>
      <c r="J485" s="12">
        <v>69.599999999999994</v>
      </c>
      <c r="K485" s="12" t="s">
        <v>2465</v>
      </c>
      <c r="L485" s="14">
        <v>0.32079999999999997</v>
      </c>
      <c r="M485" s="12" t="s">
        <v>2466</v>
      </c>
      <c r="N485" s="14">
        <v>0.316</v>
      </c>
      <c r="O485" s="12">
        <v>1</v>
      </c>
      <c r="P485" s="12" t="s">
        <v>1581</v>
      </c>
      <c r="Q485" s="13" t="s">
        <v>1582</v>
      </c>
      <c r="R485" s="10"/>
      <c r="S485" s="10"/>
      <c r="T485" s="11"/>
    </row>
    <row r="486" spans="1:20" ht="70" x14ac:dyDescent="0.35">
      <c r="A486" s="12" t="s">
        <v>413</v>
      </c>
      <c r="B486" s="12" t="s">
        <v>238</v>
      </c>
      <c r="C486" s="13" t="s">
        <v>2467</v>
      </c>
      <c r="D486" s="13" t="s">
        <v>2468</v>
      </c>
      <c r="E486" s="12" t="s">
        <v>1535</v>
      </c>
      <c r="F486" s="12" t="s">
        <v>174</v>
      </c>
      <c r="G486" s="12"/>
      <c r="H486" s="12" t="s">
        <v>2469</v>
      </c>
      <c r="I486" s="14">
        <v>0.38550000000000001</v>
      </c>
      <c r="J486" s="12">
        <v>69.5</v>
      </c>
      <c r="K486" s="12" t="s">
        <v>274</v>
      </c>
      <c r="L486" s="14">
        <v>0.35639999999999999</v>
      </c>
      <c r="M486" s="12" t="s">
        <v>2470</v>
      </c>
      <c r="N486" s="14">
        <v>0.32340000000000002</v>
      </c>
      <c r="O486" s="12">
        <v>1</v>
      </c>
      <c r="P486" s="12" t="s">
        <v>2471</v>
      </c>
      <c r="Q486" s="13" t="s">
        <v>2472</v>
      </c>
      <c r="R486" s="10"/>
      <c r="S486" s="10"/>
      <c r="T486" s="11"/>
    </row>
    <row r="487" spans="1:20" ht="28" x14ac:dyDescent="0.35">
      <c r="A487" s="12" t="s">
        <v>413</v>
      </c>
      <c r="B487" s="12" t="s">
        <v>238</v>
      </c>
      <c r="C487" s="13" t="s">
        <v>2473</v>
      </c>
      <c r="D487" s="13" t="s">
        <v>2474</v>
      </c>
      <c r="E487" s="12" t="s">
        <v>2475</v>
      </c>
      <c r="F487" s="12" t="s">
        <v>174</v>
      </c>
      <c r="G487" s="12"/>
      <c r="H487" s="12" t="s">
        <v>1530</v>
      </c>
      <c r="I487" s="14">
        <v>0.38500000000000001</v>
      </c>
      <c r="J487" s="12">
        <v>69.3</v>
      </c>
      <c r="K487" s="12" t="s">
        <v>2476</v>
      </c>
      <c r="L487" s="14">
        <v>0.24560000000000001</v>
      </c>
      <c r="M487" s="12" t="s">
        <v>2168</v>
      </c>
      <c r="N487" s="14">
        <v>0.2356</v>
      </c>
      <c r="O487" s="12">
        <v>2</v>
      </c>
      <c r="P487" s="12" t="s">
        <v>2477</v>
      </c>
      <c r="Q487" s="13" t="s">
        <v>2478</v>
      </c>
      <c r="R487" s="10"/>
      <c r="S487" s="10"/>
      <c r="T487" s="11"/>
    </row>
    <row r="488" spans="1:20" ht="56" x14ac:dyDescent="0.35">
      <c r="A488" s="12" t="s">
        <v>413</v>
      </c>
      <c r="B488" s="12" t="s">
        <v>238</v>
      </c>
      <c r="C488" s="13" t="s">
        <v>2479</v>
      </c>
      <c r="D488" s="13" t="s">
        <v>2480</v>
      </c>
      <c r="E488" s="12" t="s">
        <v>2481</v>
      </c>
      <c r="F488" s="12" t="s">
        <v>174</v>
      </c>
      <c r="G488" s="12"/>
      <c r="H488" s="12" t="s">
        <v>2482</v>
      </c>
      <c r="I488" s="14">
        <v>0.3836</v>
      </c>
      <c r="J488" s="12">
        <v>69</v>
      </c>
      <c r="K488" s="12" t="s">
        <v>2483</v>
      </c>
      <c r="L488" s="14">
        <v>0.36299999999999999</v>
      </c>
      <c r="M488" s="12" t="s">
        <v>1427</v>
      </c>
      <c r="N488" s="14">
        <v>0.3609</v>
      </c>
      <c r="O488" s="12">
        <v>1</v>
      </c>
      <c r="P488" s="12" t="s">
        <v>2484</v>
      </c>
      <c r="Q488" s="13" t="s">
        <v>2485</v>
      </c>
      <c r="R488" s="10"/>
      <c r="S488" s="10"/>
      <c r="T488" s="11"/>
    </row>
    <row r="489" spans="1:20" ht="84" x14ac:dyDescent="0.35">
      <c r="A489" s="12" t="s">
        <v>413</v>
      </c>
      <c r="B489" s="12" t="s">
        <v>238</v>
      </c>
      <c r="C489" s="13" t="s">
        <v>2486</v>
      </c>
      <c r="D489" s="13" t="s">
        <v>2487</v>
      </c>
      <c r="E489" s="12" t="s">
        <v>1294</v>
      </c>
      <c r="F489" s="12" t="s">
        <v>174</v>
      </c>
      <c r="G489" s="12"/>
      <c r="H489" s="12" t="s">
        <v>299</v>
      </c>
      <c r="I489" s="14">
        <v>0.38369999999999999</v>
      </c>
      <c r="J489" s="12">
        <v>69</v>
      </c>
      <c r="K489" s="12" t="s">
        <v>2488</v>
      </c>
      <c r="L489" s="14">
        <v>0.33550000000000002</v>
      </c>
      <c r="M489" s="12" t="s">
        <v>220</v>
      </c>
      <c r="N489" s="14">
        <v>0.33339999999999997</v>
      </c>
      <c r="O489" s="12">
        <v>2</v>
      </c>
      <c r="P489" s="12" t="s">
        <v>2489</v>
      </c>
      <c r="Q489" s="13" t="s">
        <v>2490</v>
      </c>
      <c r="R489" s="10"/>
      <c r="S489" s="10"/>
      <c r="T489" s="11"/>
    </row>
    <row r="490" spans="1:20" ht="70" x14ac:dyDescent="0.35">
      <c r="A490" s="12" t="s">
        <v>413</v>
      </c>
      <c r="B490" s="12" t="s">
        <v>238</v>
      </c>
      <c r="C490" s="13" t="s">
        <v>2491</v>
      </c>
      <c r="D490" s="13" t="s">
        <v>2492</v>
      </c>
      <c r="E490" s="12" t="s">
        <v>1308</v>
      </c>
      <c r="F490" s="12" t="s">
        <v>174</v>
      </c>
      <c r="G490" s="12"/>
      <c r="H490" s="12" t="s">
        <v>1549</v>
      </c>
      <c r="I490" s="14">
        <v>0.38340000000000002</v>
      </c>
      <c r="J490" s="12">
        <v>68.900000000000006</v>
      </c>
      <c r="K490" s="12" t="s">
        <v>448</v>
      </c>
      <c r="L490" s="14">
        <v>0.21429999999999999</v>
      </c>
      <c r="M490" s="12" t="s">
        <v>2493</v>
      </c>
      <c r="N490" s="14">
        <v>0.2082</v>
      </c>
      <c r="O490" s="12">
        <v>1</v>
      </c>
      <c r="P490" s="12" t="s">
        <v>2494</v>
      </c>
      <c r="Q490" s="13" t="s">
        <v>2495</v>
      </c>
      <c r="R490" s="10"/>
      <c r="S490" s="10"/>
      <c r="T490" s="11"/>
    </row>
    <row r="491" spans="1:20" ht="70" x14ac:dyDescent="0.35">
      <c r="A491" s="12" t="s">
        <v>413</v>
      </c>
      <c r="B491" s="12" t="s">
        <v>238</v>
      </c>
      <c r="C491" s="13" t="s">
        <v>2496</v>
      </c>
      <c r="D491" s="13" t="s">
        <v>2497</v>
      </c>
      <c r="E491" s="12" t="s">
        <v>2498</v>
      </c>
      <c r="F491" s="12" t="s">
        <v>174</v>
      </c>
      <c r="G491" s="12"/>
      <c r="H491" s="12" t="s">
        <v>1434</v>
      </c>
      <c r="I491" s="14">
        <v>0.38290000000000002</v>
      </c>
      <c r="J491" s="12">
        <v>68.8</v>
      </c>
      <c r="K491" s="12"/>
      <c r="L491" s="14"/>
      <c r="M491" s="12"/>
      <c r="N491" s="14"/>
      <c r="O491" s="12">
        <v>2</v>
      </c>
      <c r="P491" s="12" t="s">
        <v>2499</v>
      </c>
      <c r="Q491" s="13" t="s">
        <v>2500</v>
      </c>
      <c r="R491" s="10"/>
      <c r="S491" s="10"/>
      <c r="T491" s="11"/>
    </row>
    <row r="492" spans="1:20" ht="84" x14ac:dyDescent="0.35">
      <c r="A492" s="12" t="s">
        <v>413</v>
      </c>
      <c r="B492" s="12" t="s">
        <v>238</v>
      </c>
      <c r="C492" s="13" t="s">
        <v>2501</v>
      </c>
      <c r="D492" s="13" t="s">
        <v>874</v>
      </c>
      <c r="E492" s="12" t="s">
        <v>1483</v>
      </c>
      <c r="F492" s="12" t="s">
        <v>174</v>
      </c>
      <c r="G492" s="12"/>
      <c r="H492" s="12" t="s">
        <v>2502</v>
      </c>
      <c r="I492" s="14">
        <v>0.3831</v>
      </c>
      <c r="J492" s="12">
        <v>68.8</v>
      </c>
      <c r="K492" s="12" t="s">
        <v>1396</v>
      </c>
      <c r="L492" s="14">
        <v>0.29370000000000002</v>
      </c>
      <c r="M492" s="12" t="s">
        <v>2503</v>
      </c>
      <c r="N492" s="14">
        <v>0.29110000000000003</v>
      </c>
      <c r="O492" s="12">
        <v>3</v>
      </c>
      <c r="P492" s="12" t="s">
        <v>877</v>
      </c>
      <c r="Q492" s="13" t="s">
        <v>878</v>
      </c>
      <c r="R492" s="10"/>
      <c r="S492" s="10"/>
      <c r="T492" s="11"/>
    </row>
    <row r="493" spans="1:20" ht="84" x14ac:dyDescent="0.35">
      <c r="A493" s="12" t="s">
        <v>413</v>
      </c>
      <c r="B493" s="12" t="s">
        <v>238</v>
      </c>
      <c r="C493" s="13" t="s">
        <v>2504</v>
      </c>
      <c r="D493" s="13"/>
      <c r="E493" s="12"/>
      <c r="F493" s="12" t="s">
        <v>174</v>
      </c>
      <c r="G493" s="12"/>
      <c r="H493" s="12" t="s">
        <v>255</v>
      </c>
      <c r="I493" s="14">
        <v>0.3821</v>
      </c>
      <c r="J493" s="12">
        <v>68.599999999999994</v>
      </c>
      <c r="K493" s="12" t="s">
        <v>2505</v>
      </c>
      <c r="L493" s="14">
        <v>0.217</v>
      </c>
      <c r="M493" s="12" t="s">
        <v>1269</v>
      </c>
      <c r="N493" s="14">
        <v>0.21410000000000001</v>
      </c>
      <c r="O493" s="12">
        <v>1</v>
      </c>
      <c r="P493" s="12" t="s">
        <v>2506</v>
      </c>
      <c r="Q493" s="13" t="s">
        <v>2507</v>
      </c>
      <c r="R493" s="10"/>
      <c r="S493" s="10"/>
      <c r="T493" s="11"/>
    </row>
    <row r="494" spans="1:20" ht="84" x14ac:dyDescent="0.35">
      <c r="A494" s="12" t="s">
        <v>413</v>
      </c>
      <c r="B494" s="12" t="s">
        <v>238</v>
      </c>
      <c r="C494" s="13" t="s">
        <v>2508</v>
      </c>
      <c r="D494" s="13" t="s">
        <v>2509</v>
      </c>
      <c r="E494" s="12" t="s">
        <v>1322</v>
      </c>
      <c r="F494" s="12" t="s">
        <v>174</v>
      </c>
      <c r="G494" s="12"/>
      <c r="H494" s="12" t="s">
        <v>1784</v>
      </c>
      <c r="I494" s="14">
        <v>0.38219999999999998</v>
      </c>
      <c r="J494" s="12">
        <v>68.599999999999994</v>
      </c>
      <c r="K494" s="12" t="s">
        <v>1445</v>
      </c>
      <c r="L494" s="14">
        <v>0.2492</v>
      </c>
      <c r="M494" s="12" t="s">
        <v>1310</v>
      </c>
      <c r="N494" s="14">
        <v>0.2261</v>
      </c>
      <c r="O494" s="12">
        <v>1</v>
      </c>
      <c r="P494" s="12" t="s">
        <v>2510</v>
      </c>
      <c r="Q494" s="13" t="s">
        <v>2511</v>
      </c>
      <c r="R494" s="10"/>
      <c r="S494" s="10"/>
      <c r="T494" s="11"/>
    </row>
    <row r="495" spans="1:20" ht="56" x14ac:dyDescent="0.35">
      <c r="A495" s="12" t="s">
        <v>413</v>
      </c>
      <c r="B495" s="12" t="s">
        <v>238</v>
      </c>
      <c r="C495" s="13" t="s">
        <v>2512</v>
      </c>
      <c r="D495" s="13" t="s">
        <v>2513</v>
      </c>
      <c r="E495" s="12" t="s">
        <v>352</v>
      </c>
      <c r="F495" s="12" t="s">
        <v>174</v>
      </c>
      <c r="G495" s="12"/>
      <c r="H495" s="12" t="s">
        <v>355</v>
      </c>
      <c r="I495" s="14">
        <v>0.38019999999999998</v>
      </c>
      <c r="J495" s="12">
        <v>68</v>
      </c>
      <c r="K495" s="12" t="s">
        <v>2514</v>
      </c>
      <c r="L495" s="14">
        <v>0.37009999999999998</v>
      </c>
      <c r="M495" s="12" t="s">
        <v>2515</v>
      </c>
      <c r="N495" s="14">
        <v>0.3155</v>
      </c>
      <c r="O495" s="12">
        <v>1</v>
      </c>
      <c r="P495" s="12" t="s">
        <v>2516</v>
      </c>
      <c r="Q495" s="13" t="s">
        <v>2517</v>
      </c>
      <c r="R495" s="10"/>
      <c r="S495" s="10"/>
      <c r="T495" s="11"/>
    </row>
    <row r="496" spans="1:20" ht="56" x14ac:dyDescent="0.35">
      <c r="A496" s="12" t="s">
        <v>413</v>
      </c>
      <c r="B496" s="12" t="s">
        <v>238</v>
      </c>
      <c r="C496" s="13" t="s">
        <v>2518</v>
      </c>
      <c r="D496" s="13" t="s">
        <v>2519</v>
      </c>
      <c r="E496" s="12" t="s">
        <v>2498</v>
      </c>
      <c r="F496" s="12" t="s">
        <v>174</v>
      </c>
      <c r="G496" s="12"/>
      <c r="H496" s="12" t="s">
        <v>1434</v>
      </c>
      <c r="I496" s="14">
        <v>0.37880000000000003</v>
      </c>
      <c r="J496" s="12">
        <v>67.7</v>
      </c>
      <c r="K496" s="12" t="s">
        <v>2520</v>
      </c>
      <c r="L496" s="14">
        <v>0.2465</v>
      </c>
      <c r="M496" s="12" t="s">
        <v>2521</v>
      </c>
      <c r="N496" s="14">
        <v>0.2462</v>
      </c>
      <c r="O496" s="12">
        <v>1</v>
      </c>
      <c r="P496" s="12" t="s">
        <v>2522</v>
      </c>
      <c r="Q496" s="13" t="s">
        <v>2523</v>
      </c>
      <c r="R496" s="10"/>
      <c r="S496" s="10"/>
      <c r="T496" s="11"/>
    </row>
    <row r="497" spans="1:20" ht="98" x14ac:dyDescent="0.35">
      <c r="A497" s="12" t="s">
        <v>413</v>
      </c>
      <c r="B497" s="12" t="s">
        <v>238</v>
      </c>
      <c r="C497" s="13" t="s">
        <v>2524</v>
      </c>
      <c r="D497" s="13" t="s">
        <v>2525</v>
      </c>
      <c r="E497" s="12" t="s">
        <v>2526</v>
      </c>
      <c r="F497" s="12" t="s">
        <v>174</v>
      </c>
      <c r="G497" s="12"/>
      <c r="H497" s="12" t="s">
        <v>221</v>
      </c>
      <c r="I497" s="14">
        <v>0.37840000000000001</v>
      </c>
      <c r="J497" s="12">
        <v>67.599999999999994</v>
      </c>
      <c r="K497" s="12" t="s">
        <v>220</v>
      </c>
      <c r="L497" s="14">
        <v>0.2389</v>
      </c>
      <c r="M497" s="12" t="s">
        <v>2459</v>
      </c>
      <c r="N497" s="14">
        <v>0.23219999999999999</v>
      </c>
      <c r="O497" s="12">
        <v>4</v>
      </c>
      <c r="P497" s="12" t="s">
        <v>2527</v>
      </c>
      <c r="Q497" s="13" t="s">
        <v>2528</v>
      </c>
      <c r="R497" s="10"/>
      <c r="S497" s="10"/>
      <c r="T497" s="11"/>
    </row>
    <row r="498" spans="1:20" ht="84" x14ac:dyDescent="0.35">
      <c r="A498" s="12" t="s">
        <v>413</v>
      </c>
      <c r="B498" s="12" t="s">
        <v>238</v>
      </c>
      <c r="C498" s="13" t="s">
        <v>2529</v>
      </c>
      <c r="D498" s="13" t="s">
        <v>1474</v>
      </c>
      <c r="E498" s="12" t="s">
        <v>2530</v>
      </c>
      <c r="F498" s="12" t="s">
        <v>174</v>
      </c>
      <c r="G498" s="12"/>
      <c r="H498" s="12" t="s">
        <v>355</v>
      </c>
      <c r="I498" s="14">
        <v>0.37840000000000001</v>
      </c>
      <c r="J498" s="12">
        <v>67.599999999999994</v>
      </c>
      <c r="K498" s="12" t="s">
        <v>2514</v>
      </c>
      <c r="L498" s="14">
        <v>0.30509999999999998</v>
      </c>
      <c r="M498" s="12" t="s">
        <v>2531</v>
      </c>
      <c r="N498" s="14">
        <v>0.2702</v>
      </c>
      <c r="O498" s="12">
        <v>1</v>
      </c>
      <c r="P498" s="12" t="s">
        <v>1479</v>
      </c>
      <c r="Q498" s="13" t="s">
        <v>1480</v>
      </c>
      <c r="R498" s="10"/>
      <c r="S498" s="10"/>
      <c r="T498" s="11"/>
    </row>
    <row r="499" spans="1:20" ht="84" x14ac:dyDescent="0.35">
      <c r="A499" s="12" t="s">
        <v>413</v>
      </c>
      <c r="B499" s="12" t="s">
        <v>238</v>
      </c>
      <c r="C499" s="13" t="s">
        <v>1650</v>
      </c>
      <c r="D499" s="13"/>
      <c r="E499" s="12"/>
      <c r="F499" s="12" t="s">
        <v>174</v>
      </c>
      <c r="G499" s="12"/>
      <c r="H499" s="12" t="s">
        <v>1652</v>
      </c>
      <c r="I499" s="14">
        <v>0.37809999999999999</v>
      </c>
      <c r="J499" s="12">
        <v>67.5</v>
      </c>
      <c r="K499" s="12" t="s">
        <v>1672</v>
      </c>
      <c r="L499" s="14">
        <v>0.32969999999999999</v>
      </c>
      <c r="M499" s="12" t="s">
        <v>2532</v>
      </c>
      <c r="N499" s="14">
        <v>0.28299999999999997</v>
      </c>
      <c r="O499" s="12">
        <v>10</v>
      </c>
      <c r="P499" s="12" t="s">
        <v>2533</v>
      </c>
      <c r="Q499" s="13" t="s">
        <v>2534</v>
      </c>
      <c r="R499" s="10"/>
      <c r="S499" s="10"/>
      <c r="T499" s="11"/>
    </row>
    <row r="500" spans="1:20" ht="56" x14ac:dyDescent="0.35">
      <c r="A500" s="12" t="s">
        <v>413</v>
      </c>
      <c r="B500" s="12" t="s">
        <v>238</v>
      </c>
      <c r="C500" s="13" t="s">
        <v>2535</v>
      </c>
      <c r="D500" s="13" t="s">
        <v>2536</v>
      </c>
      <c r="E500" s="12" t="s">
        <v>373</v>
      </c>
      <c r="F500" s="12" t="s">
        <v>174</v>
      </c>
      <c r="G500" s="12"/>
      <c r="H500" s="12" t="s">
        <v>1806</v>
      </c>
      <c r="I500" s="14">
        <v>0.3775</v>
      </c>
      <c r="J500" s="12">
        <v>67.3</v>
      </c>
      <c r="K500" s="12" t="s">
        <v>2537</v>
      </c>
      <c r="L500" s="14">
        <v>0.36199999999999999</v>
      </c>
      <c r="M500" s="12" t="s">
        <v>2514</v>
      </c>
      <c r="N500" s="14">
        <v>0.36109999999999998</v>
      </c>
      <c r="O500" s="12">
        <v>1</v>
      </c>
      <c r="P500" s="12" t="s">
        <v>2538</v>
      </c>
      <c r="Q500" s="13" t="s">
        <v>2539</v>
      </c>
      <c r="R500" s="10"/>
      <c r="S500" s="10"/>
      <c r="T500" s="11"/>
    </row>
    <row r="501" spans="1:20" ht="56" x14ac:dyDescent="0.35">
      <c r="A501" s="12" t="s">
        <v>413</v>
      </c>
      <c r="B501" s="12" t="s">
        <v>238</v>
      </c>
      <c r="C501" s="13" t="s">
        <v>2540</v>
      </c>
      <c r="D501" s="13" t="s">
        <v>2541</v>
      </c>
      <c r="E501" s="12"/>
      <c r="F501" s="12" t="s">
        <v>174</v>
      </c>
      <c r="G501" s="12"/>
      <c r="H501" s="12" t="s">
        <v>1544</v>
      </c>
      <c r="I501" s="14">
        <v>0.37730000000000002</v>
      </c>
      <c r="J501" s="12">
        <v>67.3</v>
      </c>
      <c r="K501" s="12" t="s">
        <v>2542</v>
      </c>
      <c r="L501" s="14">
        <v>0.35310000000000002</v>
      </c>
      <c r="M501" s="12" t="s">
        <v>2543</v>
      </c>
      <c r="N501" s="14">
        <v>0.3518</v>
      </c>
      <c r="O501" s="12">
        <v>1</v>
      </c>
      <c r="P501" s="12" t="s">
        <v>2544</v>
      </c>
      <c r="Q501" s="13" t="s">
        <v>2545</v>
      </c>
      <c r="R501" s="10"/>
      <c r="S501" s="10"/>
      <c r="T501" s="11"/>
    </row>
    <row r="502" spans="1:20" ht="42" x14ac:dyDescent="0.35">
      <c r="A502" s="12" t="s">
        <v>413</v>
      </c>
      <c r="B502" s="12" t="s">
        <v>238</v>
      </c>
      <c r="C502" s="13" t="s">
        <v>2546</v>
      </c>
      <c r="D502" s="13" t="s">
        <v>2547</v>
      </c>
      <c r="E502" s="12" t="s">
        <v>2360</v>
      </c>
      <c r="F502" s="12" t="s">
        <v>174</v>
      </c>
      <c r="G502" s="12"/>
      <c r="H502" s="12" t="s">
        <v>330</v>
      </c>
      <c r="I502" s="14">
        <v>0.37709999999999999</v>
      </c>
      <c r="J502" s="12">
        <v>67.2</v>
      </c>
      <c r="K502" s="12"/>
      <c r="L502" s="14"/>
      <c r="M502" s="12"/>
      <c r="N502" s="14"/>
      <c r="O502" s="12">
        <v>1</v>
      </c>
      <c r="P502" s="12" t="s">
        <v>2548</v>
      </c>
      <c r="Q502" s="13" t="s">
        <v>2549</v>
      </c>
      <c r="R502" s="10"/>
      <c r="S502" s="10"/>
      <c r="T502" s="11"/>
    </row>
    <row r="503" spans="1:20" ht="98" x14ac:dyDescent="0.35">
      <c r="A503" s="12" t="s">
        <v>413</v>
      </c>
      <c r="B503" s="12" t="s">
        <v>238</v>
      </c>
      <c r="C503" s="13" t="s">
        <v>2550</v>
      </c>
      <c r="D503" s="13" t="s">
        <v>1934</v>
      </c>
      <c r="E503" s="12" t="s">
        <v>2550</v>
      </c>
      <c r="F503" s="12" t="s">
        <v>174</v>
      </c>
      <c r="G503" s="12"/>
      <c r="H503" s="12" t="s">
        <v>2551</v>
      </c>
      <c r="I503" s="14">
        <v>0.37430000000000002</v>
      </c>
      <c r="J503" s="12">
        <v>66.5</v>
      </c>
      <c r="K503" s="12" t="s">
        <v>2552</v>
      </c>
      <c r="L503" s="14">
        <v>0.31309999999999999</v>
      </c>
      <c r="M503" s="12" t="s">
        <v>2553</v>
      </c>
      <c r="N503" s="14">
        <v>0.31190000000000001</v>
      </c>
      <c r="O503" s="12">
        <v>1</v>
      </c>
      <c r="P503" s="12" t="s">
        <v>1936</v>
      </c>
      <c r="Q503" s="13" t="s">
        <v>1937</v>
      </c>
      <c r="R503" s="10"/>
      <c r="S503" s="10"/>
      <c r="T503" s="11"/>
    </row>
    <row r="504" spans="1:20" ht="84" x14ac:dyDescent="0.35">
      <c r="A504" s="12" t="s">
        <v>413</v>
      </c>
      <c r="B504" s="12" t="s">
        <v>238</v>
      </c>
      <c r="C504" s="13" t="s">
        <v>2554</v>
      </c>
      <c r="D504" s="13" t="s">
        <v>2555</v>
      </c>
      <c r="E504" s="12" t="s">
        <v>232</v>
      </c>
      <c r="F504" s="12" t="s">
        <v>174</v>
      </c>
      <c r="G504" s="12"/>
      <c r="H504" s="12" t="s">
        <v>26</v>
      </c>
      <c r="I504" s="14">
        <v>0.37219999999999998</v>
      </c>
      <c r="J504" s="12">
        <v>65.900000000000006</v>
      </c>
      <c r="K504" s="12" t="s">
        <v>201</v>
      </c>
      <c r="L504" s="14">
        <v>0.36059999999999998</v>
      </c>
      <c r="M504" s="12" t="s">
        <v>1673</v>
      </c>
      <c r="N504" s="14">
        <v>0.35510000000000003</v>
      </c>
      <c r="O504" s="12">
        <v>1</v>
      </c>
      <c r="P504" s="12" t="s">
        <v>2556</v>
      </c>
      <c r="Q504" s="13" t="s">
        <v>2557</v>
      </c>
      <c r="R504" s="10"/>
      <c r="S504" s="10"/>
      <c r="T504" s="11"/>
    </row>
    <row r="505" spans="1:20" ht="42" x14ac:dyDescent="0.35">
      <c r="A505" s="12" t="s">
        <v>413</v>
      </c>
      <c r="B505" s="12" t="s">
        <v>238</v>
      </c>
      <c r="C505" s="13" t="s">
        <v>2558</v>
      </c>
      <c r="D505" s="13"/>
      <c r="E505" s="12" t="s">
        <v>1394</v>
      </c>
      <c r="F505" s="12" t="s">
        <v>174</v>
      </c>
      <c r="G505" s="12"/>
      <c r="H505" s="12" t="s">
        <v>533</v>
      </c>
      <c r="I505" s="14">
        <v>0.37119999999999997</v>
      </c>
      <c r="J505" s="12">
        <v>65.599999999999994</v>
      </c>
      <c r="K505" s="12" t="s">
        <v>1396</v>
      </c>
      <c r="L505" s="14">
        <v>0.2722</v>
      </c>
      <c r="M505" s="12" t="s">
        <v>1397</v>
      </c>
      <c r="N505" s="14">
        <v>0.2029</v>
      </c>
      <c r="O505" s="12">
        <v>5</v>
      </c>
      <c r="P505" s="12" t="s">
        <v>2559</v>
      </c>
      <c r="Q505" s="13" t="s">
        <v>2560</v>
      </c>
      <c r="R505" s="10"/>
      <c r="S505" s="10"/>
      <c r="T505" s="11"/>
    </row>
    <row r="506" spans="1:20" ht="84" x14ac:dyDescent="0.35">
      <c r="A506" s="12" t="s">
        <v>413</v>
      </c>
      <c r="B506" s="12" t="s">
        <v>238</v>
      </c>
      <c r="C506" s="13" t="s">
        <v>2561</v>
      </c>
      <c r="D506" s="13"/>
      <c r="E506" s="12" t="s">
        <v>2360</v>
      </c>
      <c r="F506" s="12" t="s">
        <v>174</v>
      </c>
      <c r="G506" s="12"/>
      <c r="H506" s="12" t="s">
        <v>2562</v>
      </c>
      <c r="I506" s="14">
        <v>0.37069999999999997</v>
      </c>
      <c r="J506" s="12">
        <v>65.5</v>
      </c>
      <c r="K506" s="12" t="s">
        <v>330</v>
      </c>
      <c r="L506" s="14">
        <v>0.35420000000000001</v>
      </c>
      <c r="M506" s="12" t="s">
        <v>2563</v>
      </c>
      <c r="N506" s="14">
        <v>0.27150000000000002</v>
      </c>
      <c r="O506" s="12">
        <v>2</v>
      </c>
      <c r="P506" s="12" t="s">
        <v>2564</v>
      </c>
      <c r="Q506" s="13" t="s">
        <v>2565</v>
      </c>
      <c r="R506" s="10"/>
      <c r="S506" s="10"/>
      <c r="T506" s="11"/>
    </row>
    <row r="507" spans="1:20" ht="28" x14ac:dyDescent="0.35">
      <c r="A507" s="12" t="s">
        <v>413</v>
      </c>
      <c r="B507" s="12" t="s">
        <v>238</v>
      </c>
      <c r="C507" s="13" t="s">
        <v>2566</v>
      </c>
      <c r="D507" s="13" t="s">
        <v>2567</v>
      </c>
      <c r="E507" s="12" t="s">
        <v>2568</v>
      </c>
      <c r="F507" s="12" t="s">
        <v>174</v>
      </c>
      <c r="G507" s="12"/>
      <c r="H507" s="12" t="s">
        <v>1343</v>
      </c>
      <c r="I507" s="14">
        <v>0.36930000000000002</v>
      </c>
      <c r="J507" s="12">
        <v>65.099999999999994</v>
      </c>
      <c r="K507" s="12" t="s">
        <v>2569</v>
      </c>
      <c r="L507" s="14">
        <v>0.21560000000000001</v>
      </c>
      <c r="M507" s="12" t="s">
        <v>2570</v>
      </c>
      <c r="N507" s="14">
        <v>0.20519999999999999</v>
      </c>
      <c r="O507" s="12">
        <v>1</v>
      </c>
      <c r="P507" s="12" t="s">
        <v>2571</v>
      </c>
      <c r="Q507" s="13" t="s">
        <v>2572</v>
      </c>
      <c r="R507" s="10"/>
      <c r="S507" s="10"/>
      <c r="T507" s="11"/>
    </row>
    <row r="508" spans="1:20" ht="28" x14ac:dyDescent="0.35">
      <c r="A508" s="12" t="s">
        <v>413</v>
      </c>
      <c r="B508" s="12" t="s">
        <v>238</v>
      </c>
      <c r="C508" s="13" t="s">
        <v>2573</v>
      </c>
      <c r="D508" s="13"/>
      <c r="E508" s="12" t="s">
        <v>1426</v>
      </c>
      <c r="F508" s="12" t="s">
        <v>174</v>
      </c>
      <c r="G508" s="12"/>
      <c r="H508" s="12" t="s">
        <v>1428</v>
      </c>
      <c r="I508" s="14">
        <v>0.36870000000000003</v>
      </c>
      <c r="J508" s="12">
        <v>65</v>
      </c>
      <c r="K508" s="12" t="s">
        <v>1427</v>
      </c>
      <c r="L508" s="14">
        <v>0.3004</v>
      </c>
      <c r="M508" s="12" t="s">
        <v>2574</v>
      </c>
      <c r="N508" s="14">
        <v>0.28349999999999997</v>
      </c>
      <c r="O508" s="12">
        <v>2</v>
      </c>
      <c r="P508" s="12" t="s">
        <v>2575</v>
      </c>
      <c r="Q508" s="13" t="s">
        <v>2576</v>
      </c>
      <c r="R508" s="10"/>
      <c r="S508" s="10"/>
      <c r="T508" s="11"/>
    </row>
    <row r="509" spans="1:20" ht="42" x14ac:dyDescent="0.35">
      <c r="A509" s="12" t="s">
        <v>413</v>
      </c>
      <c r="B509" s="12" t="s">
        <v>238</v>
      </c>
      <c r="C509" s="13" t="s">
        <v>2577</v>
      </c>
      <c r="D509" s="13" t="s">
        <v>2578</v>
      </c>
      <c r="E509" s="12" t="s">
        <v>1751</v>
      </c>
      <c r="F509" s="12" t="s">
        <v>174</v>
      </c>
      <c r="G509" s="12"/>
      <c r="H509" s="12" t="s">
        <v>1752</v>
      </c>
      <c r="I509" s="14">
        <v>0.36730000000000002</v>
      </c>
      <c r="J509" s="12">
        <v>64.599999999999994</v>
      </c>
      <c r="K509" s="12" t="s">
        <v>2579</v>
      </c>
      <c r="L509" s="14">
        <v>0.36070000000000002</v>
      </c>
      <c r="M509" s="12" t="s">
        <v>2580</v>
      </c>
      <c r="N509" s="14">
        <v>0.35389999999999999</v>
      </c>
      <c r="O509" s="12">
        <v>1</v>
      </c>
      <c r="P509" s="12" t="s">
        <v>2581</v>
      </c>
      <c r="Q509" s="13" t="s">
        <v>2582</v>
      </c>
      <c r="R509" s="10"/>
      <c r="S509" s="10"/>
      <c r="T509" s="11"/>
    </row>
    <row r="510" spans="1:20" ht="56" x14ac:dyDescent="0.35">
      <c r="A510" s="12" t="s">
        <v>413</v>
      </c>
      <c r="B510" s="12" t="s">
        <v>238</v>
      </c>
      <c r="C510" s="13" t="s">
        <v>2583</v>
      </c>
      <c r="D510" s="13" t="s">
        <v>2584</v>
      </c>
      <c r="E510" s="12" t="s">
        <v>2585</v>
      </c>
      <c r="F510" s="12" t="s">
        <v>174</v>
      </c>
      <c r="G510" s="12"/>
      <c r="H510" s="12" t="s">
        <v>1980</v>
      </c>
      <c r="I510" s="14">
        <v>0.36699999999999999</v>
      </c>
      <c r="J510" s="12">
        <v>64.5</v>
      </c>
      <c r="K510" s="12" t="s">
        <v>1776</v>
      </c>
      <c r="L510" s="14">
        <v>0.36559999999999998</v>
      </c>
      <c r="M510" s="12" t="s">
        <v>1324</v>
      </c>
      <c r="N510" s="14">
        <v>0.35859999999999997</v>
      </c>
      <c r="O510" s="12">
        <v>1</v>
      </c>
      <c r="P510" s="12" t="s">
        <v>2586</v>
      </c>
      <c r="Q510" s="13" t="s">
        <v>2587</v>
      </c>
      <c r="R510" s="10"/>
      <c r="S510" s="10"/>
      <c r="T510" s="11"/>
    </row>
    <row r="511" spans="1:20" ht="84" x14ac:dyDescent="0.35">
      <c r="A511" s="12" t="s">
        <v>413</v>
      </c>
      <c r="B511" s="12" t="s">
        <v>238</v>
      </c>
      <c r="C511" s="13" t="s">
        <v>2588</v>
      </c>
      <c r="D511" s="13" t="s">
        <v>2589</v>
      </c>
      <c r="E511" s="12" t="s">
        <v>2401</v>
      </c>
      <c r="F511" s="12" t="s">
        <v>174</v>
      </c>
      <c r="G511" s="12"/>
      <c r="H511" s="12" t="s">
        <v>2403</v>
      </c>
      <c r="I511" s="14">
        <v>0.36620000000000003</v>
      </c>
      <c r="J511" s="12">
        <v>64.3</v>
      </c>
      <c r="K511" s="12" t="s">
        <v>2590</v>
      </c>
      <c r="L511" s="14">
        <v>0.28989999999999999</v>
      </c>
      <c r="M511" s="12" t="s">
        <v>1737</v>
      </c>
      <c r="N511" s="14">
        <v>0.2676</v>
      </c>
      <c r="O511" s="12">
        <v>4</v>
      </c>
      <c r="P511" s="12" t="s">
        <v>2591</v>
      </c>
      <c r="Q511" s="13" t="s">
        <v>2592</v>
      </c>
      <c r="R511" s="10"/>
      <c r="S511" s="10"/>
      <c r="T511" s="11"/>
    </row>
    <row r="512" spans="1:20" ht="70" x14ac:dyDescent="0.35">
      <c r="A512" s="12" t="s">
        <v>413</v>
      </c>
      <c r="B512" s="12" t="s">
        <v>238</v>
      </c>
      <c r="C512" s="13" t="s">
        <v>2593</v>
      </c>
      <c r="D512" s="13" t="s">
        <v>2594</v>
      </c>
      <c r="E512" s="12" t="s">
        <v>2595</v>
      </c>
      <c r="F512" s="12" t="s">
        <v>174</v>
      </c>
      <c r="G512" s="12"/>
      <c r="H512" s="12" t="s">
        <v>2596</v>
      </c>
      <c r="I512" s="14">
        <v>0.3659</v>
      </c>
      <c r="J512" s="12">
        <v>64.2</v>
      </c>
      <c r="K512" s="12" t="s">
        <v>2597</v>
      </c>
      <c r="L512" s="14">
        <v>0.28000000000000003</v>
      </c>
      <c r="M512" s="12" t="s">
        <v>2598</v>
      </c>
      <c r="N512" s="14">
        <v>0.254</v>
      </c>
      <c r="O512" s="12">
        <v>1</v>
      </c>
      <c r="P512" s="12" t="s">
        <v>2599</v>
      </c>
      <c r="Q512" s="13" t="s">
        <v>2600</v>
      </c>
      <c r="R512" s="10"/>
      <c r="S512" s="10"/>
      <c r="T512" s="11"/>
    </row>
    <row r="513" spans="1:20" ht="84" x14ac:dyDescent="0.35">
      <c r="A513" s="12" t="s">
        <v>413</v>
      </c>
      <c r="B513" s="12" t="s">
        <v>238</v>
      </c>
      <c r="C513" s="13" t="s">
        <v>2601</v>
      </c>
      <c r="D513" s="13"/>
      <c r="E513" s="12" t="s">
        <v>1394</v>
      </c>
      <c r="F513" s="12" t="s">
        <v>174</v>
      </c>
      <c r="G513" s="12"/>
      <c r="H513" s="12" t="s">
        <v>2602</v>
      </c>
      <c r="I513" s="14">
        <v>0.36559999999999998</v>
      </c>
      <c r="J513" s="12">
        <v>64.2</v>
      </c>
      <c r="K513" s="12" t="s">
        <v>2603</v>
      </c>
      <c r="L513" s="14">
        <v>0.35780000000000001</v>
      </c>
      <c r="M513" s="12" t="s">
        <v>2604</v>
      </c>
      <c r="N513" s="14">
        <v>0.3523</v>
      </c>
      <c r="O513" s="12">
        <v>1</v>
      </c>
      <c r="P513" s="12" t="s">
        <v>2605</v>
      </c>
      <c r="Q513" s="13" t="s">
        <v>2606</v>
      </c>
      <c r="R513" s="10"/>
      <c r="S513" s="10"/>
      <c r="T513" s="11"/>
    </row>
    <row r="514" spans="1:20" ht="98" x14ac:dyDescent="0.35">
      <c r="A514" s="12" t="s">
        <v>413</v>
      </c>
      <c r="B514" s="12" t="s">
        <v>238</v>
      </c>
      <c r="C514" s="13" t="s">
        <v>2607</v>
      </c>
      <c r="D514" s="13"/>
      <c r="E514" s="12" t="s">
        <v>1578</v>
      </c>
      <c r="F514" s="12" t="s">
        <v>174</v>
      </c>
      <c r="G514" s="12"/>
      <c r="H514" s="12" t="s">
        <v>2608</v>
      </c>
      <c r="I514" s="14">
        <v>0.36570000000000003</v>
      </c>
      <c r="J514" s="12">
        <v>64.2</v>
      </c>
      <c r="K514" s="12" t="s">
        <v>2609</v>
      </c>
      <c r="L514" s="14">
        <v>0.25769999999999998</v>
      </c>
      <c r="M514" s="12" t="s">
        <v>2610</v>
      </c>
      <c r="N514" s="14">
        <v>0.2215</v>
      </c>
      <c r="O514" s="12">
        <v>1</v>
      </c>
      <c r="P514" s="12" t="s">
        <v>2611</v>
      </c>
      <c r="Q514" s="13" t="s">
        <v>2612</v>
      </c>
      <c r="R514" s="10"/>
      <c r="S514" s="10"/>
      <c r="T514" s="11"/>
    </row>
    <row r="515" spans="1:20" ht="28" x14ac:dyDescent="0.35">
      <c r="A515" s="12" t="s">
        <v>413</v>
      </c>
      <c r="B515" s="12" t="s">
        <v>238</v>
      </c>
      <c r="C515" s="13" t="s">
        <v>1286</v>
      </c>
      <c r="D515" s="13" t="s">
        <v>2613</v>
      </c>
      <c r="E515" s="12" t="s">
        <v>1286</v>
      </c>
      <c r="F515" s="12" t="s">
        <v>174</v>
      </c>
      <c r="G515" s="12"/>
      <c r="H515" s="12" t="s">
        <v>2597</v>
      </c>
      <c r="I515" s="14">
        <v>0.36399999999999999</v>
      </c>
      <c r="J515" s="12">
        <v>63.7</v>
      </c>
      <c r="K515" s="12" t="s">
        <v>2614</v>
      </c>
      <c r="L515" s="14">
        <v>0.35899999999999999</v>
      </c>
      <c r="M515" s="12" t="s">
        <v>2615</v>
      </c>
      <c r="N515" s="14">
        <v>0.34560000000000002</v>
      </c>
      <c r="O515" s="12">
        <v>2</v>
      </c>
      <c r="P515" s="12" t="s">
        <v>2616</v>
      </c>
      <c r="Q515" s="13" t="s">
        <v>2617</v>
      </c>
      <c r="R515" s="10"/>
      <c r="S515" s="10"/>
      <c r="T515" s="11"/>
    </row>
    <row r="516" spans="1:20" ht="84" x14ac:dyDescent="0.35">
      <c r="A516" s="12" t="s">
        <v>413</v>
      </c>
      <c r="B516" s="12" t="s">
        <v>238</v>
      </c>
      <c r="C516" s="13" t="s">
        <v>2618</v>
      </c>
      <c r="D516" s="13"/>
      <c r="E516" s="12" t="s">
        <v>1595</v>
      </c>
      <c r="F516" s="12" t="s">
        <v>174</v>
      </c>
      <c r="G516" s="12"/>
      <c r="H516" s="12" t="s">
        <v>2065</v>
      </c>
      <c r="I516" s="14">
        <v>0.36380000000000001</v>
      </c>
      <c r="J516" s="12">
        <v>63.7</v>
      </c>
      <c r="K516" s="12" t="s">
        <v>2619</v>
      </c>
      <c r="L516" s="14">
        <v>0.3266</v>
      </c>
      <c r="M516" s="12" t="s">
        <v>2620</v>
      </c>
      <c r="N516" s="14">
        <v>0.32369999999999999</v>
      </c>
      <c r="O516" s="12">
        <v>1</v>
      </c>
      <c r="P516" s="12" t="s">
        <v>2621</v>
      </c>
      <c r="Q516" s="13" t="s">
        <v>2622</v>
      </c>
      <c r="R516" s="10"/>
      <c r="S516" s="10"/>
      <c r="T516" s="11"/>
    </row>
    <row r="517" spans="1:20" ht="84" x14ac:dyDescent="0.35">
      <c r="A517" s="12" t="s">
        <v>413</v>
      </c>
      <c r="B517" s="12" t="s">
        <v>238</v>
      </c>
      <c r="C517" s="13" t="s">
        <v>2623</v>
      </c>
      <c r="D517" s="13" t="s">
        <v>2624</v>
      </c>
      <c r="E517" s="12" t="s">
        <v>2625</v>
      </c>
      <c r="F517" s="12" t="s">
        <v>174</v>
      </c>
      <c r="G517" s="12"/>
      <c r="H517" s="12" t="s">
        <v>2626</v>
      </c>
      <c r="I517" s="14">
        <v>0.36349999999999999</v>
      </c>
      <c r="J517" s="12">
        <v>63.6</v>
      </c>
      <c r="K517" s="12" t="s">
        <v>2627</v>
      </c>
      <c r="L517" s="14">
        <v>0.35299999999999998</v>
      </c>
      <c r="M517" s="12" t="s">
        <v>2628</v>
      </c>
      <c r="N517" s="14">
        <v>0.30680000000000002</v>
      </c>
      <c r="O517" s="12">
        <v>1</v>
      </c>
      <c r="P517" s="12" t="s">
        <v>2629</v>
      </c>
      <c r="Q517" s="13" t="s">
        <v>2630</v>
      </c>
      <c r="R517" s="10"/>
      <c r="S517" s="10"/>
      <c r="T517" s="11"/>
    </row>
    <row r="518" spans="1:20" ht="56" x14ac:dyDescent="0.35">
      <c r="A518" s="12" t="s">
        <v>413</v>
      </c>
      <c r="B518" s="12" t="s">
        <v>238</v>
      </c>
      <c r="C518" s="13" t="s">
        <v>2631</v>
      </c>
      <c r="D518" s="13"/>
      <c r="E518" s="12" t="s">
        <v>1483</v>
      </c>
      <c r="F518" s="12" t="s">
        <v>174</v>
      </c>
      <c r="G518" s="12"/>
      <c r="H518" s="12" t="s">
        <v>2632</v>
      </c>
      <c r="I518" s="14">
        <v>0.36099999999999999</v>
      </c>
      <c r="J518" s="12">
        <v>62.9</v>
      </c>
      <c r="K518" s="12" t="s">
        <v>2633</v>
      </c>
      <c r="L518" s="14">
        <v>0.26479999999999998</v>
      </c>
      <c r="M518" s="12" t="s">
        <v>243</v>
      </c>
      <c r="N518" s="14">
        <v>0.2482</v>
      </c>
      <c r="O518" s="12">
        <v>1</v>
      </c>
      <c r="P518" s="12" t="s">
        <v>2634</v>
      </c>
      <c r="Q518" s="13" t="s">
        <v>2635</v>
      </c>
      <c r="R518" s="10"/>
      <c r="S518" s="10"/>
      <c r="T518" s="11"/>
    </row>
    <row r="519" spans="1:20" ht="56" x14ac:dyDescent="0.35">
      <c r="A519" s="12" t="s">
        <v>413</v>
      </c>
      <c r="B519" s="12" t="s">
        <v>238</v>
      </c>
      <c r="C519" s="13" t="s">
        <v>2636</v>
      </c>
      <c r="D519" s="13" t="s">
        <v>2637</v>
      </c>
      <c r="E519" s="12" t="s">
        <v>2638</v>
      </c>
      <c r="F519" s="12" t="s">
        <v>174</v>
      </c>
      <c r="G519" s="12"/>
      <c r="H519" s="12" t="s">
        <v>2639</v>
      </c>
      <c r="I519" s="14">
        <v>0.36009999999999998</v>
      </c>
      <c r="J519" s="12">
        <v>62.7</v>
      </c>
      <c r="K519" s="12" t="s">
        <v>448</v>
      </c>
      <c r="L519" s="14">
        <v>0.36</v>
      </c>
      <c r="M519" s="12" t="s">
        <v>273</v>
      </c>
      <c r="N519" s="14">
        <v>0.35510000000000003</v>
      </c>
      <c r="O519" s="12">
        <v>1</v>
      </c>
      <c r="P519" s="12" t="s">
        <v>2640</v>
      </c>
      <c r="Q519" s="13" t="s">
        <v>2641</v>
      </c>
      <c r="R519" s="10"/>
      <c r="S519" s="10"/>
      <c r="T519" s="11"/>
    </row>
    <row r="520" spans="1:20" ht="84" x14ac:dyDescent="0.35">
      <c r="A520" s="12" t="s">
        <v>413</v>
      </c>
      <c r="B520" s="12" t="s">
        <v>238</v>
      </c>
      <c r="C520" s="13" t="s">
        <v>2642</v>
      </c>
      <c r="D520" s="13" t="s">
        <v>2643</v>
      </c>
      <c r="E520" s="12" t="s">
        <v>1758</v>
      </c>
      <c r="F520" s="12" t="s">
        <v>174</v>
      </c>
      <c r="G520" s="12"/>
      <c r="H520" s="12" t="s">
        <v>1899</v>
      </c>
      <c r="I520" s="14">
        <v>0.35920000000000002</v>
      </c>
      <c r="J520" s="12">
        <v>62.4</v>
      </c>
      <c r="K520" s="12" t="s">
        <v>1759</v>
      </c>
      <c r="L520" s="14">
        <v>0.28129999999999999</v>
      </c>
      <c r="M520" s="12" t="s">
        <v>2644</v>
      </c>
      <c r="N520" s="14">
        <v>0.26329999999999998</v>
      </c>
      <c r="O520" s="12">
        <v>1</v>
      </c>
      <c r="P520" s="12" t="s">
        <v>2645</v>
      </c>
      <c r="Q520" s="13" t="s">
        <v>2646</v>
      </c>
      <c r="R520" s="10"/>
      <c r="S520" s="10"/>
      <c r="T520" s="11"/>
    </row>
    <row r="521" spans="1:20" ht="70" x14ac:dyDescent="0.35">
      <c r="A521" s="12" t="s">
        <v>413</v>
      </c>
      <c r="B521" s="12" t="s">
        <v>238</v>
      </c>
      <c r="C521" s="13" t="s">
        <v>2647</v>
      </c>
      <c r="D521" s="13"/>
      <c r="E521" s="12" t="s">
        <v>1921</v>
      </c>
      <c r="F521" s="12" t="s">
        <v>174</v>
      </c>
      <c r="G521" s="12"/>
      <c r="H521" s="12" t="s">
        <v>221</v>
      </c>
      <c r="I521" s="14">
        <v>0.35820000000000002</v>
      </c>
      <c r="J521" s="12">
        <v>62.2</v>
      </c>
      <c r="K521" s="12" t="s">
        <v>193</v>
      </c>
      <c r="L521" s="14">
        <v>0.33350000000000002</v>
      </c>
      <c r="M521" s="12" t="s">
        <v>220</v>
      </c>
      <c r="N521" s="14">
        <v>0.33110000000000001</v>
      </c>
      <c r="O521" s="12">
        <v>1</v>
      </c>
      <c r="P521" s="12" t="s">
        <v>2648</v>
      </c>
      <c r="Q521" s="13" t="s">
        <v>2649</v>
      </c>
      <c r="R521" s="10"/>
      <c r="S521" s="10"/>
      <c r="T521" s="11"/>
    </row>
    <row r="522" spans="1:20" ht="84" x14ac:dyDescent="0.35">
      <c r="A522" s="12" t="s">
        <v>413</v>
      </c>
      <c r="B522" s="12" t="s">
        <v>238</v>
      </c>
      <c r="C522" s="13" t="s">
        <v>2650</v>
      </c>
      <c r="D522" s="13" t="s">
        <v>2651</v>
      </c>
      <c r="E522" s="12"/>
      <c r="F522" s="12" t="s">
        <v>174</v>
      </c>
      <c r="G522" s="12"/>
      <c r="H522" s="12" t="s">
        <v>2652</v>
      </c>
      <c r="I522" s="14">
        <v>0.35780000000000001</v>
      </c>
      <c r="J522" s="12">
        <v>62.1</v>
      </c>
      <c r="K522" s="12" t="s">
        <v>1302</v>
      </c>
      <c r="L522" s="14">
        <v>0.22639999999999999</v>
      </c>
      <c r="M522" s="12"/>
      <c r="N522" s="14"/>
      <c r="O522" s="12">
        <v>1</v>
      </c>
      <c r="P522" s="12" t="s">
        <v>2653</v>
      </c>
      <c r="Q522" s="13" t="s">
        <v>2654</v>
      </c>
      <c r="R522" s="10"/>
      <c r="S522" s="10"/>
      <c r="T522" s="11"/>
    </row>
    <row r="523" spans="1:20" ht="56" x14ac:dyDescent="0.35">
      <c r="A523" s="12" t="s">
        <v>413</v>
      </c>
      <c r="B523" s="12" t="s">
        <v>238</v>
      </c>
      <c r="C523" s="13" t="s">
        <v>2655</v>
      </c>
      <c r="D523" s="13" t="s">
        <v>2656</v>
      </c>
      <c r="E523" s="12" t="s">
        <v>2655</v>
      </c>
      <c r="F523" s="12" t="s">
        <v>174</v>
      </c>
      <c r="G523" s="12"/>
      <c r="H523" s="12" t="s">
        <v>1957</v>
      </c>
      <c r="I523" s="14">
        <v>0.35799999999999998</v>
      </c>
      <c r="J523" s="12">
        <v>62.1</v>
      </c>
      <c r="K523" s="12" t="s">
        <v>2657</v>
      </c>
      <c r="L523" s="14">
        <v>0.27460000000000001</v>
      </c>
      <c r="M523" s="12" t="s">
        <v>2658</v>
      </c>
      <c r="N523" s="14">
        <v>0.247</v>
      </c>
      <c r="O523" s="12">
        <v>1</v>
      </c>
      <c r="P523" s="12" t="s">
        <v>2659</v>
      </c>
      <c r="Q523" s="13" t="s">
        <v>2660</v>
      </c>
      <c r="R523" s="10"/>
      <c r="S523" s="10"/>
      <c r="T523" s="11"/>
    </row>
    <row r="524" spans="1:20" ht="56" x14ac:dyDescent="0.35">
      <c r="A524" s="12" t="s">
        <v>413</v>
      </c>
      <c r="B524" s="12" t="s">
        <v>238</v>
      </c>
      <c r="C524" s="13" t="s">
        <v>2661</v>
      </c>
      <c r="D524" s="13"/>
      <c r="E524" s="12" t="s">
        <v>2662</v>
      </c>
      <c r="F524" s="12" t="s">
        <v>174</v>
      </c>
      <c r="G524" s="12"/>
      <c r="H524" s="12" t="s">
        <v>2663</v>
      </c>
      <c r="I524" s="14">
        <v>0.3574</v>
      </c>
      <c r="J524" s="12">
        <v>62</v>
      </c>
      <c r="K524" s="12" t="s">
        <v>220</v>
      </c>
      <c r="L524" s="14">
        <v>0.31869999999999998</v>
      </c>
      <c r="M524" s="12" t="s">
        <v>2664</v>
      </c>
      <c r="N524" s="14">
        <v>0.30130000000000001</v>
      </c>
      <c r="O524" s="12">
        <v>1</v>
      </c>
      <c r="P524" s="12" t="s">
        <v>2665</v>
      </c>
      <c r="Q524" s="13" t="s">
        <v>2666</v>
      </c>
      <c r="R524" s="10"/>
      <c r="S524" s="10"/>
      <c r="T524" s="11"/>
    </row>
    <row r="525" spans="1:20" ht="56" x14ac:dyDescent="0.35">
      <c r="A525" s="12" t="s">
        <v>413</v>
      </c>
      <c r="B525" s="12" t="s">
        <v>238</v>
      </c>
      <c r="C525" s="13" t="s">
        <v>2667</v>
      </c>
      <c r="D525" s="13" t="s">
        <v>2668</v>
      </c>
      <c r="E525" s="12" t="s">
        <v>2669</v>
      </c>
      <c r="F525" s="12" t="s">
        <v>174</v>
      </c>
      <c r="G525" s="12"/>
      <c r="H525" s="12" t="s">
        <v>448</v>
      </c>
      <c r="I525" s="14">
        <v>0.35610000000000003</v>
      </c>
      <c r="J525" s="12">
        <v>61.6</v>
      </c>
      <c r="K525" s="12" t="s">
        <v>2670</v>
      </c>
      <c r="L525" s="14">
        <v>0.35120000000000001</v>
      </c>
      <c r="M525" s="12" t="s">
        <v>355</v>
      </c>
      <c r="N525" s="14">
        <v>0.35089999999999999</v>
      </c>
      <c r="O525" s="12">
        <v>1</v>
      </c>
      <c r="P525" s="12" t="s">
        <v>2671</v>
      </c>
      <c r="Q525" s="13" t="s">
        <v>2672</v>
      </c>
      <c r="R525" s="10"/>
      <c r="S525" s="10"/>
      <c r="T525" s="11"/>
    </row>
    <row r="526" spans="1:20" ht="98" x14ac:dyDescent="0.35">
      <c r="A526" s="12" t="s">
        <v>413</v>
      </c>
      <c r="B526" s="12" t="s">
        <v>238</v>
      </c>
      <c r="C526" s="13" t="s">
        <v>2673</v>
      </c>
      <c r="D526" s="13" t="s">
        <v>2674</v>
      </c>
      <c r="E526" s="12" t="s">
        <v>352</v>
      </c>
      <c r="F526" s="12" t="s">
        <v>174</v>
      </c>
      <c r="G526" s="12"/>
      <c r="H526" s="12" t="s">
        <v>2339</v>
      </c>
      <c r="I526" s="14">
        <v>0.35620000000000002</v>
      </c>
      <c r="J526" s="12">
        <v>61.6</v>
      </c>
      <c r="K526" s="12" t="s">
        <v>2675</v>
      </c>
      <c r="L526" s="14">
        <v>0.22339999999999999</v>
      </c>
      <c r="M526" s="12" t="s">
        <v>2676</v>
      </c>
      <c r="N526" s="14">
        <v>0.2069</v>
      </c>
      <c r="O526" s="12">
        <v>1</v>
      </c>
      <c r="P526" s="12" t="s">
        <v>2677</v>
      </c>
      <c r="Q526" s="13" t="s">
        <v>2678</v>
      </c>
      <c r="R526" s="10"/>
      <c r="S526" s="10"/>
      <c r="T526" s="11"/>
    </row>
    <row r="527" spans="1:20" ht="70" x14ac:dyDescent="0.35">
      <c r="A527" s="12" t="s">
        <v>413</v>
      </c>
      <c r="B527" s="12" t="s">
        <v>238</v>
      </c>
      <c r="C527" s="13" t="s">
        <v>2679</v>
      </c>
      <c r="D527" s="13"/>
      <c r="E527" s="12" t="s">
        <v>1916</v>
      </c>
      <c r="F527" s="12" t="s">
        <v>174</v>
      </c>
      <c r="G527" s="12"/>
      <c r="H527" s="12" t="s">
        <v>312</v>
      </c>
      <c r="I527" s="14">
        <v>0.35549999999999998</v>
      </c>
      <c r="J527" s="12">
        <v>61.5</v>
      </c>
      <c r="K527" s="12" t="s">
        <v>1837</v>
      </c>
      <c r="L527" s="14">
        <v>0.308</v>
      </c>
      <c r="M527" s="12" t="s">
        <v>2680</v>
      </c>
      <c r="N527" s="14">
        <v>0.3075</v>
      </c>
      <c r="O527" s="12">
        <v>1</v>
      </c>
      <c r="P527" s="12" t="s">
        <v>2681</v>
      </c>
      <c r="Q527" s="13" t="s">
        <v>2682</v>
      </c>
      <c r="R527" s="10"/>
      <c r="S527" s="10"/>
      <c r="T527" s="11"/>
    </row>
    <row r="528" spans="1:20" ht="42" x14ac:dyDescent="0.35">
      <c r="A528" s="12" t="s">
        <v>413</v>
      </c>
      <c r="B528" s="12" t="s">
        <v>238</v>
      </c>
      <c r="C528" s="13" t="s">
        <v>2683</v>
      </c>
      <c r="D528" s="13"/>
      <c r="E528" s="12" t="s">
        <v>2684</v>
      </c>
      <c r="F528" s="12" t="s">
        <v>174</v>
      </c>
      <c r="G528" s="12"/>
      <c r="H528" s="12" t="s">
        <v>470</v>
      </c>
      <c r="I528" s="14">
        <v>0.35539999999999999</v>
      </c>
      <c r="J528" s="12">
        <v>61.4</v>
      </c>
      <c r="K528" s="12"/>
      <c r="L528" s="14"/>
      <c r="M528" s="12"/>
      <c r="N528" s="14"/>
      <c r="O528" s="12">
        <v>1</v>
      </c>
      <c r="P528" s="12" t="s">
        <v>2685</v>
      </c>
      <c r="Q528" s="13" t="s">
        <v>2686</v>
      </c>
      <c r="R528" s="10"/>
      <c r="S528" s="10"/>
      <c r="T528" s="11"/>
    </row>
    <row r="529" spans="1:20" ht="84" x14ac:dyDescent="0.35">
      <c r="A529" s="12" t="s">
        <v>413</v>
      </c>
      <c r="B529" s="12" t="s">
        <v>238</v>
      </c>
      <c r="C529" s="13" t="s">
        <v>1462</v>
      </c>
      <c r="D529" s="13" t="s">
        <v>721</v>
      </c>
      <c r="E529" s="12" t="s">
        <v>1886</v>
      </c>
      <c r="F529" s="12" t="s">
        <v>174</v>
      </c>
      <c r="G529" s="12"/>
      <c r="H529" s="12" t="s">
        <v>1463</v>
      </c>
      <c r="I529" s="14">
        <v>0.35499999999999998</v>
      </c>
      <c r="J529" s="12">
        <v>61.3</v>
      </c>
      <c r="K529" s="12" t="s">
        <v>1301</v>
      </c>
      <c r="L529" s="14">
        <v>0.32629999999999998</v>
      </c>
      <c r="M529" s="12" t="s">
        <v>753</v>
      </c>
      <c r="N529" s="14">
        <v>0.22700000000000001</v>
      </c>
      <c r="O529" s="12">
        <v>3</v>
      </c>
      <c r="P529" s="12" t="s">
        <v>723</v>
      </c>
      <c r="Q529" s="13" t="s">
        <v>724</v>
      </c>
      <c r="R529" s="10"/>
      <c r="S529" s="10"/>
      <c r="T529" s="11"/>
    </row>
    <row r="530" spans="1:20" ht="84" x14ac:dyDescent="0.35">
      <c r="A530" s="12" t="s">
        <v>413</v>
      </c>
      <c r="B530" s="12" t="s">
        <v>238</v>
      </c>
      <c r="C530" s="13" t="s">
        <v>2687</v>
      </c>
      <c r="D530" s="13" t="s">
        <v>2688</v>
      </c>
      <c r="E530" s="12" t="s">
        <v>1601</v>
      </c>
      <c r="F530" s="12" t="s">
        <v>174</v>
      </c>
      <c r="G530" s="12"/>
      <c r="H530" s="12" t="s">
        <v>470</v>
      </c>
      <c r="I530" s="14">
        <v>0.35489999999999999</v>
      </c>
      <c r="J530" s="12">
        <v>61.3</v>
      </c>
      <c r="K530" s="12" t="s">
        <v>2137</v>
      </c>
      <c r="L530" s="14">
        <v>0.25769999999999998</v>
      </c>
      <c r="M530" s="12" t="s">
        <v>2689</v>
      </c>
      <c r="N530" s="14">
        <v>0.23630000000000001</v>
      </c>
      <c r="O530" s="12">
        <v>1</v>
      </c>
      <c r="P530" s="12" t="s">
        <v>2690</v>
      </c>
      <c r="Q530" s="13" t="s">
        <v>2691</v>
      </c>
      <c r="R530" s="10"/>
      <c r="S530" s="10"/>
      <c r="T530" s="11"/>
    </row>
    <row r="531" spans="1:20" ht="56" x14ac:dyDescent="0.35">
      <c r="A531" s="12" t="s">
        <v>413</v>
      </c>
      <c r="B531" s="12" t="s">
        <v>238</v>
      </c>
      <c r="C531" s="13" t="s">
        <v>2692</v>
      </c>
      <c r="D531" s="13" t="s">
        <v>2693</v>
      </c>
      <c r="E531" s="12" t="s">
        <v>2692</v>
      </c>
      <c r="F531" s="12" t="s">
        <v>174</v>
      </c>
      <c r="G531" s="12"/>
      <c r="H531" s="12" t="s">
        <v>2694</v>
      </c>
      <c r="I531" s="14">
        <v>0.3548</v>
      </c>
      <c r="J531" s="12">
        <v>61.3</v>
      </c>
      <c r="K531" s="12" t="s">
        <v>2695</v>
      </c>
      <c r="L531" s="14">
        <v>0.35010000000000002</v>
      </c>
      <c r="M531" s="12" t="s">
        <v>2696</v>
      </c>
      <c r="N531" s="14">
        <v>0.313</v>
      </c>
      <c r="O531" s="12">
        <v>2</v>
      </c>
      <c r="P531" s="12" t="s">
        <v>2697</v>
      </c>
      <c r="Q531" s="13" t="s">
        <v>2698</v>
      </c>
      <c r="R531" s="10"/>
      <c r="S531" s="10"/>
      <c r="T531" s="11"/>
    </row>
    <row r="532" spans="1:20" ht="84" x14ac:dyDescent="0.35">
      <c r="A532" s="12" t="s">
        <v>413</v>
      </c>
      <c r="B532" s="12" t="s">
        <v>238</v>
      </c>
      <c r="C532" s="13" t="s">
        <v>2699</v>
      </c>
      <c r="D532" s="13" t="s">
        <v>2700</v>
      </c>
      <c r="E532" s="12" t="s">
        <v>1483</v>
      </c>
      <c r="F532" s="12" t="s">
        <v>174</v>
      </c>
      <c r="G532" s="12"/>
      <c r="H532" s="12" t="s">
        <v>2701</v>
      </c>
      <c r="I532" s="14">
        <v>0.35389999999999999</v>
      </c>
      <c r="J532" s="12">
        <v>61.1</v>
      </c>
      <c r="K532" s="12" t="s">
        <v>248</v>
      </c>
      <c r="L532" s="14">
        <v>0.32200000000000001</v>
      </c>
      <c r="M532" s="12" t="s">
        <v>2702</v>
      </c>
      <c r="N532" s="14">
        <v>0.2631</v>
      </c>
      <c r="O532" s="12">
        <v>1</v>
      </c>
      <c r="P532" s="12" t="s">
        <v>2703</v>
      </c>
      <c r="Q532" s="13" t="s">
        <v>2704</v>
      </c>
      <c r="R532" s="10"/>
      <c r="S532" s="10"/>
      <c r="T532" s="11"/>
    </row>
    <row r="533" spans="1:20" ht="42" x14ac:dyDescent="0.35">
      <c r="A533" s="12" t="s">
        <v>413</v>
      </c>
      <c r="B533" s="12" t="s">
        <v>238</v>
      </c>
      <c r="C533" s="13" t="s">
        <v>2705</v>
      </c>
      <c r="D533" s="13" t="s">
        <v>2706</v>
      </c>
      <c r="E533" s="12" t="s">
        <v>2707</v>
      </c>
      <c r="F533" s="12" t="s">
        <v>174</v>
      </c>
      <c r="G533" s="12"/>
      <c r="H533" s="12" t="s">
        <v>2708</v>
      </c>
      <c r="I533" s="14">
        <v>0.35249999999999998</v>
      </c>
      <c r="J533" s="12">
        <v>60.7</v>
      </c>
      <c r="K533" s="12" t="s">
        <v>2709</v>
      </c>
      <c r="L533" s="14">
        <v>0.31900000000000001</v>
      </c>
      <c r="M533" s="12" t="s">
        <v>2710</v>
      </c>
      <c r="N533" s="14">
        <v>0.31480000000000002</v>
      </c>
      <c r="O533" s="12">
        <v>1</v>
      </c>
      <c r="P533" s="12" t="s">
        <v>2711</v>
      </c>
      <c r="Q533" s="13" t="s">
        <v>2712</v>
      </c>
      <c r="R533" s="10"/>
      <c r="S533" s="10"/>
      <c r="T533" s="11"/>
    </row>
    <row r="534" spans="1:20" ht="56" x14ac:dyDescent="0.35">
      <c r="A534" s="12" t="s">
        <v>413</v>
      </c>
      <c r="B534" s="12" t="s">
        <v>238</v>
      </c>
      <c r="C534" s="13" t="s">
        <v>2713</v>
      </c>
      <c r="D534" s="13" t="s">
        <v>2714</v>
      </c>
      <c r="E534" s="12" t="s">
        <v>2715</v>
      </c>
      <c r="F534" s="12" t="s">
        <v>174</v>
      </c>
      <c r="G534" s="12"/>
      <c r="H534" s="12" t="s">
        <v>2716</v>
      </c>
      <c r="I534" s="14">
        <v>0.35239999999999999</v>
      </c>
      <c r="J534" s="12">
        <v>60.6</v>
      </c>
      <c r="K534" s="12" t="s">
        <v>2717</v>
      </c>
      <c r="L534" s="14">
        <v>0.27539999999999998</v>
      </c>
      <c r="M534" s="12" t="s">
        <v>2718</v>
      </c>
      <c r="N534" s="14">
        <v>0.25580000000000003</v>
      </c>
      <c r="O534" s="12">
        <v>1</v>
      </c>
      <c r="P534" s="12" t="s">
        <v>2719</v>
      </c>
      <c r="Q534" s="13" t="s">
        <v>2720</v>
      </c>
      <c r="R534" s="10"/>
      <c r="S534" s="10"/>
      <c r="T534" s="11"/>
    </row>
    <row r="535" spans="1:20" ht="56" x14ac:dyDescent="0.35">
      <c r="A535" s="12" t="s">
        <v>413</v>
      </c>
      <c r="B535" s="12" t="s">
        <v>238</v>
      </c>
      <c r="C535" s="13" t="s">
        <v>2721</v>
      </c>
      <c r="D535" s="13" t="s">
        <v>2722</v>
      </c>
      <c r="E535" s="12" t="s">
        <v>2723</v>
      </c>
      <c r="F535" s="12" t="s">
        <v>174</v>
      </c>
      <c r="G535" s="12"/>
      <c r="H535" s="12" t="s">
        <v>2724</v>
      </c>
      <c r="I535" s="14">
        <v>0.35220000000000001</v>
      </c>
      <c r="J535" s="12">
        <v>60.6</v>
      </c>
      <c r="K535" s="12" t="s">
        <v>267</v>
      </c>
      <c r="L535" s="14">
        <v>0.2099</v>
      </c>
      <c r="M535" s="12"/>
      <c r="N535" s="14"/>
      <c r="O535" s="12">
        <v>2</v>
      </c>
      <c r="P535" s="12" t="s">
        <v>2725</v>
      </c>
      <c r="Q535" s="13" t="s">
        <v>2726</v>
      </c>
      <c r="R535" s="10"/>
      <c r="S535" s="10"/>
      <c r="T535" s="11"/>
    </row>
    <row r="536" spans="1:20" ht="84" x14ac:dyDescent="0.35">
      <c r="A536" s="12" t="s">
        <v>413</v>
      </c>
      <c r="B536" s="12" t="s">
        <v>238</v>
      </c>
      <c r="C536" s="13" t="s">
        <v>2727</v>
      </c>
      <c r="D536" s="13" t="s">
        <v>2728</v>
      </c>
      <c r="E536" s="12" t="s">
        <v>1992</v>
      </c>
      <c r="F536" s="12" t="s">
        <v>174</v>
      </c>
      <c r="G536" s="12"/>
      <c r="H536" s="12" t="s">
        <v>1806</v>
      </c>
      <c r="I536" s="14">
        <v>0.35120000000000001</v>
      </c>
      <c r="J536" s="12">
        <v>60.3</v>
      </c>
      <c r="K536" s="12" t="s">
        <v>1906</v>
      </c>
      <c r="L536" s="14">
        <v>0.31919999999999998</v>
      </c>
      <c r="M536" s="12" t="s">
        <v>1450</v>
      </c>
      <c r="N536" s="14">
        <v>0.31159999999999999</v>
      </c>
      <c r="O536" s="12">
        <v>1</v>
      </c>
      <c r="P536" s="12" t="s">
        <v>2729</v>
      </c>
      <c r="Q536" s="13" t="s">
        <v>2730</v>
      </c>
      <c r="R536" s="10"/>
      <c r="S536" s="10"/>
      <c r="T536" s="11"/>
    </row>
    <row r="537" spans="1:20" ht="56" x14ac:dyDescent="0.35">
      <c r="A537" s="12" t="s">
        <v>413</v>
      </c>
      <c r="B537" s="12" t="s">
        <v>238</v>
      </c>
      <c r="C537" s="13" t="s">
        <v>2731</v>
      </c>
      <c r="D537" s="13" t="s">
        <v>2732</v>
      </c>
      <c r="E537" s="12" t="s">
        <v>1308</v>
      </c>
      <c r="F537" s="12" t="s">
        <v>174</v>
      </c>
      <c r="G537" s="12"/>
      <c r="H537" s="12" t="s">
        <v>1549</v>
      </c>
      <c r="I537" s="14">
        <v>0.35099999999999998</v>
      </c>
      <c r="J537" s="12">
        <v>60.3</v>
      </c>
      <c r="K537" s="12" t="s">
        <v>2733</v>
      </c>
      <c r="L537" s="14">
        <v>0.27650000000000002</v>
      </c>
      <c r="M537" s="12" t="s">
        <v>1450</v>
      </c>
      <c r="N537" s="14">
        <v>0.27550000000000002</v>
      </c>
      <c r="O537" s="12">
        <v>2</v>
      </c>
      <c r="P537" s="12" t="s">
        <v>2734</v>
      </c>
      <c r="Q537" s="13" t="s">
        <v>2735</v>
      </c>
      <c r="R537" s="10"/>
      <c r="S537" s="10"/>
      <c r="T537" s="11"/>
    </row>
    <row r="538" spans="1:20" ht="42" x14ac:dyDescent="0.35">
      <c r="A538" s="12" t="s">
        <v>413</v>
      </c>
      <c r="B538" s="12" t="s">
        <v>238</v>
      </c>
      <c r="C538" s="13" t="s">
        <v>2736</v>
      </c>
      <c r="D538" s="13"/>
      <c r="E538" s="12" t="s">
        <v>2737</v>
      </c>
      <c r="F538" s="12" t="s">
        <v>174</v>
      </c>
      <c r="G538" s="12"/>
      <c r="H538" s="12" t="s">
        <v>212</v>
      </c>
      <c r="I538" s="14">
        <v>0.35049999999999998</v>
      </c>
      <c r="J538" s="12">
        <v>60.1</v>
      </c>
      <c r="K538" s="12" t="s">
        <v>355</v>
      </c>
      <c r="L538" s="14">
        <v>0.28549999999999998</v>
      </c>
      <c r="M538" s="12" t="s">
        <v>1543</v>
      </c>
      <c r="N538" s="14">
        <v>0.26219999999999999</v>
      </c>
      <c r="O538" s="12">
        <v>1</v>
      </c>
      <c r="P538" s="12" t="s">
        <v>2738</v>
      </c>
      <c r="Q538" s="13" t="s">
        <v>2739</v>
      </c>
      <c r="R538" s="10"/>
      <c r="S538" s="10"/>
      <c r="T538" s="11"/>
    </row>
    <row r="539" spans="1:20" ht="84" x14ac:dyDescent="0.35">
      <c r="A539" s="12" t="s">
        <v>413</v>
      </c>
      <c r="B539" s="12" t="s">
        <v>238</v>
      </c>
      <c r="C539" s="13" t="s">
        <v>2740</v>
      </c>
      <c r="D539" s="13" t="s">
        <v>2373</v>
      </c>
      <c r="E539" s="12" t="s">
        <v>2241</v>
      </c>
      <c r="F539" s="12" t="s">
        <v>174</v>
      </c>
      <c r="G539" s="12"/>
      <c r="H539" s="12" t="s">
        <v>2741</v>
      </c>
      <c r="I539" s="14">
        <v>0.3503</v>
      </c>
      <c r="J539" s="12">
        <v>60.1</v>
      </c>
      <c r="K539" s="12" t="s">
        <v>2742</v>
      </c>
      <c r="L539" s="14">
        <v>0.31</v>
      </c>
      <c r="M539" s="12" t="s">
        <v>2743</v>
      </c>
      <c r="N539" s="14">
        <v>0.214</v>
      </c>
      <c r="O539" s="12">
        <v>1</v>
      </c>
      <c r="P539" s="12" t="s">
        <v>2377</v>
      </c>
      <c r="Q539" s="13" t="s">
        <v>2378</v>
      </c>
      <c r="R539" s="10"/>
      <c r="S539" s="10"/>
      <c r="T539" s="11"/>
    </row>
    <row r="540" spans="1:20" ht="84" x14ac:dyDescent="0.35">
      <c r="A540" s="12" t="s">
        <v>413</v>
      </c>
      <c r="B540" s="12" t="s">
        <v>238</v>
      </c>
      <c r="C540" s="13" t="s">
        <v>2744</v>
      </c>
      <c r="D540" s="13" t="s">
        <v>2745</v>
      </c>
      <c r="E540" s="12" t="s">
        <v>2746</v>
      </c>
      <c r="F540" s="12" t="s">
        <v>174</v>
      </c>
      <c r="G540" s="12"/>
      <c r="H540" s="12" t="s">
        <v>248</v>
      </c>
      <c r="I540" s="14">
        <v>0.35</v>
      </c>
      <c r="J540" s="12">
        <v>60</v>
      </c>
      <c r="K540" s="12" t="s">
        <v>2747</v>
      </c>
      <c r="L540" s="14">
        <v>0.2336</v>
      </c>
      <c r="M540" s="12" t="s">
        <v>2748</v>
      </c>
      <c r="N540" s="14">
        <v>0.2198</v>
      </c>
      <c r="O540" s="12">
        <v>1</v>
      </c>
      <c r="P540" s="12" t="s">
        <v>2749</v>
      </c>
      <c r="Q540" s="13" t="s">
        <v>2750</v>
      </c>
      <c r="R540" s="10"/>
      <c r="S540" s="10"/>
      <c r="T540" s="11"/>
    </row>
    <row r="541" spans="1:20" ht="84" x14ac:dyDescent="0.35">
      <c r="A541" s="12" t="s">
        <v>413</v>
      </c>
      <c r="B541" s="12" t="s">
        <v>238</v>
      </c>
      <c r="C541" s="13" t="s">
        <v>2751</v>
      </c>
      <c r="D541" s="13" t="s">
        <v>2752</v>
      </c>
      <c r="E541" s="12" t="s">
        <v>2753</v>
      </c>
      <c r="F541" s="12" t="s">
        <v>174</v>
      </c>
      <c r="G541" s="12"/>
      <c r="H541" s="12" t="s">
        <v>2754</v>
      </c>
      <c r="I541" s="14">
        <v>0.34989999999999999</v>
      </c>
      <c r="J541" s="12">
        <v>60</v>
      </c>
      <c r="K541" s="12" t="s">
        <v>2755</v>
      </c>
      <c r="L541" s="14">
        <v>0.24729999999999999</v>
      </c>
      <c r="M541" s="12" t="s">
        <v>2756</v>
      </c>
      <c r="N541" s="14">
        <v>0.21240000000000001</v>
      </c>
      <c r="O541" s="12">
        <v>2</v>
      </c>
      <c r="P541" s="12" t="s">
        <v>2757</v>
      </c>
      <c r="Q541" s="13" t="s">
        <v>2758</v>
      </c>
      <c r="R541" s="10"/>
      <c r="S541" s="10"/>
      <c r="T541" s="11"/>
    </row>
    <row r="542" spans="1:20" ht="84" x14ac:dyDescent="0.35">
      <c r="A542" s="12" t="s">
        <v>413</v>
      </c>
      <c r="B542" s="12" t="s">
        <v>238</v>
      </c>
      <c r="C542" s="13" t="s">
        <v>2759</v>
      </c>
      <c r="D542" s="13"/>
      <c r="E542" s="12" t="s">
        <v>2161</v>
      </c>
      <c r="F542" s="12" t="s">
        <v>174</v>
      </c>
      <c r="G542" s="12"/>
      <c r="H542" s="12" t="s">
        <v>1331</v>
      </c>
      <c r="I542" s="14">
        <v>0.34949999999999998</v>
      </c>
      <c r="J542" s="12">
        <v>59.9</v>
      </c>
      <c r="K542" s="12" t="s">
        <v>2760</v>
      </c>
      <c r="L542" s="14">
        <v>0.33800000000000002</v>
      </c>
      <c r="M542" s="12" t="s">
        <v>1434</v>
      </c>
      <c r="N542" s="14">
        <v>0.33739999999999998</v>
      </c>
      <c r="O542" s="12">
        <v>1</v>
      </c>
      <c r="P542" s="12" t="s">
        <v>2761</v>
      </c>
      <c r="Q542" s="13" t="s">
        <v>2762</v>
      </c>
      <c r="R542" s="10"/>
      <c r="S542" s="10"/>
      <c r="T542" s="11"/>
    </row>
    <row r="543" spans="1:20" ht="56" x14ac:dyDescent="0.35">
      <c r="A543" s="12" t="s">
        <v>413</v>
      </c>
      <c r="B543" s="12" t="s">
        <v>238</v>
      </c>
      <c r="C543" s="13" t="s">
        <v>2763</v>
      </c>
      <c r="D543" s="13"/>
      <c r="E543" s="12" t="s">
        <v>2764</v>
      </c>
      <c r="F543" s="12" t="s">
        <v>174</v>
      </c>
      <c r="G543" s="12"/>
      <c r="H543" s="12" t="s">
        <v>2368</v>
      </c>
      <c r="I543" s="14">
        <v>0.34910000000000002</v>
      </c>
      <c r="J543" s="12">
        <v>59.8</v>
      </c>
      <c r="K543" s="12" t="s">
        <v>2765</v>
      </c>
      <c r="L543" s="14">
        <v>0.28810000000000002</v>
      </c>
      <c r="M543" s="12" t="s">
        <v>1081</v>
      </c>
      <c r="N543" s="14">
        <v>0.28239999999999998</v>
      </c>
      <c r="O543" s="12">
        <v>1</v>
      </c>
      <c r="P543" s="12" t="s">
        <v>2766</v>
      </c>
      <c r="Q543" s="13" t="s">
        <v>2767</v>
      </c>
      <c r="R543" s="10"/>
      <c r="S543" s="10"/>
      <c r="T543" s="11"/>
    </row>
    <row r="544" spans="1:20" ht="56" x14ac:dyDescent="0.35">
      <c r="A544" s="12" t="s">
        <v>413</v>
      </c>
      <c r="B544" s="12" t="s">
        <v>238</v>
      </c>
      <c r="C544" s="13" t="s">
        <v>2768</v>
      </c>
      <c r="D544" s="13" t="s">
        <v>2769</v>
      </c>
      <c r="E544" s="12" t="s">
        <v>2768</v>
      </c>
      <c r="F544" s="12" t="s">
        <v>174</v>
      </c>
      <c r="G544" s="12"/>
      <c r="H544" s="12" t="s">
        <v>2724</v>
      </c>
      <c r="I544" s="14">
        <v>0.3478</v>
      </c>
      <c r="J544" s="12">
        <v>59.4</v>
      </c>
      <c r="K544" s="12" t="s">
        <v>450</v>
      </c>
      <c r="L544" s="14">
        <v>0.33169999999999999</v>
      </c>
      <c r="M544" s="12" t="s">
        <v>2770</v>
      </c>
      <c r="N544" s="14">
        <v>0.28639999999999999</v>
      </c>
      <c r="O544" s="12">
        <v>1</v>
      </c>
      <c r="P544" s="12" t="s">
        <v>2771</v>
      </c>
      <c r="Q544" s="13" t="s">
        <v>2772</v>
      </c>
      <c r="R544" s="10"/>
      <c r="S544" s="10"/>
      <c r="T544" s="11"/>
    </row>
    <row r="545" spans="1:20" ht="70" x14ac:dyDescent="0.35">
      <c r="A545" s="12" t="s">
        <v>413</v>
      </c>
      <c r="B545" s="12" t="s">
        <v>238</v>
      </c>
      <c r="C545" s="13" t="s">
        <v>2773</v>
      </c>
      <c r="D545" s="13"/>
      <c r="E545" s="12" t="s">
        <v>2774</v>
      </c>
      <c r="F545" s="12" t="s">
        <v>174</v>
      </c>
      <c r="G545" s="12"/>
      <c r="H545" s="12" t="s">
        <v>2775</v>
      </c>
      <c r="I545" s="14">
        <v>0.3473</v>
      </c>
      <c r="J545" s="12">
        <v>59.3</v>
      </c>
      <c r="K545" s="12" t="s">
        <v>2776</v>
      </c>
      <c r="L545" s="14">
        <v>0.30459999999999998</v>
      </c>
      <c r="M545" s="12" t="s">
        <v>1302</v>
      </c>
      <c r="N545" s="14">
        <v>0.27589999999999998</v>
      </c>
      <c r="O545" s="12">
        <v>1</v>
      </c>
      <c r="P545" s="12" t="s">
        <v>2777</v>
      </c>
      <c r="Q545" s="13" t="s">
        <v>2778</v>
      </c>
      <c r="R545" s="10"/>
      <c r="S545" s="10"/>
      <c r="T545" s="11"/>
    </row>
    <row r="546" spans="1:20" ht="70" x14ac:dyDescent="0.35">
      <c r="A546" s="12" t="s">
        <v>413</v>
      </c>
      <c r="B546" s="12" t="s">
        <v>238</v>
      </c>
      <c r="C546" s="13" t="s">
        <v>2779</v>
      </c>
      <c r="D546" s="13"/>
      <c r="E546" s="12" t="s">
        <v>1267</v>
      </c>
      <c r="F546" s="12" t="s">
        <v>174</v>
      </c>
      <c r="G546" s="12"/>
      <c r="H546" s="12" t="s">
        <v>2780</v>
      </c>
      <c r="I546" s="14">
        <v>0.34589999999999999</v>
      </c>
      <c r="J546" s="12">
        <v>58.9</v>
      </c>
      <c r="K546" s="12" t="s">
        <v>2781</v>
      </c>
      <c r="L546" s="14">
        <v>0.26419999999999999</v>
      </c>
      <c r="M546" s="12" t="s">
        <v>2782</v>
      </c>
      <c r="N546" s="14">
        <v>0.252</v>
      </c>
      <c r="O546" s="12">
        <v>1</v>
      </c>
      <c r="P546" s="12" t="s">
        <v>2783</v>
      </c>
      <c r="Q546" s="13" t="s">
        <v>2784</v>
      </c>
      <c r="R546" s="10"/>
      <c r="S546" s="10"/>
      <c r="T546" s="11"/>
    </row>
    <row r="547" spans="1:20" ht="56" x14ac:dyDescent="0.35">
      <c r="A547" s="12" t="s">
        <v>413</v>
      </c>
      <c r="B547" s="12" t="s">
        <v>238</v>
      </c>
      <c r="C547" s="13" t="s">
        <v>2785</v>
      </c>
      <c r="D547" s="13" t="s">
        <v>2786</v>
      </c>
      <c r="E547" s="12" t="s">
        <v>2787</v>
      </c>
      <c r="F547" s="12" t="s">
        <v>174</v>
      </c>
      <c r="G547" s="12"/>
      <c r="H547" s="12" t="s">
        <v>2788</v>
      </c>
      <c r="I547" s="14">
        <v>0.34539999999999998</v>
      </c>
      <c r="J547" s="12">
        <v>58.8</v>
      </c>
      <c r="K547" s="12" t="s">
        <v>2789</v>
      </c>
      <c r="L547" s="14">
        <v>0.33739999999999998</v>
      </c>
      <c r="M547" s="12" t="s">
        <v>2790</v>
      </c>
      <c r="N547" s="14">
        <v>0.29720000000000002</v>
      </c>
      <c r="O547" s="12">
        <v>1</v>
      </c>
      <c r="P547" s="12" t="s">
        <v>2791</v>
      </c>
      <c r="Q547" s="13" t="s">
        <v>2792</v>
      </c>
      <c r="R547" s="10"/>
      <c r="S547" s="10"/>
      <c r="T547" s="11"/>
    </row>
    <row r="548" spans="1:20" ht="42" x14ac:dyDescent="0.35">
      <c r="A548" s="12" t="s">
        <v>413</v>
      </c>
      <c r="B548" s="12" t="s">
        <v>238</v>
      </c>
      <c r="C548" s="13" t="s">
        <v>2793</v>
      </c>
      <c r="D548" s="13" t="s">
        <v>2794</v>
      </c>
      <c r="E548" s="12" t="s">
        <v>1565</v>
      </c>
      <c r="F548" s="12" t="s">
        <v>174</v>
      </c>
      <c r="G548" s="12"/>
      <c r="H548" s="12" t="s">
        <v>1900</v>
      </c>
      <c r="I548" s="14">
        <v>0.34460000000000002</v>
      </c>
      <c r="J548" s="12">
        <v>58.6</v>
      </c>
      <c r="K548" s="12" t="s">
        <v>2795</v>
      </c>
      <c r="L548" s="14">
        <v>0.3241</v>
      </c>
      <c r="M548" s="12" t="s">
        <v>324</v>
      </c>
      <c r="N548" s="14">
        <v>0.29260000000000003</v>
      </c>
      <c r="O548" s="12">
        <v>1</v>
      </c>
      <c r="P548" s="12" t="s">
        <v>2796</v>
      </c>
      <c r="Q548" s="13" t="s">
        <v>2797</v>
      </c>
      <c r="R548" s="10"/>
      <c r="S548" s="10"/>
      <c r="T548" s="11"/>
    </row>
    <row r="549" spans="1:20" ht="56" x14ac:dyDescent="0.35">
      <c r="A549" s="12" t="s">
        <v>413</v>
      </c>
      <c r="B549" s="12" t="s">
        <v>238</v>
      </c>
      <c r="C549" s="13" t="s">
        <v>2798</v>
      </c>
      <c r="D549" s="13" t="s">
        <v>2799</v>
      </c>
      <c r="E549" s="12" t="s">
        <v>1475</v>
      </c>
      <c r="F549" s="12" t="s">
        <v>174</v>
      </c>
      <c r="G549" s="12"/>
      <c r="H549" s="12" t="s">
        <v>2800</v>
      </c>
      <c r="I549" s="14">
        <v>0.34429999999999999</v>
      </c>
      <c r="J549" s="12">
        <v>58.5</v>
      </c>
      <c r="K549" s="12" t="s">
        <v>2801</v>
      </c>
      <c r="L549" s="14">
        <v>0.2707</v>
      </c>
      <c r="M549" s="12" t="s">
        <v>2802</v>
      </c>
      <c r="N549" s="14">
        <v>0.26279999999999998</v>
      </c>
      <c r="O549" s="12">
        <v>1</v>
      </c>
      <c r="P549" s="12" t="s">
        <v>2803</v>
      </c>
      <c r="Q549" s="13" t="s">
        <v>2804</v>
      </c>
      <c r="R549" s="10"/>
      <c r="S549" s="10"/>
      <c r="T549" s="11"/>
    </row>
    <row r="550" spans="1:20" ht="84" x14ac:dyDescent="0.35">
      <c r="A550" s="12" t="s">
        <v>413</v>
      </c>
      <c r="B550" s="12" t="s">
        <v>238</v>
      </c>
      <c r="C550" s="13" t="s">
        <v>2805</v>
      </c>
      <c r="D550" s="13" t="s">
        <v>1407</v>
      </c>
      <c r="E550" s="12" t="s">
        <v>2806</v>
      </c>
      <c r="F550" s="12" t="s">
        <v>174</v>
      </c>
      <c r="G550" s="12"/>
      <c r="H550" s="12" t="s">
        <v>2807</v>
      </c>
      <c r="I550" s="14">
        <v>0.34279999999999999</v>
      </c>
      <c r="J550" s="12">
        <v>58.1</v>
      </c>
      <c r="K550" s="12" t="s">
        <v>2808</v>
      </c>
      <c r="L550" s="14">
        <v>0.31159999999999999</v>
      </c>
      <c r="M550" s="12" t="s">
        <v>2809</v>
      </c>
      <c r="N550" s="14">
        <v>0.31040000000000001</v>
      </c>
      <c r="O550" s="12">
        <v>1</v>
      </c>
      <c r="P550" s="12" t="s">
        <v>1411</v>
      </c>
      <c r="Q550" s="13" t="s">
        <v>1412</v>
      </c>
      <c r="R550" s="10"/>
      <c r="S550" s="10"/>
      <c r="T550" s="11"/>
    </row>
    <row r="551" spans="1:20" ht="70" x14ac:dyDescent="0.35">
      <c r="A551" s="12" t="s">
        <v>413</v>
      </c>
      <c r="B551" s="12" t="s">
        <v>238</v>
      </c>
      <c r="C551" s="13" t="s">
        <v>2810</v>
      </c>
      <c r="D551" s="13" t="s">
        <v>2811</v>
      </c>
      <c r="E551" s="12"/>
      <c r="F551" s="12" t="s">
        <v>174</v>
      </c>
      <c r="G551" s="12"/>
      <c r="H551" s="12" t="s">
        <v>2812</v>
      </c>
      <c r="I551" s="14">
        <v>0.34239999999999998</v>
      </c>
      <c r="J551" s="12">
        <v>58</v>
      </c>
      <c r="K551" s="12" t="s">
        <v>2813</v>
      </c>
      <c r="L551" s="14">
        <v>0.32900000000000001</v>
      </c>
      <c r="M551" s="12" t="s">
        <v>2814</v>
      </c>
      <c r="N551" s="14">
        <v>0.31990000000000002</v>
      </c>
      <c r="O551" s="12">
        <v>4</v>
      </c>
      <c r="P551" s="12" t="s">
        <v>2815</v>
      </c>
      <c r="Q551" s="13" t="s">
        <v>2816</v>
      </c>
      <c r="R551" s="10"/>
      <c r="S551" s="10"/>
      <c r="T551" s="11"/>
    </row>
    <row r="552" spans="1:20" ht="84" x14ac:dyDescent="0.35">
      <c r="A552" s="12" t="s">
        <v>413</v>
      </c>
      <c r="B552" s="12" t="s">
        <v>238</v>
      </c>
      <c r="C552" s="13" t="s">
        <v>2817</v>
      </c>
      <c r="D552" s="13" t="s">
        <v>2818</v>
      </c>
      <c r="E552" s="12" t="s">
        <v>470</v>
      </c>
      <c r="F552" s="12" t="s">
        <v>174</v>
      </c>
      <c r="G552" s="12"/>
      <c r="H552" s="12" t="s">
        <v>470</v>
      </c>
      <c r="I552" s="14">
        <v>0.3422</v>
      </c>
      <c r="J552" s="12">
        <v>57.9</v>
      </c>
      <c r="K552" s="12"/>
      <c r="L552" s="14"/>
      <c r="M552" s="12"/>
      <c r="N552" s="14"/>
      <c r="O552" s="12">
        <v>1</v>
      </c>
      <c r="P552" s="12" t="s">
        <v>2819</v>
      </c>
      <c r="Q552" s="13" t="s">
        <v>2820</v>
      </c>
      <c r="R552" s="10"/>
      <c r="S552" s="10"/>
      <c r="T552" s="11"/>
    </row>
    <row r="553" spans="1:20" ht="70" x14ac:dyDescent="0.35">
      <c r="A553" s="12" t="s">
        <v>413</v>
      </c>
      <c r="B553" s="12" t="s">
        <v>238</v>
      </c>
      <c r="C553" s="13" t="s">
        <v>2821</v>
      </c>
      <c r="D553" s="13" t="s">
        <v>1815</v>
      </c>
      <c r="E553" s="12" t="s">
        <v>2821</v>
      </c>
      <c r="F553" s="12" t="s">
        <v>174</v>
      </c>
      <c r="G553" s="12"/>
      <c r="H553" s="12" t="s">
        <v>2822</v>
      </c>
      <c r="I553" s="14">
        <v>0.3422</v>
      </c>
      <c r="J553" s="12">
        <v>57.9</v>
      </c>
      <c r="K553" s="12" t="s">
        <v>2823</v>
      </c>
      <c r="L553" s="14">
        <v>0.33860000000000001</v>
      </c>
      <c r="M553" s="12" t="s">
        <v>2824</v>
      </c>
      <c r="N553" s="14">
        <v>0.32800000000000001</v>
      </c>
      <c r="O553" s="12">
        <v>1</v>
      </c>
      <c r="P553" s="12" t="s">
        <v>1819</v>
      </c>
      <c r="Q553" s="13" t="s">
        <v>1820</v>
      </c>
      <c r="R553" s="10"/>
      <c r="S553" s="10"/>
      <c r="T553" s="11"/>
    </row>
    <row r="554" spans="1:20" ht="70" x14ac:dyDescent="0.35">
      <c r="A554" s="12" t="s">
        <v>413</v>
      </c>
      <c r="B554" s="12" t="s">
        <v>238</v>
      </c>
      <c r="C554" s="13" t="s">
        <v>2825</v>
      </c>
      <c r="D554" s="13" t="s">
        <v>2826</v>
      </c>
      <c r="E554" s="12" t="s">
        <v>1542</v>
      </c>
      <c r="F554" s="12" t="s">
        <v>174</v>
      </c>
      <c r="G554" s="12"/>
      <c r="H554" s="12" t="s">
        <v>212</v>
      </c>
      <c r="I554" s="14">
        <v>0.34179999999999999</v>
      </c>
      <c r="J554" s="12">
        <v>57.8</v>
      </c>
      <c r="K554" s="12"/>
      <c r="L554" s="14"/>
      <c r="M554" s="12"/>
      <c r="N554" s="14"/>
      <c r="O554" s="12">
        <v>1</v>
      </c>
      <c r="P554" s="12" t="s">
        <v>2827</v>
      </c>
      <c r="Q554" s="13" t="s">
        <v>2828</v>
      </c>
      <c r="R554" s="10"/>
      <c r="S554" s="10"/>
      <c r="T554" s="11"/>
    </row>
    <row r="555" spans="1:20" ht="84" x14ac:dyDescent="0.35">
      <c r="A555" s="12" t="s">
        <v>413</v>
      </c>
      <c r="B555" s="12" t="s">
        <v>238</v>
      </c>
      <c r="C555" s="13" t="s">
        <v>2829</v>
      </c>
      <c r="D555" s="13" t="s">
        <v>2830</v>
      </c>
      <c r="E555" s="12" t="s">
        <v>2829</v>
      </c>
      <c r="F555" s="12" t="s">
        <v>174</v>
      </c>
      <c r="G555" s="12"/>
      <c r="H555" s="12" t="s">
        <v>561</v>
      </c>
      <c r="I555" s="14">
        <v>0.34129999999999999</v>
      </c>
      <c r="J555" s="12">
        <v>57.7</v>
      </c>
      <c r="K555" s="12" t="s">
        <v>2831</v>
      </c>
      <c r="L555" s="14">
        <v>0.21990000000000001</v>
      </c>
      <c r="M555" s="12" t="s">
        <v>2832</v>
      </c>
      <c r="N555" s="14">
        <v>0.21779999999999999</v>
      </c>
      <c r="O555" s="12">
        <v>1</v>
      </c>
      <c r="P555" s="12" t="s">
        <v>2833</v>
      </c>
      <c r="Q555" s="13" t="s">
        <v>2834</v>
      </c>
      <c r="R555" s="10"/>
      <c r="S555" s="10"/>
      <c r="T555" s="11"/>
    </row>
    <row r="556" spans="1:20" ht="84" x14ac:dyDescent="0.35">
      <c r="A556" s="12" t="s">
        <v>413</v>
      </c>
      <c r="B556" s="12" t="s">
        <v>238</v>
      </c>
      <c r="C556" s="13" t="s">
        <v>2835</v>
      </c>
      <c r="D556" s="13" t="s">
        <v>2836</v>
      </c>
      <c r="E556" s="12" t="s">
        <v>2835</v>
      </c>
      <c r="F556" s="12" t="s">
        <v>174</v>
      </c>
      <c r="G556" s="12"/>
      <c r="H556" s="12" t="s">
        <v>2837</v>
      </c>
      <c r="I556" s="14">
        <v>0.34139999999999998</v>
      </c>
      <c r="J556" s="12">
        <v>57.7</v>
      </c>
      <c r="K556" s="12" t="s">
        <v>2838</v>
      </c>
      <c r="L556" s="14">
        <v>0.3342</v>
      </c>
      <c r="M556" s="12" t="s">
        <v>2839</v>
      </c>
      <c r="N556" s="14">
        <v>0.30570000000000003</v>
      </c>
      <c r="O556" s="12">
        <v>1</v>
      </c>
      <c r="P556" s="12" t="s">
        <v>2840</v>
      </c>
      <c r="Q556" s="13" t="s">
        <v>2841</v>
      </c>
      <c r="R556" s="10"/>
      <c r="S556" s="10"/>
      <c r="T556" s="11"/>
    </row>
    <row r="557" spans="1:20" ht="56" x14ac:dyDescent="0.35">
      <c r="A557" s="12" t="s">
        <v>413</v>
      </c>
      <c r="B557" s="12" t="s">
        <v>238</v>
      </c>
      <c r="C557" s="13" t="s">
        <v>2842</v>
      </c>
      <c r="D557" s="13" t="s">
        <v>2843</v>
      </c>
      <c r="E557" s="12" t="s">
        <v>2842</v>
      </c>
      <c r="F557" s="12" t="s">
        <v>174</v>
      </c>
      <c r="G557" s="12"/>
      <c r="H557" s="12" t="s">
        <v>2844</v>
      </c>
      <c r="I557" s="14">
        <v>0.33979999999999999</v>
      </c>
      <c r="J557" s="12">
        <v>57.3</v>
      </c>
      <c r="K557" s="12" t="s">
        <v>1573</v>
      </c>
      <c r="L557" s="14">
        <v>0.3271</v>
      </c>
      <c r="M557" s="12" t="s">
        <v>2845</v>
      </c>
      <c r="N557" s="14">
        <v>0.31230000000000002</v>
      </c>
      <c r="O557" s="12">
        <v>3</v>
      </c>
      <c r="P557" s="12" t="s">
        <v>2846</v>
      </c>
      <c r="Q557" s="13" t="s">
        <v>2847</v>
      </c>
      <c r="R557" s="10"/>
      <c r="S557" s="10"/>
      <c r="T557" s="11"/>
    </row>
    <row r="558" spans="1:20" ht="56" x14ac:dyDescent="0.35">
      <c r="A558" s="12" t="s">
        <v>413</v>
      </c>
      <c r="B558" s="12" t="s">
        <v>238</v>
      </c>
      <c r="C558" s="13" t="s">
        <v>2848</v>
      </c>
      <c r="D558" s="13" t="s">
        <v>2849</v>
      </c>
      <c r="E558" s="12" t="s">
        <v>2850</v>
      </c>
      <c r="F558" s="12" t="s">
        <v>174</v>
      </c>
      <c r="G558" s="12"/>
      <c r="H558" s="12" t="s">
        <v>2851</v>
      </c>
      <c r="I558" s="14">
        <v>0.33900000000000002</v>
      </c>
      <c r="J558" s="12">
        <v>57.1</v>
      </c>
      <c r="K558" s="12" t="s">
        <v>2852</v>
      </c>
      <c r="L558" s="14">
        <v>0.32869999999999999</v>
      </c>
      <c r="M558" s="12" t="s">
        <v>2853</v>
      </c>
      <c r="N558" s="14">
        <v>0.30709999999999998</v>
      </c>
      <c r="O558" s="12">
        <v>1</v>
      </c>
      <c r="P558" s="12" t="s">
        <v>2854</v>
      </c>
      <c r="Q558" s="13" t="s">
        <v>2855</v>
      </c>
      <c r="R558" s="10"/>
      <c r="S558" s="10"/>
      <c r="T558" s="11"/>
    </row>
    <row r="559" spans="1:20" ht="84" x14ac:dyDescent="0.35">
      <c r="A559" s="12" t="s">
        <v>413</v>
      </c>
      <c r="B559" s="12" t="s">
        <v>238</v>
      </c>
      <c r="C559" s="13" t="s">
        <v>1621</v>
      </c>
      <c r="D559" s="13" t="s">
        <v>2856</v>
      </c>
      <c r="E559" s="12" t="s">
        <v>1621</v>
      </c>
      <c r="F559" s="12" t="s">
        <v>174</v>
      </c>
      <c r="G559" s="12"/>
      <c r="H559" s="12" t="s">
        <v>2857</v>
      </c>
      <c r="I559" s="14">
        <v>0.3392</v>
      </c>
      <c r="J559" s="12">
        <v>57.1</v>
      </c>
      <c r="K559" s="12" t="s">
        <v>722</v>
      </c>
      <c r="L559" s="14">
        <v>0.32550000000000001</v>
      </c>
      <c r="M559" s="12"/>
      <c r="N559" s="14"/>
      <c r="O559" s="12">
        <v>1</v>
      </c>
      <c r="P559" s="12" t="s">
        <v>2858</v>
      </c>
      <c r="Q559" s="13" t="s">
        <v>2859</v>
      </c>
      <c r="R559" s="10"/>
      <c r="S559" s="10"/>
      <c r="T559" s="11"/>
    </row>
    <row r="560" spans="1:20" ht="56" x14ac:dyDescent="0.35">
      <c r="A560" s="12" t="s">
        <v>413</v>
      </c>
      <c r="B560" s="12" t="s">
        <v>238</v>
      </c>
      <c r="C560" s="13" t="s">
        <v>2860</v>
      </c>
      <c r="D560" s="13" t="s">
        <v>2861</v>
      </c>
      <c r="E560" s="12" t="s">
        <v>1475</v>
      </c>
      <c r="F560" s="12" t="s">
        <v>174</v>
      </c>
      <c r="G560" s="12"/>
      <c r="H560" s="12" t="s">
        <v>2350</v>
      </c>
      <c r="I560" s="14">
        <v>0.3382</v>
      </c>
      <c r="J560" s="12">
        <v>56.9</v>
      </c>
      <c r="K560" s="12" t="s">
        <v>2543</v>
      </c>
      <c r="L560" s="14">
        <v>0.32879999999999998</v>
      </c>
      <c r="M560" s="12" t="s">
        <v>1476</v>
      </c>
      <c r="N560" s="14">
        <v>0.31859999999999999</v>
      </c>
      <c r="O560" s="12">
        <v>1</v>
      </c>
      <c r="P560" s="12" t="s">
        <v>2862</v>
      </c>
      <c r="Q560" s="13" t="s">
        <v>2863</v>
      </c>
      <c r="R560" s="10"/>
      <c r="S560" s="10"/>
      <c r="T560" s="11"/>
    </row>
    <row r="561" spans="1:20" ht="56" x14ac:dyDescent="0.35">
      <c r="A561" s="12" t="s">
        <v>413</v>
      </c>
      <c r="B561" s="12" t="s">
        <v>238</v>
      </c>
      <c r="C561" s="13" t="s">
        <v>1475</v>
      </c>
      <c r="D561" s="13" t="s">
        <v>2864</v>
      </c>
      <c r="E561" s="12" t="s">
        <v>1475</v>
      </c>
      <c r="F561" s="12" t="s">
        <v>174</v>
      </c>
      <c r="G561" s="12"/>
      <c r="H561" s="12" t="s">
        <v>1476</v>
      </c>
      <c r="I561" s="14">
        <v>0.33779999999999999</v>
      </c>
      <c r="J561" s="12">
        <v>56.7</v>
      </c>
      <c r="K561" s="12" t="s">
        <v>2865</v>
      </c>
      <c r="L561" s="14">
        <v>0.27889999999999998</v>
      </c>
      <c r="M561" s="12" t="s">
        <v>1477</v>
      </c>
      <c r="N561" s="14">
        <v>0.27889999999999998</v>
      </c>
      <c r="O561" s="12">
        <v>5</v>
      </c>
      <c r="P561" s="12" t="s">
        <v>2866</v>
      </c>
      <c r="Q561" s="13" t="s">
        <v>2867</v>
      </c>
      <c r="R561" s="10"/>
      <c r="S561" s="10"/>
      <c r="T561" s="11"/>
    </row>
    <row r="562" spans="1:20" ht="84" x14ac:dyDescent="0.35">
      <c r="A562" s="12" t="s">
        <v>413</v>
      </c>
      <c r="B562" s="12" t="s">
        <v>238</v>
      </c>
      <c r="C562" s="13" t="s">
        <v>2868</v>
      </c>
      <c r="D562" s="13" t="s">
        <v>2869</v>
      </c>
      <c r="E562" s="12" t="s">
        <v>2870</v>
      </c>
      <c r="F562" s="12" t="s">
        <v>174</v>
      </c>
      <c r="G562" s="12"/>
      <c r="H562" s="12" t="s">
        <v>221</v>
      </c>
      <c r="I562" s="14">
        <v>0.33639999999999998</v>
      </c>
      <c r="J562" s="12">
        <v>56.4</v>
      </c>
      <c r="K562" s="12" t="s">
        <v>299</v>
      </c>
      <c r="L562" s="14">
        <v>0.2296</v>
      </c>
      <c r="M562" s="12"/>
      <c r="N562" s="14"/>
      <c r="O562" s="12">
        <v>1</v>
      </c>
      <c r="P562" s="12" t="s">
        <v>2871</v>
      </c>
      <c r="Q562" s="13" t="s">
        <v>2872</v>
      </c>
      <c r="R562" s="10"/>
      <c r="S562" s="10"/>
      <c r="T562" s="11"/>
    </row>
    <row r="563" spans="1:20" ht="70" x14ac:dyDescent="0.35">
      <c r="A563" s="12" t="s">
        <v>413</v>
      </c>
      <c r="B563" s="12" t="s">
        <v>238</v>
      </c>
      <c r="C563" s="13" t="s">
        <v>2585</v>
      </c>
      <c r="D563" s="13" t="s">
        <v>2873</v>
      </c>
      <c r="E563" s="12" t="s">
        <v>2585</v>
      </c>
      <c r="F563" s="12" t="s">
        <v>174</v>
      </c>
      <c r="G563" s="12"/>
      <c r="H563" s="12" t="s">
        <v>2874</v>
      </c>
      <c r="I563" s="14">
        <v>0.33650000000000002</v>
      </c>
      <c r="J563" s="12">
        <v>56.4</v>
      </c>
      <c r="K563" s="12" t="s">
        <v>2875</v>
      </c>
      <c r="L563" s="14">
        <v>0.3</v>
      </c>
      <c r="M563" s="12"/>
      <c r="N563" s="14"/>
      <c r="O563" s="12">
        <v>1</v>
      </c>
      <c r="P563" s="12" t="s">
        <v>2876</v>
      </c>
      <c r="Q563" s="13" t="s">
        <v>2877</v>
      </c>
      <c r="R563" s="10"/>
      <c r="S563" s="10"/>
      <c r="T563" s="11"/>
    </row>
    <row r="564" spans="1:20" ht="84" x14ac:dyDescent="0.35">
      <c r="A564" s="12" t="s">
        <v>413</v>
      </c>
      <c r="B564" s="12" t="s">
        <v>238</v>
      </c>
      <c r="C564" s="13" t="s">
        <v>2878</v>
      </c>
      <c r="D564" s="13"/>
      <c r="E564" s="12" t="s">
        <v>232</v>
      </c>
      <c r="F564" s="12" t="s">
        <v>174</v>
      </c>
      <c r="G564" s="12"/>
      <c r="H564" s="12" t="s">
        <v>2879</v>
      </c>
      <c r="I564" s="14">
        <v>0.33600000000000002</v>
      </c>
      <c r="J564" s="12">
        <v>56.3</v>
      </c>
      <c r="K564" s="12" t="s">
        <v>2880</v>
      </c>
      <c r="L564" s="14">
        <v>0.30270000000000002</v>
      </c>
      <c r="M564" s="12" t="s">
        <v>2881</v>
      </c>
      <c r="N564" s="14">
        <v>0.28789999999999999</v>
      </c>
      <c r="O564" s="12">
        <v>1</v>
      </c>
      <c r="P564" s="12" t="s">
        <v>2882</v>
      </c>
      <c r="Q564" s="13" t="s">
        <v>2883</v>
      </c>
      <c r="R564" s="10"/>
      <c r="S564" s="10"/>
      <c r="T564" s="11"/>
    </row>
    <row r="565" spans="1:20" ht="84" x14ac:dyDescent="0.35">
      <c r="A565" s="12" t="s">
        <v>413</v>
      </c>
      <c r="B565" s="12" t="s">
        <v>238</v>
      </c>
      <c r="C565" s="13" t="s">
        <v>2884</v>
      </c>
      <c r="D565" s="13" t="s">
        <v>683</v>
      </c>
      <c r="E565" s="12" t="s">
        <v>2885</v>
      </c>
      <c r="F565" s="12" t="s">
        <v>174</v>
      </c>
      <c r="G565" s="12"/>
      <c r="H565" s="12" t="s">
        <v>2886</v>
      </c>
      <c r="I565" s="14">
        <v>0.33539999999999998</v>
      </c>
      <c r="J565" s="12">
        <v>56.1</v>
      </c>
      <c r="K565" s="12" t="s">
        <v>2887</v>
      </c>
      <c r="L565" s="14">
        <v>0.32750000000000001</v>
      </c>
      <c r="M565" s="12" t="s">
        <v>2888</v>
      </c>
      <c r="N565" s="14">
        <v>0.24890000000000001</v>
      </c>
      <c r="O565" s="12">
        <v>1</v>
      </c>
      <c r="P565" s="12" t="s">
        <v>686</v>
      </c>
      <c r="Q565" s="13" t="s">
        <v>687</v>
      </c>
      <c r="R565" s="10"/>
      <c r="S565" s="10"/>
      <c r="T565" s="11"/>
    </row>
    <row r="566" spans="1:20" ht="70" x14ac:dyDescent="0.35">
      <c r="A566" s="12" t="s">
        <v>413</v>
      </c>
      <c r="B566" s="12" t="s">
        <v>238</v>
      </c>
      <c r="C566" s="13" t="s">
        <v>2889</v>
      </c>
      <c r="D566" s="13" t="s">
        <v>2890</v>
      </c>
      <c r="E566" s="12" t="s">
        <v>1988</v>
      </c>
      <c r="F566" s="12" t="s">
        <v>174</v>
      </c>
      <c r="G566" s="12"/>
      <c r="H566" s="12" t="s">
        <v>2891</v>
      </c>
      <c r="I566" s="14">
        <v>0.3342</v>
      </c>
      <c r="J566" s="12">
        <v>55.8</v>
      </c>
      <c r="K566" s="12"/>
      <c r="L566" s="14"/>
      <c r="M566" s="12"/>
      <c r="N566" s="14"/>
      <c r="O566" s="12">
        <v>1</v>
      </c>
      <c r="P566" s="12" t="s">
        <v>2892</v>
      </c>
      <c r="Q566" s="13" t="s">
        <v>2893</v>
      </c>
      <c r="R566" s="10"/>
      <c r="S566" s="10"/>
      <c r="T566" s="11"/>
    </row>
    <row r="567" spans="1:20" ht="28" x14ac:dyDescent="0.35">
      <c r="A567" s="12" t="s">
        <v>413</v>
      </c>
      <c r="B567" s="12" t="s">
        <v>238</v>
      </c>
      <c r="C567" s="13" t="s">
        <v>2894</v>
      </c>
      <c r="D567" s="13" t="s">
        <v>757</v>
      </c>
      <c r="E567" s="12" t="s">
        <v>2895</v>
      </c>
      <c r="F567" s="12" t="s">
        <v>174</v>
      </c>
      <c r="G567" s="12"/>
      <c r="H567" s="12" t="s">
        <v>2896</v>
      </c>
      <c r="I567" s="14">
        <v>0.33410000000000001</v>
      </c>
      <c r="J567" s="12">
        <v>55.8</v>
      </c>
      <c r="K567" s="12" t="s">
        <v>2897</v>
      </c>
      <c r="L567" s="14">
        <v>0.32950000000000002</v>
      </c>
      <c r="M567" s="12" t="s">
        <v>2470</v>
      </c>
      <c r="N567" s="14">
        <v>0.30109999999999998</v>
      </c>
      <c r="O567" s="12">
        <v>1</v>
      </c>
      <c r="P567" s="12" t="s">
        <v>758</v>
      </c>
      <c r="Q567" s="13" t="s">
        <v>759</v>
      </c>
      <c r="R567" s="10"/>
      <c r="S567" s="10"/>
      <c r="T567" s="11"/>
    </row>
    <row r="568" spans="1:20" ht="84" x14ac:dyDescent="0.35">
      <c r="A568" s="12" t="s">
        <v>413</v>
      </c>
      <c r="B568" s="12" t="s">
        <v>238</v>
      </c>
      <c r="C568" s="13" t="s">
        <v>2898</v>
      </c>
      <c r="D568" s="13" t="s">
        <v>1420</v>
      </c>
      <c r="E568" s="12" t="s">
        <v>2899</v>
      </c>
      <c r="F568" s="12" t="s">
        <v>174</v>
      </c>
      <c r="G568" s="12"/>
      <c r="H568" s="12" t="s">
        <v>2900</v>
      </c>
      <c r="I568" s="14">
        <v>0.33410000000000001</v>
      </c>
      <c r="J568" s="12">
        <v>55.8</v>
      </c>
      <c r="K568" s="12" t="s">
        <v>1980</v>
      </c>
      <c r="L568" s="14">
        <v>0.32419999999999999</v>
      </c>
      <c r="M568" s="12" t="s">
        <v>1324</v>
      </c>
      <c r="N568" s="14">
        <v>0.32290000000000002</v>
      </c>
      <c r="O568" s="12">
        <v>1</v>
      </c>
      <c r="P568" s="12" t="s">
        <v>1422</v>
      </c>
      <c r="Q568" s="13" t="s">
        <v>1423</v>
      </c>
      <c r="R568" s="10"/>
      <c r="S568" s="10"/>
      <c r="T568" s="11"/>
    </row>
    <row r="569" spans="1:20" ht="56" x14ac:dyDescent="0.35">
      <c r="A569" s="12" t="s">
        <v>413</v>
      </c>
      <c r="B569" s="12" t="s">
        <v>238</v>
      </c>
      <c r="C569" s="13" t="s">
        <v>2901</v>
      </c>
      <c r="D569" s="13" t="s">
        <v>2902</v>
      </c>
      <c r="E569" s="12" t="s">
        <v>2408</v>
      </c>
      <c r="F569" s="12" t="s">
        <v>174</v>
      </c>
      <c r="G569" s="12"/>
      <c r="H569" s="12" t="s">
        <v>1248</v>
      </c>
      <c r="I569" s="14">
        <v>0.33400000000000002</v>
      </c>
      <c r="J569" s="12">
        <v>55.7</v>
      </c>
      <c r="K569" s="12" t="s">
        <v>1332</v>
      </c>
      <c r="L569" s="14">
        <v>0.33119999999999999</v>
      </c>
      <c r="M569" s="12" t="s">
        <v>2903</v>
      </c>
      <c r="N569" s="14">
        <v>0.31109999999999999</v>
      </c>
      <c r="O569" s="12">
        <v>1</v>
      </c>
      <c r="P569" s="12" t="s">
        <v>2904</v>
      </c>
      <c r="Q569" s="13" t="s">
        <v>2905</v>
      </c>
      <c r="R569" s="10"/>
      <c r="S569" s="10"/>
      <c r="T569" s="11"/>
    </row>
    <row r="570" spans="1:20" ht="70" x14ac:dyDescent="0.35">
      <c r="A570" s="12" t="s">
        <v>413</v>
      </c>
      <c r="B570" s="12" t="s">
        <v>238</v>
      </c>
      <c r="C570" s="13" t="s">
        <v>2906</v>
      </c>
      <c r="D570" s="13" t="s">
        <v>2907</v>
      </c>
      <c r="E570" s="12" t="s">
        <v>1696</v>
      </c>
      <c r="F570" s="12" t="s">
        <v>174</v>
      </c>
      <c r="G570" s="12"/>
      <c r="H570" s="12" t="s">
        <v>2908</v>
      </c>
      <c r="I570" s="14">
        <v>0.33360000000000001</v>
      </c>
      <c r="J570" s="12">
        <v>55.6</v>
      </c>
      <c r="K570" s="12" t="s">
        <v>2909</v>
      </c>
      <c r="L570" s="14">
        <v>0.3291</v>
      </c>
      <c r="M570" s="12" t="s">
        <v>2910</v>
      </c>
      <c r="N570" s="14">
        <v>0.32350000000000001</v>
      </c>
      <c r="O570" s="12">
        <v>2</v>
      </c>
      <c r="P570" s="12" t="s">
        <v>2911</v>
      </c>
      <c r="Q570" s="13" t="s">
        <v>2912</v>
      </c>
      <c r="R570" s="10"/>
      <c r="S570" s="10"/>
      <c r="T570" s="11"/>
    </row>
    <row r="571" spans="1:20" ht="56" x14ac:dyDescent="0.35">
      <c r="A571" s="12" t="s">
        <v>413</v>
      </c>
      <c r="B571" s="12" t="s">
        <v>238</v>
      </c>
      <c r="C571" s="13" t="s">
        <v>2913</v>
      </c>
      <c r="D571" s="13" t="s">
        <v>372</v>
      </c>
      <c r="E571" s="12" t="s">
        <v>2914</v>
      </c>
      <c r="F571" s="12" t="s">
        <v>174</v>
      </c>
      <c r="G571" s="12"/>
      <c r="H571" s="12" t="s">
        <v>2915</v>
      </c>
      <c r="I571" s="14">
        <v>0.33339999999999997</v>
      </c>
      <c r="J571" s="12">
        <v>55.6</v>
      </c>
      <c r="K571" s="12" t="s">
        <v>2916</v>
      </c>
      <c r="L571" s="14">
        <v>0.26419999999999999</v>
      </c>
      <c r="M571" s="12" t="s">
        <v>2917</v>
      </c>
      <c r="N571" s="14">
        <v>0.22090000000000001</v>
      </c>
      <c r="O571" s="12">
        <v>1</v>
      </c>
      <c r="P571" s="12" t="s">
        <v>374</v>
      </c>
      <c r="Q571" s="13" t="s">
        <v>375</v>
      </c>
      <c r="R571" s="10"/>
      <c r="S571" s="10"/>
      <c r="T571" s="11"/>
    </row>
    <row r="572" spans="1:20" ht="84" x14ac:dyDescent="0.35">
      <c r="A572" s="12" t="s">
        <v>413</v>
      </c>
      <c r="B572" s="12" t="s">
        <v>238</v>
      </c>
      <c r="C572" s="13" t="s">
        <v>2918</v>
      </c>
      <c r="D572" s="13" t="s">
        <v>2919</v>
      </c>
      <c r="E572" s="12" t="s">
        <v>260</v>
      </c>
      <c r="F572" s="12" t="s">
        <v>174</v>
      </c>
      <c r="G572" s="12"/>
      <c r="H572" s="12" t="s">
        <v>1823</v>
      </c>
      <c r="I572" s="14">
        <v>0.33289999999999997</v>
      </c>
      <c r="J572" s="12">
        <v>55.5</v>
      </c>
      <c r="K572" s="12" t="s">
        <v>2920</v>
      </c>
      <c r="L572" s="14">
        <v>0.25380000000000003</v>
      </c>
      <c r="M572" s="12" t="s">
        <v>2921</v>
      </c>
      <c r="N572" s="14">
        <v>0.24979999999999999</v>
      </c>
      <c r="O572" s="12">
        <v>1</v>
      </c>
      <c r="P572" s="12" t="s">
        <v>2922</v>
      </c>
      <c r="Q572" s="13" t="s">
        <v>2923</v>
      </c>
      <c r="R572" s="10"/>
      <c r="S572" s="10"/>
      <c r="T572" s="11"/>
    </row>
    <row r="573" spans="1:20" ht="84" x14ac:dyDescent="0.35">
      <c r="A573" s="12" t="s">
        <v>413</v>
      </c>
      <c r="B573" s="12" t="s">
        <v>238</v>
      </c>
      <c r="C573" s="13" t="s">
        <v>2924</v>
      </c>
      <c r="D573" s="13"/>
      <c r="E573" s="12" t="s">
        <v>2925</v>
      </c>
      <c r="F573" s="12" t="s">
        <v>174</v>
      </c>
      <c r="G573" s="12"/>
      <c r="H573" s="12" t="s">
        <v>2664</v>
      </c>
      <c r="I573" s="14">
        <v>0.33310000000000001</v>
      </c>
      <c r="J573" s="12">
        <v>55.5</v>
      </c>
      <c r="K573" s="12" t="s">
        <v>2926</v>
      </c>
      <c r="L573" s="14">
        <v>0.22040000000000001</v>
      </c>
      <c r="M573" s="12" t="s">
        <v>2927</v>
      </c>
      <c r="N573" s="14">
        <v>0.216</v>
      </c>
      <c r="O573" s="12">
        <v>1</v>
      </c>
      <c r="P573" s="12" t="s">
        <v>2928</v>
      </c>
      <c r="Q573" s="13" t="s">
        <v>2929</v>
      </c>
      <c r="R573" s="10"/>
      <c r="S573" s="10"/>
      <c r="T573" s="11"/>
    </row>
    <row r="574" spans="1:20" ht="42" x14ac:dyDescent="0.35">
      <c r="A574" s="12" t="s">
        <v>413</v>
      </c>
      <c r="B574" s="12" t="s">
        <v>238</v>
      </c>
      <c r="C574" s="13" t="s">
        <v>2930</v>
      </c>
      <c r="D574" s="13" t="s">
        <v>2931</v>
      </c>
      <c r="E574" s="12" t="s">
        <v>2930</v>
      </c>
      <c r="F574" s="12" t="s">
        <v>174</v>
      </c>
      <c r="G574" s="12"/>
      <c r="H574" s="12" t="s">
        <v>2932</v>
      </c>
      <c r="I574" s="14">
        <v>0.33329999999999999</v>
      </c>
      <c r="J574" s="12">
        <v>55.5</v>
      </c>
      <c r="K574" s="12" t="s">
        <v>2933</v>
      </c>
      <c r="L574" s="14">
        <v>0.30649999999999999</v>
      </c>
      <c r="M574" s="12" t="s">
        <v>2934</v>
      </c>
      <c r="N574" s="14">
        <v>0.21510000000000001</v>
      </c>
      <c r="O574" s="12">
        <v>1</v>
      </c>
      <c r="P574" s="12" t="s">
        <v>2935</v>
      </c>
      <c r="Q574" s="13" t="s">
        <v>2936</v>
      </c>
      <c r="R574" s="10"/>
      <c r="S574" s="10"/>
      <c r="T574" s="11"/>
    </row>
    <row r="575" spans="1:20" ht="84" x14ac:dyDescent="0.35">
      <c r="A575" s="12" t="s">
        <v>413</v>
      </c>
      <c r="B575" s="12" t="s">
        <v>238</v>
      </c>
      <c r="C575" s="13" t="s">
        <v>2937</v>
      </c>
      <c r="D575" s="13" t="s">
        <v>2938</v>
      </c>
      <c r="E575" s="12" t="s">
        <v>2939</v>
      </c>
      <c r="F575" s="12" t="s">
        <v>174</v>
      </c>
      <c r="G575" s="12"/>
      <c r="H575" s="12" t="s">
        <v>299</v>
      </c>
      <c r="I575" s="14">
        <v>0.3327</v>
      </c>
      <c r="J575" s="12">
        <v>55.4</v>
      </c>
      <c r="K575" s="12" t="s">
        <v>1789</v>
      </c>
      <c r="L575" s="14">
        <v>0.30299999999999999</v>
      </c>
      <c r="M575" s="12" t="s">
        <v>1490</v>
      </c>
      <c r="N575" s="14">
        <v>0.2641</v>
      </c>
      <c r="O575" s="12">
        <v>1</v>
      </c>
      <c r="P575" s="12" t="s">
        <v>2940</v>
      </c>
      <c r="Q575" s="13" t="s">
        <v>2941</v>
      </c>
      <c r="R575" s="10"/>
      <c r="S575" s="10"/>
      <c r="T575" s="11"/>
    </row>
    <row r="576" spans="1:20" ht="84" x14ac:dyDescent="0.35">
      <c r="A576" s="12" t="s">
        <v>413</v>
      </c>
      <c r="B576" s="12" t="s">
        <v>238</v>
      </c>
      <c r="C576" s="13" t="s">
        <v>2942</v>
      </c>
      <c r="D576" s="13" t="s">
        <v>2943</v>
      </c>
      <c r="E576" s="12" t="s">
        <v>2944</v>
      </c>
      <c r="F576" s="12" t="s">
        <v>174</v>
      </c>
      <c r="G576" s="12"/>
      <c r="H576" s="12" t="s">
        <v>1737</v>
      </c>
      <c r="I576" s="14">
        <v>0.33110000000000001</v>
      </c>
      <c r="J576" s="12">
        <v>55</v>
      </c>
      <c r="K576" s="12" t="s">
        <v>2403</v>
      </c>
      <c r="L576" s="14">
        <v>0.30399999999999999</v>
      </c>
      <c r="M576" s="12" t="s">
        <v>2945</v>
      </c>
      <c r="N576" s="14">
        <v>0.2457</v>
      </c>
      <c r="O576" s="12">
        <v>1</v>
      </c>
      <c r="P576" s="12" t="s">
        <v>2946</v>
      </c>
      <c r="Q576" s="13" t="s">
        <v>2947</v>
      </c>
      <c r="R576" s="10"/>
      <c r="S576" s="10"/>
      <c r="T576" s="11"/>
    </row>
    <row r="577" spans="1:20" ht="112" x14ac:dyDescent="0.35">
      <c r="A577" s="12" t="s">
        <v>413</v>
      </c>
      <c r="B577" s="12" t="s">
        <v>238</v>
      </c>
      <c r="C577" s="13" t="s">
        <v>2948</v>
      </c>
      <c r="D577" s="13" t="s">
        <v>2111</v>
      </c>
      <c r="E577" s="12" t="s">
        <v>2526</v>
      </c>
      <c r="F577" s="12" t="s">
        <v>174</v>
      </c>
      <c r="G577" s="12"/>
      <c r="H577" s="12" t="s">
        <v>299</v>
      </c>
      <c r="I577" s="14">
        <v>0.33079999999999998</v>
      </c>
      <c r="J577" s="12">
        <v>54.9</v>
      </c>
      <c r="K577" s="12" t="s">
        <v>1789</v>
      </c>
      <c r="L577" s="14">
        <v>0.2311</v>
      </c>
      <c r="M577" s="12" t="s">
        <v>2949</v>
      </c>
      <c r="N577" s="14">
        <v>0.22789999999999999</v>
      </c>
      <c r="O577" s="12">
        <v>2</v>
      </c>
      <c r="P577" s="12" t="s">
        <v>2115</v>
      </c>
      <c r="Q577" s="13" t="s">
        <v>2116</v>
      </c>
      <c r="R577" s="10"/>
      <c r="S577" s="10"/>
      <c r="T577" s="11"/>
    </row>
    <row r="578" spans="1:20" ht="70" x14ac:dyDescent="0.35">
      <c r="A578" s="12" t="s">
        <v>413</v>
      </c>
      <c r="B578" s="12" t="s">
        <v>238</v>
      </c>
      <c r="C578" s="13" t="s">
        <v>2950</v>
      </c>
      <c r="D578" s="13" t="s">
        <v>2951</v>
      </c>
      <c r="E578" s="12" t="s">
        <v>2952</v>
      </c>
      <c r="F578" s="12" t="s">
        <v>174</v>
      </c>
      <c r="G578" s="12"/>
      <c r="H578" s="12" t="s">
        <v>2953</v>
      </c>
      <c r="I578" s="14">
        <v>0.32969999999999999</v>
      </c>
      <c r="J578" s="12">
        <v>54.6</v>
      </c>
      <c r="K578" s="12" t="s">
        <v>2954</v>
      </c>
      <c r="L578" s="14">
        <v>0.32529999999999998</v>
      </c>
      <c r="M578" s="12" t="s">
        <v>2955</v>
      </c>
      <c r="N578" s="14">
        <v>0.3211</v>
      </c>
      <c r="O578" s="12">
        <v>1</v>
      </c>
      <c r="P578" s="12" t="s">
        <v>2956</v>
      </c>
      <c r="Q578" s="13" t="s">
        <v>2957</v>
      </c>
      <c r="R578" s="10"/>
      <c r="S578" s="10"/>
      <c r="T578" s="11"/>
    </row>
    <row r="579" spans="1:20" ht="84" x14ac:dyDescent="0.35">
      <c r="A579" s="12" t="s">
        <v>413</v>
      </c>
      <c r="B579" s="12" t="s">
        <v>238</v>
      </c>
      <c r="C579" s="13" t="s">
        <v>2958</v>
      </c>
      <c r="D579" s="13" t="s">
        <v>2836</v>
      </c>
      <c r="E579" s="12" t="s">
        <v>2959</v>
      </c>
      <c r="F579" s="12" t="s">
        <v>174</v>
      </c>
      <c r="G579" s="12"/>
      <c r="H579" s="12" t="s">
        <v>1572</v>
      </c>
      <c r="I579" s="14">
        <v>0.32750000000000001</v>
      </c>
      <c r="J579" s="12">
        <v>54</v>
      </c>
      <c r="K579" s="12" t="s">
        <v>1301</v>
      </c>
      <c r="L579" s="14">
        <v>0.28610000000000002</v>
      </c>
      <c r="M579" s="12" t="s">
        <v>1571</v>
      </c>
      <c r="N579" s="14">
        <v>0.26719999999999999</v>
      </c>
      <c r="O579" s="12">
        <v>1</v>
      </c>
      <c r="P579" s="12" t="s">
        <v>2840</v>
      </c>
      <c r="Q579" s="13" t="s">
        <v>2841</v>
      </c>
      <c r="R579" s="10"/>
      <c r="S579" s="10"/>
      <c r="T579" s="11"/>
    </row>
    <row r="580" spans="1:20" ht="84" x14ac:dyDescent="0.35">
      <c r="A580" s="12" t="s">
        <v>413</v>
      </c>
      <c r="B580" s="12" t="s">
        <v>238</v>
      </c>
      <c r="C580" s="13" t="s">
        <v>2960</v>
      </c>
      <c r="D580" s="13" t="s">
        <v>2961</v>
      </c>
      <c r="E580" s="12" t="s">
        <v>1584</v>
      </c>
      <c r="F580" s="12" t="s">
        <v>174</v>
      </c>
      <c r="G580" s="12"/>
      <c r="H580" s="12" t="s">
        <v>2921</v>
      </c>
      <c r="I580" s="14">
        <v>0.32679999999999998</v>
      </c>
      <c r="J580" s="12">
        <v>53.8</v>
      </c>
      <c r="K580" s="12" t="s">
        <v>2962</v>
      </c>
      <c r="L580" s="14">
        <v>0.29120000000000001</v>
      </c>
      <c r="M580" s="12" t="s">
        <v>2963</v>
      </c>
      <c r="N580" s="14">
        <v>0.28489999999999999</v>
      </c>
      <c r="O580" s="12">
        <v>1</v>
      </c>
      <c r="P580" s="12" t="s">
        <v>2964</v>
      </c>
      <c r="Q580" s="13" t="s">
        <v>2965</v>
      </c>
      <c r="R580" s="10"/>
      <c r="S580" s="10"/>
      <c r="T580" s="11"/>
    </row>
    <row r="581" spans="1:20" ht="84" x14ac:dyDescent="0.35">
      <c r="A581" s="12" t="s">
        <v>413</v>
      </c>
      <c r="B581" s="12" t="s">
        <v>238</v>
      </c>
      <c r="C581" s="13" t="s">
        <v>2966</v>
      </c>
      <c r="D581" s="13" t="s">
        <v>2967</v>
      </c>
      <c r="E581" s="12" t="s">
        <v>2968</v>
      </c>
      <c r="F581" s="12" t="s">
        <v>174</v>
      </c>
      <c r="G581" s="12"/>
      <c r="H581" s="12" t="s">
        <v>2969</v>
      </c>
      <c r="I581" s="14">
        <v>0.3261</v>
      </c>
      <c r="J581" s="12">
        <v>53.6</v>
      </c>
      <c r="K581" s="12" t="s">
        <v>2970</v>
      </c>
      <c r="L581" s="14">
        <v>0.28210000000000002</v>
      </c>
      <c r="M581" s="12" t="s">
        <v>2971</v>
      </c>
      <c r="N581" s="14">
        <v>0.21829999999999999</v>
      </c>
      <c r="O581" s="12">
        <v>1</v>
      </c>
      <c r="P581" s="12" t="s">
        <v>2972</v>
      </c>
      <c r="Q581" s="13" t="s">
        <v>2973</v>
      </c>
      <c r="R581" s="10"/>
      <c r="S581" s="10"/>
      <c r="T581" s="11"/>
    </row>
    <row r="582" spans="1:20" ht="84" x14ac:dyDescent="0.35">
      <c r="A582" s="12" t="s">
        <v>413</v>
      </c>
      <c r="B582" s="12" t="s">
        <v>238</v>
      </c>
      <c r="C582" s="13" t="s">
        <v>2974</v>
      </c>
      <c r="D582" s="13" t="s">
        <v>2975</v>
      </c>
      <c r="E582" s="12" t="s">
        <v>2976</v>
      </c>
      <c r="F582" s="12" t="s">
        <v>174</v>
      </c>
      <c r="G582" s="12"/>
      <c r="H582" s="12" t="s">
        <v>2977</v>
      </c>
      <c r="I582" s="14">
        <v>0.32569999999999999</v>
      </c>
      <c r="J582" s="12">
        <v>53.5</v>
      </c>
      <c r="K582" s="12" t="s">
        <v>2273</v>
      </c>
      <c r="L582" s="14">
        <v>0.22620000000000001</v>
      </c>
      <c r="M582" s="12" t="s">
        <v>2978</v>
      </c>
      <c r="N582" s="14">
        <v>0.20699999999999999</v>
      </c>
      <c r="O582" s="12">
        <v>1</v>
      </c>
      <c r="P582" s="12" t="s">
        <v>2979</v>
      </c>
      <c r="Q582" s="13" t="s">
        <v>2980</v>
      </c>
      <c r="R582" s="10"/>
      <c r="S582" s="10"/>
      <c r="T582" s="11"/>
    </row>
    <row r="583" spans="1:20" ht="98" x14ac:dyDescent="0.35">
      <c r="A583" s="12" t="s">
        <v>413</v>
      </c>
      <c r="B583" s="12" t="s">
        <v>238</v>
      </c>
      <c r="C583" s="13" t="s">
        <v>2981</v>
      </c>
      <c r="D583" s="13" t="s">
        <v>2982</v>
      </c>
      <c r="E583" s="12" t="s">
        <v>2764</v>
      </c>
      <c r="F583" s="12" t="s">
        <v>174</v>
      </c>
      <c r="G583" s="12"/>
      <c r="H583" s="12" t="s">
        <v>2368</v>
      </c>
      <c r="I583" s="14">
        <v>0.3251</v>
      </c>
      <c r="J583" s="12">
        <v>53.3</v>
      </c>
      <c r="K583" s="12" t="s">
        <v>2983</v>
      </c>
      <c r="L583" s="14">
        <v>0.30170000000000002</v>
      </c>
      <c r="M583" s="12" t="s">
        <v>2984</v>
      </c>
      <c r="N583" s="14">
        <v>0.29239999999999999</v>
      </c>
      <c r="O583" s="12">
        <v>1</v>
      </c>
      <c r="P583" s="12" t="s">
        <v>2985</v>
      </c>
      <c r="Q583" s="13" t="s">
        <v>2986</v>
      </c>
      <c r="R583" s="10"/>
      <c r="S583" s="10"/>
      <c r="T583" s="11"/>
    </row>
    <row r="584" spans="1:20" ht="42" x14ac:dyDescent="0.35">
      <c r="A584" s="12" t="s">
        <v>413</v>
      </c>
      <c r="B584" s="12" t="s">
        <v>238</v>
      </c>
      <c r="C584" s="13" t="s">
        <v>2987</v>
      </c>
      <c r="D584" s="13"/>
      <c r="E584" s="12" t="s">
        <v>1969</v>
      </c>
      <c r="F584" s="12" t="s">
        <v>174</v>
      </c>
      <c r="G584" s="12"/>
      <c r="H584" s="12" t="s">
        <v>221</v>
      </c>
      <c r="I584" s="14">
        <v>0.32500000000000001</v>
      </c>
      <c r="J584" s="12">
        <v>53.3</v>
      </c>
      <c r="K584" s="12" t="s">
        <v>2459</v>
      </c>
      <c r="L584" s="14">
        <v>0.2046</v>
      </c>
      <c r="M584" s="12"/>
      <c r="N584" s="14"/>
      <c r="O584" s="12">
        <v>2</v>
      </c>
      <c r="P584" s="12" t="s">
        <v>2988</v>
      </c>
      <c r="Q584" s="13" t="s">
        <v>2989</v>
      </c>
      <c r="R584" s="10"/>
      <c r="S584" s="10"/>
      <c r="T584" s="11"/>
    </row>
    <row r="585" spans="1:20" ht="84" x14ac:dyDescent="0.35">
      <c r="A585" s="12" t="s">
        <v>413</v>
      </c>
      <c r="B585" s="12" t="s">
        <v>238</v>
      </c>
      <c r="C585" s="13" t="s">
        <v>2990</v>
      </c>
      <c r="D585" s="13" t="s">
        <v>157</v>
      </c>
      <c r="E585" s="12" t="s">
        <v>2990</v>
      </c>
      <c r="F585" s="12" t="s">
        <v>174</v>
      </c>
      <c r="G585" s="12"/>
      <c r="H585" s="12" t="s">
        <v>2991</v>
      </c>
      <c r="I585" s="14">
        <v>0.32400000000000001</v>
      </c>
      <c r="J585" s="12">
        <v>53.1</v>
      </c>
      <c r="K585" s="12" t="s">
        <v>2992</v>
      </c>
      <c r="L585" s="14">
        <v>0.31859999999999999</v>
      </c>
      <c r="M585" s="12" t="s">
        <v>2993</v>
      </c>
      <c r="N585" s="14">
        <v>0.2727</v>
      </c>
      <c r="O585" s="12">
        <v>1</v>
      </c>
      <c r="P585" s="12" t="s">
        <v>158</v>
      </c>
      <c r="Q585" s="13" t="s">
        <v>159</v>
      </c>
      <c r="R585" s="10"/>
      <c r="S585" s="10"/>
      <c r="T585" s="11"/>
    </row>
    <row r="586" spans="1:20" ht="56" x14ac:dyDescent="0.35">
      <c r="A586" s="12" t="s">
        <v>413</v>
      </c>
      <c r="B586" s="12" t="s">
        <v>238</v>
      </c>
      <c r="C586" s="13" t="s">
        <v>1595</v>
      </c>
      <c r="D586" s="13" t="s">
        <v>2994</v>
      </c>
      <c r="E586" s="12"/>
      <c r="F586" s="12" t="s">
        <v>174</v>
      </c>
      <c r="G586" s="12"/>
      <c r="H586" s="12" t="s">
        <v>2065</v>
      </c>
      <c r="I586" s="14">
        <v>0.32369999999999999</v>
      </c>
      <c r="J586" s="12">
        <v>53</v>
      </c>
      <c r="K586" s="12" t="s">
        <v>2875</v>
      </c>
      <c r="L586" s="14">
        <v>0.3211</v>
      </c>
      <c r="M586" s="12" t="s">
        <v>2995</v>
      </c>
      <c r="N586" s="14">
        <v>0.314</v>
      </c>
      <c r="O586" s="12">
        <v>3</v>
      </c>
      <c r="P586" s="12" t="s">
        <v>2996</v>
      </c>
      <c r="Q586" s="13" t="s">
        <v>2997</v>
      </c>
      <c r="R586" s="10"/>
      <c r="S586" s="10"/>
      <c r="T586" s="11"/>
    </row>
    <row r="587" spans="1:20" ht="56" x14ac:dyDescent="0.35">
      <c r="A587" s="12" t="s">
        <v>413</v>
      </c>
      <c r="B587" s="12" t="s">
        <v>238</v>
      </c>
      <c r="C587" s="13" t="s">
        <v>2998</v>
      </c>
      <c r="D587" s="13"/>
      <c r="E587" s="12" t="s">
        <v>2999</v>
      </c>
      <c r="F587" s="12" t="s">
        <v>174</v>
      </c>
      <c r="G587" s="12"/>
      <c r="H587" s="12" t="s">
        <v>3000</v>
      </c>
      <c r="I587" s="14">
        <v>0.32100000000000001</v>
      </c>
      <c r="J587" s="12">
        <v>52.3</v>
      </c>
      <c r="K587" s="12" t="s">
        <v>3001</v>
      </c>
      <c r="L587" s="14">
        <v>0.29780000000000001</v>
      </c>
      <c r="M587" s="12" t="s">
        <v>3002</v>
      </c>
      <c r="N587" s="14">
        <v>0.29249999999999998</v>
      </c>
      <c r="O587" s="12">
        <v>1</v>
      </c>
      <c r="P587" s="12" t="s">
        <v>3003</v>
      </c>
      <c r="Q587" s="13" t="s">
        <v>3004</v>
      </c>
      <c r="R587" s="10"/>
      <c r="S587" s="10"/>
      <c r="T587" s="11"/>
    </row>
    <row r="588" spans="1:20" ht="42" x14ac:dyDescent="0.35">
      <c r="A588" s="12" t="s">
        <v>413</v>
      </c>
      <c r="B588" s="12" t="s">
        <v>238</v>
      </c>
      <c r="C588" s="13" t="s">
        <v>3005</v>
      </c>
      <c r="D588" s="13" t="s">
        <v>3006</v>
      </c>
      <c r="E588" s="12" t="s">
        <v>2178</v>
      </c>
      <c r="F588" s="12" t="s">
        <v>174</v>
      </c>
      <c r="G588" s="12"/>
      <c r="H588" s="12" t="s">
        <v>3007</v>
      </c>
      <c r="I588" s="14">
        <v>0.32079999999999997</v>
      </c>
      <c r="J588" s="12">
        <v>52.2</v>
      </c>
      <c r="K588" s="12" t="s">
        <v>3008</v>
      </c>
      <c r="L588" s="14">
        <v>0.29930000000000001</v>
      </c>
      <c r="M588" s="12" t="s">
        <v>1784</v>
      </c>
      <c r="N588" s="14">
        <v>0.25440000000000002</v>
      </c>
      <c r="O588" s="12">
        <v>1</v>
      </c>
      <c r="P588" s="12" t="s">
        <v>3009</v>
      </c>
      <c r="Q588" s="13" t="s">
        <v>3010</v>
      </c>
      <c r="R588" s="10"/>
      <c r="S588" s="10"/>
      <c r="T588" s="11"/>
    </row>
    <row r="589" spans="1:20" ht="56" x14ac:dyDescent="0.35">
      <c r="A589" s="12" t="s">
        <v>413</v>
      </c>
      <c r="B589" s="12" t="s">
        <v>238</v>
      </c>
      <c r="C589" s="13" t="s">
        <v>3011</v>
      </c>
      <c r="D589" s="13" t="s">
        <v>3012</v>
      </c>
      <c r="E589" s="12" t="s">
        <v>246</v>
      </c>
      <c r="F589" s="12" t="s">
        <v>174</v>
      </c>
      <c r="G589" s="12"/>
      <c r="H589" s="12" t="s">
        <v>249</v>
      </c>
      <c r="I589" s="14">
        <v>0.31990000000000002</v>
      </c>
      <c r="J589" s="12">
        <v>52</v>
      </c>
      <c r="K589" s="12" t="s">
        <v>3013</v>
      </c>
      <c r="L589" s="14">
        <v>0.3029</v>
      </c>
      <c r="M589" s="12" t="s">
        <v>2748</v>
      </c>
      <c r="N589" s="14">
        <v>0.29499999999999998</v>
      </c>
      <c r="O589" s="12">
        <v>1</v>
      </c>
      <c r="P589" s="12" t="s">
        <v>3014</v>
      </c>
      <c r="Q589" s="13" t="s">
        <v>3015</v>
      </c>
      <c r="R589" s="10"/>
      <c r="S589" s="10"/>
      <c r="T589" s="11"/>
    </row>
    <row r="590" spans="1:20" ht="42" x14ac:dyDescent="0.35">
      <c r="A590" s="12" t="s">
        <v>413</v>
      </c>
      <c r="B590" s="12" t="s">
        <v>238</v>
      </c>
      <c r="C590" s="13" t="s">
        <v>3016</v>
      </c>
      <c r="D590" s="13"/>
      <c r="E590" s="12" t="s">
        <v>1939</v>
      </c>
      <c r="F590" s="12" t="s">
        <v>174</v>
      </c>
      <c r="G590" s="12"/>
      <c r="H590" s="12" t="s">
        <v>3017</v>
      </c>
      <c r="I590" s="14">
        <v>0.31790000000000002</v>
      </c>
      <c r="J590" s="12">
        <v>51.4</v>
      </c>
      <c r="K590" s="12" t="s">
        <v>3018</v>
      </c>
      <c r="L590" s="14">
        <v>0.29299999999999998</v>
      </c>
      <c r="M590" s="12" t="s">
        <v>3019</v>
      </c>
      <c r="N590" s="14">
        <v>0.27539999999999998</v>
      </c>
      <c r="O590" s="12">
        <v>2</v>
      </c>
      <c r="P590" s="12" t="s">
        <v>3020</v>
      </c>
      <c r="Q590" s="13" t="s">
        <v>3021</v>
      </c>
      <c r="R590" s="10"/>
      <c r="S590" s="10"/>
      <c r="T590" s="11"/>
    </row>
    <row r="591" spans="1:20" ht="98" x14ac:dyDescent="0.35">
      <c r="A591" s="12" t="s">
        <v>413</v>
      </c>
      <c r="B591" s="12" t="s">
        <v>238</v>
      </c>
      <c r="C591" s="13" t="s">
        <v>3022</v>
      </c>
      <c r="D591" s="13" t="s">
        <v>3023</v>
      </c>
      <c r="E591" s="12" t="s">
        <v>3024</v>
      </c>
      <c r="F591" s="12" t="s">
        <v>174</v>
      </c>
      <c r="G591" s="12"/>
      <c r="H591" s="12" t="s">
        <v>3025</v>
      </c>
      <c r="I591" s="14">
        <v>0.31769999999999998</v>
      </c>
      <c r="J591" s="12">
        <v>51.4</v>
      </c>
      <c r="K591" s="12" t="s">
        <v>1496</v>
      </c>
      <c r="L591" s="14">
        <v>0.28160000000000002</v>
      </c>
      <c r="M591" s="12" t="s">
        <v>3026</v>
      </c>
      <c r="N591" s="14">
        <v>0.2162</v>
      </c>
      <c r="O591" s="12">
        <v>1</v>
      </c>
      <c r="P591" s="12" t="s">
        <v>3027</v>
      </c>
      <c r="Q591" s="13" t="s">
        <v>3028</v>
      </c>
      <c r="R591" s="10"/>
      <c r="S591" s="10"/>
      <c r="T591" s="11"/>
    </row>
    <row r="592" spans="1:20" ht="84" x14ac:dyDescent="0.35">
      <c r="A592" s="12" t="s">
        <v>413</v>
      </c>
      <c r="B592" s="12" t="s">
        <v>238</v>
      </c>
      <c r="C592" s="13" t="s">
        <v>3029</v>
      </c>
      <c r="D592" s="13" t="s">
        <v>1984</v>
      </c>
      <c r="E592" s="12" t="s">
        <v>3030</v>
      </c>
      <c r="F592" s="12" t="s">
        <v>174</v>
      </c>
      <c r="G592" s="12"/>
      <c r="H592" s="12" t="s">
        <v>3031</v>
      </c>
      <c r="I592" s="14">
        <v>0.31680000000000003</v>
      </c>
      <c r="J592" s="12">
        <v>51.2</v>
      </c>
      <c r="K592" s="12" t="s">
        <v>3032</v>
      </c>
      <c r="L592" s="14">
        <v>0.25230000000000002</v>
      </c>
      <c r="M592" s="12" t="s">
        <v>3033</v>
      </c>
      <c r="N592" s="14">
        <v>0.21160000000000001</v>
      </c>
      <c r="O592" s="12">
        <v>1</v>
      </c>
      <c r="P592" s="12" t="s">
        <v>1985</v>
      </c>
      <c r="Q592" s="13" t="s">
        <v>1986</v>
      </c>
      <c r="R592" s="10"/>
      <c r="S592" s="10"/>
      <c r="T592" s="11"/>
    </row>
    <row r="593" spans="1:20" ht="56" x14ac:dyDescent="0.35">
      <c r="A593" s="12" t="s">
        <v>413</v>
      </c>
      <c r="B593" s="12" t="s">
        <v>238</v>
      </c>
      <c r="C593" s="13" t="s">
        <v>3034</v>
      </c>
      <c r="D593" s="13" t="s">
        <v>3035</v>
      </c>
      <c r="E593" s="12" t="s">
        <v>1804</v>
      </c>
      <c r="F593" s="12" t="s">
        <v>174</v>
      </c>
      <c r="G593" s="12"/>
      <c r="H593" s="12" t="s">
        <v>1658</v>
      </c>
      <c r="I593" s="14">
        <v>0.31609999999999999</v>
      </c>
      <c r="J593" s="12">
        <v>51</v>
      </c>
      <c r="K593" s="12" t="s">
        <v>3036</v>
      </c>
      <c r="L593" s="14">
        <v>0.27389999999999998</v>
      </c>
      <c r="M593" s="12" t="s">
        <v>1122</v>
      </c>
      <c r="N593" s="14">
        <v>0.25879999999999997</v>
      </c>
      <c r="O593" s="12">
        <v>1</v>
      </c>
      <c r="P593" s="12" t="s">
        <v>3037</v>
      </c>
      <c r="Q593" s="13" t="s">
        <v>3038</v>
      </c>
      <c r="R593" s="10"/>
      <c r="S593" s="10"/>
      <c r="T593" s="11"/>
    </row>
    <row r="594" spans="1:20" ht="98" x14ac:dyDescent="0.35">
      <c r="A594" s="12" t="s">
        <v>413</v>
      </c>
      <c r="B594" s="12" t="s">
        <v>238</v>
      </c>
      <c r="C594" s="13" t="s">
        <v>3039</v>
      </c>
      <c r="D594" s="13" t="s">
        <v>3040</v>
      </c>
      <c r="E594" s="12" t="s">
        <v>2692</v>
      </c>
      <c r="F594" s="12" t="s">
        <v>174</v>
      </c>
      <c r="G594" s="12"/>
      <c r="H594" s="12" t="s">
        <v>1287</v>
      </c>
      <c r="I594" s="14">
        <v>0.31619999999999998</v>
      </c>
      <c r="J594" s="12">
        <v>51</v>
      </c>
      <c r="K594" s="12" t="s">
        <v>1302</v>
      </c>
      <c r="L594" s="14">
        <v>0.21460000000000001</v>
      </c>
      <c r="M594" s="12" t="s">
        <v>1303</v>
      </c>
      <c r="N594" s="14">
        <v>0.20180000000000001</v>
      </c>
      <c r="O594" s="12">
        <v>1</v>
      </c>
      <c r="P594" s="12" t="s">
        <v>3041</v>
      </c>
      <c r="Q594" s="13" t="s">
        <v>3042</v>
      </c>
      <c r="R594" s="10"/>
      <c r="S594" s="10"/>
      <c r="T594" s="11"/>
    </row>
    <row r="595" spans="1:20" ht="70" x14ac:dyDescent="0.35">
      <c r="A595" s="12" t="s">
        <v>413</v>
      </c>
      <c r="B595" s="12" t="s">
        <v>238</v>
      </c>
      <c r="C595" s="13" t="s">
        <v>3043</v>
      </c>
      <c r="D595" s="13"/>
      <c r="E595" s="12" t="s">
        <v>1962</v>
      </c>
      <c r="F595" s="12" t="s">
        <v>174</v>
      </c>
      <c r="G595" s="12"/>
      <c r="H595" s="12" t="s">
        <v>3044</v>
      </c>
      <c r="I595" s="14">
        <v>0.31590000000000001</v>
      </c>
      <c r="J595" s="12">
        <v>50.9</v>
      </c>
      <c r="K595" s="12" t="s">
        <v>175</v>
      </c>
      <c r="L595" s="14">
        <v>0.31190000000000001</v>
      </c>
      <c r="M595" s="12" t="s">
        <v>3045</v>
      </c>
      <c r="N595" s="14">
        <v>0.29670000000000002</v>
      </c>
      <c r="O595" s="12">
        <v>1</v>
      </c>
      <c r="P595" s="12" t="s">
        <v>3046</v>
      </c>
      <c r="Q595" s="13" t="s">
        <v>3047</v>
      </c>
      <c r="R595" s="10"/>
      <c r="S595" s="10"/>
      <c r="T595" s="11"/>
    </row>
    <row r="596" spans="1:20" ht="70" x14ac:dyDescent="0.35">
      <c r="A596" s="12" t="s">
        <v>413</v>
      </c>
      <c r="B596" s="12" t="s">
        <v>238</v>
      </c>
      <c r="C596" s="13" t="s">
        <v>1804</v>
      </c>
      <c r="D596" s="13" t="s">
        <v>3048</v>
      </c>
      <c r="E596" s="12" t="s">
        <v>1804</v>
      </c>
      <c r="F596" s="12" t="s">
        <v>174</v>
      </c>
      <c r="G596" s="12"/>
      <c r="H596" s="12" t="s">
        <v>3049</v>
      </c>
      <c r="I596" s="14">
        <v>0.31569999999999998</v>
      </c>
      <c r="J596" s="12">
        <v>50.9</v>
      </c>
      <c r="K596" s="12" t="s">
        <v>3036</v>
      </c>
      <c r="L596" s="14">
        <v>0.29070000000000001</v>
      </c>
      <c r="M596" s="12" t="s">
        <v>3050</v>
      </c>
      <c r="N596" s="14">
        <v>0.27829999999999999</v>
      </c>
      <c r="O596" s="12">
        <v>9</v>
      </c>
      <c r="P596" s="12" t="s">
        <v>3051</v>
      </c>
      <c r="Q596" s="13" t="s">
        <v>3052</v>
      </c>
      <c r="R596" s="10"/>
      <c r="S596" s="10"/>
      <c r="T596" s="11"/>
    </row>
    <row r="597" spans="1:20" ht="70" x14ac:dyDescent="0.35">
      <c r="A597" s="12" t="s">
        <v>413</v>
      </c>
      <c r="B597" s="12" t="s">
        <v>238</v>
      </c>
      <c r="C597" s="13" t="s">
        <v>3053</v>
      </c>
      <c r="D597" s="13"/>
      <c r="E597" s="12" t="s">
        <v>1886</v>
      </c>
      <c r="F597" s="12" t="s">
        <v>174</v>
      </c>
      <c r="G597" s="12"/>
      <c r="H597" s="12" t="s">
        <v>3054</v>
      </c>
      <c r="I597" s="14">
        <v>0.31559999999999999</v>
      </c>
      <c r="J597" s="12">
        <v>50.8</v>
      </c>
      <c r="K597" s="12" t="s">
        <v>1301</v>
      </c>
      <c r="L597" s="14">
        <v>0.30809999999999998</v>
      </c>
      <c r="M597" s="12" t="s">
        <v>3055</v>
      </c>
      <c r="N597" s="14">
        <v>0.30059999999999998</v>
      </c>
      <c r="O597" s="12">
        <v>1</v>
      </c>
      <c r="P597" s="12" t="s">
        <v>3056</v>
      </c>
      <c r="Q597" s="13" t="s">
        <v>3057</v>
      </c>
      <c r="R597" s="10"/>
      <c r="S597" s="10"/>
      <c r="T597" s="11"/>
    </row>
    <row r="598" spans="1:20" ht="84" x14ac:dyDescent="0.35">
      <c r="A598" s="12" t="s">
        <v>413</v>
      </c>
      <c r="B598" s="12" t="s">
        <v>238</v>
      </c>
      <c r="C598" s="13" t="s">
        <v>3058</v>
      </c>
      <c r="D598" s="13" t="s">
        <v>3059</v>
      </c>
      <c r="E598" s="12" t="s">
        <v>218</v>
      </c>
      <c r="F598" s="12" t="s">
        <v>174</v>
      </c>
      <c r="G598" s="12"/>
      <c r="H598" s="12" t="s">
        <v>221</v>
      </c>
      <c r="I598" s="14">
        <v>0.3155</v>
      </c>
      <c r="J598" s="12">
        <v>50.8</v>
      </c>
      <c r="K598" s="12" t="s">
        <v>220</v>
      </c>
      <c r="L598" s="14">
        <v>0.28060000000000002</v>
      </c>
      <c r="M598" s="12" t="s">
        <v>2488</v>
      </c>
      <c r="N598" s="14">
        <v>0.2324</v>
      </c>
      <c r="O598" s="12">
        <v>1</v>
      </c>
      <c r="P598" s="12" t="s">
        <v>3060</v>
      </c>
      <c r="Q598" s="13" t="s">
        <v>3061</v>
      </c>
      <c r="R598" s="10"/>
      <c r="S598" s="10"/>
      <c r="T598" s="11"/>
    </row>
    <row r="599" spans="1:20" ht="42" x14ac:dyDescent="0.35">
      <c r="A599" s="12" t="s">
        <v>413</v>
      </c>
      <c r="B599" s="12" t="s">
        <v>238</v>
      </c>
      <c r="C599" s="13" t="s">
        <v>3062</v>
      </c>
      <c r="D599" s="13"/>
      <c r="E599" s="12" t="s">
        <v>1475</v>
      </c>
      <c r="F599" s="12" t="s">
        <v>174</v>
      </c>
      <c r="G599" s="12"/>
      <c r="H599" s="12" t="s">
        <v>3063</v>
      </c>
      <c r="I599" s="14">
        <v>0.31490000000000001</v>
      </c>
      <c r="J599" s="12">
        <v>50.6</v>
      </c>
      <c r="K599" s="12" t="s">
        <v>60</v>
      </c>
      <c r="L599" s="14">
        <v>0.27250000000000002</v>
      </c>
      <c r="M599" s="12" t="s">
        <v>2800</v>
      </c>
      <c r="N599" s="14">
        <v>0.25729999999999997</v>
      </c>
      <c r="O599" s="12">
        <v>1</v>
      </c>
      <c r="P599" s="12" t="s">
        <v>3064</v>
      </c>
      <c r="Q599" s="13" t="s">
        <v>3065</v>
      </c>
      <c r="R599" s="10"/>
      <c r="S599" s="10"/>
      <c r="T599" s="11"/>
    </row>
    <row r="600" spans="1:20" ht="84" x14ac:dyDescent="0.35">
      <c r="A600" s="12" t="s">
        <v>413</v>
      </c>
      <c r="B600" s="12" t="s">
        <v>238</v>
      </c>
      <c r="C600" s="13" t="s">
        <v>3066</v>
      </c>
      <c r="D600" s="13" t="s">
        <v>3067</v>
      </c>
      <c r="E600" s="12" t="s">
        <v>232</v>
      </c>
      <c r="F600" s="12" t="s">
        <v>174</v>
      </c>
      <c r="G600" s="12"/>
      <c r="H600" s="12" t="s">
        <v>1622</v>
      </c>
      <c r="I600" s="14">
        <v>0.31369999999999998</v>
      </c>
      <c r="J600" s="12">
        <v>50.3</v>
      </c>
      <c r="K600" s="12" t="s">
        <v>2080</v>
      </c>
      <c r="L600" s="14">
        <v>0.26150000000000001</v>
      </c>
      <c r="M600" s="12" t="s">
        <v>2809</v>
      </c>
      <c r="N600" s="14">
        <v>0.26069999999999999</v>
      </c>
      <c r="O600" s="12">
        <v>2</v>
      </c>
      <c r="P600" s="12" t="s">
        <v>3068</v>
      </c>
      <c r="Q600" s="13" t="s">
        <v>3069</v>
      </c>
      <c r="R600" s="10"/>
      <c r="S600" s="10"/>
      <c r="T600" s="11"/>
    </row>
    <row r="601" spans="1:20" ht="42" x14ac:dyDescent="0.35">
      <c r="A601" s="12" t="s">
        <v>413</v>
      </c>
      <c r="B601" s="12" t="s">
        <v>238</v>
      </c>
      <c r="C601" s="13" t="s">
        <v>3070</v>
      </c>
      <c r="D601" s="13"/>
      <c r="E601" s="12" t="s">
        <v>2550</v>
      </c>
      <c r="F601" s="12" t="s">
        <v>174</v>
      </c>
      <c r="G601" s="12"/>
      <c r="H601" s="12" t="s">
        <v>1268</v>
      </c>
      <c r="I601" s="14">
        <v>0.31369999999999998</v>
      </c>
      <c r="J601" s="12">
        <v>50.3</v>
      </c>
      <c r="K601" s="12" t="s">
        <v>3071</v>
      </c>
      <c r="L601" s="14">
        <v>0.29430000000000001</v>
      </c>
      <c r="M601" s="12" t="s">
        <v>3072</v>
      </c>
      <c r="N601" s="14">
        <v>0.27839999999999998</v>
      </c>
      <c r="O601" s="12">
        <v>1</v>
      </c>
      <c r="P601" s="12" t="s">
        <v>3073</v>
      </c>
      <c r="Q601" s="13" t="s">
        <v>3074</v>
      </c>
      <c r="R601" s="10"/>
      <c r="S601" s="10"/>
      <c r="T601" s="11"/>
    </row>
    <row r="602" spans="1:20" ht="42" x14ac:dyDescent="0.35">
      <c r="A602" s="12" t="s">
        <v>413</v>
      </c>
      <c r="B602" s="12" t="s">
        <v>238</v>
      </c>
      <c r="C602" s="13" t="s">
        <v>3075</v>
      </c>
      <c r="D602" s="13" t="s">
        <v>3076</v>
      </c>
      <c r="E602" s="12" t="s">
        <v>1475</v>
      </c>
      <c r="F602" s="12" t="s">
        <v>174</v>
      </c>
      <c r="G602" s="12"/>
      <c r="H602" s="12" t="s">
        <v>1445</v>
      </c>
      <c r="I602" s="14">
        <v>0.31359999999999999</v>
      </c>
      <c r="J602" s="12">
        <v>50.3</v>
      </c>
      <c r="K602" s="12" t="s">
        <v>1900</v>
      </c>
      <c r="L602" s="14">
        <v>0.20530000000000001</v>
      </c>
      <c r="M602" s="12"/>
      <c r="N602" s="14"/>
      <c r="O602" s="12">
        <v>1</v>
      </c>
      <c r="P602" s="12" t="s">
        <v>3077</v>
      </c>
      <c r="Q602" s="13" t="s">
        <v>3078</v>
      </c>
      <c r="R602" s="10"/>
      <c r="S602" s="10"/>
      <c r="T602" s="11"/>
    </row>
    <row r="603" spans="1:20" ht="28" x14ac:dyDescent="0.35">
      <c r="A603" s="12" t="s">
        <v>413</v>
      </c>
      <c r="B603" s="12" t="s">
        <v>238</v>
      </c>
      <c r="C603" s="13" t="s">
        <v>3079</v>
      </c>
      <c r="D603" s="13" t="s">
        <v>3080</v>
      </c>
      <c r="E603" s="12"/>
      <c r="F603" s="12" t="s">
        <v>174</v>
      </c>
      <c r="G603" s="12"/>
      <c r="H603" s="12" t="s">
        <v>561</v>
      </c>
      <c r="I603" s="14">
        <v>0.31369999999999998</v>
      </c>
      <c r="J603" s="12">
        <v>50.3</v>
      </c>
      <c r="K603" s="12"/>
      <c r="L603" s="14"/>
      <c r="M603" s="12"/>
      <c r="N603" s="14"/>
      <c r="O603" s="12">
        <v>1</v>
      </c>
      <c r="P603" s="12" t="s">
        <v>3081</v>
      </c>
      <c r="Q603" s="13" t="s">
        <v>3082</v>
      </c>
      <c r="R603" s="10"/>
      <c r="S603" s="10"/>
      <c r="T603" s="11"/>
    </row>
    <row r="604" spans="1:20" ht="98" x14ac:dyDescent="0.35">
      <c r="A604" s="12" t="s">
        <v>413</v>
      </c>
      <c r="B604" s="12" t="s">
        <v>238</v>
      </c>
      <c r="C604" s="13" t="s">
        <v>3083</v>
      </c>
      <c r="D604" s="13"/>
      <c r="E604" s="12" t="s">
        <v>218</v>
      </c>
      <c r="F604" s="12" t="s">
        <v>174</v>
      </c>
      <c r="G604" s="12"/>
      <c r="H604" s="12" t="s">
        <v>221</v>
      </c>
      <c r="I604" s="14">
        <v>0.31230000000000002</v>
      </c>
      <c r="J604" s="12">
        <v>50</v>
      </c>
      <c r="K604" s="12" t="s">
        <v>220</v>
      </c>
      <c r="L604" s="14">
        <v>0.26100000000000001</v>
      </c>
      <c r="M604" s="12" t="s">
        <v>362</v>
      </c>
      <c r="N604" s="14">
        <v>0.222</v>
      </c>
      <c r="O604" s="12">
        <v>1</v>
      </c>
      <c r="P604" s="12" t="s">
        <v>3084</v>
      </c>
      <c r="Q604" s="13" t="s">
        <v>3085</v>
      </c>
      <c r="R604" s="10"/>
      <c r="S604" s="10"/>
      <c r="T604" s="11"/>
    </row>
    <row r="605" spans="1:20" ht="84" x14ac:dyDescent="0.35">
      <c r="A605" s="12" t="s">
        <v>413</v>
      </c>
      <c r="B605" s="12" t="s">
        <v>238</v>
      </c>
      <c r="C605" s="13" t="s">
        <v>3086</v>
      </c>
      <c r="D605" s="13" t="s">
        <v>425</v>
      </c>
      <c r="E605" s="12" t="s">
        <v>3087</v>
      </c>
      <c r="F605" s="12" t="s">
        <v>174</v>
      </c>
      <c r="G605" s="12"/>
      <c r="H605" s="12" t="s">
        <v>3088</v>
      </c>
      <c r="I605" s="14">
        <v>0.31130000000000002</v>
      </c>
      <c r="J605" s="12">
        <v>49.7</v>
      </c>
      <c r="K605" s="12" t="s">
        <v>3089</v>
      </c>
      <c r="L605" s="14">
        <v>0.28539999999999999</v>
      </c>
      <c r="M605" s="12" t="s">
        <v>3090</v>
      </c>
      <c r="N605" s="14">
        <v>0.25679999999999997</v>
      </c>
      <c r="O605" s="12">
        <v>1</v>
      </c>
      <c r="P605" s="12" t="s">
        <v>427</v>
      </c>
      <c r="Q605" s="13" t="s">
        <v>428</v>
      </c>
      <c r="R605" s="10"/>
      <c r="S605" s="10"/>
      <c r="T605" s="11"/>
    </row>
    <row r="606" spans="1:20" ht="84" x14ac:dyDescent="0.35">
      <c r="A606" s="12" t="s">
        <v>413</v>
      </c>
      <c r="B606" s="12" t="s">
        <v>238</v>
      </c>
      <c r="C606" s="13" t="s">
        <v>3091</v>
      </c>
      <c r="D606" s="13" t="s">
        <v>3092</v>
      </c>
      <c r="E606" s="12" t="s">
        <v>3093</v>
      </c>
      <c r="F606" s="12" t="s">
        <v>174</v>
      </c>
      <c r="G606" s="12"/>
      <c r="H606" s="12" t="s">
        <v>221</v>
      </c>
      <c r="I606" s="14">
        <v>0.31109999999999999</v>
      </c>
      <c r="J606" s="12">
        <v>49.6</v>
      </c>
      <c r="K606" s="12" t="s">
        <v>220</v>
      </c>
      <c r="L606" s="14">
        <v>0.28620000000000001</v>
      </c>
      <c r="M606" s="12" t="s">
        <v>3094</v>
      </c>
      <c r="N606" s="14">
        <v>0.25569999999999998</v>
      </c>
      <c r="O606" s="12">
        <v>1</v>
      </c>
      <c r="P606" s="12" t="s">
        <v>3095</v>
      </c>
      <c r="Q606" s="13" t="s">
        <v>3096</v>
      </c>
      <c r="R606" s="10"/>
      <c r="S606" s="10"/>
      <c r="T606" s="11"/>
    </row>
    <row r="607" spans="1:20" ht="70" x14ac:dyDescent="0.35">
      <c r="A607" s="12" t="s">
        <v>413</v>
      </c>
      <c r="B607" s="12" t="s">
        <v>238</v>
      </c>
      <c r="C607" s="13" t="s">
        <v>3097</v>
      </c>
      <c r="D607" s="13" t="s">
        <v>3098</v>
      </c>
      <c r="E607" s="12" t="s">
        <v>218</v>
      </c>
      <c r="F607" s="12" t="s">
        <v>174</v>
      </c>
      <c r="G607" s="12"/>
      <c r="H607" s="12" t="s">
        <v>299</v>
      </c>
      <c r="I607" s="14">
        <v>0.31080000000000002</v>
      </c>
      <c r="J607" s="12">
        <v>49.5</v>
      </c>
      <c r="K607" s="12" t="s">
        <v>221</v>
      </c>
      <c r="L607" s="14">
        <v>0.29649999999999999</v>
      </c>
      <c r="M607" s="12" t="s">
        <v>220</v>
      </c>
      <c r="N607" s="14">
        <v>0.23100000000000001</v>
      </c>
      <c r="O607" s="12">
        <v>1</v>
      </c>
      <c r="P607" s="12" t="s">
        <v>3099</v>
      </c>
      <c r="Q607" s="13" t="s">
        <v>3100</v>
      </c>
      <c r="R607" s="10"/>
      <c r="S607" s="10"/>
      <c r="T607" s="11"/>
    </row>
    <row r="608" spans="1:20" ht="56" x14ac:dyDescent="0.35">
      <c r="A608" s="12" t="s">
        <v>413</v>
      </c>
      <c r="B608" s="12" t="s">
        <v>238</v>
      </c>
      <c r="C608" s="13" t="s">
        <v>3101</v>
      </c>
      <c r="D608" s="13"/>
      <c r="E608" s="12" t="s">
        <v>260</v>
      </c>
      <c r="F608" s="12" t="s">
        <v>174</v>
      </c>
      <c r="G608" s="12"/>
      <c r="H608" s="12" t="s">
        <v>1823</v>
      </c>
      <c r="I608" s="14">
        <v>0.30880000000000002</v>
      </c>
      <c r="J608" s="12">
        <v>49</v>
      </c>
      <c r="K608" s="12" t="s">
        <v>2921</v>
      </c>
      <c r="L608" s="14">
        <v>0.25340000000000001</v>
      </c>
      <c r="M608" s="12" t="s">
        <v>3102</v>
      </c>
      <c r="N608" s="14">
        <v>0.22559999999999999</v>
      </c>
      <c r="O608" s="12">
        <v>1</v>
      </c>
      <c r="P608" s="12" t="s">
        <v>3103</v>
      </c>
      <c r="Q608" s="13" t="s">
        <v>3104</v>
      </c>
      <c r="R608" s="10"/>
      <c r="S608" s="10"/>
      <c r="T608" s="11"/>
    </row>
    <row r="609" spans="1:20" ht="84" x14ac:dyDescent="0.35">
      <c r="A609" s="12" t="s">
        <v>413</v>
      </c>
      <c r="B609" s="12" t="s">
        <v>238</v>
      </c>
      <c r="C609" s="13" t="s">
        <v>3105</v>
      </c>
      <c r="D609" s="13" t="s">
        <v>538</v>
      </c>
      <c r="E609" s="12" t="s">
        <v>1584</v>
      </c>
      <c r="F609" s="12" t="s">
        <v>174</v>
      </c>
      <c r="G609" s="12"/>
      <c r="H609" s="12" t="s">
        <v>2921</v>
      </c>
      <c r="I609" s="14">
        <v>0.3085</v>
      </c>
      <c r="J609" s="12">
        <v>48.9</v>
      </c>
      <c r="K609" s="12" t="s">
        <v>2962</v>
      </c>
      <c r="L609" s="14">
        <v>0.30420000000000003</v>
      </c>
      <c r="M609" s="12" t="s">
        <v>2963</v>
      </c>
      <c r="N609" s="14">
        <v>0.29239999999999999</v>
      </c>
      <c r="O609" s="12">
        <v>1</v>
      </c>
      <c r="P609" s="12" t="s">
        <v>540</v>
      </c>
      <c r="Q609" s="13" t="s">
        <v>541</v>
      </c>
      <c r="R609" s="10"/>
      <c r="S609" s="10"/>
      <c r="T609" s="11"/>
    </row>
    <row r="610" spans="1:20" ht="98" x14ac:dyDescent="0.35">
      <c r="A610" s="12" t="s">
        <v>413</v>
      </c>
      <c r="B610" s="12" t="s">
        <v>238</v>
      </c>
      <c r="C610" s="13" t="s">
        <v>3106</v>
      </c>
      <c r="D610" s="13" t="s">
        <v>3107</v>
      </c>
      <c r="E610" s="12" t="s">
        <v>3108</v>
      </c>
      <c r="F610" s="12" t="s">
        <v>174</v>
      </c>
      <c r="G610" s="12"/>
      <c r="H610" s="12" t="s">
        <v>470</v>
      </c>
      <c r="I610" s="14">
        <v>0.30809999999999998</v>
      </c>
      <c r="J610" s="12">
        <v>48.8</v>
      </c>
      <c r="K610" s="12" t="s">
        <v>3109</v>
      </c>
      <c r="L610" s="14">
        <v>0.24149999999999999</v>
      </c>
      <c r="M610" s="12" t="s">
        <v>3110</v>
      </c>
      <c r="N610" s="14">
        <v>0.2198</v>
      </c>
      <c r="O610" s="12">
        <v>1</v>
      </c>
      <c r="P610" s="12" t="s">
        <v>3111</v>
      </c>
      <c r="Q610" s="13" t="s">
        <v>3112</v>
      </c>
      <c r="R610" s="10"/>
      <c r="S610" s="10"/>
      <c r="T610" s="11"/>
    </row>
    <row r="611" spans="1:20" ht="56" x14ac:dyDescent="0.35">
      <c r="A611" s="12" t="s">
        <v>413</v>
      </c>
      <c r="B611" s="12" t="s">
        <v>238</v>
      </c>
      <c r="C611" s="13" t="s">
        <v>3113</v>
      </c>
      <c r="D611" s="13" t="s">
        <v>3114</v>
      </c>
      <c r="E611" s="12" t="s">
        <v>3113</v>
      </c>
      <c r="F611" s="12" t="s">
        <v>174</v>
      </c>
      <c r="G611" s="12"/>
      <c r="H611" s="12" t="s">
        <v>3115</v>
      </c>
      <c r="I611" s="14">
        <v>0.30759999999999998</v>
      </c>
      <c r="J611" s="12">
        <v>48.7</v>
      </c>
      <c r="K611" s="12" t="s">
        <v>684</v>
      </c>
      <c r="L611" s="14">
        <v>0.2661</v>
      </c>
      <c r="M611" s="12" t="s">
        <v>3116</v>
      </c>
      <c r="N611" s="14">
        <v>0.26090000000000002</v>
      </c>
      <c r="O611" s="12">
        <v>1</v>
      </c>
      <c r="P611" s="12" t="s">
        <v>3117</v>
      </c>
      <c r="Q611" s="13" t="s">
        <v>3118</v>
      </c>
      <c r="R611" s="10"/>
      <c r="S611" s="10"/>
      <c r="T611" s="11"/>
    </row>
    <row r="612" spans="1:20" ht="70" x14ac:dyDescent="0.35">
      <c r="A612" s="12" t="s">
        <v>413</v>
      </c>
      <c r="B612" s="12" t="s">
        <v>238</v>
      </c>
      <c r="C612" s="13" t="s">
        <v>3119</v>
      </c>
      <c r="D612" s="13" t="s">
        <v>3120</v>
      </c>
      <c r="E612" s="12" t="s">
        <v>3121</v>
      </c>
      <c r="F612" s="12" t="s">
        <v>174</v>
      </c>
      <c r="G612" s="12"/>
      <c r="H612" s="12" t="s">
        <v>273</v>
      </c>
      <c r="I612" s="14">
        <v>0.30759999999999998</v>
      </c>
      <c r="J612" s="12">
        <v>48.7</v>
      </c>
      <c r="K612" s="12" t="s">
        <v>274</v>
      </c>
      <c r="L612" s="14">
        <v>0.29389999999999999</v>
      </c>
      <c r="M612" s="12" t="s">
        <v>272</v>
      </c>
      <c r="N612" s="14">
        <v>0.29210000000000003</v>
      </c>
      <c r="O612" s="12">
        <v>4</v>
      </c>
      <c r="P612" s="12" t="s">
        <v>3122</v>
      </c>
      <c r="Q612" s="13" t="s">
        <v>3123</v>
      </c>
      <c r="R612" s="10"/>
      <c r="S612" s="10"/>
      <c r="T612" s="11"/>
    </row>
    <row r="613" spans="1:20" ht="98" x14ac:dyDescent="0.35">
      <c r="A613" s="12" t="s">
        <v>413</v>
      </c>
      <c r="B613" s="12" t="s">
        <v>238</v>
      </c>
      <c r="C613" s="13" t="s">
        <v>3124</v>
      </c>
      <c r="D613" s="13" t="s">
        <v>3125</v>
      </c>
      <c r="E613" s="12" t="s">
        <v>3126</v>
      </c>
      <c r="F613" s="12" t="s">
        <v>174</v>
      </c>
      <c r="G613" s="12"/>
      <c r="H613" s="12" t="s">
        <v>221</v>
      </c>
      <c r="I613" s="14">
        <v>0.3075</v>
      </c>
      <c r="J613" s="12">
        <v>48.7</v>
      </c>
      <c r="K613" s="12" t="s">
        <v>299</v>
      </c>
      <c r="L613" s="14">
        <v>0.23860000000000001</v>
      </c>
      <c r="M613" s="12" t="s">
        <v>3127</v>
      </c>
      <c r="N613" s="14">
        <v>0.2082</v>
      </c>
      <c r="O613" s="12">
        <v>1</v>
      </c>
      <c r="P613" s="12" t="s">
        <v>3128</v>
      </c>
      <c r="Q613" s="13" t="s">
        <v>3129</v>
      </c>
      <c r="R613" s="10"/>
      <c r="S613" s="10"/>
      <c r="T613" s="11"/>
    </row>
    <row r="614" spans="1:20" ht="42" x14ac:dyDescent="0.35">
      <c r="A614" s="12" t="s">
        <v>413</v>
      </c>
      <c r="B614" s="12" t="s">
        <v>238</v>
      </c>
      <c r="C614" s="13" t="s">
        <v>419</v>
      </c>
      <c r="D614" s="13" t="s">
        <v>3130</v>
      </c>
      <c r="E614" s="12" t="s">
        <v>419</v>
      </c>
      <c r="F614" s="12" t="s">
        <v>174</v>
      </c>
      <c r="G614" s="12"/>
      <c r="H614" s="12" t="s">
        <v>3131</v>
      </c>
      <c r="I614" s="14">
        <v>0.307</v>
      </c>
      <c r="J614" s="12">
        <v>48.5</v>
      </c>
      <c r="K614" s="12" t="s">
        <v>305</v>
      </c>
      <c r="L614" s="14">
        <v>0.28989999999999999</v>
      </c>
      <c r="M614" s="12" t="s">
        <v>72</v>
      </c>
      <c r="N614" s="14">
        <v>0.21049999999999999</v>
      </c>
      <c r="O614" s="12">
        <v>1</v>
      </c>
      <c r="P614" s="12" t="s">
        <v>3132</v>
      </c>
      <c r="Q614" s="13" t="s">
        <v>3133</v>
      </c>
      <c r="R614" s="10"/>
      <c r="S614" s="10"/>
      <c r="T614" s="11"/>
    </row>
    <row r="615" spans="1:20" ht="112" x14ac:dyDescent="0.35">
      <c r="A615" s="12" t="s">
        <v>413</v>
      </c>
      <c r="B615" s="12" t="s">
        <v>238</v>
      </c>
      <c r="C615" s="13" t="s">
        <v>3134</v>
      </c>
      <c r="D615" s="13" t="s">
        <v>3135</v>
      </c>
      <c r="E615" s="12" t="s">
        <v>232</v>
      </c>
      <c r="F615" s="12" t="s">
        <v>174</v>
      </c>
      <c r="G615" s="12"/>
      <c r="H615" s="12" t="s">
        <v>2675</v>
      </c>
      <c r="I615" s="14">
        <v>0.307</v>
      </c>
      <c r="J615" s="12">
        <v>48.5</v>
      </c>
      <c r="K615" s="12" t="s">
        <v>2676</v>
      </c>
      <c r="L615" s="14">
        <v>0.26829999999999998</v>
      </c>
      <c r="M615" s="12" t="s">
        <v>3136</v>
      </c>
      <c r="N615" s="14">
        <v>0.23980000000000001</v>
      </c>
      <c r="O615" s="12">
        <v>1</v>
      </c>
      <c r="P615" s="12" t="s">
        <v>3137</v>
      </c>
      <c r="Q615" s="13" t="s">
        <v>3138</v>
      </c>
      <c r="R615" s="10"/>
      <c r="S615" s="10"/>
      <c r="T615" s="11"/>
    </row>
    <row r="616" spans="1:20" ht="84" x14ac:dyDescent="0.35">
      <c r="A616" s="12" t="s">
        <v>413</v>
      </c>
      <c r="B616" s="12" t="s">
        <v>238</v>
      </c>
      <c r="C616" s="13" t="s">
        <v>3139</v>
      </c>
      <c r="D616" s="13" t="s">
        <v>3140</v>
      </c>
      <c r="E616" s="12" t="s">
        <v>1578</v>
      </c>
      <c r="F616" s="12" t="s">
        <v>174</v>
      </c>
      <c r="G616" s="12"/>
      <c r="H616" s="12" t="s">
        <v>221</v>
      </c>
      <c r="I616" s="14">
        <v>0.30680000000000002</v>
      </c>
      <c r="J616" s="12">
        <v>48.5</v>
      </c>
      <c r="K616" s="12" t="s">
        <v>1579</v>
      </c>
      <c r="L616" s="14">
        <v>0.2147</v>
      </c>
      <c r="M616" s="12"/>
      <c r="N616" s="14"/>
      <c r="O616" s="12">
        <v>1</v>
      </c>
      <c r="P616" s="12" t="s">
        <v>3141</v>
      </c>
      <c r="Q616" s="13" t="s">
        <v>3142</v>
      </c>
      <c r="R616" s="10"/>
      <c r="S616" s="10"/>
      <c r="T616" s="11"/>
    </row>
    <row r="617" spans="1:20" ht="56" x14ac:dyDescent="0.35">
      <c r="A617" s="12" t="s">
        <v>413</v>
      </c>
      <c r="B617" s="12" t="s">
        <v>238</v>
      </c>
      <c r="C617" s="13" t="s">
        <v>3143</v>
      </c>
      <c r="D617" s="13" t="s">
        <v>3144</v>
      </c>
      <c r="E617" s="12" t="s">
        <v>2737</v>
      </c>
      <c r="F617" s="12" t="s">
        <v>174</v>
      </c>
      <c r="G617" s="12"/>
      <c r="H617" s="12" t="s">
        <v>212</v>
      </c>
      <c r="I617" s="14">
        <v>0.30459999999999998</v>
      </c>
      <c r="J617" s="12">
        <v>47.9</v>
      </c>
      <c r="K617" s="12" t="s">
        <v>1543</v>
      </c>
      <c r="L617" s="14">
        <v>0.2611</v>
      </c>
      <c r="M617" s="12" t="s">
        <v>355</v>
      </c>
      <c r="N617" s="14">
        <v>0.2223</v>
      </c>
      <c r="O617" s="12">
        <v>1</v>
      </c>
      <c r="P617" s="12" t="s">
        <v>3145</v>
      </c>
      <c r="Q617" s="13" t="s">
        <v>3146</v>
      </c>
      <c r="R617" s="10"/>
      <c r="S617" s="10"/>
      <c r="T617" s="11"/>
    </row>
    <row r="618" spans="1:20" ht="56" x14ac:dyDescent="0.35">
      <c r="A618" s="12" t="s">
        <v>413</v>
      </c>
      <c r="B618" s="12" t="s">
        <v>238</v>
      </c>
      <c r="C618" s="13" t="s">
        <v>3147</v>
      </c>
      <c r="D618" s="13" t="s">
        <v>3148</v>
      </c>
      <c r="E618" s="12" t="s">
        <v>3149</v>
      </c>
      <c r="F618" s="12" t="s">
        <v>174</v>
      </c>
      <c r="G618" s="12"/>
      <c r="H618" s="12" t="s">
        <v>3150</v>
      </c>
      <c r="I618" s="14">
        <v>0.30470000000000003</v>
      </c>
      <c r="J618" s="12">
        <v>47.9</v>
      </c>
      <c r="K618" s="12" t="s">
        <v>2632</v>
      </c>
      <c r="L618" s="14">
        <v>0.27279999999999999</v>
      </c>
      <c r="M618" s="12" t="s">
        <v>242</v>
      </c>
      <c r="N618" s="14">
        <v>0.25690000000000002</v>
      </c>
      <c r="O618" s="12">
        <v>1</v>
      </c>
      <c r="P618" s="12" t="s">
        <v>3151</v>
      </c>
      <c r="Q618" s="13" t="s">
        <v>3152</v>
      </c>
      <c r="R618" s="10"/>
      <c r="S618" s="10"/>
      <c r="T618" s="11"/>
    </row>
    <row r="619" spans="1:20" ht="98" x14ac:dyDescent="0.35">
      <c r="A619" s="12" t="s">
        <v>413</v>
      </c>
      <c r="B619" s="12" t="s">
        <v>238</v>
      </c>
      <c r="C619" s="13" t="s">
        <v>3153</v>
      </c>
      <c r="D619" s="13" t="s">
        <v>3154</v>
      </c>
      <c r="E619" s="12" t="s">
        <v>361</v>
      </c>
      <c r="F619" s="12" t="s">
        <v>174</v>
      </c>
      <c r="G619" s="12"/>
      <c r="H619" s="12" t="s">
        <v>221</v>
      </c>
      <c r="I619" s="14">
        <v>0.30470000000000003</v>
      </c>
      <c r="J619" s="12">
        <v>47.9</v>
      </c>
      <c r="K619" s="12" t="s">
        <v>220</v>
      </c>
      <c r="L619" s="14">
        <v>0.26479999999999998</v>
      </c>
      <c r="M619" s="12" t="s">
        <v>3155</v>
      </c>
      <c r="N619" s="14">
        <v>0.2006</v>
      </c>
      <c r="O619" s="12">
        <v>2</v>
      </c>
      <c r="P619" s="12" t="s">
        <v>3156</v>
      </c>
      <c r="Q619" s="13" t="s">
        <v>3157</v>
      </c>
      <c r="R619" s="10"/>
      <c r="S619" s="10"/>
      <c r="T619" s="11"/>
    </row>
    <row r="620" spans="1:20" ht="84" x14ac:dyDescent="0.35">
      <c r="A620" s="12" t="s">
        <v>413</v>
      </c>
      <c r="B620" s="12" t="s">
        <v>238</v>
      </c>
      <c r="C620" s="13" t="s">
        <v>2746</v>
      </c>
      <c r="D620" s="13" t="s">
        <v>3158</v>
      </c>
      <c r="E620" s="12" t="s">
        <v>2746</v>
      </c>
      <c r="F620" s="12" t="s">
        <v>174</v>
      </c>
      <c r="G620" s="12"/>
      <c r="H620" s="12" t="s">
        <v>1101</v>
      </c>
      <c r="I620" s="14">
        <v>0.3044</v>
      </c>
      <c r="J620" s="12">
        <v>47.8</v>
      </c>
      <c r="K620" s="12" t="s">
        <v>3159</v>
      </c>
      <c r="L620" s="14">
        <v>0.27650000000000002</v>
      </c>
      <c r="M620" s="12"/>
      <c r="N620" s="14"/>
      <c r="O620" s="12">
        <v>1</v>
      </c>
      <c r="P620" s="12" t="s">
        <v>3160</v>
      </c>
      <c r="Q620" s="13" t="s">
        <v>3161</v>
      </c>
      <c r="R620" s="10"/>
      <c r="S620" s="10"/>
      <c r="T620" s="11"/>
    </row>
    <row r="621" spans="1:20" ht="84" x14ac:dyDescent="0.35">
      <c r="A621" s="12" t="s">
        <v>413</v>
      </c>
      <c r="B621" s="12" t="s">
        <v>238</v>
      </c>
      <c r="C621" s="13" t="s">
        <v>3162</v>
      </c>
      <c r="D621" s="13"/>
      <c r="E621" s="12" t="s">
        <v>3163</v>
      </c>
      <c r="F621" s="12" t="s">
        <v>174</v>
      </c>
      <c r="G621" s="12"/>
      <c r="H621" s="12" t="s">
        <v>3164</v>
      </c>
      <c r="I621" s="14">
        <v>0.30430000000000001</v>
      </c>
      <c r="J621" s="12">
        <v>47.8</v>
      </c>
      <c r="K621" s="12" t="s">
        <v>212</v>
      </c>
      <c r="L621" s="14">
        <v>0.26540000000000002</v>
      </c>
      <c r="M621" s="12" t="s">
        <v>3165</v>
      </c>
      <c r="N621" s="14">
        <v>0.2389</v>
      </c>
      <c r="O621" s="12">
        <v>1</v>
      </c>
      <c r="P621" s="12" t="s">
        <v>3166</v>
      </c>
      <c r="Q621" s="13" t="s">
        <v>3167</v>
      </c>
      <c r="R621" s="10"/>
      <c r="S621" s="10"/>
      <c r="T621" s="11"/>
    </row>
    <row r="622" spans="1:20" ht="84" x14ac:dyDescent="0.35">
      <c r="A622" s="12" t="s">
        <v>413</v>
      </c>
      <c r="B622" s="12" t="s">
        <v>238</v>
      </c>
      <c r="C622" s="13" t="s">
        <v>3168</v>
      </c>
      <c r="D622" s="13" t="s">
        <v>3169</v>
      </c>
      <c r="E622" s="12" t="s">
        <v>232</v>
      </c>
      <c r="F622" s="12" t="s">
        <v>174</v>
      </c>
      <c r="G622" s="12"/>
      <c r="H622" s="12" t="s">
        <v>1622</v>
      </c>
      <c r="I622" s="14">
        <v>0.30330000000000001</v>
      </c>
      <c r="J622" s="12">
        <v>47.6</v>
      </c>
      <c r="K622" s="12" t="s">
        <v>2809</v>
      </c>
      <c r="L622" s="14">
        <v>0.27889999999999998</v>
      </c>
      <c r="M622" s="12" t="s">
        <v>2080</v>
      </c>
      <c r="N622" s="14">
        <v>0.26069999999999999</v>
      </c>
      <c r="O622" s="12">
        <v>1</v>
      </c>
      <c r="P622" s="12" t="s">
        <v>3170</v>
      </c>
      <c r="Q622" s="13" t="s">
        <v>3171</v>
      </c>
      <c r="R622" s="10"/>
      <c r="S622" s="10"/>
      <c r="T622" s="11"/>
    </row>
    <row r="623" spans="1:20" ht="56" x14ac:dyDescent="0.35">
      <c r="A623" s="12" t="s">
        <v>413</v>
      </c>
      <c r="B623" s="12" t="s">
        <v>238</v>
      </c>
      <c r="C623" s="13" t="s">
        <v>3172</v>
      </c>
      <c r="D623" s="13" t="s">
        <v>3173</v>
      </c>
      <c r="E623" s="12" t="s">
        <v>3174</v>
      </c>
      <c r="F623" s="12" t="s">
        <v>174</v>
      </c>
      <c r="G623" s="12"/>
      <c r="H623" s="12" t="s">
        <v>2455</v>
      </c>
      <c r="I623" s="14">
        <v>0.30280000000000001</v>
      </c>
      <c r="J623" s="12">
        <v>47.4</v>
      </c>
      <c r="K623" s="12" t="s">
        <v>342</v>
      </c>
      <c r="L623" s="14">
        <v>0.26590000000000003</v>
      </c>
      <c r="M623" s="12" t="s">
        <v>3175</v>
      </c>
      <c r="N623" s="14">
        <v>0.25659999999999999</v>
      </c>
      <c r="O623" s="12">
        <v>1</v>
      </c>
      <c r="P623" s="12" t="s">
        <v>3176</v>
      </c>
      <c r="Q623" s="13" t="s">
        <v>3177</v>
      </c>
      <c r="R623" s="10"/>
      <c r="S623" s="10"/>
      <c r="T623" s="11"/>
    </row>
    <row r="624" spans="1:20" ht="56" x14ac:dyDescent="0.35">
      <c r="A624" s="12" t="s">
        <v>413</v>
      </c>
      <c r="B624" s="12" t="s">
        <v>238</v>
      </c>
      <c r="C624" s="13" t="s">
        <v>3178</v>
      </c>
      <c r="D624" s="13"/>
      <c r="E624" s="12" t="s">
        <v>232</v>
      </c>
      <c r="F624" s="12" t="s">
        <v>174</v>
      </c>
      <c r="G624" s="12"/>
      <c r="H624" s="12" t="s">
        <v>2448</v>
      </c>
      <c r="I624" s="14">
        <v>0.30249999999999999</v>
      </c>
      <c r="J624" s="12">
        <v>47.3</v>
      </c>
      <c r="K624" s="12" t="s">
        <v>1397</v>
      </c>
      <c r="L624" s="14">
        <v>0.27939999999999998</v>
      </c>
      <c r="M624" s="12" t="s">
        <v>2196</v>
      </c>
      <c r="N624" s="14">
        <v>0.27850000000000003</v>
      </c>
      <c r="O624" s="12">
        <v>6</v>
      </c>
      <c r="P624" s="12" t="s">
        <v>3179</v>
      </c>
      <c r="Q624" s="13" t="s">
        <v>3180</v>
      </c>
      <c r="R624" s="10"/>
      <c r="S624" s="10"/>
      <c r="T624" s="11"/>
    </row>
    <row r="625" spans="1:20" ht="98" x14ac:dyDescent="0.35">
      <c r="A625" s="12" t="s">
        <v>413</v>
      </c>
      <c r="B625" s="12" t="s">
        <v>238</v>
      </c>
      <c r="C625" s="13" t="s">
        <v>3181</v>
      </c>
      <c r="D625" s="13" t="s">
        <v>3182</v>
      </c>
      <c r="E625" s="12" t="s">
        <v>298</v>
      </c>
      <c r="F625" s="12" t="s">
        <v>174</v>
      </c>
      <c r="G625" s="12"/>
      <c r="H625" s="12" t="s">
        <v>299</v>
      </c>
      <c r="I625" s="14">
        <v>0.30059999999999998</v>
      </c>
      <c r="J625" s="12">
        <v>46.8</v>
      </c>
      <c r="K625" s="12" t="s">
        <v>221</v>
      </c>
      <c r="L625" s="14">
        <v>0.29039999999999999</v>
      </c>
      <c r="M625" s="12" t="s">
        <v>193</v>
      </c>
      <c r="N625" s="14">
        <v>0.23810000000000001</v>
      </c>
      <c r="O625" s="12">
        <v>1</v>
      </c>
      <c r="P625" s="12" t="s">
        <v>3183</v>
      </c>
      <c r="Q625" s="13" t="s">
        <v>3184</v>
      </c>
      <c r="R625" s="10"/>
      <c r="S625" s="10"/>
      <c r="T625" s="11"/>
    </row>
    <row r="626" spans="1:20" ht="98" x14ac:dyDescent="0.35">
      <c r="A626" s="12" t="s">
        <v>413</v>
      </c>
      <c r="B626" s="12" t="s">
        <v>238</v>
      </c>
      <c r="C626" s="13" t="s">
        <v>3185</v>
      </c>
      <c r="D626" s="13"/>
      <c r="E626" s="12" t="s">
        <v>361</v>
      </c>
      <c r="F626" s="12" t="s">
        <v>174</v>
      </c>
      <c r="G626" s="12"/>
      <c r="H626" s="12" t="s">
        <v>220</v>
      </c>
      <c r="I626" s="14">
        <v>0.30020000000000002</v>
      </c>
      <c r="J626" s="12">
        <v>46.7</v>
      </c>
      <c r="K626" s="12" t="s">
        <v>3186</v>
      </c>
      <c r="L626" s="14">
        <v>0.27710000000000001</v>
      </c>
      <c r="M626" s="12" t="s">
        <v>221</v>
      </c>
      <c r="N626" s="14">
        <v>0.27360000000000001</v>
      </c>
      <c r="O626" s="12">
        <v>1</v>
      </c>
      <c r="P626" s="12" t="s">
        <v>3187</v>
      </c>
      <c r="Q626" s="13" t="s">
        <v>3188</v>
      </c>
      <c r="R626" s="10"/>
      <c r="S626" s="10"/>
      <c r="T626" s="11"/>
    </row>
    <row r="627" spans="1:20" ht="98" x14ac:dyDescent="0.35">
      <c r="A627" s="12" t="s">
        <v>413</v>
      </c>
      <c r="B627" s="12" t="s">
        <v>238</v>
      </c>
      <c r="C627" s="13" t="s">
        <v>3189</v>
      </c>
      <c r="D627" s="13" t="s">
        <v>3190</v>
      </c>
      <c r="E627" s="12" t="s">
        <v>2650</v>
      </c>
      <c r="F627" s="12" t="s">
        <v>174</v>
      </c>
      <c r="G627" s="12"/>
      <c r="H627" s="12" t="s">
        <v>1573</v>
      </c>
      <c r="I627" s="14">
        <v>0.30009999999999998</v>
      </c>
      <c r="J627" s="12">
        <v>46.7</v>
      </c>
      <c r="K627" s="12" t="s">
        <v>1302</v>
      </c>
      <c r="L627" s="14">
        <v>0.27639999999999998</v>
      </c>
      <c r="M627" s="12" t="s">
        <v>1301</v>
      </c>
      <c r="N627" s="14">
        <v>0.25600000000000001</v>
      </c>
      <c r="O627" s="12">
        <v>1</v>
      </c>
      <c r="P627" s="12" t="s">
        <v>3191</v>
      </c>
      <c r="Q627" s="13" t="s">
        <v>3192</v>
      </c>
      <c r="R627" s="10"/>
      <c r="S627" s="10"/>
      <c r="T627" s="11"/>
    </row>
    <row r="628" spans="1:20" ht="98" x14ac:dyDescent="0.35">
      <c r="A628" s="12" t="s">
        <v>413</v>
      </c>
      <c r="B628" s="12" t="s">
        <v>302</v>
      </c>
      <c r="C628" s="13" t="s">
        <v>3193</v>
      </c>
      <c r="D628" s="13" t="s">
        <v>3154</v>
      </c>
      <c r="E628" s="12" t="s">
        <v>3194</v>
      </c>
      <c r="F628" s="12" t="s">
        <v>174</v>
      </c>
      <c r="G628" s="12"/>
      <c r="H628" s="12" t="s">
        <v>3194</v>
      </c>
      <c r="I628" s="14">
        <v>0.48880000000000001</v>
      </c>
      <c r="J628" s="12">
        <v>97</v>
      </c>
      <c r="K628" s="12" t="s">
        <v>3195</v>
      </c>
      <c r="L628" s="14">
        <v>0.44540000000000002</v>
      </c>
      <c r="M628" s="12" t="s">
        <v>3196</v>
      </c>
      <c r="N628" s="14">
        <v>0.28910000000000002</v>
      </c>
      <c r="O628" s="12">
        <v>2</v>
      </c>
      <c r="P628" s="12" t="s">
        <v>3156</v>
      </c>
      <c r="Q628" s="13" t="s">
        <v>3157</v>
      </c>
      <c r="R628" s="10"/>
      <c r="S628" s="10"/>
      <c r="T628" s="11"/>
    </row>
    <row r="629" spans="1:20" ht="70" x14ac:dyDescent="0.35">
      <c r="A629" s="12" t="s">
        <v>413</v>
      </c>
      <c r="B629" s="12" t="s">
        <v>302</v>
      </c>
      <c r="C629" s="13" t="s">
        <v>3197</v>
      </c>
      <c r="D629" s="13" t="s">
        <v>3198</v>
      </c>
      <c r="E629" s="12"/>
      <c r="F629" s="12" t="s">
        <v>174</v>
      </c>
      <c r="G629" s="12"/>
      <c r="H629" s="12" t="s">
        <v>565</v>
      </c>
      <c r="I629" s="14">
        <v>0.48849999999999999</v>
      </c>
      <c r="J629" s="12">
        <v>96.9</v>
      </c>
      <c r="K629" s="12" t="s">
        <v>2741</v>
      </c>
      <c r="L629" s="14">
        <v>0.4446</v>
      </c>
      <c r="M629" s="12" t="s">
        <v>3199</v>
      </c>
      <c r="N629" s="14">
        <v>0.40720000000000001</v>
      </c>
      <c r="O629" s="12">
        <v>1</v>
      </c>
      <c r="P629" s="12" t="s">
        <v>3200</v>
      </c>
      <c r="Q629" s="13" t="s">
        <v>3201</v>
      </c>
      <c r="R629" s="10"/>
      <c r="S629" s="10"/>
      <c r="T629" s="11"/>
    </row>
    <row r="630" spans="1:20" ht="84" x14ac:dyDescent="0.35">
      <c r="A630" s="12" t="s">
        <v>413</v>
      </c>
      <c r="B630" s="12" t="s">
        <v>302</v>
      </c>
      <c r="C630" s="13" t="s">
        <v>3202</v>
      </c>
      <c r="D630" s="13" t="s">
        <v>3203</v>
      </c>
      <c r="E630" s="12"/>
      <c r="F630" s="12" t="s">
        <v>174</v>
      </c>
      <c r="G630" s="12"/>
      <c r="H630" s="12" t="s">
        <v>26</v>
      </c>
      <c r="I630" s="14">
        <v>0.48149999999999998</v>
      </c>
      <c r="J630" s="12">
        <v>95.1</v>
      </c>
      <c r="K630" s="12" t="s">
        <v>201</v>
      </c>
      <c r="L630" s="14">
        <v>0.4783</v>
      </c>
      <c r="M630" s="12" t="s">
        <v>1673</v>
      </c>
      <c r="N630" s="14">
        <v>0.45440000000000003</v>
      </c>
      <c r="O630" s="12">
        <v>3</v>
      </c>
      <c r="P630" s="12" t="s">
        <v>3204</v>
      </c>
      <c r="Q630" s="13" t="s">
        <v>3205</v>
      </c>
      <c r="R630" s="10"/>
      <c r="S630" s="10"/>
      <c r="T630" s="11"/>
    </row>
    <row r="631" spans="1:20" ht="70" x14ac:dyDescent="0.35">
      <c r="A631" s="12" t="s">
        <v>413</v>
      </c>
      <c r="B631" s="12" t="s">
        <v>302</v>
      </c>
      <c r="C631" s="13" t="s">
        <v>2684</v>
      </c>
      <c r="D631" s="13"/>
      <c r="E631" s="12" t="s">
        <v>470</v>
      </c>
      <c r="F631" s="12" t="s">
        <v>174</v>
      </c>
      <c r="G631" s="12"/>
      <c r="H631" s="12" t="s">
        <v>470</v>
      </c>
      <c r="I631" s="14">
        <v>0.4803</v>
      </c>
      <c r="J631" s="12">
        <v>94.7</v>
      </c>
      <c r="K631" s="12" t="s">
        <v>3206</v>
      </c>
      <c r="L631" s="14">
        <v>0.37059999999999998</v>
      </c>
      <c r="M631" s="12" t="s">
        <v>3207</v>
      </c>
      <c r="N631" s="14">
        <v>0.33800000000000002</v>
      </c>
      <c r="O631" s="12">
        <v>3</v>
      </c>
      <c r="P631" s="12" t="s">
        <v>3208</v>
      </c>
      <c r="Q631" s="13" t="s">
        <v>3209</v>
      </c>
      <c r="R631" s="10"/>
      <c r="S631" s="10"/>
      <c r="T631" s="11"/>
    </row>
    <row r="632" spans="1:20" ht="84" x14ac:dyDescent="0.35">
      <c r="A632" s="12" t="s">
        <v>413</v>
      </c>
      <c r="B632" s="12" t="s">
        <v>302</v>
      </c>
      <c r="C632" s="13" t="s">
        <v>3210</v>
      </c>
      <c r="D632" s="13"/>
      <c r="E632" s="12" t="s">
        <v>591</v>
      </c>
      <c r="F632" s="12" t="s">
        <v>174</v>
      </c>
      <c r="G632" s="12"/>
      <c r="H632" s="12" t="s">
        <v>590</v>
      </c>
      <c r="I632" s="14">
        <v>0.47720000000000001</v>
      </c>
      <c r="J632" s="12">
        <v>93.9</v>
      </c>
      <c r="K632" s="12" t="s">
        <v>3211</v>
      </c>
      <c r="L632" s="14">
        <v>0.28720000000000001</v>
      </c>
      <c r="M632" s="12" t="s">
        <v>3212</v>
      </c>
      <c r="N632" s="14">
        <v>0.25940000000000002</v>
      </c>
      <c r="O632" s="12">
        <v>1</v>
      </c>
      <c r="P632" s="12" t="s">
        <v>3213</v>
      </c>
      <c r="Q632" s="13" t="s">
        <v>3214</v>
      </c>
      <c r="R632" s="10"/>
      <c r="S632" s="10"/>
      <c r="T632" s="11"/>
    </row>
    <row r="633" spans="1:20" ht="70" x14ac:dyDescent="0.35">
      <c r="A633" s="12" t="s">
        <v>413</v>
      </c>
      <c r="B633" s="12" t="s">
        <v>302</v>
      </c>
      <c r="C633" s="13" t="s">
        <v>3215</v>
      </c>
      <c r="D633" s="13" t="s">
        <v>3216</v>
      </c>
      <c r="E633" s="12" t="s">
        <v>1939</v>
      </c>
      <c r="F633" s="12" t="s">
        <v>174</v>
      </c>
      <c r="G633" s="12"/>
      <c r="H633" s="12" t="s">
        <v>362</v>
      </c>
      <c r="I633" s="14">
        <v>0.4773</v>
      </c>
      <c r="J633" s="12">
        <v>93.9</v>
      </c>
      <c r="K633" s="12" t="s">
        <v>1940</v>
      </c>
      <c r="L633" s="14">
        <v>0.47210000000000002</v>
      </c>
      <c r="M633" s="12" t="s">
        <v>220</v>
      </c>
      <c r="N633" s="14">
        <v>0.43</v>
      </c>
      <c r="O633" s="12">
        <v>1</v>
      </c>
      <c r="P633" s="12" t="s">
        <v>3217</v>
      </c>
      <c r="Q633" s="13" t="s">
        <v>3218</v>
      </c>
      <c r="R633" s="10"/>
      <c r="S633" s="10"/>
      <c r="T633" s="11"/>
    </row>
    <row r="634" spans="1:20" ht="42" x14ac:dyDescent="0.35">
      <c r="A634" s="12" t="s">
        <v>413</v>
      </c>
      <c r="B634" s="12" t="s">
        <v>302</v>
      </c>
      <c r="C634" s="13" t="s">
        <v>3219</v>
      </c>
      <c r="D634" s="13" t="s">
        <v>3220</v>
      </c>
      <c r="E634" s="12" t="s">
        <v>3219</v>
      </c>
      <c r="F634" s="12" t="s">
        <v>174</v>
      </c>
      <c r="G634" s="12"/>
      <c r="H634" s="12" t="s">
        <v>3221</v>
      </c>
      <c r="I634" s="14">
        <v>0.47649999999999998</v>
      </c>
      <c r="J634" s="12">
        <v>93.7</v>
      </c>
      <c r="K634" s="12" t="s">
        <v>450</v>
      </c>
      <c r="L634" s="14">
        <v>0.44729999999999998</v>
      </c>
      <c r="M634" s="12" t="s">
        <v>3222</v>
      </c>
      <c r="N634" s="14">
        <v>0.4284</v>
      </c>
      <c r="O634" s="12">
        <v>2</v>
      </c>
      <c r="P634" s="12" t="s">
        <v>3223</v>
      </c>
      <c r="Q634" s="13" t="s">
        <v>3224</v>
      </c>
      <c r="R634" s="10"/>
      <c r="S634" s="10"/>
      <c r="T634" s="11"/>
    </row>
    <row r="635" spans="1:20" ht="28" x14ac:dyDescent="0.35">
      <c r="A635" s="12" t="s">
        <v>413</v>
      </c>
      <c r="B635" s="12" t="s">
        <v>302</v>
      </c>
      <c r="C635" s="13" t="s">
        <v>3225</v>
      </c>
      <c r="D635" s="13" t="s">
        <v>2474</v>
      </c>
      <c r="E635" s="12" t="s">
        <v>1578</v>
      </c>
      <c r="F635" s="12" t="s">
        <v>174</v>
      </c>
      <c r="G635" s="12"/>
      <c r="H635" s="12" t="s">
        <v>1579</v>
      </c>
      <c r="I635" s="14">
        <v>0.47599999999999998</v>
      </c>
      <c r="J635" s="12">
        <v>93.6</v>
      </c>
      <c r="K635" s="12" t="s">
        <v>3226</v>
      </c>
      <c r="L635" s="14">
        <v>0.46579999999999999</v>
      </c>
      <c r="M635" s="12" t="s">
        <v>3227</v>
      </c>
      <c r="N635" s="14">
        <v>0.44719999999999999</v>
      </c>
      <c r="O635" s="12">
        <v>1</v>
      </c>
      <c r="P635" s="12" t="s">
        <v>2477</v>
      </c>
      <c r="Q635" s="13" t="s">
        <v>2478</v>
      </c>
      <c r="R635" s="10"/>
      <c r="S635" s="10"/>
      <c r="T635" s="11"/>
    </row>
    <row r="636" spans="1:20" ht="42" x14ac:dyDescent="0.35">
      <c r="A636" s="12" t="s">
        <v>413</v>
      </c>
      <c r="B636" s="12" t="s">
        <v>302</v>
      </c>
      <c r="C636" s="13" t="s">
        <v>3228</v>
      </c>
      <c r="D636" s="13" t="s">
        <v>3229</v>
      </c>
      <c r="E636" s="12" t="s">
        <v>309</v>
      </c>
      <c r="F636" s="12" t="s">
        <v>174</v>
      </c>
      <c r="G636" s="12"/>
      <c r="H636" s="12" t="s">
        <v>1450</v>
      </c>
      <c r="I636" s="14">
        <v>0.47560000000000002</v>
      </c>
      <c r="J636" s="12">
        <v>93.5</v>
      </c>
      <c r="K636" s="12" t="s">
        <v>272</v>
      </c>
      <c r="L636" s="14">
        <v>0.4592</v>
      </c>
      <c r="M636" s="12" t="s">
        <v>312</v>
      </c>
      <c r="N636" s="14">
        <v>0.45729999999999998</v>
      </c>
      <c r="O636" s="12">
        <v>1</v>
      </c>
      <c r="P636" s="12" t="s">
        <v>3230</v>
      </c>
      <c r="Q636" s="13" t="s">
        <v>3231</v>
      </c>
      <c r="R636" s="10"/>
      <c r="S636" s="10"/>
      <c r="T636" s="11"/>
    </row>
    <row r="637" spans="1:20" ht="84" x14ac:dyDescent="0.35">
      <c r="A637" s="12" t="s">
        <v>413</v>
      </c>
      <c r="B637" s="12" t="s">
        <v>302</v>
      </c>
      <c r="C637" s="13" t="s">
        <v>3232</v>
      </c>
      <c r="D637" s="13" t="s">
        <v>3233</v>
      </c>
      <c r="E637" s="12" t="s">
        <v>1280</v>
      </c>
      <c r="F637" s="12" t="s">
        <v>174</v>
      </c>
      <c r="G637" s="12"/>
      <c r="H637" s="12" t="s">
        <v>1926</v>
      </c>
      <c r="I637" s="14">
        <v>0.47489999999999999</v>
      </c>
      <c r="J637" s="12">
        <v>93.3</v>
      </c>
      <c r="K637" s="12" t="s">
        <v>3234</v>
      </c>
      <c r="L637" s="14">
        <v>0.41489999999999999</v>
      </c>
      <c r="M637" s="12" t="s">
        <v>1837</v>
      </c>
      <c r="N637" s="14">
        <v>0.30919999999999997</v>
      </c>
      <c r="O637" s="12">
        <v>2</v>
      </c>
      <c r="P637" s="12" t="s">
        <v>3235</v>
      </c>
      <c r="Q637" s="13" t="s">
        <v>3236</v>
      </c>
      <c r="R637" s="10"/>
      <c r="S637" s="10"/>
      <c r="T637" s="11"/>
    </row>
    <row r="638" spans="1:20" ht="70" x14ac:dyDescent="0.35">
      <c r="A638" s="12" t="s">
        <v>413</v>
      </c>
      <c r="B638" s="12" t="s">
        <v>302</v>
      </c>
      <c r="C638" s="13" t="s">
        <v>3237</v>
      </c>
      <c r="D638" s="13" t="s">
        <v>3238</v>
      </c>
      <c r="E638" s="12"/>
      <c r="F638" s="12" t="s">
        <v>174</v>
      </c>
      <c r="G638" s="12"/>
      <c r="H638" s="12" t="s">
        <v>63</v>
      </c>
      <c r="I638" s="14">
        <v>0.4723</v>
      </c>
      <c r="J638" s="12">
        <v>92.6</v>
      </c>
      <c r="K638" s="12" t="s">
        <v>1503</v>
      </c>
      <c r="L638" s="14">
        <v>0.35420000000000001</v>
      </c>
      <c r="M638" s="12" t="s">
        <v>485</v>
      </c>
      <c r="N638" s="14">
        <v>0.32979999999999998</v>
      </c>
      <c r="O638" s="12">
        <v>2</v>
      </c>
      <c r="P638" s="12" t="s">
        <v>3239</v>
      </c>
      <c r="Q638" s="13" t="s">
        <v>3240</v>
      </c>
      <c r="R638" s="10"/>
      <c r="S638" s="10"/>
      <c r="T638" s="11"/>
    </row>
    <row r="639" spans="1:20" ht="56" x14ac:dyDescent="0.35">
      <c r="A639" s="12" t="s">
        <v>413</v>
      </c>
      <c r="B639" s="12" t="s">
        <v>302</v>
      </c>
      <c r="C639" s="13" t="s">
        <v>3241</v>
      </c>
      <c r="D639" s="13" t="s">
        <v>3242</v>
      </c>
      <c r="E639" s="12" t="s">
        <v>2026</v>
      </c>
      <c r="F639" s="12" t="s">
        <v>174</v>
      </c>
      <c r="G639" s="12"/>
      <c r="H639" s="12" t="s">
        <v>2057</v>
      </c>
      <c r="I639" s="14">
        <v>0.47189999999999999</v>
      </c>
      <c r="J639" s="12">
        <v>92.5</v>
      </c>
      <c r="K639" s="12" t="s">
        <v>2789</v>
      </c>
      <c r="L639" s="14">
        <v>0.3982</v>
      </c>
      <c r="M639" s="12" t="s">
        <v>273</v>
      </c>
      <c r="N639" s="14">
        <v>0.36919999999999997</v>
      </c>
      <c r="O639" s="12">
        <v>1</v>
      </c>
      <c r="P639" s="12" t="s">
        <v>3243</v>
      </c>
      <c r="Q639" s="13" t="s">
        <v>3244</v>
      </c>
      <c r="R639" s="10"/>
      <c r="S639" s="10"/>
      <c r="T639" s="11"/>
    </row>
    <row r="640" spans="1:20" ht="84" x14ac:dyDescent="0.35">
      <c r="A640" s="12" t="s">
        <v>413</v>
      </c>
      <c r="B640" s="12" t="s">
        <v>302</v>
      </c>
      <c r="C640" s="13" t="s">
        <v>3245</v>
      </c>
      <c r="D640" s="13" t="s">
        <v>3246</v>
      </c>
      <c r="E640" s="12" t="s">
        <v>2585</v>
      </c>
      <c r="F640" s="12" t="s">
        <v>174</v>
      </c>
      <c r="G640" s="12"/>
      <c r="H640" s="12" t="s">
        <v>470</v>
      </c>
      <c r="I640" s="14">
        <v>0.47089999999999999</v>
      </c>
      <c r="J640" s="12">
        <v>92.3</v>
      </c>
      <c r="K640" s="12" t="s">
        <v>3207</v>
      </c>
      <c r="L640" s="14">
        <v>0.28039999999999998</v>
      </c>
      <c r="M640" s="12" t="s">
        <v>3206</v>
      </c>
      <c r="N640" s="14">
        <v>0.27789999999999998</v>
      </c>
      <c r="O640" s="12">
        <v>1</v>
      </c>
      <c r="P640" s="12" t="s">
        <v>3247</v>
      </c>
      <c r="Q640" s="13" t="s">
        <v>3248</v>
      </c>
      <c r="R640" s="10"/>
      <c r="S640" s="10"/>
      <c r="T640" s="11"/>
    </row>
    <row r="641" spans="1:20" ht="84" x14ac:dyDescent="0.35">
      <c r="A641" s="12" t="s">
        <v>413</v>
      </c>
      <c r="B641" s="12" t="s">
        <v>302</v>
      </c>
      <c r="C641" s="13" t="s">
        <v>2662</v>
      </c>
      <c r="D641" s="13" t="s">
        <v>3249</v>
      </c>
      <c r="E641" s="12" t="s">
        <v>218</v>
      </c>
      <c r="F641" s="12" t="s">
        <v>174</v>
      </c>
      <c r="G641" s="12"/>
      <c r="H641" s="12" t="s">
        <v>221</v>
      </c>
      <c r="I641" s="14">
        <v>0.47089999999999999</v>
      </c>
      <c r="J641" s="12">
        <v>92.2</v>
      </c>
      <c r="K641" s="12" t="s">
        <v>220</v>
      </c>
      <c r="L641" s="14">
        <v>0.46779999999999999</v>
      </c>
      <c r="M641" s="12" t="s">
        <v>193</v>
      </c>
      <c r="N641" s="14">
        <v>0.4042</v>
      </c>
      <c r="O641" s="12">
        <v>9</v>
      </c>
      <c r="P641" s="12" t="s">
        <v>3250</v>
      </c>
      <c r="Q641" s="13" t="s">
        <v>3251</v>
      </c>
      <c r="R641" s="10"/>
      <c r="S641" s="10"/>
      <c r="T641" s="11"/>
    </row>
    <row r="642" spans="1:20" ht="84" x14ac:dyDescent="0.35">
      <c r="A642" s="12" t="s">
        <v>413</v>
      </c>
      <c r="B642" s="12" t="s">
        <v>302</v>
      </c>
      <c r="C642" s="13" t="s">
        <v>3252</v>
      </c>
      <c r="D642" s="13" t="s">
        <v>3253</v>
      </c>
      <c r="E642" s="12" t="s">
        <v>1829</v>
      </c>
      <c r="F642" s="12" t="s">
        <v>174</v>
      </c>
      <c r="G642" s="12"/>
      <c r="H642" s="12" t="s">
        <v>1832</v>
      </c>
      <c r="I642" s="14">
        <v>0.47</v>
      </c>
      <c r="J642" s="12">
        <v>92</v>
      </c>
      <c r="K642" s="12" t="s">
        <v>1330</v>
      </c>
      <c r="L642" s="14">
        <v>0.44819999999999999</v>
      </c>
      <c r="M642" s="12" t="s">
        <v>3254</v>
      </c>
      <c r="N642" s="14">
        <v>0.41420000000000001</v>
      </c>
      <c r="O642" s="12">
        <v>1</v>
      </c>
      <c r="P642" s="12" t="s">
        <v>3255</v>
      </c>
      <c r="Q642" s="13" t="s">
        <v>3256</v>
      </c>
      <c r="R642" s="10"/>
      <c r="S642" s="10"/>
      <c r="T642" s="11"/>
    </row>
    <row r="643" spans="1:20" ht="56" x14ac:dyDescent="0.35">
      <c r="A643" s="12" t="s">
        <v>413</v>
      </c>
      <c r="B643" s="12" t="s">
        <v>302</v>
      </c>
      <c r="C643" s="13" t="s">
        <v>3257</v>
      </c>
      <c r="D643" s="13" t="s">
        <v>3258</v>
      </c>
      <c r="E643" s="12" t="s">
        <v>240</v>
      </c>
      <c r="F643" s="12" t="s">
        <v>174</v>
      </c>
      <c r="G643" s="12"/>
      <c r="H643" s="12" t="s">
        <v>242</v>
      </c>
      <c r="I643" s="14">
        <v>0.46729999999999999</v>
      </c>
      <c r="J643" s="12">
        <v>91.3</v>
      </c>
      <c r="K643" s="12" t="s">
        <v>241</v>
      </c>
      <c r="L643" s="14">
        <v>0.45569999999999999</v>
      </c>
      <c r="M643" s="12" t="s">
        <v>3259</v>
      </c>
      <c r="N643" s="14">
        <v>0.3962</v>
      </c>
      <c r="O643" s="12">
        <v>1</v>
      </c>
      <c r="P643" s="12" t="s">
        <v>3260</v>
      </c>
      <c r="Q643" s="13" t="s">
        <v>3261</v>
      </c>
      <c r="R643" s="10"/>
      <c r="S643" s="10"/>
      <c r="T643" s="11"/>
    </row>
    <row r="644" spans="1:20" ht="84" x14ac:dyDescent="0.35">
      <c r="A644" s="12" t="s">
        <v>413</v>
      </c>
      <c r="B644" s="12" t="s">
        <v>302</v>
      </c>
      <c r="C644" s="13" t="s">
        <v>2104</v>
      </c>
      <c r="D644" s="13"/>
      <c r="E644" s="12" t="s">
        <v>2104</v>
      </c>
      <c r="F644" s="12" t="s">
        <v>174</v>
      </c>
      <c r="G644" s="12"/>
      <c r="H644" s="12" t="s">
        <v>2542</v>
      </c>
      <c r="I644" s="14">
        <v>0.46679999999999999</v>
      </c>
      <c r="J644" s="12">
        <v>91.2</v>
      </c>
      <c r="K644" s="12" t="s">
        <v>3262</v>
      </c>
      <c r="L644" s="14">
        <v>0.44500000000000001</v>
      </c>
      <c r="M644" s="12" t="s">
        <v>3263</v>
      </c>
      <c r="N644" s="14">
        <v>0.4259</v>
      </c>
      <c r="O644" s="12">
        <v>1</v>
      </c>
      <c r="P644" s="12" t="s">
        <v>3264</v>
      </c>
      <c r="Q644" s="13" t="s">
        <v>3265</v>
      </c>
      <c r="R644" s="10"/>
      <c r="S644" s="10"/>
      <c r="T644" s="11"/>
    </row>
    <row r="645" spans="1:20" ht="70" x14ac:dyDescent="0.35">
      <c r="A645" s="12" t="s">
        <v>413</v>
      </c>
      <c r="B645" s="12" t="s">
        <v>302</v>
      </c>
      <c r="C645" s="13" t="s">
        <v>3266</v>
      </c>
      <c r="D645" s="13" t="s">
        <v>3267</v>
      </c>
      <c r="E645" s="12" t="s">
        <v>309</v>
      </c>
      <c r="F645" s="12" t="s">
        <v>174</v>
      </c>
      <c r="G645" s="12"/>
      <c r="H645" s="12" t="s">
        <v>3268</v>
      </c>
      <c r="I645" s="14">
        <v>0.46700000000000003</v>
      </c>
      <c r="J645" s="12">
        <v>91.2</v>
      </c>
      <c r="K645" s="12" t="s">
        <v>312</v>
      </c>
      <c r="L645" s="14">
        <v>0.4657</v>
      </c>
      <c r="M645" s="12" t="s">
        <v>272</v>
      </c>
      <c r="N645" s="14">
        <v>0.44550000000000001</v>
      </c>
      <c r="O645" s="12">
        <v>1</v>
      </c>
      <c r="P645" s="12" t="s">
        <v>3269</v>
      </c>
      <c r="Q645" s="13" t="s">
        <v>3270</v>
      </c>
      <c r="R645" s="10"/>
      <c r="S645" s="10"/>
      <c r="T645" s="11"/>
    </row>
    <row r="646" spans="1:20" ht="56" x14ac:dyDescent="0.35">
      <c r="A646" s="12" t="s">
        <v>413</v>
      </c>
      <c r="B646" s="12" t="s">
        <v>302</v>
      </c>
      <c r="C646" s="13" t="s">
        <v>3271</v>
      </c>
      <c r="D646" s="13" t="s">
        <v>3272</v>
      </c>
      <c r="E646" s="12" t="s">
        <v>373</v>
      </c>
      <c r="F646" s="12" t="s">
        <v>174</v>
      </c>
      <c r="G646" s="12"/>
      <c r="H646" s="12" t="s">
        <v>3273</v>
      </c>
      <c r="I646" s="14">
        <v>0.46479999999999999</v>
      </c>
      <c r="J646" s="12">
        <v>90.6</v>
      </c>
      <c r="K646" s="12" t="s">
        <v>3274</v>
      </c>
      <c r="L646" s="14">
        <v>0.45490000000000003</v>
      </c>
      <c r="M646" s="12" t="s">
        <v>3275</v>
      </c>
      <c r="N646" s="14">
        <v>0.45240000000000002</v>
      </c>
      <c r="O646" s="12">
        <v>1</v>
      </c>
      <c r="P646" s="12" t="s">
        <v>3276</v>
      </c>
      <c r="Q646" s="13" t="s">
        <v>3277</v>
      </c>
      <c r="R646" s="10"/>
      <c r="S646" s="10"/>
      <c r="T646" s="11"/>
    </row>
    <row r="647" spans="1:20" ht="84" x14ac:dyDescent="0.35">
      <c r="A647" s="12" t="s">
        <v>413</v>
      </c>
      <c r="B647" s="12" t="s">
        <v>302</v>
      </c>
      <c r="C647" s="13" t="s">
        <v>3278</v>
      </c>
      <c r="D647" s="13" t="s">
        <v>3279</v>
      </c>
      <c r="E647" s="12" t="s">
        <v>232</v>
      </c>
      <c r="F647" s="12" t="s">
        <v>174</v>
      </c>
      <c r="G647" s="12"/>
      <c r="H647" s="12" t="s">
        <v>2879</v>
      </c>
      <c r="I647" s="14">
        <v>0.46450000000000002</v>
      </c>
      <c r="J647" s="12">
        <v>90.5</v>
      </c>
      <c r="K647" s="12" t="s">
        <v>331</v>
      </c>
      <c r="L647" s="14">
        <v>0.39429999999999998</v>
      </c>
      <c r="M647" s="12" t="s">
        <v>3280</v>
      </c>
      <c r="N647" s="14">
        <v>0.36880000000000002</v>
      </c>
      <c r="O647" s="12">
        <v>1</v>
      </c>
      <c r="P647" s="12" t="s">
        <v>3281</v>
      </c>
      <c r="Q647" s="13" t="s">
        <v>3282</v>
      </c>
      <c r="R647" s="10"/>
      <c r="S647" s="10"/>
      <c r="T647" s="11"/>
    </row>
    <row r="648" spans="1:20" ht="70" x14ac:dyDescent="0.35">
      <c r="A648" s="12" t="s">
        <v>413</v>
      </c>
      <c r="B648" s="12" t="s">
        <v>302</v>
      </c>
      <c r="C648" s="13" t="s">
        <v>2753</v>
      </c>
      <c r="D648" s="13" t="s">
        <v>503</v>
      </c>
      <c r="E648" s="12" t="s">
        <v>2753</v>
      </c>
      <c r="F648" s="12" t="s">
        <v>174</v>
      </c>
      <c r="G648" s="12"/>
      <c r="H648" s="12" t="s">
        <v>1223</v>
      </c>
      <c r="I648" s="14">
        <v>0.46400000000000002</v>
      </c>
      <c r="J648" s="12">
        <v>90.4</v>
      </c>
      <c r="K648" s="12" t="s">
        <v>3283</v>
      </c>
      <c r="L648" s="14">
        <v>0.2467</v>
      </c>
      <c r="M648" s="12" t="s">
        <v>2754</v>
      </c>
      <c r="N648" s="14">
        <v>0.2281</v>
      </c>
      <c r="O648" s="12">
        <v>1</v>
      </c>
      <c r="P648" s="12" t="s">
        <v>505</v>
      </c>
      <c r="Q648" s="13" t="s">
        <v>506</v>
      </c>
      <c r="R648" s="10"/>
      <c r="S648" s="10"/>
      <c r="T648" s="11"/>
    </row>
    <row r="649" spans="1:20" ht="84" x14ac:dyDescent="0.35">
      <c r="A649" s="12" t="s">
        <v>413</v>
      </c>
      <c r="B649" s="12" t="s">
        <v>302</v>
      </c>
      <c r="C649" s="13" t="s">
        <v>3284</v>
      </c>
      <c r="D649" s="13" t="s">
        <v>3285</v>
      </c>
      <c r="E649" s="12" t="s">
        <v>3284</v>
      </c>
      <c r="F649" s="12" t="s">
        <v>174</v>
      </c>
      <c r="G649" s="12"/>
      <c r="H649" s="12" t="s">
        <v>3286</v>
      </c>
      <c r="I649" s="14">
        <v>0.46350000000000002</v>
      </c>
      <c r="J649" s="12">
        <v>90.3</v>
      </c>
      <c r="K649" s="12" t="s">
        <v>3287</v>
      </c>
      <c r="L649" s="14">
        <v>0.42820000000000003</v>
      </c>
      <c r="M649" s="12" t="s">
        <v>2664</v>
      </c>
      <c r="N649" s="14">
        <v>0.42470000000000002</v>
      </c>
      <c r="O649" s="12">
        <v>1</v>
      </c>
      <c r="P649" s="12" t="s">
        <v>3288</v>
      </c>
      <c r="Q649" s="13" t="s">
        <v>3289</v>
      </c>
      <c r="R649" s="10"/>
      <c r="S649" s="10"/>
      <c r="T649" s="11"/>
    </row>
    <row r="650" spans="1:20" ht="70" x14ac:dyDescent="0.35">
      <c r="A650" s="12" t="s">
        <v>413</v>
      </c>
      <c r="B650" s="12" t="s">
        <v>302</v>
      </c>
      <c r="C650" s="13" t="s">
        <v>3290</v>
      </c>
      <c r="D650" s="13" t="s">
        <v>55</v>
      </c>
      <c r="E650" s="12" t="s">
        <v>2178</v>
      </c>
      <c r="F650" s="12" t="s">
        <v>174</v>
      </c>
      <c r="G650" s="12"/>
      <c r="H650" s="12" t="s">
        <v>3291</v>
      </c>
      <c r="I650" s="14">
        <v>0.46329999999999999</v>
      </c>
      <c r="J650" s="12">
        <v>90.2</v>
      </c>
      <c r="K650" s="12" t="s">
        <v>3292</v>
      </c>
      <c r="L650" s="14">
        <v>0.29249999999999998</v>
      </c>
      <c r="M650" s="12" t="s">
        <v>331</v>
      </c>
      <c r="N650" s="14">
        <v>0.28070000000000001</v>
      </c>
      <c r="O650" s="12">
        <v>1</v>
      </c>
      <c r="P650" s="12" t="s">
        <v>58</v>
      </c>
      <c r="Q650" s="13" t="s">
        <v>59</v>
      </c>
      <c r="R650" s="10"/>
      <c r="S650" s="10"/>
      <c r="T650" s="11"/>
    </row>
    <row r="651" spans="1:20" ht="56" x14ac:dyDescent="0.35">
      <c r="A651" s="12" t="s">
        <v>413</v>
      </c>
      <c r="B651" s="12" t="s">
        <v>302</v>
      </c>
      <c r="C651" s="13" t="s">
        <v>3293</v>
      </c>
      <c r="D651" s="13" t="s">
        <v>3294</v>
      </c>
      <c r="E651" s="12" t="s">
        <v>72</v>
      </c>
      <c r="F651" s="12" t="s">
        <v>174</v>
      </c>
      <c r="G651" s="12"/>
      <c r="H651" s="12" t="s">
        <v>72</v>
      </c>
      <c r="I651" s="14">
        <v>0.46310000000000001</v>
      </c>
      <c r="J651" s="12">
        <v>90.2</v>
      </c>
      <c r="K651" s="12" t="s">
        <v>306</v>
      </c>
      <c r="L651" s="14">
        <v>0.39860000000000001</v>
      </c>
      <c r="M651" s="12" t="s">
        <v>3295</v>
      </c>
      <c r="N651" s="14">
        <v>0.28599999999999998</v>
      </c>
      <c r="O651" s="12">
        <v>1</v>
      </c>
      <c r="P651" s="12" t="s">
        <v>3296</v>
      </c>
      <c r="Q651" s="13" t="s">
        <v>3297</v>
      </c>
      <c r="R651" s="10"/>
      <c r="S651" s="10"/>
      <c r="T651" s="11"/>
    </row>
    <row r="652" spans="1:20" ht="56" x14ac:dyDescent="0.35">
      <c r="A652" s="12" t="s">
        <v>413</v>
      </c>
      <c r="B652" s="12" t="s">
        <v>302</v>
      </c>
      <c r="C652" s="13" t="s">
        <v>3298</v>
      </c>
      <c r="D652" s="13" t="s">
        <v>3299</v>
      </c>
      <c r="E652" s="12" t="s">
        <v>1255</v>
      </c>
      <c r="F652" s="12" t="s">
        <v>174</v>
      </c>
      <c r="G652" s="12"/>
      <c r="H652" s="12" t="s">
        <v>1494</v>
      </c>
      <c r="I652" s="14">
        <v>0.46289999999999998</v>
      </c>
      <c r="J652" s="12">
        <v>90.1</v>
      </c>
      <c r="K652" s="12" t="s">
        <v>3300</v>
      </c>
      <c r="L652" s="14">
        <v>0.38800000000000001</v>
      </c>
      <c r="M652" s="12" t="s">
        <v>3301</v>
      </c>
      <c r="N652" s="14">
        <v>0.3498</v>
      </c>
      <c r="O652" s="12">
        <v>5</v>
      </c>
      <c r="P652" s="12" t="s">
        <v>3302</v>
      </c>
      <c r="Q652" s="13" t="s">
        <v>3303</v>
      </c>
      <c r="R652" s="10"/>
      <c r="S652" s="10"/>
      <c r="T652" s="11"/>
    </row>
    <row r="653" spans="1:20" ht="84" x14ac:dyDescent="0.35">
      <c r="A653" s="12" t="s">
        <v>413</v>
      </c>
      <c r="B653" s="12" t="s">
        <v>302</v>
      </c>
      <c r="C653" s="13" t="s">
        <v>3304</v>
      </c>
      <c r="D653" s="13" t="s">
        <v>3305</v>
      </c>
      <c r="E653" s="12" t="s">
        <v>1294</v>
      </c>
      <c r="F653" s="12" t="s">
        <v>174</v>
      </c>
      <c r="G653" s="12"/>
      <c r="H653" s="12" t="s">
        <v>299</v>
      </c>
      <c r="I653" s="14">
        <v>0.46300000000000002</v>
      </c>
      <c r="J653" s="12">
        <v>90.1</v>
      </c>
      <c r="K653" s="12" t="s">
        <v>221</v>
      </c>
      <c r="L653" s="14">
        <v>0.43369999999999997</v>
      </c>
      <c r="M653" s="12" t="s">
        <v>362</v>
      </c>
      <c r="N653" s="14">
        <v>0.40229999999999999</v>
      </c>
      <c r="O653" s="12">
        <v>1</v>
      </c>
      <c r="P653" s="12" t="s">
        <v>3306</v>
      </c>
      <c r="Q653" s="13" t="s">
        <v>3307</v>
      </c>
      <c r="R653" s="10"/>
      <c r="S653" s="10"/>
      <c r="T653" s="11"/>
    </row>
    <row r="654" spans="1:20" ht="84" x14ac:dyDescent="0.35">
      <c r="A654" s="12" t="s">
        <v>413</v>
      </c>
      <c r="B654" s="12" t="s">
        <v>302</v>
      </c>
      <c r="C654" s="13" t="s">
        <v>3308</v>
      </c>
      <c r="D654" s="13" t="s">
        <v>689</v>
      </c>
      <c r="E654" s="12" t="s">
        <v>3309</v>
      </c>
      <c r="F654" s="12" t="s">
        <v>174</v>
      </c>
      <c r="G654" s="12"/>
      <c r="H654" s="12" t="s">
        <v>3310</v>
      </c>
      <c r="I654" s="14">
        <v>0.46260000000000001</v>
      </c>
      <c r="J654" s="12">
        <v>90</v>
      </c>
      <c r="K654" s="12" t="s">
        <v>1980</v>
      </c>
      <c r="L654" s="14">
        <v>0.44019999999999998</v>
      </c>
      <c r="M654" s="12" t="s">
        <v>3311</v>
      </c>
      <c r="N654" s="14">
        <v>0.43309999999999998</v>
      </c>
      <c r="O654" s="12">
        <v>1</v>
      </c>
      <c r="P654" s="12" t="s">
        <v>690</v>
      </c>
      <c r="Q654" s="13" t="s">
        <v>691</v>
      </c>
      <c r="R654" s="10"/>
      <c r="S654" s="10"/>
      <c r="T654" s="11"/>
    </row>
    <row r="655" spans="1:20" ht="84" x14ac:dyDescent="0.35">
      <c r="A655" s="12" t="s">
        <v>413</v>
      </c>
      <c r="B655" s="12" t="s">
        <v>302</v>
      </c>
      <c r="C655" s="13" t="s">
        <v>1708</v>
      </c>
      <c r="D655" s="13" t="s">
        <v>3312</v>
      </c>
      <c r="E655" s="12" t="s">
        <v>1708</v>
      </c>
      <c r="F655" s="12" t="s">
        <v>174</v>
      </c>
      <c r="G655" s="12"/>
      <c r="H655" s="12" t="s">
        <v>1672</v>
      </c>
      <c r="I655" s="14">
        <v>0.46200000000000002</v>
      </c>
      <c r="J655" s="12">
        <v>89.9</v>
      </c>
      <c r="K655" s="12" t="s">
        <v>1652</v>
      </c>
      <c r="L655" s="14">
        <v>0.42709999999999998</v>
      </c>
      <c r="M655" s="12" t="s">
        <v>1651</v>
      </c>
      <c r="N655" s="14">
        <v>0.42699999999999999</v>
      </c>
      <c r="O655" s="12">
        <v>1</v>
      </c>
      <c r="P655" s="12" t="s">
        <v>3313</v>
      </c>
      <c r="Q655" s="13" t="s">
        <v>3314</v>
      </c>
      <c r="R655" s="10"/>
      <c r="S655" s="10"/>
      <c r="T655" s="11"/>
    </row>
    <row r="656" spans="1:20" ht="56" x14ac:dyDescent="0.35">
      <c r="A656" s="12" t="s">
        <v>413</v>
      </c>
      <c r="B656" s="12" t="s">
        <v>302</v>
      </c>
      <c r="C656" s="13" t="s">
        <v>3315</v>
      </c>
      <c r="D656" s="13"/>
      <c r="E656" s="12"/>
      <c r="F656" s="12" t="s">
        <v>174</v>
      </c>
      <c r="G656" s="12"/>
      <c r="H656" s="12" t="s">
        <v>3316</v>
      </c>
      <c r="I656" s="14">
        <v>0.46179999999999999</v>
      </c>
      <c r="J656" s="12">
        <v>89.8</v>
      </c>
      <c r="K656" s="12" t="s">
        <v>3317</v>
      </c>
      <c r="L656" s="14">
        <v>0.44679999999999997</v>
      </c>
      <c r="M656" s="12" t="s">
        <v>1837</v>
      </c>
      <c r="N656" s="14">
        <v>0.39650000000000002</v>
      </c>
      <c r="O656" s="12">
        <v>1</v>
      </c>
      <c r="P656" s="12" t="s">
        <v>3318</v>
      </c>
      <c r="Q656" s="13" t="s">
        <v>3319</v>
      </c>
      <c r="R656" s="10"/>
      <c r="S656" s="10"/>
      <c r="T656" s="11"/>
    </row>
    <row r="657" spans="1:20" ht="70" x14ac:dyDescent="0.35">
      <c r="A657" s="12" t="s">
        <v>413</v>
      </c>
      <c r="B657" s="12" t="s">
        <v>302</v>
      </c>
      <c r="C657" s="13" t="s">
        <v>3320</v>
      </c>
      <c r="D657" s="13"/>
      <c r="E657" s="12"/>
      <c r="F657" s="12" t="s">
        <v>174</v>
      </c>
      <c r="G657" s="12"/>
      <c r="H657" s="12" t="s">
        <v>3045</v>
      </c>
      <c r="I657" s="14">
        <v>0.46089999999999998</v>
      </c>
      <c r="J657" s="12">
        <v>89.6</v>
      </c>
      <c r="K657" s="12" t="s">
        <v>3321</v>
      </c>
      <c r="L657" s="14">
        <v>0.45629999999999998</v>
      </c>
      <c r="M657" s="12" t="s">
        <v>175</v>
      </c>
      <c r="N657" s="14">
        <v>0.44450000000000001</v>
      </c>
      <c r="O657" s="12">
        <v>2</v>
      </c>
      <c r="P657" s="12" t="s">
        <v>3322</v>
      </c>
      <c r="Q657" s="13" t="s">
        <v>3323</v>
      </c>
      <c r="R657" s="10"/>
      <c r="S657" s="10"/>
      <c r="T657" s="11"/>
    </row>
    <row r="658" spans="1:20" ht="42" x14ac:dyDescent="0.35">
      <c r="A658" s="12" t="s">
        <v>413</v>
      </c>
      <c r="B658" s="12" t="s">
        <v>302</v>
      </c>
      <c r="C658" s="13" t="s">
        <v>3324</v>
      </c>
      <c r="D658" s="13"/>
      <c r="E658" s="12" t="s">
        <v>218</v>
      </c>
      <c r="F658" s="12" t="s">
        <v>174</v>
      </c>
      <c r="G658" s="12"/>
      <c r="H658" s="12" t="s">
        <v>220</v>
      </c>
      <c r="I658" s="14">
        <v>0.45989999999999998</v>
      </c>
      <c r="J658" s="12">
        <v>89.3</v>
      </c>
      <c r="K658" s="12" t="s">
        <v>2663</v>
      </c>
      <c r="L658" s="14">
        <v>0.43140000000000001</v>
      </c>
      <c r="M658" s="12" t="s">
        <v>3325</v>
      </c>
      <c r="N658" s="14">
        <v>0.39279999999999998</v>
      </c>
      <c r="O658" s="12">
        <v>1</v>
      </c>
      <c r="P658" s="12" t="s">
        <v>3326</v>
      </c>
      <c r="Q658" s="13" t="s">
        <v>3327</v>
      </c>
      <c r="R658" s="10"/>
      <c r="S658" s="10"/>
      <c r="T658" s="11"/>
    </row>
    <row r="659" spans="1:20" ht="70" x14ac:dyDescent="0.35">
      <c r="A659" s="12" t="s">
        <v>413</v>
      </c>
      <c r="B659" s="12" t="s">
        <v>302</v>
      </c>
      <c r="C659" s="13" t="s">
        <v>3328</v>
      </c>
      <c r="D659" s="13" t="s">
        <v>3329</v>
      </c>
      <c r="E659" s="12" t="s">
        <v>1308</v>
      </c>
      <c r="F659" s="12" t="s">
        <v>174</v>
      </c>
      <c r="G659" s="12"/>
      <c r="H659" s="12" t="s">
        <v>1445</v>
      </c>
      <c r="I659" s="14">
        <v>0.45979999999999999</v>
      </c>
      <c r="J659" s="12">
        <v>89.3</v>
      </c>
      <c r="K659" s="12" t="s">
        <v>1900</v>
      </c>
      <c r="L659" s="14">
        <v>0.37819999999999998</v>
      </c>
      <c r="M659" s="12" t="s">
        <v>1549</v>
      </c>
      <c r="N659" s="14">
        <v>0.33689999999999998</v>
      </c>
      <c r="O659" s="12">
        <v>5</v>
      </c>
      <c r="P659" s="12" t="s">
        <v>3330</v>
      </c>
      <c r="Q659" s="13" t="s">
        <v>3331</v>
      </c>
      <c r="R659" s="10"/>
      <c r="S659" s="10"/>
      <c r="T659" s="11"/>
    </row>
    <row r="660" spans="1:20" ht="84" x14ac:dyDescent="0.35">
      <c r="A660" s="12" t="s">
        <v>413</v>
      </c>
      <c r="B660" s="12" t="s">
        <v>302</v>
      </c>
      <c r="C660" s="13" t="s">
        <v>3332</v>
      </c>
      <c r="D660" s="13"/>
      <c r="E660" s="12" t="s">
        <v>1475</v>
      </c>
      <c r="F660" s="12" t="s">
        <v>174</v>
      </c>
      <c r="G660" s="12"/>
      <c r="H660" s="12" t="s">
        <v>1438</v>
      </c>
      <c r="I660" s="14">
        <v>0.45950000000000002</v>
      </c>
      <c r="J660" s="12">
        <v>89.2</v>
      </c>
      <c r="K660" s="12" t="s">
        <v>2865</v>
      </c>
      <c r="L660" s="14">
        <v>0.42620000000000002</v>
      </c>
      <c r="M660" s="12" t="s">
        <v>3333</v>
      </c>
      <c r="N660" s="14">
        <v>0.40649999999999997</v>
      </c>
      <c r="O660" s="12">
        <v>1</v>
      </c>
      <c r="P660" s="12" t="s">
        <v>3334</v>
      </c>
      <c r="Q660" s="13" t="s">
        <v>3335</v>
      </c>
      <c r="R660" s="10"/>
      <c r="S660" s="10"/>
      <c r="T660" s="11"/>
    </row>
    <row r="661" spans="1:20" ht="70" x14ac:dyDescent="0.35">
      <c r="A661" s="12" t="s">
        <v>413</v>
      </c>
      <c r="B661" s="12" t="s">
        <v>302</v>
      </c>
      <c r="C661" s="13" t="s">
        <v>3336</v>
      </c>
      <c r="D661" s="13" t="s">
        <v>3337</v>
      </c>
      <c r="E661" s="12" t="s">
        <v>1308</v>
      </c>
      <c r="F661" s="12" t="s">
        <v>174</v>
      </c>
      <c r="G661" s="12"/>
      <c r="H661" s="12" t="s">
        <v>1445</v>
      </c>
      <c r="I661" s="14">
        <v>0.45929999999999999</v>
      </c>
      <c r="J661" s="12">
        <v>89.1</v>
      </c>
      <c r="K661" s="12" t="s">
        <v>3222</v>
      </c>
      <c r="L661" s="14">
        <v>0.31769999999999998</v>
      </c>
      <c r="M661" s="12" t="s">
        <v>448</v>
      </c>
      <c r="N661" s="14">
        <v>0.30020000000000002</v>
      </c>
      <c r="O661" s="12">
        <v>1</v>
      </c>
      <c r="P661" s="12" t="s">
        <v>3338</v>
      </c>
      <c r="Q661" s="13" t="s">
        <v>3339</v>
      </c>
      <c r="R661" s="10"/>
      <c r="S661" s="10"/>
      <c r="T661" s="11"/>
    </row>
    <row r="662" spans="1:20" ht="56" x14ac:dyDescent="0.35">
      <c r="A662" s="12" t="s">
        <v>413</v>
      </c>
      <c r="B662" s="12" t="s">
        <v>302</v>
      </c>
      <c r="C662" s="13" t="s">
        <v>3340</v>
      </c>
      <c r="D662" s="13" t="s">
        <v>3341</v>
      </c>
      <c r="E662" s="12"/>
      <c r="F662" s="12" t="s">
        <v>174</v>
      </c>
      <c r="G662" s="12"/>
      <c r="H662" s="12" t="s">
        <v>1672</v>
      </c>
      <c r="I662" s="14">
        <v>0.45800000000000002</v>
      </c>
      <c r="J662" s="12">
        <v>88.8</v>
      </c>
      <c r="K662" s="12" t="s">
        <v>2137</v>
      </c>
      <c r="L662" s="14">
        <v>0.44419999999999998</v>
      </c>
      <c r="M662" s="12" t="s">
        <v>1673</v>
      </c>
      <c r="N662" s="14">
        <v>0.43680000000000002</v>
      </c>
      <c r="O662" s="12">
        <v>1</v>
      </c>
      <c r="P662" s="12" t="s">
        <v>3342</v>
      </c>
      <c r="Q662" s="13" t="s">
        <v>3343</v>
      </c>
      <c r="R662" s="10"/>
      <c r="S662" s="10"/>
      <c r="T662" s="11"/>
    </row>
    <row r="663" spans="1:20" ht="56" x14ac:dyDescent="0.35">
      <c r="A663" s="12" t="s">
        <v>413</v>
      </c>
      <c r="B663" s="12" t="s">
        <v>302</v>
      </c>
      <c r="C663" s="13" t="s">
        <v>3344</v>
      </c>
      <c r="D663" s="13" t="s">
        <v>3345</v>
      </c>
      <c r="E663" s="12" t="s">
        <v>320</v>
      </c>
      <c r="F663" s="12" t="s">
        <v>174</v>
      </c>
      <c r="G663" s="12"/>
      <c r="H663" s="12" t="s">
        <v>322</v>
      </c>
      <c r="I663" s="14">
        <v>0.45760000000000001</v>
      </c>
      <c r="J663" s="12">
        <v>88.7</v>
      </c>
      <c r="K663" s="12" t="s">
        <v>323</v>
      </c>
      <c r="L663" s="14">
        <v>0.2944</v>
      </c>
      <c r="M663" s="12" t="s">
        <v>3346</v>
      </c>
      <c r="N663" s="14">
        <v>0.27810000000000001</v>
      </c>
      <c r="O663" s="12">
        <v>1</v>
      </c>
      <c r="P663" s="12" t="s">
        <v>3347</v>
      </c>
      <c r="Q663" s="13" t="s">
        <v>3348</v>
      </c>
      <c r="R663" s="10"/>
      <c r="S663" s="10"/>
      <c r="T663" s="11"/>
    </row>
    <row r="664" spans="1:20" ht="112" x14ac:dyDescent="0.35">
      <c r="A664" s="12" t="s">
        <v>413</v>
      </c>
      <c r="B664" s="12" t="s">
        <v>302</v>
      </c>
      <c r="C664" s="13" t="s">
        <v>3349</v>
      </c>
      <c r="D664" s="13" t="s">
        <v>2111</v>
      </c>
      <c r="E664" s="12" t="s">
        <v>3349</v>
      </c>
      <c r="F664" s="12" t="s">
        <v>174</v>
      </c>
      <c r="G664" s="12"/>
      <c r="H664" s="12" t="s">
        <v>3350</v>
      </c>
      <c r="I664" s="14">
        <v>0.45629999999999998</v>
      </c>
      <c r="J664" s="12">
        <v>88.4</v>
      </c>
      <c r="K664" s="12" t="s">
        <v>2120</v>
      </c>
      <c r="L664" s="14">
        <v>0.44729999999999998</v>
      </c>
      <c r="M664" s="12" t="s">
        <v>3351</v>
      </c>
      <c r="N664" s="14">
        <v>0.43990000000000001</v>
      </c>
      <c r="O664" s="12">
        <v>2</v>
      </c>
      <c r="P664" s="12" t="s">
        <v>2115</v>
      </c>
      <c r="Q664" s="13" t="s">
        <v>2116</v>
      </c>
      <c r="R664" s="10"/>
      <c r="S664" s="10"/>
      <c r="T664" s="11"/>
    </row>
    <row r="665" spans="1:20" ht="84" x14ac:dyDescent="0.35">
      <c r="A665" s="12" t="s">
        <v>413</v>
      </c>
      <c r="B665" s="12" t="s">
        <v>302</v>
      </c>
      <c r="C665" s="13" t="s">
        <v>3352</v>
      </c>
      <c r="D665" s="13" t="s">
        <v>3353</v>
      </c>
      <c r="E665" s="12" t="s">
        <v>3354</v>
      </c>
      <c r="F665" s="12" t="s">
        <v>174</v>
      </c>
      <c r="G665" s="12"/>
      <c r="H665" s="12" t="s">
        <v>1445</v>
      </c>
      <c r="I665" s="14">
        <v>0.45660000000000001</v>
      </c>
      <c r="J665" s="12">
        <v>88.4</v>
      </c>
      <c r="K665" s="12" t="s">
        <v>355</v>
      </c>
      <c r="L665" s="14">
        <v>0.4128</v>
      </c>
      <c r="M665" s="12" t="s">
        <v>3355</v>
      </c>
      <c r="N665" s="14">
        <v>0.33639999999999998</v>
      </c>
      <c r="O665" s="12">
        <v>1</v>
      </c>
      <c r="P665" s="12" t="s">
        <v>3356</v>
      </c>
      <c r="Q665" s="13" t="s">
        <v>3357</v>
      </c>
      <c r="R665" s="10"/>
      <c r="S665" s="10"/>
      <c r="T665" s="11"/>
    </row>
    <row r="666" spans="1:20" ht="56" x14ac:dyDescent="0.35">
      <c r="A666" s="12" t="s">
        <v>413</v>
      </c>
      <c r="B666" s="12" t="s">
        <v>302</v>
      </c>
      <c r="C666" s="13" t="s">
        <v>1751</v>
      </c>
      <c r="D666" s="13" t="s">
        <v>3358</v>
      </c>
      <c r="E666" s="12" t="s">
        <v>1751</v>
      </c>
      <c r="F666" s="12" t="s">
        <v>174</v>
      </c>
      <c r="G666" s="12"/>
      <c r="H666" s="12" t="s">
        <v>1752</v>
      </c>
      <c r="I666" s="14">
        <v>0.45579999999999998</v>
      </c>
      <c r="J666" s="12">
        <v>88.2</v>
      </c>
      <c r="K666" s="12" t="s">
        <v>2579</v>
      </c>
      <c r="L666" s="14">
        <v>0.43809999999999999</v>
      </c>
      <c r="M666" s="12" t="s">
        <v>3359</v>
      </c>
      <c r="N666" s="14">
        <v>0.43359999999999999</v>
      </c>
      <c r="O666" s="12">
        <v>1</v>
      </c>
      <c r="P666" s="12" t="s">
        <v>3360</v>
      </c>
      <c r="Q666" s="13" t="s">
        <v>3361</v>
      </c>
      <c r="R666" s="10"/>
      <c r="S666" s="10"/>
      <c r="T666" s="11"/>
    </row>
    <row r="667" spans="1:20" ht="56" x14ac:dyDescent="0.35">
      <c r="A667" s="12" t="s">
        <v>413</v>
      </c>
      <c r="B667" s="12" t="s">
        <v>302</v>
      </c>
      <c r="C667" s="13" t="s">
        <v>3362</v>
      </c>
      <c r="D667" s="13"/>
      <c r="E667" s="12" t="s">
        <v>3362</v>
      </c>
      <c r="F667" s="12" t="s">
        <v>174</v>
      </c>
      <c r="G667" s="12"/>
      <c r="H667" s="12" t="s">
        <v>3363</v>
      </c>
      <c r="I667" s="14">
        <v>0.45550000000000002</v>
      </c>
      <c r="J667" s="12">
        <v>88.1</v>
      </c>
      <c r="K667" s="12" t="s">
        <v>1522</v>
      </c>
      <c r="L667" s="14">
        <v>0.38850000000000001</v>
      </c>
      <c r="M667" s="12" t="s">
        <v>3364</v>
      </c>
      <c r="N667" s="14">
        <v>0.38500000000000001</v>
      </c>
      <c r="O667" s="12">
        <v>1</v>
      </c>
      <c r="P667" s="12" t="s">
        <v>3365</v>
      </c>
      <c r="Q667" s="13" t="s">
        <v>3366</v>
      </c>
      <c r="R667" s="10"/>
      <c r="S667" s="10"/>
      <c r="T667" s="11"/>
    </row>
    <row r="668" spans="1:20" ht="56" x14ac:dyDescent="0.35">
      <c r="A668" s="12" t="s">
        <v>413</v>
      </c>
      <c r="B668" s="12" t="s">
        <v>302</v>
      </c>
      <c r="C668" s="13" t="s">
        <v>3367</v>
      </c>
      <c r="D668" s="13" t="s">
        <v>3242</v>
      </c>
      <c r="E668" s="12"/>
      <c r="F668" s="12" t="s">
        <v>174</v>
      </c>
      <c r="G668" s="12"/>
      <c r="H668" s="12" t="s">
        <v>3368</v>
      </c>
      <c r="I668" s="14">
        <v>0.45540000000000003</v>
      </c>
      <c r="J668" s="12">
        <v>88.1</v>
      </c>
      <c r="K668" s="12" t="s">
        <v>448</v>
      </c>
      <c r="L668" s="14">
        <v>0.34899999999999998</v>
      </c>
      <c r="M668" s="12" t="s">
        <v>3369</v>
      </c>
      <c r="N668" s="14">
        <v>0.34410000000000002</v>
      </c>
      <c r="O668" s="12">
        <v>1</v>
      </c>
      <c r="P668" s="12" t="s">
        <v>3243</v>
      </c>
      <c r="Q668" s="13" t="s">
        <v>3244</v>
      </c>
      <c r="R668" s="10"/>
      <c r="S668" s="10"/>
      <c r="T668" s="11"/>
    </row>
    <row r="669" spans="1:20" ht="70" x14ac:dyDescent="0.35">
      <c r="A669" s="12" t="s">
        <v>413</v>
      </c>
      <c r="B669" s="12" t="s">
        <v>302</v>
      </c>
      <c r="C669" s="13" t="s">
        <v>3370</v>
      </c>
      <c r="D669" s="13" t="s">
        <v>3371</v>
      </c>
      <c r="E669" s="12" t="s">
        <v>3372</v>
      </c>
      <c r="F669" s="12" t="s">
        <v>174</v>
      </c>
      <c r="G669" s="12"/>
      <c r="H669" s="12" t="s">
        <v>60</v>
      </c>
      <c r="I669" s="14">
        <v>0.45329999999999998</v>
      </c>
      <c r="J669" s="12">
        <v>87.6</v>
      </c>
      <c r="K669" s="12" t="s">
        <v>3373</v>
      </c>
      <c r="L669" s="14">
        <v>0.38869999999999999</v>
      </c>
      <c r="M669" s="12" t="s">
        <v>3063</v>
      </c>
      <c r="N669" s="14">
        <v>0.38579999999999998</v>
      </c>
      <c r="O669" s="12">
        <v>1</v>
      </c>
      <c r="P669" s="12" t="s">
        <v>3374</v>
      </c>
      <c r="Q669" s="13" t="s">
        <v>3375</v>
      </c>
      <c r="R669" s="10"/>
      <c r="S669" s="10"/>
      <c r="T669" s="11"/>
    </row>
    <row r="670" spans="1:20" ht="70" x14ac:dyDescent="0.35">
      <c r="A670" s="12" t="s">
        <v>413</v>
      </c>
      <c r="B670" s="12" t="s">
        <v>302</v>
      </c>
      <c r="C670" s="13" t="s">
        <v>3376</v>
      </c>
      <c r="D670" s="13"/>
      <c r="E670" s="12" t="s">
        <v>3376</v>
      </c>
      <c r="F670" s="12" t="s">
        <v>174</v>
      </c>
      <c r="G670" s="12"/>
      <c r="H670" s="12" t="s">
        <v>3377</v>
      </c>
      <c r="I670" s="14">
        <v>0.4516</v>
      </c>
      <c r="J670" s="12">
        <v>87.1</v>
      </c>
      <c r="K670" s="12" t="s">
        <v>3378</v>
      </c>
      <c r="L670" s="14">
        <v>0.40260000000000001</v>
      </c>
      <c r="M670" s="12" t="s">
        <v>3379</v>
      </c>
      <c r="N670" s="14">
        <v>0.39850000000000002</v>
      </c>
      <c r="O670" s="12">
        <v>2</v>
      </c>
      <c r="P670" s="12" t="s">
        <v>3380</v>
      </c>
      <c r="Q670" s="13" t="s">
        <v>3381</v>
      </c>
      <c r="R670" s="10"/>
      <c r="S670" s="10"/>
      <c r="T670" s="11"/>
    </row>
    <row r="671" spans="1:20" ht="70" x14ac:dyDescent="0.35">
      <c r="A671" s="12" t="s">
        <v>413</v>
      </c>
      <c r="B671" s="12" t="s">
        <v>302</v>
      </c>
      <c r="C671" s="13" t="s">
        <v>3382</v>
      </c>
      <c r="D671" s="13" t="s">
        <v>3383</v>
      </c>
      <c r="E671" s="12" t="s">
        <v>3384</v>
      </c>
      <c r="F671" s="12" t="s">
        <v>174</v>
      </c>
      <c r="G671" s="12"/>
      <c r="H671" s="12" t="s">
        <v>2562</v>
      </c>
      <c r="I671" s="14">
        <v>0.45079999999999998</v>
      </c>
      <c r="J671" s="12">
        <v>86.9</v>
      </c>
      <c r="K671" s="12" t="s">
        <v>3385</v>
      </c>
      <c r="L671" s="14">
        <v>0.38679999999999998</v>
      </c>
      <c r="M671" s="12" t="s">
        <v>3386</v>
      </c>
      <c r="N671" s="14">
        <v>0.36659999999999998</v>
      </c>
      <c r="O671" s="12">
        <v>1</v>
      </c>
      <c r="P671" s="12" t="s">
        <v>3387</v>
      </c>
      <c r="Q671" s="13" t="s">
        <v>3388</v>
      </c>
      <c r="R671" s="10"/>
      <c r="S671" s="10"/>
      <c r="T671" s="11"/>
    </row>
    <row r="672" spans="1:20" ht="84" x14ac:dyDescent="0.35">
      <c r="A672" s="12" t="s">
        <v>413</v>
      </c>
      <c r="B672" s="12" t="s">
        <v>302</v>
      </c>
      <c r="C672" s="13" t="s">
        <v>3389</v>
      </c>
      <c r="D672" s="13" t="s">
        <v>3390</v>
      </c>
      <c r="E672" s="12" t="s">
        <v>3219</v>
      </c>
      <c r="F672" s="12" t="s">
        <v>174</v>
      </c>
      <c r="G672" s="12"/>
      <c r="H672" s="12" t="s">
        <v>3221</v>
      </c>
      <c r="I672" s="14">
        <v>0.45029999999999998</v>
      </c>
      <c r="J672" s="12">
        <v>86.8</v>
      </c>
      <c r="K672" s="12" t="s">
        <v>450</v>
      </c>
      <c r="L672" s="14">
        <v>0.39140000000000003</v>
      </c>
      <c r="M672" s="12" t="s">
        <v>3391</v>
      </c>
      <c r="N672" s="14">
        <v>0.38929999999999998</v>
      </c>
      <c r="O672" s="12">
        <v>1</v>
      </c>
      <c r="P672" s="12" t="s">
        <v>3392</v>
      </c>
      <c r="Q672" s="13" t="s">
        <v>3393</v>
      </c>
      <c r="R672" s="10"/>
      <c r="S672" s="10"/>
      <c r="T672" s="11"/>
    </row>
    <row r="673" spans="1:20" ht="42" x14ac:dyDescent="0.35">
      <c r="A673" s="12" t="s">
        <v>413</v>
      </c>
      <c r="B673" s="12" t="s">
        <v>302</v>
      </c>
      <c r="C673" s="13" t="s">
        <v>3394</v>
      </c>
      <c r="D673" s="13"/>
      <c r="E673" s="12"/>
      <c r="F673" s="12" t="s">
        <v>174</v>
      </c>
      <c r="G673" s="12"/>
      <c r="H673" s="12" t="s">
        <v>3019</v>
      </c>
      <c r="I673" s="14">
        <v>0.44979999999999998</v>
      </c>
      <c r="J673" s="12">
        <v>86.6</v>
      </c>
      <c r="K673" s="12" t="s">
        <v>3395</v>
      </c>
      <c r="L673" s="14">
        <v>0.28499999999999998</v>
      </c>
      <c r="M673" s="12" t="s">
        <v>3396</v>
      </c>
      <c r="N673" s="14">
        <v>0.2046</v>
      </c>
      <c r="O673" s="12">
        <v>1</v>
      </c>
      <c r="P673" s="12" t="s">
        <v>3397</v>
      </c>
      <c r="Q673" s="13" t="s">
        <v>3398</v>
      </c>
      <c r="R673" s="10"/>
      <c r="S673" s="10"/>
      <c r="T673" s="11"/>
    </row>
    <row r="674" spans="1:20" ht="56" x14ac:dyDescent="0.35">
      <c r="A674" s="12" t="s">
        <v>413</v>
      </c>
      <c r="B674" s="12" t="s">
        <v>302</v>
      </c>
      <c r="C674" s="13" t="s">
        <v>3399</v>
      </c>
      <c r="D674" s="13" t="s">
        <v>3272</v>
      </c>
      <c r="E674" s="12" t="s">
        <v>2914</v>
      </c>
      <c r="F674" s="12" t="s">
        <v>174</v>
      </c>
      <c r="G674" s="12"/>
      <c r="H674" s="12" t="s">
        <v>1917</v>
      </c>
      <c r="I674" s="14">
        <v>0.44900000000000001</v>
      </c>
      <c r="J674" s="12">
        <v>86.4</v>
      </c>
      <c r="K674" s="12" t="s">
        <v>1323</v>
      </c>
      <c r="L674" s="14">
        <v>0.43759999999999999</v>
      </c>
      <c r="M674" s="12" t="s">
        <v>234</v>
      </c>
      <c r="N674" s="14">
        <v>0.43319999999999997</v>
      </c>
      <c r="O674" s="12">
        <v>1</v>
      </c>
      <c r="P674" s="12" t="s">
        <v>3276</v>
      </c>
      <c r="Q674" s="13" t="s">
        <v>3277</v>
      </c>
      <c r="R674" s="10"/>
      <c r="S674" s="10"/>
      <c r="T674" s="11"/>
    </row>
    <row r="675" spans="1:20" ht="28" x14ac:dyDescent="0.35">
      <c r="A675" s="12" t="s">
        <v>413</v>
      </c>
      <c r="B675" s="12" t="s">
        <v>302</v>
      </c>
      <c r="C675" s="13" t="s">
        <v>3400</v>
      </c>
      <c r="D675" s="13" t="s">
        <v>3401</v>
      </c>
      <c r="E675" s="12" t="s">
        <v>1578</v>
      </c>
      <c r="F675" s="12" t="s">
        <v>174</v>
      </c>
      <c r="G675" s="12"/>
      <c r="H675" s="12" t="s">
        <v>1579</v>
      </c>
      <c r="I675" s="14">
        <v>0.44740000000000002</v>
      </c>
      <c r="J675" s="12">
        <v>86</v>
      </c>
      <c r="K675" s="12" t="s">
        <v>3402</v>
      </c>
      <c r="L675" s="14">
        <v>0.41749999999999998</v>
      </c>
      <c r="M675" s="12" t="s">
        <v>3226</v>
      </c>
      <c r="N675" s="14">
        <v>0.41639999999999999</v>
      </c>
      <c r="O675" s="12">
        <v>1</v>
      </c>
      <c r="P675" s="12" t="s">
        <v>3403</v>
      </c>
      <c r="Q675" s="13" t="s">
        <v>3404</v>
      </c>
      <c r="R675" s="10"/>
      <c r="S675" s="10"/>
      <c r="T675" s="11"/>
    </row>
    <row r="676" spans="1:20" ht="56" x14ac:dyDescent="0.35">
      <c r="A676" s="12" t="s">
        <v>413</v>
      </c>
      <c r="B676" s="12" t="s">
        <v>302</v>
      </c>
      <c r="C676" s="13" t="s">
        <v>3405</v>
      </c>
      <c r="D676" s="13"/>
      <c r="E676" s="12" t="s">
        <v>3406</v>
      </c>
      <c r="F676" s="12" t="s">
        <v>174</v>
      </c>
      <c r="G676" s="12"/>
      <c r="H676" s="12" t="s">
        <v>3407</v>
      </c>
      <c r="I676" s="14">
        <v>0.4466</v>
      </c>
      <c r="J676" s="12">
        <v>85.8</v>
      </c>
      <c r="K676" s="12" t="s">
        <v>3408</v>
      </c>
      <c r="L676" s="14">
        <v>0.25519999999999998</v>
      </c>
      <c r="M676" s="12" t="s">
        <v>3175</v>
      </c>
      <c r="N676" s="14">
        <v>0.2316</v>
      </c>
      <c r="O676" s="12">
        <v>1</v>
      </c>
      <c r="P676" s="12" t="s">
        <v>3409</v>
      </c>
      <c r="Q676" s="13" t="s">
        <v>3410</v>
      </c>
      <c r="R676" s="10"/>
      <c r="S676" s="10"/>
      <c r="T676" s="11"/>
    </row>
    <row r="677" spans="1:20" ht="84" x14ac:dyDescent="0.35">
      <c r="A677" s="12" t="s">
        <v>413</v>
      </c>
      <c r="B677" s="12" t="s">
        <v>302</v>
      </c>
      <c r="C677" s="13" t="s">
        <v>1829</v>
      </c>
      <c r="D677" s="13"/>
      <c r="E677" s="12" t="s">
        <v>1829</v>
      </c>
      <c r="F677" s="12" t="s">
        <v>174</v>
      </c>
      <c r="G677" s="12"/>
      <c r="H677" s="12" t="s">
        <v>2273</v>
      </c>
      <c r="I677" s="14">
        <v>0.44690000000000002</v>
      </c>
      <c r="J677" s="12">
        <v>85.8</v>
      </c>
      <c r="K677" s="12" t="s">
        <v>1832</v>
      </c>
      <c r="L677" s="14">
        <v>0.43120000000000003</v>
      </c>
      <c r="M677" s="12" t="s">
        <v>3411</v>
      </c>
      <c r="N677" s="14">
        <v>0.40720000000000001</v>
      </c>
      <c r="O677" s="12">
        <v>2</v>
      </c>
      <c r="P677" s="12" t="s">
        <v>3412</v>
      </c>
      <c r="Q677" s="13" t="s">
        <v>3413</v>
      </c>
      <c r="R677" s="10"/>
      <c r="S677" s="10"/>
      <c r="T677" s="11"/>
    </row>
    <row r="678" spans="1:20" ht="56" x14ac:dyDescent="0.35">
      <c r="A678" s="12" t="s">
        <v>413</v>
      </c>
      <c r="B678" s="12" t="s">
        <v>302</v>
      </c>
      <c r="C678" s="13" t="s">
        <v>3414</v>
      </c>
      <c r="D678" s="13" t="s">
        <v>3415</v>
      </c>
      <c r="E678" s="12" t="s">
        <v>1308</v>
      </c>
      <c r="F678" s="12" t="s">
        <v>174</v>
      </c>
      <c r="G678" s="12"/>
      <c r="H678" s="12" t="s">
        <v>1445</v>
      </c>
      <c r="I678" s="14">
        <v>0.4466</v>
      </c>
      <c r="J678" s="12">
        <v>85.8</v>
      </c>
      <c r="K678" s="12" t="s">
        <v>1900</v>
      </c>
      <c r="L678" s="14">
        <v>0.37619999999999998</v>
      </c>
      <c r="M678" s="12" t="s">
        <v>3346</v>
      </c>
      <c r="N678" s="14">
        <v>0.32100000000000001</v>
      </c>
      <c r="O678" s="12">
        <v>2</v>
      </c>
      <c r="P678" s="12" t="s">
        <v>3416</v>
      </c>
      <c r="Q678" s="13" t="s">
        <v>3417</v>
      </c>
      <c r="R678" s="10"/>
      <c r="S678" s="10"/>
      <c r="T678" s="11"/>
    </row>
    <row r="679" spans="1:20" ht="70" x14ac:dyDescent="0.35">
      <c r="A679" s="12" t="s">
        <v>413</v>
      </c>
      <c r="B679" s="12" t="s">
        <v>302</v>
      </c>
      <c r="C679" s="13" t="s">
        <v>3418</v>
      </c>
      <c r="D679" s="13" t="s">
        <v>3419</v>
      </c>
      <c r="E679" s="12" t="s">
        <v>1322</v>
      </c>
      <c r="F679" s="12" t="s">
        <v>174</v>
      </c>
      <c r="G679" s="12"/>
      <c r="H679" s="12" t="s">
        <v>1980</v>
      </c>
      <c r="I679" s="14">
        <v>0.44629999999999997</v>
      </c>
      <c r="J679" s="12">
        <v>85.7</v>
      </c>
      <c r="K679" s="12" t="s">
        <v>1806</v>
      </c>
      <c r="L679" s="14">
        <v>0.43769999999999998</v>
      </c>
      <c r="M679" s="12" t="s">
        <v>3420</v>
      </c>
      <c r="N679" s="14">
        <v>0.43659999999999999</v>
      </c>
      <c r="O679" s="12">
        <v>1</v>
      </c>
      <c r="P679" s="12" t="s">
        <v>3421</v>
      </c>
      <c r="Q679" s="13" t="s">
        <v>3422</v>
      </c>
      <c r="R679" s="10"/>
      <c r="S679" s="10"/>
      <c r="T679" s="11"/>
    </row>
    <row r="680" spans="1:20" ht="70" x14ac:dyDescent="0.35">
      <c r="A680" s="12" t="s">
        <v>413</v>
      </c>
      <c r="B680" s="12" t="s">
        <v>302</v>
      </c>
      <c r="C680" s="13" t="s">
        <v>2433</v>
      </c>
      <c r="D680" s="13" t="s">
        <v>3423</v>
      </c>
      <c r="E680" s="12" t="s">
        <v>2433</v>
      </c>
      <c r="F680" s="12" t="s">
        <v>174</v>
      </c>
      <c r="G680" s="12"/>
      <c r="H680" s="12" t="s">
        <v>2434</v>
      </c>
      <c r="I680" s="14">
        <v>0.44469999999999998</v>
      </c>
      <c r="J680" s="12">
        <v>85.3</v>
      </c>
      <c r="K680" s="12" t="s">
        <v>2436</v>
      </c>
      <c r="L680" s="14">
        <v>0.42470000000000002</v>
      </c>
      <c r="M680" s="12" t="s">
        <v>3424</v>
      </c>
      <c r="N680" s="14">
        <v>0.42370000000000002</v>
      </c>
      <c r="O680" s="12">
        <v>1</v>
      </c>
      <c r="P680" s="12" t="s">
        <v>3425</v>
      </c>
      <c r="Q680" s="13" t="s">
        <v>3426</v>
      </c>
      <c r="R680" s="10"/>
      <c r="S680" s="10"/>
      <c r="T680" s="11"/>
    </row>
    <row r="681" spans="1:20" ht="84" x14ac:dyDescent="0.35">
      <c r="A681" s="12" t="s">
        <v>413</v>
      </c>
      <c r="B681" s="12" t="s">
        <v>302</v>
      </c>
      <c r="C681" s="13" t="s">
        <v>591</v>
      </c>
      <c r="D681" s="13" t="s">
        <v>2309</v>
      </c>
      <c r="E681" s="12" t="s">
        <v>591</v>
      </c>
      <c r="F681" s="12" t="s">
        <v>174</v>
      </c>
      <c r="G681" s="12"/>
      <c r="H681" s="12" t="s">
        <v>3427</v>
      </c>
      <c r="I681" s="14">
        <v>0.44409999999999999</v>
      </c>
      <c r="J681" s="12">
        <v>85.1</v>
      </c>
      <c r="K681" s="12" t="s">
        <v>3428</v>
      </c>
      <c r="L681" s="14">
        <v>0.43609999999999999</v>
      </c>
      <c r="M681" s="12" t="s">
        <v>3429</v>
      </c>
      <c r="N681" s="14">
        <v>0.3548</v>
      </c>
      <c r="O681" s="12">
        <v>1</v>
      </c>
      <c r="P681" s="12" t="s">
        <v>2311</v>
      </c>
      <c r="Q681" s="13" t="s">
        <v>2312</v>
      </c>
      <c r="R681" s="10"/>
      <c r="S681" s="10"/>
      <c r="T681" s="11"/>
    </row>
    <row r="682" spans="1:20" ht="28" x14ac:dyDescent="0.35">
      <c r="A682" s="12" t="s">
        <v>413</v>
      </c>
      <c r="B682" s="12" t="s">
        <v>302</v>
      </c>
      <c r="C682" s="13" t="s">
        <v>3309</v>
      </c>
      <c r="D682" s="13" t="s">
        <v>2567</v>
      </c>
      <c r="E682" s="12" t="s">
        <v>3309</v>
      </c>
      <c r="F682" s="12" t="s">
        <v>174</v>
      </c>
      <c r="G682" s="12"/>
      <c r="H682" s="12" t="s">
        <v>3430</v>
      </c>
      <c r="I682" s="14">
        <v>0.44369999999999998</v>
      </c>
      <c r="J682" s="12">
        <v>85</v>
      </c>
      <c r="K682" s="12" t="s">
        <v>3431</v>
      </c>
      <c r="L682" s="14">
        <v>0.43940000000000001</v>
      </c>
      <c r="M682" s="12" t="s">
        <v>3432</v>
      </c>
      <c r="N682" s="14">
        <v>0.40870000000000001</v>
      </c>
      <c r="O682" s="12">
        <v>1</v>
      </c>
      <c r="P682" s="12" t="s">
        <v>2571</v>
      </c>
      <c r="Q682" s="13" t="s">
        <v>2572</v>
      </c>
      <c r="R682" s="10"/>
      <c r="S682" s="10"/>
      <c r="T682" s="11"/>
    </row>
    <row r="683" spans="1:20" ht="84" x14ac:dyDescent="0.35">
      <c r="A683" s="12" t="s">
        <v>413</v>
      </c>
      <c r="B683" s="12" t="s">
        <v>302</v>
      </c>
      <c r="C683" s="13" t="s">
        <v>3433</v>
      </c>
      <c r="D683" s="13"/>
      <c r="E683" s="12" t="s">
        <v>3434</v>
      </c>
      <c r="F683" s="12" t="s">
        <v>174</v>
      </c>
      <c r="G683" s="12"/>
      <c r="H683" s="12" t="s">
        <v>1651</v>
      </c>
      <c r="I683" s="14">
        <v>0.44330000000000003</v>
      </c>
      <c r="J683" s="12">
        <v>84.9</v>
      </c>
      <c r="K683" s="12" t="s">
        <v>3435</v>
      </c>
      <c r="L683" s="14">
        <v>0.40079999999999999</v>
      </c>
      <c r="M683" s="12" t="s">
        <v>3436</v>
      </c>
      <c r="N683" s="14">
        <v>0.36580000000000001</v>
      </c>
      <c r="O683" s="12">
        <v>1</v>
      </c>
      <c r="P683" s="12" t="s">
        <v>3437</v>
      </c>
      <c r="Q683" s="13" t="s">
        <v>3438</v>
      </c>
      <c r="R683" s="10"/>
      <c r="S683" s="10"/>
      <c r="T683" s="11"/>
    </row>
    <row r="684" spans="1:20" ht="84" x14ac:dyDescent="0.35">
      <c r="A684" s="12" t="s">
        <v>413</v>
      </c>
      <c r="B684" s="12" t="s">
        <v>302</v>
      </c>
      <c r="C684" s="13" t="s">
        <v>3439</v>
      </c>
      <c r="D684" s="13" t="s">
        <v>2509</v>
      </c>
      <c r="E684" s="12" t="s">
        <v>3439</v>
      </c>
      <c r="F684" s="12" t="s">
        <v>174</v>
      </c>
      <c r="G684" s="12"/>
      <c r="H684" s="12" t="s">
        <v>3440</v>
      </c>
      <c r="I684" s="14">
        <v>0.44319999999999998</v>
      </c>
      <c r="J684" s="12">
        <v>84.8</v>
      </c>
      <c r="K684" s="12" t="s">
        <v>3441</v>
      </c>
      <c r="L684" s="14">
        <v>0.36249999999999999</v>
      </c>
      <c r="M684" s="12" t="s">
        <v>3442</v>
      </c>
      <c r="N684" s="14">
        <v>0.33139999999999997</v>
      </c>
      <c r="O684" s="12">
        <v>1</v>
      </c>
      <c r="P684" s="12" t="s">
        <v>2510</v>
      </c>
      <c r="Q684" s="13" t="s">
        <v>2511</v>
      </c>
      <c r="R684" s="10"/>
      <c r="S684" s="10"/>
      <c r="T684" s="11"/>
    </row>
    <row r="685" spans="1:20" ht="56" x14ac:dyDescent="0.35">
      <c r="A685" s="12" t="s">
        <v>413</v>
      </c>
      <c r="B685" s="12" t="s">
        <v>302</v>
      </c>
      <c r="C685" s="13" t="s">
        <v>3443</v>
      </c>
      <c r="D685" s="13" t="s">
        <v>3444</v>
      </c>
      <c r="E685" s="12" t="s">
        <v>3445</v>
      </c>
      <c r="F685" s="12" t="s">
        <v>174</v>
      </c>
      <c r="G685" s="12"/>
      <c r="H685" s="12" t="s">
        <v>3446</v>
      </c>
      <c r="I685" s="14">
        <v>0.44169999999999998</v>
      </c>
      <c r="J685" s="12">
        <v>84.5</v>
      </c>
      <c r="K685" s="12" t="s">
        <v>1881</v>
      </c>
      <c r="L685" s="14">
        <v>0.43240000000000001</v>
      </c>
      <c r="M685" s="12" t="s">
        <v>3447</v>
      </c>
      <c r="N685" s="14">
        <v>0.42970000000000003</v>
      </c>
      <c r="O685" s="12">
        <v>1</v>
      </c>
      <c r="P685" s="12" t="s">
        <v>3448</v>
      </c>
      <c r="Q685" s="13" t="s">
        <v>3449</v>
      </c>
      <c r="R685" s="10"/>
      <c r="S685" s="10"/>
      <c r="T685" s="11"/>
    </row>
    <row r="686" spans="1:20" ht="56" x14ac:dyDescent="0.35">
      <c r="A686" s="12" t="s">
        <v>413</v>
      </c>
      <c r="B686" s="12" t="s">
        <v>302</v>
      </c>
      <c r="C686" s="13" t="s">
        <v>3450</v>
      </c>
      <c r="D686" s="13" t="s">
        <v>3451</v>
      </c>
      <c r="E686" s="12" t="s">
        <v>3452</v>
      </c>
      <c r="F686" s="12" t="s">
        <v>174</v>
      </c>
      <c r="G686" s="12"/>
      <c r="H686" s="12" t="s">
        <v>60</v>
      </c>
      <c r="I686" s="14">
        <v>0.44080000000000003</v>
      </c>
      <c r="J686" s="12">
        <v>84.2</v>
      </c>
      <c r="K686" s="12" t="s">
        <v>3453</v>
      </c>
      <c r="L686" s="14">
        <v>0.40560000000000002</v>
      </c>
      <c r="M686" s="12" t="s">
        <v>3454</v>
      </c>
      <c r="N686" s="14">
        <v>0.3931</v>
      </c>
      <c r="O686" s="12">
        <v>1</v>
      </c>
      <c r="P686" s="12" t="s">
        <v>3455</v>
      </c>
      <c r="Q686" s="13" t="s">
        <v>3456</v>
      </c>
      <c r="R686" s="10"/>
      <c r="S686" s="10"/>
      <c r="T686" s="11"/>
    </row>
    <row r="687" spans="1:20" ht="42" x14ac:dyDescent="0.35">
      <c r="A687" s="12" t="s">
        <v>413</v>
      </c>
      <c r="B687" s="12" t="s">
        <v>302</v>
      </c>
      <c r="C687" s="13" t="s">
        <v>3457</v>
      </c>
      <c r="D687" s="13"/>
      <c r="E687" s="12" t="s">
        <v>1962</v>
      </c>
      <c r="F687" s="12" t="s">
        <v>174</v>
      </c>
      <c r="G687" s="12"/>
      <c r="H687" s="12" t="s">
        <v>1963</v>
      </c>
      <c r="I687" s="14">
        <v>0.43980000000000002</v>
      </c>
      <c r="J687" s="12">
        <v>83.9</v>
      </c>
      <c r="K687" s="12" t="s">
        <v>3458</v>
      </c>
      <c r="L687" s="14">
        <v>0.32790000000000002</v>
      </c>
      <c r="M687" s="12" t="s">
        <v>3459</v>
      </c>
      <c r="N687" s="14">
        <v>0.28549999999999998</v>
      </c>
      <c r="O687" s="12">
        <v>4</v>
      </c>
      <c r="P687" s="12" t="s">
        <v>3460</v>
      </c>
      <c r="Q687" s="13" t="s">
        <v>431</v>
      </c>
      <c r="R687" s="10"/>
      <c r="S687" s="10"/>
      <c r="T687" s="11"/>
    </row>
    <row r="688" spans="1:20" ht="84" x14ac:dyDescent="0.35">
      <c r="A688" s="12" t="s">
        <v>413</v>
      </c>
      <c r="B688" s="12" t="s">
        <v>302</v>
      </c>
      <c r="C688" s="13" t="s">
        <v>3461</v>
      </c>
      <c r="D688" s="13" t="s">
        <v>3462</v>
      </c>
      <c r="E688" s="12" t="s">
        <v>2161</v>
      </c>
      <c r="F688" s="12" t="s">
        <v>174</v>
      </c>
      <c r="G688" s="12"/>
      <c r="H688" s="12" t="s">
        <v>3463</v>
      </c>
      <c r="I688" s="14">
        <v>0.43909999999999999</v>
      </c>
      <c r="J688" s="12">
        <v>83.8</v>
      </c>
      <c r="K688" s="12" t="s">
        <v>3464</v>
      </c>
      <c r="L688" s="14">
        <v>0.42849999999999999</v>
      </c>
      <c r="M688" s="12" t="s">
        <v>3465</v>
      </c>
      <c r="N688" s="14">
        <v>0.42759999999999998</v>
      </c>
      <c r="O688" s="12">
        <v>2</v>
      </c>
      <c r="P688" s="12" t="s">
        <v>3466</v>
      </c>
      <c r="Q688" s="13" t="s">
        <v>3467</v>
      </c>
      <c r="R688" s="10"/>
      <c r="S688" s="10"/>
      <c r="T688" s="11"/>
    </row>
    <row r="689" spans="1:20" ht="84" x14ac:dyDescent="0.35">
      <c r="A689" s="12" t="s">
        <v>413</v>
      </c>
      <c r="B689" s="12" t="s">
        <v>302</v>
      </c>
      <c r="C689" s="13" t="s">
        <v>3468</v>
      </c>
      <c r="D689" s="13" t="s">
        <v>3469</v>
      </c>
      <c r="E689" s="12" t="s">
        <v>3470</v>
      </c>
      <c r="F689" s="12" t="s">
        <v>174</v>
      </c>
      <c r="G689" s="12"/>
      <c r="H689" s="12" t="s">
        <v>3471</v>
      </c>
      <c r="I689" s="14">
        <v>0.43719999999999998</v>
      </c>
      <c r="J689" s="12">
        <v>83.3</v>
      </c>
      <c r="K689" s="12" t="s">
        <v>3472</v>
      </c>
      <c r="L689" s="14">
        <v>0.4148</v>
      </c>
      <c r="M689" s="12" t="s">
        <v>3473</v>
      </c>
      <c r="N689" s="14">
        <v>0.39739999999999998</v>
      </c>
      <c r="O689" s="12">
        <v>2</v>
      </c>
      <c r="P689" s="12" t="s">
        <v>3474</v>
      </c>
      <c r="Q689" s="13" t="s">
        <v>3475</v>
      </c>
      <c r="R689" s="10"/>
      <c r="S689" s="10"/>
      <c r="T689" s="11"/>
    </row>
    <row r="690" spans="1:20" ht="56" x14ac:dyDescent="0.35">
      <c r="A690" s="12" t="s">
        <v>413</v>
      </c>
      <c r="B690" s="12" t="s">
        <v>302</v>
      </c>
      <c r="C690" s="13" t="s">
        <v>3476</v>
      </c>
      <c r="D690" s="13" t="s">
        <v>3477</v>
      </c>
      <c r="E690" s="12" t="s">
        <v>3478</v>
      </c>
      <c r="F690" s="12" t="s">
        <v>174</v>
      </c>
      <c r="G690" s="12"/>
      <c r="H690" s="12" t="s">
        <v>3479</v>
      </c>
      <c r="I690" s="14">
        <v>0.43659999999999999</v>
      </c>
      <c r="J690" s="12">
        <v>83.1</v>
      </c>
      <c r="K690" s="12"/>
      <c r="L690" s="14"/>
      <c r="M690" s="12"/>
      <c r="N690" s="14"/>
      <c r="O690" s="12">
        <v>1</v>
      </c>
      <c r="P690" s="12" t="s">
        <v>3480</v>
      </c>
      <c r="Q690" s="13" t="s">
        <v>3481</v>
      </c>
      <c r="R690" s="10"/>
      <c r="S690" s="10"/>
      <c r="T690" s="11"/>
    </row>
    <row r="691" spans="1:20" ht="70" x14ac:dyDescent="0.35">
      <c r="A691" s="12" t="s">
        <v>413</v>
      </c>
      <c r="B691" s="12" t="s">
        <v>302</v>
      </c>
      <c r="C691" s="13" t="s">
        <v>3482</v>
      </c>
      <c r="D691" s="13" t="s">
        <v>3383</v>
      </c>
      <c r="E691" s="12" t="s">
        <v>3470</v>
      </c>
      <c r="F691" s="12" t="s">
        <v>174</v>
      </c>
      <c r="G691" s="12"/>
      <c r="H691" s="12" t="s">
        <v>3483</v>
      </c>
      <c r="I691" s="14">
        <v>0.43590000000000001</v>
      </c>
      <c r="J691" s="12">
        <v>82.9</v>
      </c>
      <c r="K691" s="12" t="s">
        <v>3484</v>
      </c>
      <c r="L691" s="14">
        <v>0.3846</v>
      </c>
      <c r="M691" s="12" t="s">
        <v>3471</v>
      </c>
      <c r="N691" s="14">
        <v>0.33100000000000002</v>
      </c>
      <c r="O691" s="12">
        <v>1</v>
      </c>
      <c r="P691" s="12" t="s">
        <v>3387</v>
      </c>
      <c r="Q691" s="13" t="s">
        <v>3388</v>
      </c>
      <c r="R691" s="10"/>
      <c r="S691" s="10"/>
      <c r="T691" s="11"/>
    </row>
    <row r="692" spans="1:20" ht="56" x14ac:dyDescent="0.35">
      <c r="A692" s="12" t="s">
        <v>413</v>
      </c>
      <c r="B692" s="12" t="s">
        <v>302</v>
      </c>
      <c r="C692" s="13" t="s">
        <v>3485</v>
      </c>
      <c r="D692" s="13" t="s">
        <v>3486</v>
      </c>
      <c r="E692" s="12" t="s">
        <v>1829</v>
      </c>
      <c r="F692" s="12" t="s">
        <v>174</v>
      </c>
      <c r="G692" s="12"/>
      <c r="H692" s="12" t="s">
        <v>3487</v>
      </c>
      <c r="I692" s="14">
        <v>0.43580000000000002</v>
      </c>
      <c r="J692" s="12">
        <v>82.9</v>
      </c>
      <c r="K692" s="12" t="s">
        <v>3254</v>
      </c>
      <c r="L692" s="14">
        <v>0.42520000000000002</v>
      </c>
      <c r="M692" s="12" t="s">
        <v>1102</v>
      </c>
      <c r="N692" s="14">
        <v>0.41099999999999998</v>
      </c>
      <c r="O692" s="12">
        <v>1</v>
      </c>
      <c r="P692" s="12" t="s">
        <v>3488</v>
      </c>
      <c r="Q692" s="13" t="s">
        <v>3489</v>
      </c>
      <c r="R692" s="10"/>
      <c r="S692" s="10"/>
      <c r="T692" s="11"/>
    </row>
    <row r="693" spans="1:20" ht="84" x14ac:dyDescent="0.35">
      <c r="A693" s="12" t="s">
        <v>413</v>
      </c>
      <c r="B693" s="12" t="s">
        <v>302</v>
      </c>
      <c r="C693" s="13" t="s">
        <v>3490</v>
      </c>
      <c r="D693" s="13"/>
      <c r="E693" s="12" t="s">
        <v>232</v>
      </c>
      <c r="F693" s="12" t="s">
        <v>174</v>
      </c>
      <c r="G693" s="12"/>
      <c r="H693" s="12" t="s">
        <v>3491</v>
      </c>
      <c r="I693" s="14">
        <v>0.43490000000000001</v>
      </c>
      <c r="J693" s="12">
        <v>82.6</v>
      </c>
      <c r="K693" s="12" t="s">
        <v>3492</v>
      </c>
      <c r="L693" s="14">
        <v>0.40089999999999998</v>
      </c>
      <c r="M693" s="12" t="s">
        <v>3493</v>
      </c>
      <c r="N693" s="14">
        <v>0.30969999999999998</v>
      </c>
      <c r="O693" s="12">
        <v>1</v>
      </c>
      <c r="P693" s="12" t="s">
        <v>3494</v>
      </c>
      <c r="Q693" s="13" t="s">
        <v>3495</v>
      </c>
      <c r="R693" s="10"/>
      <c r="S693" s="10"/>
      <c r="T693" s="11"/>
    </row>
    <row r="694" spans="1:20" ht="84" x14ac:dyDescent="0.35">
      <c r="A694" s="12" t="s">
        <v>413</v>
      </c>
      <c r="B694" s="12" t="s">
        <v>302</v>
      </c>
      <c r="C694" s="13" t="s">
        <v>3445</v>
      </c>
      <c r="D694" s="13" t="s">
        <v>3496</v>
      </c>
      <c r="E694" s="12" t="s">
        <v>3445</v>
      </c>
      <c r="F694" s="12" t="s">
        <v>174</v>
      </c>
      <c r="G694" s="12"/>
      <c r="H694" s="12" t="s">
        <v>1522</v>
      </c>
      <c r="I694" s="14">
        <v>0.43390000000000001</v>
      </c>
      <c r="J694" s="12">
        <v>82.4</v>
      </c>
      <c r="K694" s="12" t="s">
        <v>1523</v>
      </c>
      <c r="L694" s="14">
        <v>0.41860000000000003</v>
      </c>
      <c r="M694" s="12" t="s">
        <v>942</v>
      </c>
      <c r="N694" s="14">
        <v>0.37109999999999999</v>
      </c>
      <c r="O694" s="12">
        <v>1</v>
      </c>
      <c r="P694" s="12" t="s">
        <v>3497</v>
      </c>
      <c r="Q694" s="13" t="s">
        <v>3498</v>
      </c>
      <c r="R694" s="10"/>
      <c r="S694" s="10"/>
      <c r="T694" s="11"/>
    </row>
    <row r="695" spans="1:20" ht="154" x14ac:dyDescent="0.35">
      <c r="A695" s="12" t="s">
        <v>413</v>
      </c>
      <c r="B695" s="12" t="s">
        <v>302</v>
      </c>
      <c r="C695" s="13" t="s">
        <v>3499</v>
      </c>
      <c r="D695" s="13" t="s">
        <v>1293</v>
      </c>
      <c r="E695" s="12" t="s">
        <v>1939</v>
      </c>
      <c r="F695" s="12" t="s">
        <v>174</v>
      </c>
      <c r="G695" s="12"/>
      <c r="H695" s="12" t="s">
        <v>3500</v>
      </c>
      <c r="I695" s="14">
        <v>0.4325</v>
      </c>
      <c r="J695" s="12">
        <v>82</v>
      </c>
      <c r="K695" s="12" t="s">
        <v>220</v>
      </c>
      <c r="L695" s="14">
        <v>0.39290000000000003</v>
      </c>
      <c r="M695" s="12" t="s">
        <v>3501</v>
      </c>
      <c r="N695" s="14">
        <v>0.37419999999999998</v>
      </c>
      <c r="O695" s="12">
        <v>1</v>
      </c>
      <c r="P695" s="12" t="s">
        <v>1296</v>
      </c>
      <c r="Q695" s="13" t="s">
        <v>1297</v>
      </c>
      <c r="R695" s="10"/>
      <c r="S695" s="10"/>
      <c r="T695" s="11"/>
    </row>
    <row r="696" spans="1:20" ht="56" x14ac:dyDescent="0.35">
      <c r="A696" s="12" t="s">
        <v>413</v>
      </c>
      <c r="B696" s="12" t="s">
        <v>302</v>
      </c>
      <c r="C696" s="13" t="s">
        <v>3502</v>
      </c>
      <c r="D696" s="13" t="s">
        <v>3503</v>
      </c>
      <c r="E696" s="12" t="s">
        <v>2178</v>
      </c>
      <c r="F696" s="12" t="s">
        <v>174</v>
      </c>
      <c r="G696" s="12"/>
      <c r="H696" s="12" t="s">
        <v>221</v>
      </c>
      <c r="I696" s="14">
        <v>0.43240000000000001</v>
      </c>
      <c r="J696" s="12">
        <v>82</v>
      </c>
      <c r="K696" s="12" t="s">
        <v>193</v>
      </c>
      <c r="L696" s="14">
        <v>0.30330000000000001</v>
      </c>
      <c r="M696" s="12" t="s">
        <v>220</v>
      </c>
      <c r="N696" s="14">
        <v>0.29389999999999999</v>
      </c>
      <c r="O696" s="12">
        <v>1</v>
      </c>
      <c r="P696" s="12" t="s">
        <v>3504</v>
      </c>
      <c r="Q696" s="13" t="s">
        <v>3505</v>
      </c>
      <c r="R696" s="10"/>
      <c r="S696" s="10"/>
      <c r="T696" s="11"/>
    </row>
    <row r="697" spans="1:20" ht="56" x14ac:dyDescent="0.35">
      <c r="A697" s="12" t="s">
        <v>413</v>
      </c>
      <c r="B697" s="12" t="s">
        <v>302</v>
      </c>
      <c r="C697" s="13" t="s">
        <v>3506</v>
      </c>
      <c r="D697" s="13" t="s">
        <v>2230</v>
      </c>
      <c r="E697" s="12" t="s">
        <v>3506</v>
      </c>
      <c r="F697" s="12" t="s">
        <v>174</v>
      </c>
      <c r="G697" s="12"/>
      <c r="H697" s="12" t="s">
        <v>3507</v>
      </c>
      <c r="I697" s="14">
        <v>0.42899999999999999</v>
      </c>
      <c r="J697" s="12">
        <v>81.099999999999994</v>
      </c>
      <c r="K697" s="12" t="s">
        <v>3363</v>
      </c>
      <c r="L697" s="14">
        <v>0.31659999999999999</v>
      </c>
      <c r="M697" s="12" t="s">
        <v>3508</v>
      </c>
      <c r="N697" s="14">
        <v>0.31630000000000003</v>
      </c>
      <c r="O697" s="12">
        <v>1</v>
      </c>
      <c r="P697" s="12" t="s">
        <v>2231</v>
      </c>
      <c r="Q697" s="13" t="s">
        <v>2232</v>
      </c>
      <c r="R697" s="10"/>
      <c r="S697" s="10"/>
      <c r="T697" s="11"/>
    </row>
    <row r="698" spans="1:20" ht="84" x14ac:dyDescent="0.35">
      <c r="A698" s="12" t="s">
        <v>413</v>
      </c>
      <c r="B698" s="12" t="s">
        <v>302</v>
      </c>
      <c r="C698" s="13" t="s">
        <v>3509</v>
      </c>
      <c r="D698" s="13" t="s">
        <v>3510</v>
      </c>
      <c r="E698" s="12" t="s">
        <v>3511</v>
      </c>
      <c r="F698" s="12" t="s">
        <v>174</v>
      </c>
      <c r="G698" s="12"/>
      <c r="H698" s="12" t="s">
        <v>3221</v>
      </c>
      <c r="I698" s="14">
        <v>0.42880000000000001</v>
      </c>
      <c r="J698" s="12">
        <v>81</v>
      </c>
      <c r="K698" s="12" t="s">
        <v>3512</v>
      </c>
      <c r="L698" s="14">
        <v>0.37240000000000001</v>
      </c>
      <c r="M698" s="12" t="s">
        <v>3513</v>
      </c>
      <c r="N698" s="14">
        <v>0.35420000000000001</v>
      </c>
      <c r="O698" s="12">
        <v>2</v>
      </c>
      <c r="P698" s="12" t="s">
        <v>3514</v>
      </c>
      <c r="Q698" s="13" t="s">
        <v>3515</v>
      </c>
      <c r="R698" s="10"/>
      <c r="S698" s="10"/>
      <c r="T698" s="11"/>
    </row>
    <row r="699" spans="1:20" ht="42" x14ac:dyDescent="0.35">
      <c r="A699" s="12" t="s">
        <v>413</v>
      </c>
      <c r="B699" s="12" t="s">
        <v>302</v>
      </c>
      <c r="C699" s="13" t="s">
        <v>3516</v>
      </c>
      <c r="D699" s="13" t="s">
        <v>3517</v>
      </c>
      <c r="E699" s="12" t="s">
        <v>1939</v>
      </c>
      <c r="F699" s="12" t="s">
        <v>174</v>
      </c>
      <c r="G699" s="12"/>
      <c r="H699" s="12" t="s">
        <v>220</v>
      </c>
      <c r="I699" s="14">
        <v>0.4289</v>
      </c>
      <c r="J699" s="12">
        <v>81</v>
      </c>
      <c r="K699" s="12" t="s">
        <v>67</v>
      </c>
      <c r="L699" s="14">
        <v>0.42470000000000002</v>
      </c>
      <c r="M699" s="12" t="s">
        <v>3500</v>
      </c>
      <c r="N699" s="14">
        <v>0.42159999999999997</v>
      </c>
      <c r="O699" s="12">
        <v>6</v>
      </c>
      <c r="P699" s="12" t="s">
        <v>3518</v>
      </c>
      <c r="Q699" s="13" t="s">
        <v>3519</v>
      </c>
      <c r="R699" s="10"/>
      <c r="S699" s="10"/>
      <c r="T699" s="11"/>
    </row>
    <row r="700" spans="1:20" ht="70" x14ac:dyDescent="0.35">
      <c r="A700" s="12" t="s">
        <v>413</v>
      </c>
      <c r="B700" s="12" t="s">
        <v>302</v>
      </c>
      <c r="C700" s="13" t="s">
        <v>3520</v>
      </c>
      <c r="D700" s="13" t="s">
        <v>3521</v>
      </c>
      <c r="E700" s="12" t="s">
        <v>3452</v>
      </c>
      <c r="F700" s="12" t="s">
        <v>174</v>
      </c>
      <c r="G700" s="12"/>
      <c r="H700" s="12" t="s">
        <v>1270</v>
      </c>
      <c r="I700" s="14">
        <v>0.42680000000000001</v>
      </c>
      <c r="J700" s="12">
        <v>80.5</v>
      </c>
      <c r="K700" s="12" t="s">
        <v>3522</v>
      </c>
      <c r="L700" s="14">
        <v>0.39329999999999998</v>
      </c>
      <c r="M700" s="12" t="s">
        <v>3523</v>
      </c>
      <c r="N700" s="14">
        <v>0.36009999999999998</v>
      </c>
      <c r="O700" s="12">
        <v>1</v>
      </c>
      <c r="P700" s="12" t="s">
        <v>3524</v>
      </c>
      <c r="Q700" s="13" t="s">
        <v>3525</v>
      </c>
      <c r="R700" s="10"/>
      <c r="S700" s="10"/>
      <c r="T700" s="11"/>
    </row>
    <row r="701" spans="1:20" ht="70" x14ac:dyDescent="0.35">
      <c r="A701" s="12" t="s">
        <v>413</v>
      </c>
      <c r="B701" s="12" t="s">
        <v>302</v>
      </c>
      <c r="C701" s="13" t="s">
        <v>1255</v>
      </c>
      <c r="D701" s="13" t="s">
        <v>3526</v>
      </c>
      <c r="E701" s="12" t="s">
        <v>1255</v>
      </c>
      <c r="F701" s="12" t="s">
        <v>174</v>
      </c>
      <c r="G701" s="12"/>
      <c r="H701" s="12" t="s">
        <v>2356</v>
      </c>
      <c r="I701" s="14">
        <v>0.42659999999999998</v>
      </c>
      <c r="J701" s="12">
        <v>80.400000000000006</v>
      </c>
      <c r="K701" s="12" t="s">
        <v>3527</v>
      </c>
      <c r="L701" s="14">
        <v>0.39040000000000002</v>
      </c>
      <c r="M701" s="12" t="s">
        <v>3528</v>
      </c>
      <c r="N701" s="14">
        <v>0.37340000000000001</v>
      </c>
      <c r="O701" s="12">
        <v>6</v>
      </c>
      <c r="P701" s="12" t="s">
        <v>3529</v>
      </c>
      <c r="Q701" s="13" t="s">
        <v>3530</v>
      </c>
      <c r="R701" s="10"/>
      <c r="S701" s="10"/>
      <c r="T701" s="11"/>
    </row>
    <row r="702" spans="1:20" ht="70" x14ac:dyDescent="0.35">
      <c r="A702" s="12" t="s">
        <v>413</v>
      </c>
      <c r="B702" s="12" t="s">
        <v>302</v>
      </c>
      <c r="C702" s="13" t="s">
        <v>3024</v>
      </c>
      <c r="D702" s="13" t="s">
        <v>3531</v>
      </c>
      <c r="E702" s="12" t="s">
        <v>3024</v>
      </c>
      <c r="F702" s="12" t="s">
        <v>174</v>
      </c>
      <c r="G702" s="12"/>
      <c r="H702" s="12" t="s">
        <v>3532</v>
      </c>
      <c r="I702" s="14">
        <v>0.42670000000000002</v>
      </c>
      <c r="J702" s="12">
        <v>80.400000000000006</v>
      </c>
      <c r="K702" s="12" t="s">
        <v>2933</v>
      </c>
      <c r="L702" s="14">
        <v>0.37759999999999999</v>
      </c>
      <c r="M702" s="12" t="s">
        <v>3533</v>
      </c>
      <c r="N702" s="14">
        <v>0.32969999999999999</v>
      </c>
      <c r="O702" s="12">
        <v>5</v>
      </c>
      <c r="P702" s="12" t="s">
        <v>3534</v>
      </c>
      <c r="Q702" s="13" t="s">
        <v>3535</v>
      </c>
      <c r="R702" s="10"/>
      <c r="S702" s="10"/>
      <c r="T702" s="11"/>
    </row>
    <row r="703" spans="1:20" ht="70" x14ac:dyDescent="0.35">
      <c r="A703" s="12" t="s">
        <v>413</v>
      </c>
      <c r="B703" s="12" t="s">
        <v>302</v>
      </c>
      <c r="C703" s="13" t="s">
        <v>3536</v>
      </c>
      <c r="D703" s="13" t="s">
        <v>3537</v>
      </c>
      <c r="E703" s="12" t="s">
        <v>3538</v>
      </c>
      <c r="F703" s="12" t="s">
        <v>174</v>
      </c>
      <c r="G703" s="12"/>
      <c r="H703" s="12" t="s">
        <v>3539</v>
      </c>
      <c r="I703" s="14">
        <v>0.42599999999999999</v>
      </c>
      <c r="J703" s="12">
        <v>80.3</v>
      </c>
      <c r="K703" s="12" t="s">
        <v>3540</v>
      </c>
      <c r="L703" s="14">
        <v>0.35830000000000001</v>
      </c>
      <c r="M703" s="12" t="s">
        <v>3541</v>
      </c>
      <c r="N703" s="14">
        <v>0.29580000000000001</v>
      </c>
      <c r="O703" s="12">
        <v>2</v>
      </c>
      <c r="P703" s="12" t="s">
        <v>3542</v>
      </c>
      <c r="Q703" s="13" t="s">
        <v>3543</v>
      </c>
      <c r="R703" s="10"/>
      <c r="S703" s="10"/>
      <c r="T703" s="11"/>
    </row>
    <row r="704" spans="1:20" ht="56" x14ac:dyDescent="0.35">
      <c r="A704" s="12" t="s">
        <v>413</v>
      </c>
      <c r="B704" s="12" t="s">
        <v>302</v>
      </c>
      <c r="C704" s="13" t="s">
        <v>1300</v>
      </c>
      <c r="D704" s="13" t="s">
        <v>3544</v>
      </c>
      <c r="E704" s="12" t="s">
        <v>1300</v>
      </c>
      <c r="F704" s="12" t="s">
        <v>174</v>
      </c>
      <c r="G704" s="12"/>
      <c r="H704" s="12" t="s">
        <v>3545</v>
      </c>
      <c r="I704" s="14">
        <v>0.42559999999999998</v>
      </c>
      <c r="J704" s="12">
        <v>80.2</v>
      </c>
      <c r="K704" s="12" t="s">
        <v>3546</v>
      </c>
      <c r="L704" s="14">
        <v>0.36530000000000001</v>
      </c>
      <c r="M704" s="12" t="s">
        <v>3547</v>
      </c>
      <c r="N704" s="14">
        <v>0.2417</v>
      </c>
      <c r="O704" s="12">
        <v>1</v>
      </c>
      <c r="P704" s="12" t="s">
        <v>3548</v>
      </c>
      <c r="Q704" s="13" t="s">
        <v>3549</v>
      </c>
      <c r="R704" s="10"/>
      <c r="S704" s="10"/>
      <c r="T704" s="11"/>
    </row>
    <row r="705" spans="1:20" ht="56" x14ac:dyDescent="0.35">
      <c r="A705" s="12" t="s">
        <v>413</v>
      </c>
      <c r="B705" s="12" t="s">
        <v>302</v>
      </c>
      <c r="C705" s="13" t="s">
        <v>3550</v>
      </c>
      <c r="D705" s="13" t="s">
        <v>3551</v>
      </c>
      <c r="E705" s="12" t="s">
        <v>3552</v>
      </c>
      <c r="F705" s="12" t="s">
        <v>174</v>
      </c>
      <c r="G705" s="12"/>
      <c r="H705" s="12" t="s">
        <v>3553</v>
      </c>
      <c r="I705" s="14">
        <v>0.42570000000000002</v>
      </c>
      <c r="J705" s="12">
        <v>80.2</v>
      </c>
      <c r="K705" s="12" t="s">
        <v>3554</v>
      </c>
      <c r="L705" s="14">
        <v>0.42509999999999998</v>
      </c>
      <c r="M705" s="12" t="s">
        <v>3555</v>
      </c>
      <c r="N705" s="14">
        <v>0.29480000000000001</v>
      </c>
      <c r="O705" s="12">
        <v>1</v>
      </c>
      <c r="P705" s="12" t="s">
        <v>3556</v>
      </c>
      <c r="Q705" s="13" t="s">
        <v>3557</v>
      </c>
      <c r="R705" s="10"/>
      <c r="S705" s="10"/>
      <c r="T705" s="11"/>
    </row>
    <row r="706" spans="1:20" ht="70" x14ac:dyDescent="0.35">
      <c r="A706" s="12" t="s">
        <v>413</v>
      </c>
      <c r="B706" s="12" t="s">
        <v>302</v>
      </c>
      <c r="C706" s="13" t="s">
        <v>3558</v>
      </c>
      <c r="D706" s="13" t="s">
        <v>3559</v>
      </c>
      <c r="E706" s="12" t="s">
        <v>1308</v>
      </c>
      <c r="F706" s="12" t="s">
        <v>174</v>
      </c>
      <c r="G706" s="12"/>
      <c r="H706" s="12" t="s">
        <v>1445</v>
      </c>
      <c r="I706" s="14">
        <v>0.42499999999999999</v>
      </c>
      <c r="J706" s="12">
        <v>80</v>
      </c>
      <c r="K706" s="12" t="s">
        <v>1549</v>
      </c>
      <c r="L706" s="14">
        <v>0.2792</v>
      </c>
      <c r="M706" s="12" t="s">
        <v>1900</v>
      </c>
      <c r="N706" s="14">
        <v>0.25690000000000002</v>
      </c>
      <c r="O706" s="12">
        <v>1</v>
      </c>
      <c r="P706" s="12" t="s">
        <v>3560</v>
      </c>
      <c r="Q706" s="13" t="s">
        <v>3561</v>
      </c>
      <c r="R706" s="10"/>
      <c r="S706" s="10"/>
      <c r="T706" s="11"/>
    </row>
    <row r="707" spans="1:20" ht="42" x14ac:dyDescent="0.35">
      <c r="A707" s="12" t="s">
        <v>413</v>
      </c>
      <c r="B707" s="12" t="s">
        <v>302</v>
      </c>
      <c r="C707" s="13" t="s">
        <v>3562</v>
      </c>
      <c r="D707" s="13" t="s">
        <v>3563</v>
      </c>
      <c r="E707" s="12" t="s">
        <v>387</v>
      </c>
      <c r="F707" s="12" t="s">
        <v>174</v>
      </c>
      <c r="G707" s="12"/>
      <c r="H707" s="12" t="s">
        <v>3564</v>
      </c>
      <c r="I707" s="14">
        <v>0.42509999999999998</v>
      </c>
      <c r="J707" s="12">
        <v>80</v>
      </c>
      <c r="K707" s="12" t="s">
        <v>2136</v>
      </c>
      <c r="L707" s="14">
        <v>0.40139999999999998</v>
      </c>
      <c r="M707" s="12" t="s">
        <v>2002</v>
      </c>
      <c r="N707" s="14">
        <v>0.378</v>
      </c>
      <c r="O707" s="12">
        <v>2</v>
      </c>
      <c r="P707" s="12" t="s">
        <v>3565</v>
      </c>
      <c r="Q707" s="13" t="s">
        <v>3566</v>
      </c>
      <c r="R707" s="10"/>
      <c r="S707" s="10"/>
      <c r="T707" s="11"/>
    </row>
    <row r="708" spans="1:20" ht="56" x14ac:dyDescent="0.35">
      <c r="A708" s="12" t="s">
        <v>413</v>
      </c>
      <c r="B708" s="12" t="s">
        <v>302</v>
      </c>
      <c r="C708" s="13" t="s">
        <v>3567</v>
      </c>
      <c r="D708" s="13" t="s">
        <v>765</v>
      </c>
      <c r="E708" s="12" t="s">
        <v>3567</v>
      </c>
      <c r="F708" s="12" t="s">
        <v>174</v>
      </c>
      <c r="G708" s="12"/>
      <c r="H708" s="12" t="s">
        <v>3568</v>
      </c>
      <c r="I708" s="14">
        <v>0.42449999999999999</v>
      </c>
      <c r="J708" s="12">
        <v>79.900000000000006</v>
      </c>
      <c r="K708" s="12" t="s">
        <v>3569</v>
      </c>
      <c r="L708" s="14">
        <v>0.42070000000000002</v>
      </c>
      <c r="M708" s="12" t="s">
        <v>3570</v>
      </c>
      <c r="N708" s="14">
        <v>0.40670000000000001</v>
      </c>
      <c r="O708" s="12">
        <v>2</v>
      </c>
      <c r="P708" s="12" t="s">
        <v>766</v>
      </c>
      <c r="Q708" s="13" t="s">
        <v>767</v>
      </c>
      <c r="R708" s="10"/>
      <c r="S708" s="10"/>
      <c r="T708" s="11"/>
    </row>
    <row r="709" spans="1:20" ht="70" x14ac:dyDescent="0.35">
      <c r="A709" s="12" t="s">
        <v>413</v>
      </c>
      <c r="B709" s="12" t="s">
        <v>302</v>
      </c>
      <c r="C709" s="13" t="s">
        <v>3571</v>
      </c>
      <c r="D709" s="13" t="s">
        <v>3572</v>
      </c>
      <c r="E709" s="12" t="s">
        <v>232</v>
      </c>
      <c r="F709" s="12" t="s">
        <v>174</v>
      </c>
      <c r="G709" s="12"/>
      <c r="H709" s="12" t="s">
        <v>2879</v>
      </c>
      <c r="I709" s="14">
        <v>0.42099999999999999</v>
      </c>
      <c r="J709" s="12">
        <v>78.900000000000006</v>
      </c>
      <c r="K709" s="12" t="s">
        <v>3573</v>
      </c>
      <c r="L709" s="14">
        <v>0.35759999999999997</v>
      </c>
      <c r="M709" s="12" t="s">
        <v>1634</v>
      </c>
      <c r="N709" s="14">
        <v>0.33810000000000001</v>
      </c>
      <c r="O709" s="12">
        <v>1</v>
      </c>
      <c r="P709" s="12" t="s">
        <v>3574</v>
      </c>
      <c r="Q709" s="13" t="s">
        <v>3575</v>
      </c>
      <c r="R709" s="10"/>
      <c r="S709" s="10"/>
      <c r="T709" s="11"/>
    </row>
    <row r="710" spans="1:20" ht="42" x14ac:dyDescent="0.35">
      <c r="A710" s="12" t="s">
        <v>413</v>
      </c>
      <c r="B710" s="12" t="s">
        <v>302</v>
      </c>
      <c r="C710" s="13" t="s">
        <v>3576</v>
      </c>
      <c r="D710" s="13" t="s">
        <v>3577</v>
      </c>
      <c r="E710" s="12" t="s">
        <v>3576</v>
      </c>
      <c r="F710" s="12" t="s">
        <v>174</v>
      </c>
      <c r="G710" s="12"/>
      <c r="H710" s="12" t="s">
        <v>3578</v>
      </c>
      <c r="I710" s="14">
        <v>0.4204</v>
      </c>
      <c r="J710" s="12">
        <v>78.8</v>
      </c>
      <c r="K710" s="12" t="s">
        <v>3579</v>
      </c>
      <c r="L710" s="14">
        <v>0.41959999999999997</v>
      </c>
      <c r="M710" s="12" t="s">
        <v>95</v>
      </c>
      <c r="N710" s="14">
        <v>0.41739999999999999</v>
      </c>
      <c r="O710" s="12">
        <v>7</v>
      </c>
      <c r="P710" s="12" t="s">
        <v>3580</v>
      </c>
      <c r="Q710" s="13" t="s">
        <v>3581</v>
      </c>
      <c r="R710" s="10"/>
      <c r="S710" s="10"/>
      <c r="T710" s="11"/>
    </row>
    <row r="711" spans="1:20" ht="70" x14ac:dyDescent="0.35">
      <c r="A711" s="12" t="s">
        <v>413</v>
      </c>
      <c r="B711" s="12" t="s">
        <v>302</v>
      </c>
      <c r="C711" s="13" t="s">
        <v>1894</v>
      </c>
      <c r="D711" s="13" t="s">
        <v>3582</v>
      </c>
      <c r="E711" s="12" t="s">
        <v>1894</v>
      </c>
      <c r="F711" s="12" t="s">
        <v>174</v>
      </c>
      <c r="G711" s="12"/>
      <c r="H711" s="12" t="s">
        <v>1672</v>
      </c>
      <c r="I711" s="14">
        <v>0.42</v>
      </c>
      <c r="J711" s="12">
        <v>78.7</v>
      </c>
      <c r="K711" s="12" t="s">
        <v>1652</v>
      </c>
      <c r="L711" s="14">
        <v>0.39779999999999999</v>
      </c>
      <c r="M711" s="12" t="s">
        <v>3583</v>
      </c>
      <c r="N711" s="14">
        <v>0.36470000000000002</v>
      </c>
      <c r="O711" s="12">
        <v>3</v>
      </c>
      <c r="P711" s="12" t="s">
        <v>3584</v>
      </c>
      <c r="Q711" s="13" t="s">
        <v>3585</v>
      </c>
      <c r="R711" s="10"/>
      <c r="S711" s="10"/>
      <c r="T711" s="11"/>
    </row>
    <row r="712" spans="1:20" ht="70" x14ac:dyDescent="0.35">
      <c r="A712" s="12" t="s">
        <v>413</v>
      </c>
      <c r="B712" s="12" t="s">
        <v>302</v>
      </c>
      <c r="C712" s="13" t="s">
        <v>3586</v>
      </c>
      <c r="D712" s="13"/>
      <c r="E712" s="12" t="s">
        <v>3586</v>
      </c>
      <c r="F712" s="12" t="s">
        <v>174</v>
      </c>
      <c r="G712" s="12"/>
      <c r="H712" s="12" t="s">
        <v>3587</v>
      </c>
      <c r="I712" s="14">
        <v>0.41930000000000001</v>
      </c>
      <c r="J712" s="12">
        <v>78.5</v>
      </c>
      <c r="K712" s="12" t="s">
        <v>3588</v>
      </c>
      <c r="L712" s="14">
        <v>0.38</v>
      </c>
      <c r="M712" s="12" t="s">
        <v>3589</v>
      </c>
      <c r="N712" s="14">
        <v>0.36099999999999999</v>
      </c>
      <c r="O712" s="12">
        <v>1</v>
      </c>
      <c r="P712" s="12" t="s">
        <v>3590</v>
      </c>
      <c r="Q712" s="13" t="s">
        <v>3591</v>
      </c>
      <c r="R712" s="10"/>
      <c r="S712" s="10"/>
      <c r="T712" s="11"/>
    </row>
    <row r="713" spans="1:20" ht="84" x14ac:dyDescent="0.35">
      <c r="A713" s="12" t="s">
        <v>413</v>
      </c>
      <c r="B713" s="12" t="s">
        <v>302</v>
      </c>
      <c r="C713" s="13" t="s">
        <v>3592</v>
      </c>
      <c r="D713" s="13" t="s">
        <v>3593</v>
      </c>
      <c r="E713" s="12" t="s">
        <v>232</v>
      </c>
      <c r="F713" s="12" t="s">
        <v>174</v>
      </c>
      <c r="G713" s="12"/>
      <c r="H713" s="12" t="s">
        <v>3491</v>
      </c>
      <c r="I713" s="14">
        <v>0.41949999999999998</v>
      </c>
      <c r="J713" s="12">
        <v>78.5</v>
      </c>
      <c r="K713" s="12" t="s">
        <v>3492</v>
      </c>
      <c r="L713" s="14">
        <v>0.41010000000000002</v>
      </c>
      <c r="M713" s="12" t="s">
        <v>2448</v>
      </c>
      <c r="N713" s="14">
        <v>0.36059999999999998</v>
      </c>
      <c r="O713" s="12">
        <v>2</v>
      </c>
      <c r="P713" s="12" t="s">
        <v>3594</v>
      </c>
      <c r="Q713" s="13" t="s">
        <v>3595</v>
      </c>
      <c r="R713" s="10"/>
      <c r="S713" s="10"/>
      <c r="T713" s="11"/>
    </row>
    <row r="714" spans="1:20" ht="84" x14ac:dyDescent="0.35">
      <c r="A714" s="12" t="s">
        <v>413</v>
      </c>
      <c r="B714" s="12" t="s">
        <v>302</v>
      </c>
      <c r="C714" s="13" t="s">
        <v>3596</v>
      </c>
      <c r="D714" s="13" t="s">
        <v>2309</v>
      </c>
      <c r="E714" s="12" t="s">
        <v>3597</v>
      </c>
      <c r="F714" s="12" t="s">
        <v>174</v>
      </c>
      <c r="G714" s="12"/>
      <c r="H714" s="12" t="s">
        <v>3598</v>
      </c>
      <c r="I714" s="14">
        <v>0.41839999999999999</v>
      </c>
      <c r="J714" s="12">
        <v>78.2</v>
      </c>
      <c r="K714" s="12" t="s">
        <v>448</v>
      </c>
      <c r="L714" s="14">
        <v>0.40989999999999999</v>
      </c>
      <c r="M714" s="12" t="s">
        <v>3599</v>
      </c>
      <c r="N714" s="14">
        <v>0.39200000000000002</v>
      </c>
      <c r="O714" s="12">
        <v>2</v>
      </c>
      <c r="P714" s="12" t="s">
        <v>2311</v>
      </c>
      <c r="Q714" s="13" t="s">
        <v>2312</v>
      </c>
      <c r="R714" s="10"/>
      <c r="S714" s="10"/>
      <c r="T714" s="11"/>
    </row>
    <row r="715" spans="1:20" ht="42" x14ac:dyDescent="0.35">
      <c r="A715" s="12" t="s">
        <v>413</v>
      </c>
      <c r="B715" s="12" t="s">
        <v>302</v>
      </c>
      <c r="C715" s="13" t="s">
        <v>3600</v>
      </c>
      <c r="D715" s="13" t="s">
        <v>520</v>
      </c>
      <c r="E715" s="12" t="s">
        <v>3600</v>
      </c>
      <c r="F715" s="12" t="s">
        <v>174</v>
      </c>
      <c r="G715" s="12"/>
      <c r="H715" s="12" t="s">
        <v>3601</v>
      </c>
      <c r="I715" s="14">
        <v>0.41789999999999999</v>
      </c>
      <c r="J715" s="12">
        <v>78.099999999999994</v>
      </c>
      <c r="K715" s="12" t="s">
        <v>3602</v>
      </c>
      <c r="L715" s="14">
        <v>0.35310000000000002</v>
      </c>
      <c r="M715" s="12" t="s">
        <v>3603</v>
      </c>
      <c r="N715" s="14">
        <v>0.2752</v>
      </c>
      <c r="O715" s="12">
        <v>1</v>
      </c>
      <c r="P715" s="12" t="s">
        <v>522</v>
      </c>
      <c r="Q715" s="13" t="s">
        <v>523</v>
      </c>
      <c r="R715" s="10"/>
      <c r="S715" s="10"/>
      <c r="T715" s="11"/>
    </row>
    <row r="716" spans="1:20" ht="70" x14ac:dyDescent="0.35">
      <c r="A716" s="12" t="s">
        <v>413</v>
      </c>
      <c r="B716" s="12" t="s">
        <v>302</v>
      </c>
      <c r="C716" s="13" t="s">
        <v>3604</v>
      </c>
      <c r="D716" s="13" t="s">
        <v>3605</v>
      </c>
      <c r="E716" s="12" t="s">
        <v>1856</v>
      </c>
      <c r="F716" s="12" t="s">
        <v>174</v>
      </c>
      <c r="G716" s="12"/>
      <c r="H716" s="12" t="s">
        <v>3325</v>
      </c>
      <c r="I716" s="14">
        <v>0.41739999999999999</v>
      </c>
      <c r="J716" s="12">
        <v>78</v>
      </c>
      <c r="K716" s="12" t="s">
        <v>2488</v>
      </c>
      <c r="L716" s="14">
        <v>0.40400000000000003</v>
      </c>
      <c r="M716" s="12" t="s">
        <v>299</v>
      </c>
      <c r="N716" s="14">
        <v>0.39029999999999998</v>
      </c>
      <c r="O716" s="12">
        <v>1</v>
      </c>
      <c r="P716" s="12" t="s">
        <v>3606</v>
      </c>
      <c r="Q716" s="13" t="s">
        <v>3607</v>
      </c>
      <c r="R716" s="10"/>
      <c r="S716" s="10"/>
      <c r="T716" s="11"/>
    </row>
    <row r="717" spans="1:20" ht="98" x14ac:dyDescent="0.35">
      <c r="A717" s="12" t="s">
        <v>413</v>
      </c>
      <c r="B717" s="12" t="s">
        <v>302</v>
      </c>
      <c r="C717" s="13" t="s">
        <v>3608</v>
      </c>
      <c r="D717" s="13" t="s">
        <v>3609</v>
      </c>
      <c r="E717" s="12" t="s">
        <v>1609</v>
      </c>
      <c r="F717" s="12" t="s">
        <v>174</v>
      </c>
      <c r="G717" s="12"/>
      <c r="H717" s="12" t="s">
        <v>581</v>
      </c>
      <c r="I717" s="14">
        <v>0.41710000000000003</v>
      </c>
      <c r="J717" s="12">
        <v>77.900000000000006</v>
      </c>
      <c r="K717" s="12" t="s">
        <v>3610</v>
      </c>
      <c r="L717" s="14">
        <v>0.21820000000000001</v>
      </c>
      <c r="M717" s="12" t="s">
        <v>221</v>
      </c>
      <c r="N717" s="14">
        <v>0.20230000000000001</v>
      </c>
      <c r="O717" s="12">
        <v>1</v>
      </c>
      <c r="P717" s="12" t="s">
        <v>3611</v>
      </c>
      <c r="Q717" s="13" t="s">
        <v>3612</v>
      </c>
      <c r="R717" s="10"/>
      <c r="S717" s="10"/>
      <c r="T717" s="11"/>
    </row>
    <row r="718" spans="1:20" ht="70" x14ac:dyDescent="0.35">
      <c r="A718" s="12" t="s">
        <v>413</v>
      </c>
      <c r="B718" s="12" t="s">
        <v>302</v>
      </c>
      <c r="C718" s="13" t="s">
        <v>3613</v>
      </c>
      <c r="D718" s="13"/>
      <c r="E718" s="12" t="s">
        <v>3614</v>
      </c>
      <c r="F718" s="12" t="s">
        <v>174</v>
      </c>
      <c r="G718" s="12"/>
      <c r="H718" s="12" t="s">
        <v>1302</v>
      </c>
      <c r="I718" s="14">
        <v>0.41660000000000003</v>
      </c>
      <c r="J718" s="12">
        <v>77.8</v>
      </c>
      <c r="K718" s="12" t="s">
        <v>1301</v>
      </c>
      <c r="L718" s="14">
        <v>0.3574</v>
      </c>
      <c r="M718" s="12" t="s">
        <v>1303</v>
      </c>
      <c r="N718" s="14">
        <v>0.33600000000000002</v>
      </c>
      <c r="O718" s="12">
        <v>1</v>
      </c>
      <c r="P718" s="12" t="s">
        <v>3615</v>
      </c>
      <c r="Q718" s="13" t="s">
        <v>3616</v>
      </c>
      <c r="R718" s="10"/>
      <c r="S718" s="10"/>
      <c r="T718" s="11"/>
    </row>
    <row r="719" spans="1:20" ht="42" x14ac:dyDescent="0.35">
      <c r="A719" s="12" t="s">
        <v>413</v>
      </c>
      <c r="B719" s="12" t="s">
        <v>302</v>
      </c>
      <c r="C719" s="13" t="s">
        <v>3617</v>
      </c>
      <c r="D719" s="13" t="s">
        <v>3563</v>
      </c>
      <c r="E719" s="12" t="s">
        <v>3618</v>
      </c>
      <c r="F719" s="12" t="s">
        <v>174</v>
      </c>
      <c r="G719" s="12"/>
      <c r="H719" s="12" t="s">
        <v>3619</v>
      </c>
      <c r="I719" s="14">
        <v>0.41689999999999999</v>
      </c>
      <c r="J719" s="12">
        <v>77.8</v>
      </c>
      <c r="K719" s="12" t="s">
        <v>3620</v>
      </c>
      <c r="L719" s="14">
        <v>0.3846</v>
      </c>
      <c r="M719" s="12" t="s">
        <v>3621</v>
      </c>
      <c r="N719" s="14">
        <v>0.3735</v>
      </c>
      <c r="O719" s="12">
        <v>1</v>
      </c>
      <c r="P719" s="12" t="s">
        <v>3565</v>
      </c>
      <c r="Q719" s="13" t="s">
        <v>3566</v>
      </c>
      <c r="R719" s="10"/>
      <c r="S719" s="10"/>
      <c r="T719" s="11"/>
    </row>
    <row r="720" spans="1:20" ht="56" x14ac:dyDescent="0.35">
      <c r="A720" s="12" t="s">
        <v>413</v>
      </c>
      <c r="B720" s="12" t="s">
        <v>302</v>
      </c>
      <c r="C720" s="13" t="s">
        <v>3622</v>
      </c>
      <c r="D720" s="13" t="s">
        <v>3623</v>
      </c>
      <c r="E720" s="12" t="s">
        <v>3622</v>
      </c>
      <c r="F720" s="12" t="s">
        <v>174</v>
      </c>
      <c r="G720" s="12"/>
      <c r="H720" s="12" t="s">
        <v>3287</v>
      </c>
      <c r="I720" s="14">
        <v>0.41589999999999999</v>
      </c>
      <c r="J720" s="12">
        <v>77.599999999999994</v>
      </c>
      <c r="K720" s="12" t="s">
        <v>3578</v>
      </c>
      <c r="L720" s="14">
        <v>0.40350000000000003</v>
      </c>
      <c r="M720" s="12" t="s">
        <v>95</v>
      </c>
      <c r="N720" s="14">
        <v>0.37390000000000001</v>
      </c>
      <c r="O720" s="12">
        <v>2</v>
      </c>
      <c r="P720" s="12" t="s">
        <v>3624</v>
      </c>
      <c r="Q720" s="13" t="s">
        <v>3625</v>
      </c>
      <c r="R720" s="10"/>
      <c r="S720" s="10"/>
      <c r="T720" s="11"/>
    </row>
    <row r="721" spans="1:20" ht="70" x14ac:dyDescent="0.35">
      <c r="A721" s="12" t="s">
        <v>413</v>
      </c>
      <c r="B721" s="12" t="s">
        <v>302</v>
      </c>
      <c r="C721" s="13" t="s">
        <v>3626</v>
      </c>
      <c r="D721" s="13"/>
      <c r="E721" s="12" t="s">
        <v>3626</v>
      </c>
      <c r="F721" s="12" t="s">
        <v>174</v>
      </c>
      <c r="G721" s="12"/>
      <c r="H721" s="12" t="s">
        <v>3627</v>
      </c>
      <c r="I721" s="14">
        <v>0.41539999999999999</v>
      </c>
      <c r="J721" s="12">
        <v>77.400000000000006</v>
      </c>
      <c r="K721" s="12" t="s">
        <v>3628</v>
      </c>
      <c r="L721" s="14">
        <v>0.25819999999999999</v>
      </c>
      <c r="M721" s="12" t="s">
        <v>2891</v>
      </c>
      <c r="N721" s="14">
        <v>0.2344</v>
      </c>
      <c r="O721" s="12">
        <v>1</v>
      </c>
      <c r="P721" s="12" t="s">
        <v>3629</v>
      </c>
      <c r="Q721" s="13" t="s">
        <v>3630</v>
      </c>
      <c r="R721" s="10"/>
      <c r="S721" s="10"/>
      <c r="T721" s="11"/>
    </row>
    <row r="722" spans="1:20" ht="84" x14ac:dyDescent="0.35">
      <c r="A722" s="12" t="s">
        <v>413</v>
      </c>
      <c r="B722" s="12" t="s">
        <v>302</v>
      </c>
      <c r="C722" s="13" t="s">
        <v>3631</v>
      </c>
      <c r="D722" s="13" t="s">
        <v>3632</v>
      </c>
      <c r="E722" s="12"/>
      <c r="F722" s="12" t="s">
        <v>174</v>
      </c>
      <c r="G722" s="12"/>
      <c r="H722" s="12" t="s">
        <v>330</v>
      </c>
      <c r="I722" s="14">
        <v>0.41489999999999999</v>
      </c>
      <c r="J722" s="12">
        <v>77.3</v>
      </c>
      <c r="K722" s="12" t="s">
        <v>2562</v>
      </c>
      <c r="L722" s="14">
        <v>0.33910000000000001</v>
      </c>
      <c r="M722" s="12" t="s">
        <v>2315</v>
      </c>
      <c r="N722" s="14">
        <v>0.33679999999999999</v>
      </c>
      <c r="O722" s="12">
        <v>2</v>
      </c>
      <c r="P722" s="12" t="s">
        <v>3633</v>
      </c>
      <c r="Q722" s="13" t="s">
        <v>3634</v>
      </c>
      <c r="R722" s="10"/>
      <c r="S722" s="10"/>
      <c r="T722" s="11"/>
    </row>
    <row r="723" spans="1:20" ht="56" x14ac:dyDescent="0.35">
      <c r="A723" s="12" t="s">
        <v>413</v>
      </c>
      <c r="B723" s="12" t="s">
        <v>302</v>
      </c>
      <c r="C723" s="13" t="s">
        <v>3635</v>
      </c>
      <c r="D723" s="13" t="s">
        <v>2637</v>
      </c>
      <c r="E723" s="12" t="s">
        <v>1535</v>
      </c>
      <c r="F723" s="12" t="s">
        <v>174</v>
      </c>
      <c r="G723" s="12"/>
      <c r="H723" s="12" t="s">
        <v>3636</v>
      </c>
      <c r="I723" s="14">
        <v>0.41499999999999998</v>
      </c>
      <c r="J723" s="12">
        <v>77.3</v>
      </c>
      <c r="K723" s="12" t="s">
        <v>2470</v>
      </c>
      <c r="L723" s="14">
        <v>0.40670000000000001</v>
      </c>
      <c r="M723" s="12" t="s">
        <v>3637</v>
      </c>
      <c r="N723" s="14">
        <v>0.4032</v>
      </c>
      <c r="O723" s="12">
        <v>1</v>
      </c>
      <c r="P723" s="12" t="s">
        <v>2640</v>
      </c>
      <c r="Q723" s="13" t="s">
        <v>2641</v>
      </c>
      <c r="R723" s="10"/>
      <c r="S723" s="10"/>
      <c r="T723" s="11"/>
    </row>
    <row r="724" spans="1:20" ht="56" x14ac:dyDescent="0.35">
      <c r="A724" s="12" t="s">
        <v>413</v>
      </c>
      <c r="B724" s="12" t="s">
        <v>302</v>
      </c>
      <c r="C724" s="13" t="s">
        <v>3638</v>
      </c>
      <c r="D724" s="13" t="s">
        <v>3242</v>
      </c>
      <c r="E724" s="12" t="s">
        <v>3638</v>
      </c>
      <c r="F724" s="12" t="s">
        <v>174</v>
      </c>
      <c r="G724" s="12"/>
      <c r="H724" s="12" t="s">
        <v>3639</v>
      </c>
      <c r="I724" s="14">
        <v>0.41389999999999999</v>
      </c>
      <c r="J724" s="12">
        <v>77</v>
      </c>
      <c r="K724" s="12" t="s">
        <v>562</v>
      </c>
      <c r="L724" s="14">
        <v>0.31159999999999999</v>
      </c>
      <c r="M724" s="12" t="s">
        <v>3640</v>
      </c>
      <c r="N724" s="14">
        <v>0.30620000000000003</v>
      </c>
      <c r="O724" s="12">
        <v>1</v>
      </c>
      <c r="P724" s="12" t="s">
        <v>3243</v>
      </c>
      <c r="Q724" s="13" t="s">
        <v>3244</v>
      </c>
      <c r="R724" s="10"/>
      <c r="S724" s="10"/>
      <c r="T724" s="11"/>
    </row>
    <row r="725" spans="1:20" ht="70" x14ac:dyDescent="0.35">
      <c r="A725" s="12" t="s">
        <v>413</v>
      </c>
      <c r="B725" s="12" t="s">
        <v>302</v>
      </c>
      <c r="C725" s="13" t="s">
        <v>3641</v>
      </c>
      <c r="D725" s="13" t="s">
        <v>3642</v>
      </c>
      <c r="E725" s="12" t="s">
        <v>470</v>
      </c>
      <c r="F725" s="12" t="s">
        <v>174</v>
      </c>
      <c r="G725" s="12"/>
      <c r="H725" s="12" t="s">
        <v>470</v>
      </c>
      <c r="I725" s="14">
        <v>0.41370000000000001</v>
      </c>
      <c r="J725" s="12">
        <v>77</v>
      </c>
      <c r="K725" s="12" t="s">
        <v>3207</v>
      </c>
      <c r="L725" s="14">
        <v>0.25219999999999998</v>
      </c>
      <c r="M725" s="12" t="s">
        <v>3643</v>
      </c>
      <c r="N725" s="14">
        <v>0.2472</v>
      </c>
      <c r="O725" s="12">
        <v>2</v>
      </c>
      <c r="P725" s="12" t="s">
        <v>3644</v>
      </c>
      <c r="Q725" s="13" t="s">
        <v>3645</v>
      </c>
      <c r="R725" s="10"/>
      <c r="S725" s="10"/>
      <c r="T725" s="11"/>
    </row>
    <row r="726" spans="1:20" ht="84" x14ac:dyDescent="0.35">
      <c r="A726" s="12" t="s">
        <v>413</v>
      </c>
      <c r="B726" s="12" t="s">
        <v>302</v>
      </c>
      <c r="C726" s="13" t="s">
        <v>3646</v>
      </c>
      <c r="D726" s="13" t="s">
        <v>3647</v>
      </c>
      <c r="E726" s="12" t="s">
        <v>1939</v>
      </c>
      <c r="F726" s="12" t="s">
        <v>174</v>
      </c>
      <c r="G726" s="12"/>
      <c r="H726" s="12" t="s">
        <v>362</v>
      </c>
      <c r="I726" s="14">
        <v>0.4128</v>
      </c>
      <c r="J726" s="12">
        <v>76.8</v>
      </c>
      <c r="K726" s="12" t="s">
        <v>1940</v>
      </c>
      <c r="L726" s="14">
        <v>0.40550000000000003</v>
      </c>
      <c r="M726" s="12" t="s">
        <v>220</v>
      </c>
      <c r="N726" s="14">
        <v>0.32100000000000001</v>
      </c>
      <c r="O726" s="12">
        <v>1</v>
      </c>
      <c r="P726" s="12" t="s">
        <v>3648</v>
      </c>
      <c r="Q726" s="13" t="s">
        <v>3649</v>
      </c>
      <c r="R726" s="10"/>
      <c r="S726" s="10"/>
      <c r="T726" s="11"/>
    </row>
    <row r="727" spans="1:20" ht="70" x14ac:dyDescent="0.35">
      <c r="A727" s="12" t="s">
        <v>413</v>
      </c>
      <c r="B727" s="12" t="s">
        <v>302</v>
      </c>
      <c r="C727" s="13" t="s">
        <v>3614</v>
      </c>
      <c r="D727" s="13" t="s">
        <v>3650</v>
      </c>
      <c r="E727" s="12" t="s">
        <v>3614</v>
      </c>
      <c r="F727" s="12" t="s">
        <v>174</v>
      </c>
      <c r="G727" s="12"/>
      <c r="H727" s="12" t="s">
        <v>3545</v>
      </c>
      <c r="I727" s="14">
        <v>0.41210000000000002</v>
      </c>
      <c r="J727" s="12">
        <v>76.599999999999994</v>
      </c>
      <c r="K727" s="12" t="s">
        <v>1302</v>
      </c>
      <c r="L727" s="14">
        <v>0.373</v>
      </c>
      <c r="M727" s="12" t="s">
        <v>1303</v>
      </c>
      <c r="N727" s="14">
        <v>0.26240000000000002</v>
      </c>
      <c r="O727" s="12">
        <v>1</v>
      </c>
      <c r="P727" s="12" t="s">
        <v>3651</v>
      </c>
      <c r="Q727" s="13" t="s">
        <v>3652</v>
      </c>
      <c r="R727" s="10"/>
      <c r="S727" s="10"/>
      <c r="T727" s="11"/>
    </row>
    <row r="728" spans="1:20" ht="98" x14ac:dyDescent="0.35">
      <c r="A728" s="12" t="s">
        <v>413</v>
      </c>
      <c r="B728" s="12" t="s">
        <v>302</v>
      </c>
      <c r="C728" s="13" t="s">
        <v>3653</v>
      </c>
      <c r="D728" s="13" t="s">
        <v>3654</v>
      </c>
      <c r="E728" s="12" t="s">
        <v>1696</v>
      </c>
      <c r="F728" s="12" t="s">
        <v>174</v>
      </c>
      <c r="G728" s="12"/>
      <c r="H728" s="12" t="s">
        <v>555</v>
      </c>
      <c r="I728" s="14">
        <v>0.41239999999999999</v>
      </c>
      <c r="J728" s="12">
        <v>76.599999999999994</v>
      </c>
      <c r="K728" s="12" t="s">
        <v>153</v>
      </c>
      <c r="L728" s="14">
        <v>0.35260000000000002</v>
      </c>
      <c r="M728" s="12" t="s">
        <v>1389</v>
      </c>
      <c r="N728" s="14">
        <v>0.2291</v>
      </c>
      <c r="O728" s="12">
        <v>1</v>
      </c>
      <c r="P728" s="12" t="s">
        <v>3655</v>
      </c>
      <c r="Q728" s="13" t="s">
        <v>3656</v>
      </c>
      <c r="R728" s="10"/>
      <c r="S728" s="10"/>
      <c r="T728" s="11"/>
    </row>
    <row r="729" spans="1:20" ht="56" x14ac:dyDescent="0.35">
      <c r="A729" s="12" t="s">
        <v>413</v>
      </c>
      <c r="B729" s="12" t="s">
        <v>302</v>
      </c>
      <c r="C729" s="13" t="s">
        <v>3657</v>
      </c>
      <c r="D729" s="13" t="s">
        <v>3658</v>
      </c>
      <c r="E729" s="12" t="s">
        <v>2173</v>
      </c>
      <c r="F729" s="12" t="s">
        <v>174</v>
      </c>
      <c r="G729" s="12"/>
      <c r="H729" s="12" t="s">
        <v>221</v>
      </c>
      <c r="I729" s="14">
        <v>0.41070000000000001</v>
      </c>
      <c r="J729" s="12">
        <v>76.2</v>
      </c>
      <c r="K729" s="12" t="s">
        <v>3094</v>
      </c>
      <c r="L729" s="14">
        <v>0.40660000000000002</v>
      </c>
      <c r="M729" s="12" t="s">
        <v>220</v>
      </c>
      <c r="N729" s="14">
        <v>0.39760000000000001</v>
      </c>
      <c r="O729" s="12">
        <v>1</v>
      </c>
      <c r="P729" s="12" t="s">
        <v>3659</v>
      </c>
      <c r="Q729" s="13" t="s">
        <v>3660</v>
      </c>
      <c r="R729" s="10"/>
      <c r="S729" s="10"/>
      <c r="T729" s="11"/>
    </row>
    <row r="730" spans="1:20" ht="84" x14ac:dyDescent="0.35">
      <c r="A730" s="12" t="s">
        <v>413</v>
      </c>
      <c r="B730" s="12" t="s">
        <v>302</v>
      </c>
      <c r="C730" s="13" t="s">
        <v>3661</v>
      </c>
      <c r="D730" s="13" t="s">
        <v>3662</v>
      </c>
      <c r="E730" s="12" t="s">
        <v>1255</v>
      </c>
      <c r="F730" s="12" t="s">
        <v>174</v>
      </c>
      <c r="G730" s="12"/>
      <c r="H730" s="12" t="s">
        <v>3663</v>
      </c>
      <c r="I730" s="14">
        <v>0.41070000000000001</v>
      </c>
      <c r="J730" s="12">
        <v>76.2</v>
      </c>
      <c r="K730" s="12" t="s">
        <v>3664</v>
      </c>
      <c r="L730" s="14">
        <v>0.39639999999999997</v>
      </c>
      <c r="M730" s="12" t="s">
        <v>3301</v>
      </c>
      <c r="N730" s="14">
        <v>0.33750000000000002</v>
      </c>
      <c r="O730" s="12">
        <v>2</v>
      </c>
      <c r="P730" s="12" t="s">
        <v>3665</v>
      </c>
      <c r="Q730" s="13" t="s">
        <v>3666</v>
      </c>
      <c r="R730" s="10"/>
      <c r="S730" s="10"/>
      <c r="T730" s="11"/>
    </row>
    <row r="731" spans="1:20" ht="84" x14ac:dyDescent="0.35">
      <c r="A731" s="12" t="s">
        <v>413</v>
      </c>
      <c r="B731" s="12" t="s">
        <v>302</v>
      </c>
      <c r="C731" s="13" t="s">
        <v>3667</v>
      </c>
      <c r="D731" s="13" t="s">
        <v>3668</v>
      </c>
      <c r="E731" s="12" t="s">
        <v>3669</v>
      </c>
      <c r="F731" s="12" t="s">
        <v>174</v>
      </c>
      <c r="G731" s="12"/>
      <c r="H731" s="12" t="s">
        <v>3670</v>
      </c>
      <c r="I731" s="14">
        <v>0.4103</v>
      </c>
      <c r="J731" s="12">
        <v>76.099999999999994</v>
      </c>
      <c r="K731" s="12" t="s">
        <v>3540</v>
      </c>
      <c r="L731" s="14">
        <v>0.28970000000000001</v>
      </c>
      <c r="M731" s="12" t="s">
        <v>3671</v>
      </c>
      <c r="N731" s="14">
        <v>0.26729999999999998</v>
      </c>
      <c r="O731" s="12">
        <v>12</v>
      </c>
      <c r="P731" s="12" t="s">
        <v>3672</v>
      </c>
      <c r="Q731" s="13" t="s">
        <v>3673</v>
      </c>
      <c r="R731" s="10"/>
      <c r="S731" s="10"/>
      <c r="T731" s="11"/>
    </row>
    <row r="732" spans="1:20" ht="70" x14ac:dyDescent="0.35">
      <c r="A732" s="12" t="s">
        <v>413</v>
      </c>
      <c r="B732" s="12" t="s">
        <v>302</v>
      </c>
      <c r="C732" s="13" t="s">
        <v>3674</v>
      </c>
      <c r="D732" s="13" t="s">
        <v>3675</v>
      </c>
      <c r="E732" s="12" t="s">
        <v>1308</v>
      </c>
      <c r="F732" s="12" t="s">
        <v>174</v>
      </c>
      <c r="G732" s="12"/>
      <c r="H732" s="12" t="s">
        <v>1445</v>
      </c>
      <c r="I732" s="14">
        <v>0.40949999999999998</v>
      </c>
      <c r="J732" s="12">
        <v>75.900000000000006</v>
      </c>
      <c r="K732" s="12" t="s">
        <v>1549</v>
      </c>
      <c r="L732" s="14">
        <v>0.33189999999999997</v>
      </c>
      <c r="M732" s="12" t="s">
        <v>1900</v>
      </c>
      <c r="N732" s="14">
        <v>0.2717</v>
      </c>
      <c r="O732" s="12">
        <v>1</v>
      </c>
      <c r="P732" s="12" t="s">
        <v>3676</v>
      </c>
      <c r="Q732" s="13" t="s">
        <v>3677</v>
      </c>
      <c r="R732" s="10"/>
      <c r="S732" s="10"/>
      <c r="T732" s="11"/>
    </row>
    <row r="733" spans="1:20" ht="56" x14ac:dyDescent="0.35">
      <c r="A733" s="12" t="s">
        <v>413</v>
      </c>
      <c r="B733" s="12" t="s">
        <v>302</v>
      </c>
      <c r="C733" s="13" t="s">
        <v>1565</v>
      </c>
      <c r="D733" s="13" t="s">
        <v>515</v>
      </c>
      <c r="E733" s="12" t="s">
        <v>1565</v>
      </c>
      <c r="F733" s="12" t="s">
        <v>174</v>
      </c>
      <c r="G733" s="12"/>
      <c r="H733" s="12" t="s">
        <v>322</v>
      </c>
      <c r="I733" s="14">
        <v>0.4088</v>
      </c>
      <c r="J733" s="12">
        <v>75.7</v>
      </c>
      <c r="K733" s="12" t="s">
        <v>323</v>
      </c>
      <c r="L733" s="14">
        <v>0.39750000000000002</v>
      </c>
      <c r="M733" s="12" t="s">
        <v>3678</v>
      </c>
      <c r="N733" s="14">
        <v>0.38519999999999999</v>
      </c>
      <c r="O733" s="12">
        <v>1</v>
      </c>
      <c r="P733" s="12" t="s">
        <v>517</v>
      </c>
      <c r="Q733" s="13" t="s">
        <v>518</v>
      </c>
      <c r="R733" s="10"/>
      <c r="S733" s="10"/>
      <c r="T733" s="11"/>
    </row>
    <row r="734" spans="1:20" ht="56" x14ac:dyDescent="0.35">
      <c r="A734" s="12" t="s">
        <v>413</v>
      </c>
      <c r="B734" s="12" t="s">
        <v>302</v>
      </c>
      <c r="C734" s="13" t="s">
        <v>3679</v>
      </c>
      <c r="D734" s="13" t="s">
        <v>3680</v>
      </c>
      <c r="E734" s="12" t="s">
        <v>3681</v>
      </c>
      <c r="F734" s="12" t="s">
        <v>174</v>
      </c>
      <c r="G734" s="12"/>
      <c r="H734" s="12" t="s">
        <v>3682</v>
      </c>
      <c r="I734" s="14">
        <v>0.40789999999999998</v>
      </c>
      <c r="J734" s="12">
        <v>75.5</v>
      </c>
      <c r="K734" s="12" t="s">
        <v>3683</v>
      </c>
      <c r="L734" s="14">
        <v>0.36259999999999998</v>
      </c>
      <c r="M734" s="12" t="s">
        <v>3684</v>
      </c>
      <c r="N734" s="14">
        <v>0.34799999999999998</v>
      </c>
      <c r="O734" s="12">
        <v>1</v>
      </c>
      <c r="P734" s="12" t="s">
        <v>3685</v>
      </c>
      <c r="Q734" s="13" t="s">
        <v>3686</v>
      </c>
      <c r="R734" s="10"/>
      <c r="S734" s="10"/>
      <c r="T734" s="11"/>
    </row>
    <row r="735" spans="1:20" ht="84" x14ac:dyDescent="0.35">
      <c r="A735" s="12" t="s">
        <v>413</v>
      </c>
      <c r="B735" s="12" t="s">
        <v>302</v>
      </c>
      <c r="C735" s="13" t="s">
        <v>3687</v>
      </c>
      <c r="D735" s="13" t="s">
        <v>3688</v>
      </c>
      <c r="E735" s="12" t="s">
        <v>232</v>
      </c>
      <c r="F735" s="12" t="s">
        <v>174</v>
      </c>
      <c r="G735" s="12"/>
      <c r="H735" s="12" t="s">
        <v>3491</v>
      </c>
      <c r="I735" s="14">
        <v>0.40789999999999998</v>
      </c>
      <c r="J735" s="12">
        <v>75.400000000000006</v>
      </c>
      <c r="K735" s="12" t="s">
        <v>3492</v>
      </c>
      <c r="L735" s="14">
        <v>0.35149999999999998</v>
      </c>
      <c r="M735" s="12" t="s">
        <v>3689</v>
      </c>
      <c r="N735" s="14">
        <v>0.31969999999999998</v>
      </c>
      <c r="O735" s="12">
        <v>1</v>
      </c>
      <c r="P735" s="12" t="s">
        <v>3690</v>
      </c>
      <c r="Q735" s="13" t="s">
        <v>3691</v>
      </c>
      <c r="R735" s="10"/>
      <c r="S735" s="10"/>
      <c r="T735" s="11"/>
    </row>
    <row r="736" spans="1:20" ht="56" x14ac:dyDescent="0.35">
      <c r="A736" s="12" t="s">
        <v>413</v>
      </c>
      <c r="B736" s="12" t="s">
        <v>302</v>
      </c>
      <c r="C736" s="13" t="s">
        <v>3692</v>
      </c>
      <c r="D736" s="13" t="s">
        <v>3693</v>
      </c>
      <c r="E736" s="12" t="s">
        <v>373</v>
      </c>
      <c r="F736" s="12" t="s">
        <v>174</v>
      </c>
      <c r="G736" s="12"/>
      <c r="H736" s="12" t="s">
        <v>3491</v>
      </c>
      <c r="I736" s="14">
        <v>0.40749999999999997</v>
      </c>
      <c r="J736" s="12">
        <v>75.3</v>
      </c>
      <c r="K736" s="12" t="s">
        <v>3492</v>
      </c>
      <c r="L736" s="14">
        <v>0.39939999999999998</v>
      </c>
      <c r="M736" s="12" t="s">
        <v>2455</v>
      </c>
      <c r="N736" s="14">
        <v>0.3503</v>
      </c>
      <c r="O736" s="12">
        <v>1</v>
      </c>
      <c r="P736" s="12" t="s">
        <v>3694</v>
      </c>
      <c r="Q736" s="13" t="s">
        <v>3695</v>
      </c>
      <c r="R736" s="10"/>
      <c r="S736" s="10"/>
      <c r="T736" s="11"/>
    </row>
    <row r="737" spans="1:20" ht="56" x14ac:dyDescent="0.35">
      <c r="A737" s="12" t="s">
        <v>413</v>
      </c>
      <c r="B737" s="12" t="s">
        <v>302</v>
      </c>
      <c r="C737" s="13" t="s">
        <v>3696</v>
      </c>
      <c r="D737" s="13"/>
      <c r="E737" s="12" t="s">
        <v>180</v>
      </c>
      <c r="F737" s="12" t="s">
        <v>174</v>
      </c>
      <c r="G737" s="12"/>
      <c r="H737" s="12" t="s">
        <v>3697</v>
      </c>
      <c r="I737" s="14">
        <v>0.40570000000000001</v>
      </c>
      <c r="J737" s="12">
        <v>74.900000000000006</v>
      </c>
      <c r="K737" s="12" t="s">
        <v>1768</v>
      </c>
      <c r="L737" s="14">
        <v>0.40060000000000001</v>
      </c>
      <c r="M737" s="12" t="s">
        <v>3698</v>
      </c>
      <c r="N737" s="14">
        <v>0.31580000000000003</v>
      </c>
      <c r="O737" s="12">
        <v>16</v>
      </c>
      <c r="P737" s="12" t="s">
        <v>3699</v>
      </c>
      <c r="Q737" s="13" t="s">
        <v>3700</v>
      </c>
      <c r="R737" s="10"/>
      <c r="S737" s="10"/>
      <c r="T737" s="11"/>
    </row>
    <row r="738" spans="1:20" ht="70" x14ac:dyDescent="0.35">
      <c r="A738" s="12" t="s">
        <v>413</v>
      </c>
      <c r="B738" s="12" t="s">
        <v>302</v>
      </c>
      <c r="C738" s="13" t="s">
        <v>3701</v>
      </c>
      <c r="D738" s="13" t="s">
        <v>1157</v>
      </c>
      <c r="E738" s="12" t="s">
        <v>2401</v>
      </c>
      <c r="F738" s="12" t="s">
        <v>174</v>
      </c>
      <c r="G738" s="12"/>
      <c r="H738" s="12" t="s">
        <v>2945</v>
      </c>
      <c r="I738" s="14">
        <v>0.40550000000000003</v>
      </c>
      <c r="J738" s="12">
        <v>74.8</v>
      </c>
      <c r="K738" s="12" t="s">
        <v>3702</v>
      </c>
      <c r="L738" s="14">
        <v>0.26879999999999998</v>
      </c>
      <c r="M738" s="12" t="s">
        <v>1837</v>
      </c>
      <c r="N738" s="14">
        <v>0.24490000000000001</v>
      </c>
      <c r="O738" s="12">
        <v>1</v>
      </c>
      <c r="P738" s="12" t="s">
        <v>1158</v>
      </c>
      <c r="Q738" s="13" t="s">
        <v>1159</v>
      </c>
      <c r="R738" s="10"/>
      <c r="S738" s="10"/>
      <c r="T738" s="11"/>
    </row>
    <row r="739" spans="1:20" ht="70" x14ac:dyDescent="0.35">
      <c r="A739" s="12" t="s">
        <v>413</v>
      </c>
      <c r="B739" s="12" t="s">
        <v>302</v>
      </c>
      <c r="C739" s="13" t="s">
        <v>3703</v>
      </c>
      <c r="D739" s="13" t="s">
        <v>3704</v>
      </c>
      <c r="E739" s="12"/>
      <c r="F739" s="12" t="s">
        <v>174</v>
      </c>
      <c r="G739" s="12"/>
      <c r="H739" s="12" t="s">
        <v>355</v>
      </c>
      <c r="I739" s="14">
        <v>0.40500000000000003</v>
      </c>
      <c r="J739" s="12">
        <v>74.7</v>
      </c>
      <c r="K739" s="12" t="s">
        <v>3705</v>
      </c>
      <c r="L739" s="14">
        <v>0.35289999999999999</v>
      </c>
      <c r="M739" s="12" t="s">
        <v>3706</v>
      </c>
      <c r="N739" s="14">
        <v>0.33200000000000002</v>
      </c>
      <c r="O739" s="12">
        <v>1</v>
      </c>
      <c r="P739" s="12" t="s">
        <v>3707</v>
      </c>
      <c r="Q739" s="13" t="s">
        <v>3708</v>
      </c>
      <c r="R739" s="10"/>
      <c r="S739" s="10"/>
      <c r="T739" s="11"/>
    </row>
    <row r="740" spans="1:20" ht="84" x14ac:dyDescent="0.35">
      <c r="A740" s="12" t="s">
        <v>413</v>
      </c>
      <c r="B740" s="12" t="s">
        <v>302</v>
      </c>
      <c r="C740" s="13" t="s">
        <v>3709</v>
      </c>
      <c r="D740" s="13" t="s">
        <v>3710</v>
      </c>
      <c r="E740" s="12" t="s">
        <v>1939</v>
      </c>
      <c r="F740" s="12" t="s">
        <v>174</v>
      </c>
      <c r="G740" s="12"/>
      <c r="H740" s="12" t="s">
        <v>3268</v>
      </c>
      <c r="I740" s="14">
        <v>0.40450000000000003</v>
      </c>
      <c r="J740" s="12">
        <v>74.5</v>
      </c>
      <c r="K740" s="12" t="s">
        <v>3094</v>
      </c>
      <c r="L740" s="14">
        <v>0.39950000000000002</v>
      </c>
      <c r="M740" s="12" t="s">
        <v>2488</v>
      </c>
      <c r="N740" s="14">
        <v>0.38040000000000002</v>
      </c>
      <c r="O740" s="12">
        <v>1</v>
      </c>
      <c r="P740" s="12" t="s">
        <v>3711</v>
      </c>
      <c r="Q740" s="13" t="s">
        <v>3712</v>
      </c>
      <c r="R740" s="10"/>
      <c r="S740" s="10"/>
      <c r="T740" s="11"/>
    </row>
    <row r="741" spans="1:20" ht="70" x14ac:dyDescent="0.35">
      <c r="A741" s="12" t="s">
        <v>413</v>
      </c>
      <c r="B741" s="12" t="s">
        <v>302</v>
      </c>
      <c r="C741" s="13" t="s">
        <v>3713</v>
      </c>
      <c r="D741" s="13" t="s">
        <v>3714</v>
      </c>
      <c r="E741" s="12" t="s">
        <v>345</v>
      </c>
      <c r="F741" s="12" t="s">
        <v>174</v>
      </c>
      <c r="G741" s="12"/>
      <c r="H741" s="12" t="s">
        <v>349</v>
      </c>
      <c r="I741" s="14">
        <v>0.40339999999999998</v>
      </c>
      <c r="J741" s="12">
        <v>74.2</v>
      </c>
      <c r="K741" s="12" t="s">
        <v>347</v>
      </c>
      <c r="L741" s="14">
        <v>0.39579999999999999</v>
      </c>
      <c r="M741" s="12" t="s">
        <v>2900</v>
      </c>
      <c r="N741" s="14">
        <v>0.39029999999999998</v>
      </c>
      <c r="O741" s="12">
        <v>1</v>
      </c>
      <c r="P741" s="12" t="s">
        <v>3715</v>
      </c>
      <c r="Q741" s="13" t="s">
        <v>3716</v>
      </c>
      <c r="R741" s="10"/>
      <c r="S741" s="10"/>
      <c r="T741" s="11"/>
    </row>
    <row r="742" spans="1:20" ht="84" x14ac:dyDescent="0.35">
      <c r="A742" s="12" t="s">
        <v>413</v>
      </c>
      <c r="B742" s="12" t="s">
        <v>302</v>
      </c>
      <c r="C742" s="13" t="s">
        <v>3717</v>
      </c>
      <c r="D742" s="13"/>
      <c r="E742" s="12" t="s">
        <v>3718</v>
      </c>
      <c r="F742" s="12" t="s">
        <v>174</v>
      </c>
      <c r="G742" s="12"/>
      <c r="H742" s="12" t="s">
        <v>1659</v>
      </c>
      <c r="I742" s="14">
        <v>0.40239999999999998</v>
      </c>
      <c r="J742" s="12">
        <v>74</v>
      </c>
      <c r="K742" s="12" t="s">
        <v>2602</v>
      </c>
      <c r="L742" s="14">
        <v>0.38369999999999999</v>
      </c>
      <c r="M742" s="12" t="s">
        <v>3719</v>
      </c>
      <c r="N742" s="14">
        <v>0.3805</v>
      </c>
      <c r="O742" s="12">
        <v>1</v>
      </c>
      <c r="P742" s="12" t="s">
        <v>3720</v>
      </c>
      <c r="Q742" s="13" t="s">
        <v>3721</v>
      </c>
      <c r="R742" s="10"/>
      <c r="S742" s="10"/>
      <c r="T742" s="11"/>
    </row>
    <row r="743" spans="1:20" ht="84" x14ac:dyDescent="0.35">
      <c r="A743" s="12" t="s">
        <v>413</v>
      </c>
      <c r="B743" s="12" t="s">
        <v>302</v>
      </c>
      <c r="C743" s="13" t="s">
        <v>3722</v>
      </c>
      <c r="D743" s="13"/>
      <c r="E743" s="12" t="s">
        <v>3723</v>
      </c>
      <c r="F743" s="12" t="s">
        <v>174</v>
      </c>
      <c r="G743" s="12"/>
      <c r="H743" s="12" t="s">
        <v>3724</v>
      </c>
      <c r="I743" s="14">
        <v>0.40050000000000002</v>
      </c>
      <c r="J743" s="12">
        <v>73.5</v>
      </c>
      <c r="K743" s="12" t="s">
        <v>3725</v>
      </c>
      <c r="L743" s="14">
        <v>0.38429999999999997</v>
      </c>
      <c r="M743" s="12" t="s">
        <v>1414</v>
      </c>
      <c r="N743" s="14">
        <v>0.25679999999999997</v>
      </c>
      <c r="O743" s="12">
        <v>1</v>
      </c>
      <c r="P743" s="12" t="s">
        <v>3726</v>
      </c>
      <c r="Q743" s="13" t="s">
        <v>3727</v>
      </c>
      <c r="R743" s="10"/>
      <c r="S743" s="10"/>
      <c r="T743" s="11"/>
    </row>
    <row r="744" spans="1:20" ht="28" x14ac:dyDescent="0.35">
      <c r="A744" s="12" t="s">
        <v>413</v>
      </c>
      <c r="B744" s="12" t="s">
        <v>365</v>
      </c>
      <c r="C744" s="13" t="s">
        <v>3728</v>
      </c>
      <c r="D744" s="13" t="s">
        <v>3729</v>
      </c>
      <c r="E744" s="12" t="s">
        <v>2178</v>
      </c>
      <c r="F744" s="12"/>
      <c r="G744" s="12"/>
      <c r="H744" s="12"/>
      <c r="I744" s="14"/>
      <c r="J744" s="12"/>
      <c r="K744" s="12"/>
      <c r="L744" s="14"/>
      <c r="M744" s="12"/>
      <c r="N744" s="14"/>
      <c r="O744" s="12">
        <v>1</v>
      </c>
      <c r="P744" s="12" t="s">
        <v>3730</v>
      </c>
      <c r="Q744" s="13" t="s">
        <v>3731</v>
      </c>
      <c r="R744" s="10"/>
      <c r="S744" s="10"/>
      <c r="T744" s="11"/>
    </row>
    <row r="745" spans="1:20" ht="84" x14ac:dyDescent="0.35">
      <c r="A745" s="12" t="s">
        <v>413</v>
      </c>
      <c r="B745" s="12" t="s">
        <v>365</v>
      </c>
      <c r="C745" s="13" t="s">
        <v>3732</v>
      </c>
      <c r="D745" s="13" t="s">
        <v>3733</v>
      </c>
      <c r="E745" s="12" t="s">
        <v>2768</v>
      </c>
      <c r="F745" s="12"/>
      <c r="G745" s="12"/>
      <c r="H745" s="12"/>
      <c r="I745" s="14"/>
      <c r="J745" s="12"/>
      <c r="K745" s="12"/>
      <c r="L745" s="14"/>
      <c r="M745" s="12"/>
      <c r="N745" s="14"/>
      <c r="O745" s="12">
        <v>1</v>
      </c>
      <c r="P745" s="12" t="s">
        <v>3734</v>
      </c>
      <c r="Q745" s="13" t="s">
        <v>3735</v>
      </c>
      <c r="R745" s="10"/>
      <c r="S745" s="10"/>
      <c r="T745" s="11"/>
    </row>
    <row r="746" spans="1:20" ht="98" x14ac:dyDescent="0.35">
      <c r="A746" s="12" t="s">
        <v>413</v>
      </c>
      <c r="B746" s="12" t="s">
        <v>365</v>
      </c>
      <c r="C746" s="13" t="s">
        <v>3736</v>
      </c>
      <c r="D746" s="13" t="s">
        <v>3737</v>
      </c>
      <c r="E746" s="12" t="s">
        <v>1992</v>
      </c>
      <c r="F746" s="12"/>
      <c r="G746" s="12"/>
      <c r="H746" s="12"/>
      <c r="I746" s="14"/>
      <c r="J746" s="12"/>
      <c r="K746" s="12"/>
      <c r="L746" s="14"/>
      <c r="M746" s="12"/>
      <c r="N746" s="14"/>
      <c r="O746" s="12">
        <v>1</v>
      </c>
      <c r="P746" s="12" t="s">
        <v>3738</v>
      </c>
      <c r="Q746" s="13" t="s">
        <v>3739</v>
      </c>
      <c r="R746" s="10"/>
      <c r="S746" s="10"/>
      <c r="T746" s="11"/>
    </row>
    <row r="747" spans="1:20" ht="42" x14ac:dyDescent="0.35">
      <c r="A747" s="12" t="s">
        <v>413</v>
      </c>
      <c r="B747" s="12" t="s">
        <v>365</v>
      </c>
      <c r="C747" s="13" t="s">
        <v>3740</v>
      </c>
      <c r="D747" s="13"/>
      <c r="E747" s="12" t="s">
        <v>3741</v>
      </c>
      <c r="F747" s="12"/>
      <c r="G747" s="12"/>
      <c r="H747" s="12"/>
      <c r="I747" s="14"/>
      <c r="J747" s="12"/>
      <c r="K747" s="12"/>
      <c r="L747" s="14"/>
      <c r="M747" s="12"/>
      <c r="N747" s="14"/>
      <c r="O747" s="12">
        <v>1</v>
      </c>
      <c r="P747" s="12" t="s">
        <v>3742</v>
      </c>
      <c r="Q747" s="13" t="s">
        <v>3743</v>
      </c>
      <c r="R747" s="10"/>
      <c r="S747" s="10"/>
      <c r="T747" s="11"/>
    </row>
    <row r="748" spans="1:20" ht="98" x14ac:dyDescent="0.35">
      <c r="A748" s="12" t="s">
        <v>413</v>
      </c>
      <c r="B748" s="12" t="s">
        <v>365</v>
      </c>
      <c r="C748" s="13" t="s">
        <v>3744</v>
      </c>
      <c r="D748" s="13" t="s">
        <v>3190</v>
      </c>
      <c r="E748" s="12" t="s">
        <v>1300</v>
      </c>
      <c r="F748" s="12"/>
      <c r="G748" s="12"/>
      <c r="H748" s="12"/>
      <c r="I748" s="14"/>
      <c r="J748" s="12"/>
      <c r="K748" s="12"/>
      <c r="L748" s="14"/>
      <c r="M748" s="12"/>
      <c r="N748" s="14"/>
      <c r="O748" s="12">
        <v>1</v>
      </c>
      <c r="P748" s="12" t="s">
        <v>3191</v>
      </c>
      <c r="Q748" s="13" t="s">
        <v>3192</v>
      </c>
      <c r="R748" s="10"/>
      <c r="S748" s="10"/>
      <c r="T748" s="11"/>
    </row>
    <row r="749" spans="1:20" ht="84" x14ac:dyDescent="0.35">
      <c r="A749" s="12" t="s">
        <v>413</v>
      </c>
      <c r="B749" s="12" t="s">
        <v>365</v>
      </c>
      <c r="C749" s="13" t="s">
        <v>3745</v>
      </c>
      <c r="D749" s="13" t="s">
        <v>3746</v>
      </c>
      <c r="E749" s="12" t="s">
        <v>3747</v>
      </c>
      <c r="F749" s="12"/>
      <c r="G749" s="12"/>
      <c r="H749" s="12"/>
      <c r="I749" s="14"/>
      <c r="J749" s="12"/>
      <c r="K749" s="12"/>
      <c r="L749" s="14"/>
      <c r="M749" s="12"/>
      <c r="N749" s="14"/>
      <c r="O749" s="12">
        <v>1</v>
      </c>
      <c r="P749" s="12" t="s">
        <v>3748</v>
      </c>
      <c r="Q749" s="13" t="s">
        <v>3749</v>
      </c>
      <c r="R749" s="10"/>
      <c r="S749" s="10"/>
      <c r="T749" s="11"/>
    </row>
    <row r="750" spans="1:20" ht="84" x14ac:dyDescent="0.35">
      <c r="A750" s="12" t="s">
        <v>413</v>
      </c>
      <c r="B750" s="12" t="s">
        <v>365</v>
      </c>
      <c r="C750" s="13" t="s">
        <v>3750</v>
      </c>
      <c r="D750" s="13" t="s">
        <v>3751</v>
      </c>
      <c r="E750" s="12" t="s">
        <v>3752</v>
      </c>
      <c r="F750" s="12"/>
      <c r="G750" s="12"/>
      <c r="H750" s="12"/>
      <c r="I750" s="14"/>
      <c r="J750" s="12"/>
      <c r="K750" s="12"/>
      <c r="L750" s="14"/>
      <c r="M750" s="12"/>
      <c r="N750" s="14"/>
      <c r="O750" s="12">
        <v>1</v>
      </c>
      <c r="P750" s="12" t="s">
        <v>3753</v>
      </c>
      <c r="Q750" s="13" t="s">
        <v>3754</v>
      </c>
      <c r="R750" s="10"/>
      <c r="S750" s="10"/>
      <c r="T750" s="11"/>
    </row>
    <row r="751" spans="1:20" ht="70" x14ac:dyDescent="0.35">
      <c r="A751" s="12" t="s">
        <v>413</v>
      </c>
      <c r="B751" s="12" t="s">
        <v>365</v>
      </c>
      <c r="C751" s="13" t="s">
        <v>3755</v>
      </c>
      <c r="D751" s="13" t="s">
        <v>3756</v>
      </c>
      <c r="E751" s="12" t="s">
        <v>1848</v>
      </c>
      <c r="F751" s="12"/>
      <c r="G751" s="12"/>
      <c r="H751" s="12"/>
      <c r="I751" s="14"/>
      <c r="J751" s="12"/>
      <c r="K751" s="12"/>
      <c r="L751" s="14"/>
      <c r="M751" s="12"/>
      <c r="N751" s="14"/>
      <c r="O751" s="12">
        <v>1</v>
      </c>
      <c r="P751" s="12" t="s">
        <v>3757</v>
      </c>
      <c r="Q751" s="13" t="s">
        <v>3758</v>
      </c>
      <c r="R751" s="10"/>
      <c r="S751" s="10"/>
      <c r="T751" s="11"/>
    </row>
    <row r="752" spans="1:20" ht="98" x14ac:dyDescent="0.35">
      <c r="A752" s="12" t="s">
        <v>413</v>
      </c>
      <c r="B752" s="12" t="s">
        <v>365</v>
      </c>
      <c r="C752" s="13" t="s">
        <v>3759</v>
      </c>
      <c r="D752" s="13" t="s">
        <v>3760</v>
      </c>
      <c r="E752" s="12" t="s">
        <v>1848</v>
      </c>
      <c r="F752" s="12"/>
      <c r="G752" s="12"/>
      <c r="H752" s="12"/>
      <c r="I752" s="14"/>
      <c r="J752" s="12"/>
      <c r="K752" s="12"/>
      <c r="L752" s="14"/>
      <c r="M752" s="12"/>
      <c r="N752" s="14"/>
      <c r="O752" s="12">
        <v>1</v>
      </c>
      <c r="P752" s="12" t="s">
        <v>3761</v>
      </c>
      <c r="Q752" s="13" t="s">
        <v>3762</v>
      </c>
      <c r="R752" s="10"/>
      <c r="S752" s="10"/>
      <c r="T752" s="11"/>
    </row>
    <row r="753" spans="1:20" ht="42" x14ac:dyDescent="0.35">
      <c r="A753" s="12" t="s">
        <v>413</v>
      </c>
      <c r="B753" s="12" t="s">
        <v>365</v>
      </c>
      <c r="C753" s="13" t="s">
        <v>3763</v>
      </c>
      <c r="D753" s="13" t="s">
        <v>3764</v>
      </c>
      <c r="E753" s="12" t="s">
        <v>1905</v>
      </c>
      <c r="F753" s="12"/>
      <c r="G753" s="12"/>
      <c r="H753" s="12"/>
      <c r="I753" s="14"/>
      <c r="J753" s="12"/>
      <c r="K753" s="12"/>
      <c r="L753" s="14"/>
      <c r="M753" s="12"/>
      <c r="N753" s="14"/>
      <c r="O753" s="12">
        <v>1</v>
      </c>
      <c r="P753" s="12" t="s">
        <v>3765</v>
      </c>
      <c r="Q753" s="13" t="s">
        <v>3766</v>
      </c>
      <c r="R753" s="10"/>
      <c r="S753" s="10"/>
      <c r="T753" s="11"/>
    </row>
    <row r="754" spans="1:20" ht="56" x14ac:dyDescent="0.35">
      <c r="A754" s="12" t="s">
        <v>413</v>
      </c>
      <c r="B754" s="12" t="s">
        <v>365</v>
      </c>
      <c r="C754" s="13" t="s">
        <v>3767</v>
      </c>
      <c r="D754" s="13"/>
      <c r="E754" s="12" t="s">
        <v>1905</v>
      </c>
      <c r="F754" s="12"/>
      <c r="G754" s="12"/>
      <c r="H754" s="12"/>
      <c r="I754" s="14"/>
      <c r="J754" s="12"/>
      <c r="K754" s="12"/>
      <c r="L754" s="14"/>
      <c r="M754" s="12"/>
      <c r="N754" s="14"/>
      <c r="O754" s="12">
        <v>1</v>
      </c>
      <c r="P754" s="12" t="s">
        <v>3768</v>
      </c>
      <c r="Q754" s="13" t="s">
        <v>3769</v>
      </c>
      <c r="R754" s="10"/>
      <c r="S754" s="10"/>
      <c r="T754" s="11"/>
    </row>
    <row r="755" spans="1:20" ht="56" x14ac:dyDescent="0.35">
      <c r="A755" s="12" t="s">
        <v>413</v>
      </c>
      <c r="B755" s="12" t="s">
        <v>365</v>
      </c>
      <c r="C755" s="13" t="s">
        <v>3770</v>
      </c>
      <c r="D755" s="13" t="s">
        <v>3771</v>
      </c>
      <c r="E755" s="12" t="s">
        <v>1905</v>
      </c>
      <c r="F755" s="12"/>
      <c r="G755" s="12"/>
      <c r="H755" s="12"/>
      <c r="I755" s="14"/>
      <c r="J755" s="12"/>
      <c r="K755" s="12"/>
      <c r="L755" s="14"/>
      <c r="M755" s="12"/>
      <c r="N755" s="14"/>
      <c r="O755" s="12">
        <v>1</v>
      </c>
      <c r="P755" s="12" t="s">
        <v>3772</v>
      </c>
      <c r="Q755" s="13" t="s">
        <v>3773</v>
      </c>
      <c r="R755" s="10"/>
      <c r="S755" s="10"/>
      <c r="T755" s="11"/>
    </row>
    <row r="756" spans="1:20" ht="56" x14ac:dyDescent="0.35">
      <c r="A756" s="12" t="s">
        <v>413</v>
      </c>
      <c r="B756" s="12" t="s">
        <v>365</v>
      </c>
      <c r="C756" s="13" t="s">
        <v>3774</v>
      </c>
      <c r="D756" s="13" t="s">
        <v>3775</v>
      </c>
      <c r="E756" s="12" t="s">
        <v>3741</v>
      </c>
      <c r="F756" s="12"/>
      <c r="G756" s="12"/>
      <c r="H756" s="12"/>
      <c r="I756" s="14"/>
      <c r="J756" s="12"/>
      <c r="K756" s="12"/>
      <c r="L756" s="14"/>
      <c r="M756" s="12"/>
      <c r="N756" s="14"/>
      <c r="O756" s="12">
        <v>1</v>
      </c>
      <c r="P756" s="12" t="s">
        <v>3776</v>
      </c>
      <c r="Q756" s="13" t="s">
        <v>3777</v>
      </c>
      <c r="R756" s="10"/>
      <c r="S756" s="10"/>
      <c r="T756" s="11"/>
    </row>
    <row r="757" spans="1:20" ht="112" x14ac:dyDescent="0.35">
      <c r="A757" s="12" t="s">
        <v>413</v>
      </c>
      <c r="B757" s="12" t="s">
        <v>365</v>
      </c>
      <c r="C757" s="13" t="s">
        <v>3778</v>
      </c>
      <c r="D757" s="13" t="s">
        <v>3779</v>
      </c>
      <c r="E757" s="12" t="s">
        <v>3780</v>
      </c>
      <c r="F757" s="12"/>
      <c r="G757" s="12"/>
      <c r="H757" s="12"/>
      <c r="I757" s="14"/>
      <c r="J757" s="12"/>
      <c r="K757" s="12"/>
      <c r="L757" s="14"/>
      <c r="M757" s="12"/>
      <c r="N757" s="14"/>
      <c r="O757" s="12">
        <v>1</v>
      </c>
      <c r="P757" s="12" t="s">
        <v>3781</v>
      </c>
      <c r="Q757" s="13" t="s">
        <v>3782</v>
      </c>
      <c r="R757" s="10"/>
      <c r="S757" s="10"/>
      <c r="T757" s="11"/>
    </row>
    <row r="758" spans="1:20" ht="84" x14ac:dyDescent="0.35">
      <c r="A758" s="12" t="s">
        <v>413</v>
      </c>
      <c r="B758" s="12" t="s">
        <v>365</v>
      </c>
      <c r="C758" s="13" t="s">
        <v>3783</v>
      </c>
      <c r="D758" s="13" t="s">
        <v>3784</v>
      </c>
      <c r="E758" s="12" t="s">
        <v>1905</v>
      </c>
      <c r="F758" s="12"/>
      <c r="G758" s="12"/>
      <c r="H758" s="12"/>
      <c r="I758" s="14"/>
      <c r="J758" s="12"/>
      <c r="K758" s="12"/>
      <c r="L758" s="14"/>
      <c r="M758" s="12"/>
      <c r="N758" s="14"/>
      <c r="O758" s="12">
        <v>1</v>
      </c>
      <c r="P758" s="12" t="s">
        <v>3785</v>
      </c>
      <c r="Q758" s="13" t="s">
        <v>3786</v>
      </c>
      <c r="R758" s="10"/>
      <c r="S758" s="10"/>
      <c r="T758" s="11"/>
    </row>
    <row r="759" spans="1:20" ht="56" x14ac:dyDescent="0.35">
      <c r="A759" s="12" t="s">
        <v>413</v>
      </c>
      <c r="B759" s="12" t="s">
        <v>365</v>
      </c>
      <c r="C759" s="13" t="s">
        <v>3787</v>
      </c>
      <c r="D759" s="13" t="s">
        <v>3680</v>
      </c>
      <c r="E759" s="12" t="s">
        <v>2286</v>
      </c>
      <c r="F759" s="12"/>
      <c r="G759" s="12"/>
      <c r="H759" s="12"/>
      <c r="I759" s="14"/>
      <c r="J759" s="12"/>
      <c r="K759" s="12"/>
      <c r="L759" s="14"/>
      <c r="M759" s="12"/>
      <c r="N759" s="14"/>
      <c r="O759" s="12">
        <v>1</v>
      </c>
      <c r="P759" s="12" t="s">
        <v>3685</v>
      </c>
      <c r="Q759" s="13" t="s">
        <v>3686</v>
      </c>
      <c r="R759" s="10"/>
      <c r="S759" s="10"/>
      <c r="T759" s="11"/>
    </row>
    <row r="760" spans="1:20" ht="98" x14ac:dyDescent="0.35">
      <c r="A760" s="12" t="s">
        <v>413</v>
      </c>
      <c r="B760" s="12" t="s">
        <v>365</v>
      </c>
      <c r="C760" s="13" t="s">
        <v>3788</v>
      </c>
      <c r="D760" s="13" t="s">
        <v>3789</v>
      </c>
      <c r="E760" s="12" t="s">
        <v>2939</v>
      </c>
      <c r="F760" s="12"/>
      <c r="G760" s="12"/>
      <c r="H760" s="12"/>
      <c r="I760" s="14"/>
      <c r="J760" s="12"/>
      <c r="K760" s="12"/>
      <c r="L760" s="14"/>
      <c r="M760" s="12"/>
      <c r="N760" s="14"/>
      <c r="O760" s="12">
        <v>1</v>
      </c>
      <c r="P760" s="12" t="s">
        <v>3790</v>
      </c>
      <c r="Q760" s="13" t="s">
        <v>3791</v>
      </c>
      <c r="R760" s="10"/>
      <c r="S760" s="10"/>
      <c r="T760" s="11"/>
    </row>
    <row r="761" spans="1:20" ht="126" x14ac:dyDescent="0.35">
      <c r="A761" s="12" t="s">
        <v>413</v>
      </c>
      <c r="B761" s="12" t="s">
        <v>365</v>
      </c>
      <c r="C761" s="13" t="s">
        <v>3792</v>
      </c>
      <c r="D761" s="13" t="s">
        <v>3793</v>
      </c>
      <c r="E761" s="12" t="s">
        <v>232</v>
      </c>
      <c r="F761" s="12"/>
      <c r="G761" s="12"/>
      <c r="H761" s="12"/>
      <c r="I761" s="14"/>
      <c r="J761" s="12"/>
      <c r="K761" s="12"/>
      <c r="L761" s="14"/>
      <c r="M761" s="12"/>
      <c r="N761" s="14"/>
      <c r="O761" s="12">
        <v>1</v>
      </c>
      <c r="P761" s="12" t="s">
        <v>3794</v>
      </c>
      <c r="Q761" s="13" t="s">
        <v>3795</v>
      </c>
      <c r="R761" s="10"/>
      <c r="S761" s="10"/>
      <c r="T761" s="11"/>
    </row>
    <row r="762" spans="1:20" ht="84" x14ac:dyDescent="0.35">
      <c r="A762" s="12" t="s">
        <v>413</v>
      </c>
      <c r="B762" s="12" t="s">
        <v>365</v>
      </c>
      <c r="C762" s="13" t="s">
        <v>3796</v>
      </c>
      <c r="D762" s="13" t="s">
        <v>3797</v>
      </c>
      <c r="E762" s="12" t="s">
        <v>352</v>
      </c>
      <c r="F762" s="12"/>
      <c r="G762" s="12"/>
      <c r="H762" s="12"/>
      <c r="I762" s="14"/>
      <c r="J762" s="12"/>
      <c r="K762" s="12"/>
      <c r="L762" s="14"/>
      <c r="M762" s="12"/>
      <c r="N762" s="14"/>
      <c r="O762" s="12">
        <v>1</v>
      </c>
      <c r="P762" s="12" t="s">
        <v>3798</v>
      </c>
      <c r="Q762" s="13" t="s">
        <v>3799</v>
      </c>
      <c r="R762" s="10"/>
      <c r="S762" s="10"/>
      <c r="T762" s="11"/>
    </row>
    <row r="763" spans="1:20" ht="112" x14ac:dyDescent="0.35">
      <c r="A763" s="12" t="s">
        <v>413</v>
      </c>
      <c r="B763" s="12" t="s">
        <v>365</v>
      </c>
      <c r="C763" s="13" t="s">
        <v>3800</v>
      </c>
      <c r="D763" s="13" t="s">
        <v>3801</v>
      </c>
      <c r="E763" s="12" t="s">
        <v>352</v>
      </c>
      <c r="F763" s="12"/>
      <c r="G763" s="12"/>
      <c r="H763" s="12"/>
      <c r="I763" s="14"/>
      <c r="J763" s="12"/>
      <c r="K763" s="12"/>
      <c r="L763" s="14"/>
      <c r="M763" s="12"/>
      <c r="N763" s="14"/>
      <c r="O763" s="12">
        <v>1</v>
      </c>
      <c r="P763" s="12" t="s">
        <v>3802</v>
      </c>
      <c r="Q763" s="13" t="s">
        <v>3803</v>
      </c>
      <c r="R763" s="10"/>
      <c r="S763" s="10"/>
      <c r="T763" s="11"/>
    </row>
    <row r="764" spans="1:20" ht="98" x14ac:dyDescent="0.35">
      <c r="A764" s="12" t="s">
        <v>413</v>
      </c>
      <c r="B764" s="12" t="s">
        <v>365</v>
      </c>
      <c r="C764" s="13" t="s">
        <v>3804</v>
      </c>
      <c r="D764" s="13" t="s">
        <v>3805</v>
      </c>
      <c r="E764" s="12" t="s">
        <v>3806</v>
      </c>
      <c r="F764" s="12"/>
      <c r="G764" s="12"/>
      <c r="H764" s="12"/>
      <c r="I764" s="14"/>
      <c r="J764" s="12"/>
      <c r="K764" s="12"/>
      <c r="L764" s="14"/>
      <c r="M764" s="12"/>
      <c r="N764" s="14"/>
      <c r="O764" s="12">
        <v>1</v>
      </c>
      <c r="P764" s="12" t="s">
        <v>3807</v>
      </c>
      <c r="Q764" s="13" t="s">
        <v>3808</v>
      </c>
      <c r="R764" s="10"/>
      <c r="S764" s="10"/>
      <c r="T764" s="11"/>
    </row>
    <row r="765" spans="1:20" ht="98" x14ac:dyDescent="0.35">
      <c r="A765" s="12" t="s">
        <v>413</v>
      </c>
      <c r="B765" s="12" t="s">
        <v>365</v>
      </c>
      <c r="C765" s="13" t="s">
        <v>3809</v>
      </c>
      <c r="D765" s="13" t="s">
        <v>3810</v>
      </c>
      <c r="E765" s="12" t="s">
        <v>3806</v>
      </c>
      <c r="F765" s="12"/>
      <c r="G765" s="12"/>
      <c r="H765" s="12"/>
      <c r="I765" s="14"/>
      <c r="J765" s="12"/>
      <c r="K765" s="12"/>
      <c r="L765" s="14"/>
      <c r="M765" s="12"/>
      <c r="N765" s="14"/>
      <c r="O765" s="12">
        <v>1</v>
      </c>
      <c r="P765" s="12" t="s">
        <v>3811</v>
      </c>
      <c r="Q765" s="13" t="s">
        <v>3812</v>
      </c>
      <c r="R765" s="10"/>
      <c r="S765" s="10"/>
      <c r="T765" s="11"/>
    </row>
    <row r="766" spans="1:20" ht="84" x14ac:dyDescent="0.35">
      <c r="A766" s="12" t="s">
        <v>413</v>
      </c>
      <c r="B766" s="12" t="s">
        <v>365</v>
      </c>
      <c r="C766" s="13" t="s">
        <v>3813</v>
      </c>
      <c r="D766" s="13" t="s">
        <v>3814</v>
      </c>
      <c r="E766" s="12" t="s">
        <v>3815</v>
      </c>
      <c r="F766" s="12"/>
      <c r="G766" s="12"/>
      <c r="H766" s="12"/>
      <c r="I766" s="14"/>
      <c r="J766" s="12"/>
      <c r="K766" s="12"/>
      <c r="L766" s="14"/>
      <c r="M766" s="12"/>
      <c r="N766" s="14"/>
      <c r="O766" s="12">
        <v>1</v>
      </c>
      <c r="P766" s="12" t="s">
        <v>3816</v>
      </c>
      <c r="Q766" s="13" t="s">
        <v>3817</v>
      </c>
      <c r="R766" s="10"/>
      <c r="S766" s="10"/>
      <c r="T766" s="11"/>
    </row>
    <row r="767" spans="1:20" ht="56" x14ac:dyDescent="0.35">
      <c r="A767" s="12" t="s">
        <v>413</v>
      </c>
      <c r="B767" s="12" t="s">
        <v>365</v>
      </c>
      <c r="C767" s="13" t="s">
        <v>3818</v>
      </c>
      <c r="D767" s="13" t="s">
        <v>3819</v>
      </c>
      <c r="E767" s="12" t="s">
        <v>1886</v>
      </c>
      <c r="F767" s="12"/>
      <c r="G767" s="12"/>
      <c r="H767" s="12"/>
      <c r="I767" s="14"/>
      <c r="J767" s="12"/>
      <c r="K767" s="12"/>
      <c r="L767" s="14"/>
      <c r="M767" s="12"/>
      <c r="N767" s="14"/>
      <c r="O767" s="12">
        <v>1</v>
      </c>
      <c r="P767" s="12" t="s">
        <v>3820</v>
      </c>
      <c r="Q767" s="13" t="s">
        <v>3821</v>
      </c>
      <c r="R767" s="10"/>
      <c r="S767" s="10"/>
      <c r="T767" s="11"/>
    </row>
    <row r="768" spans="1:20" ht="98" x14ac:dyDescent="0.35">
      <c r="A768" s="12" t="s">
        <v>413</v>
      </c>
      <c r="B768" s="12" t="s">
        <v>365</v>
      </c>
      <c r="C768" s="13" t="s">
        <v>3822</v>
      </c>
      <c r="D768" s="13" t="s">
        <v>3823</v>
      </c>
      <c r="E768" s="12" t="s">
        <v>1433</v>
      </c>
      <c r="F768" s="12"/>
      <c r="G768" s="12"/>
      <c r="H768" s="12"/>
      <c r="I768" s="14"/>
      <c r="J768" s="12"/>
      <c r="K768" s="12"/>
      <c r="L768" s="14"/>
      <c r="M768" s="12"/>
      <c r="N768" s="14"/>
      <c r="O768" s="12">
        <v>2</v>
      </c>
      <c r="P768" s="12" t="s">
        <v>3824</v>
      </c>
      <c r="Q768" s="13" t="s">
        <v>3825</v>
      </c>
      <c r="R768" s="10"/>
      <c r="S768" s="10"/>
      <c r="T768" s="11"/>
    </row>
    <row r="769" spans="1:20" ht="112" x14ac:dyDescent="0.35">
      <c r="A769" s="12" t="s">
        <v>413</v>
      </c>
      <c r="B769" s="12" t="s">
        <v>365</v>
      </c>
      <c r="C769" s="13" t="s">
        <v>3826</v>
      </c>
      <c r="D769" s="13" t="s">
        <v>3827</v>
      </c>
      <c r="E769" s="12" t="s">
        <v>1433</v>
      </c>
      <c r="F769" s="12"/>
      <c r="G769" s="12"/>
      <c r="H769" s="12"/>
      <c r="I769" s="14"/>
      <c r="J769" s="12"/>
      <c r="K769" s="12"/>
      <c r="L769" s="14"/>
      <c r="M769" s="12"/>
      <c r="N769" s="14"/>
      <c r="O769" s="12">
        <v>1</v>
      </c>
      <c r="P769" s="12" t="s">
        <v>3828</v>
      </c>
      <c r="Q769" s="13" t="s">
        <v>3829</v>
      </c>
      <c r="R769" s="10"/>
      <c r="S769" s="10"/>
      <c r="T769" s="11"/>
    </row>
    <row r="770" spans="1:20" ht="84" x14ac:dyDescent="0.35">
      <c r="A770" s="12" t="s">
        <v>413</v>
      </c>
      <c r="B770" s="12" t="s">
        <v>365</v>
      </c>
      <c r="C770" s="13" t="s">
        <v>3830</v>
      </c>
      <c r="D770" s="13" t="s">
        <v>3831</v>
      </c>
      <c r="E770" s="12" t="s">
        <v>2041</v>
      </c>
      <c r="F770" s="12"/>
      <c r="G770" s="12"/>
      <c r="H770" s="12"/>
      <c r="I770" s="14"/>
      <c r="J770" s="12"/>
      <c r="K770" s="12"/>
      <c r="L770" s="14"/>
      <c r="M770" s="12"/>
      <c r="N770" s="14"/>
      <c r="O770" s="12">
        <v>1</v>
      </c>
      <c r="P770" s="12" t="s">
        <v>3832</v>
      </c>
      <c r="Q770" s="13" t="s">
        <v>3833</v>
      </c>
      <c r="R770" s="10"/>
      <c r="S770" s="10"/>
      <c r="T770" s="11"/>
    </row>
    <row r="771" spans="1:20" ht="42" x14ac:dyDescent="0.35">
      <c r="A771" s="12" t="s">
        <v>413</v>
      </c>
      <c r="B771" s="12" t="s">
        <v>365</v>
      </c>
      <c r="C771" s="13" t="s">
        <v>3834</v>
      </c>
      <c r="D771" s="13" t="s">
        <v>3835</v>
      </c>
      <c r="E771" s="12" t="s">
        <v>3836</v>
      </c>
      <c r="F771" s="12"/>
      <c r="G771" s="12"/>
      <c r="H771" s="12"/>
      <c r="I771" s="14"/>
      <c r="J771" s="12"/>
      <c r="K771" s="12"/>
      <c r="L771" s="14"/>
      <c r="M771" s="12"/>
      <c r="N771" s="14"/>
      <c r="O771" s="12">
        <v>1</v>
      </c>
      <c r="P771" s="12" t="s">
        <v>3837</v>
      </c>
      <c r="Q771" s="13" t="s">
        <v>3838</v>
      </c>
      <c r="R771" s="10"/>
      <c r="S771" s="10"/>
      <c r="T771" s="11"/>
    </row>
    <row r="772" spans="1:20" ht="98" x14ac:dyDescent="0.35">
      <c r="A772" s="12" t="s">
        <v>413</v>
      </c>
      <c r="B772" s="12" t="s">
        <v>365</v>
      </c>
      <c r="C772" s="13" t="s">
        <v>3839</v>
      </c>
      <c r="D772" s="13" t="s">
        <v>3840</v>
      </c>
      <c r="E772" s="12" t="s">
        <v>3836</v>
      </c>
      <c r="F772" s="12"/>
      <c r="G772" s="12"/>
      <c r="H772" s="12"/>
      <c r="I772" s="14"/>
      <c r="J772" s="12"/>
      <c r="K772" s="12"/>
      <c r="L772" s="14"/>
      <c r="M772" s="12"/>
      <c r="N772" s="14"/>
      <c r="O772" s="12">
        <v>1</v>
      </c>
      <c r="P772" s="12" t="s">
        <v>3841</v>
      </c>
      <c r="Q772" s="13" t="s">
        <v>3842</v>
      </c>
      <c r="R772" s="10"/>
      <c r="S772" s="10"/>
      <c r="T772" s="11"/>
    </row>
    <row r="773" spans="1:20" ht="84" x14ac:dyDescent="0.35">
      <c r="A773" s="12" t="s">
        <v>413</v>
      </c>
      <c r="B773" s="12" t="s">
        <v>365</v>
      </c>
      <c r="C773" s="13" t="s">
        <v>3843</v>
      </c>
      <c r="D773" s="13" t="s">
        <v>3844</v>
      </c>
      <c r="E773" s="12" t="s">
        <v>3845</v>
      </c>
      <c r="F773" s="12"/>
      <c r="G773" s="12"/>
      <c r="H773" s="12"/>
      <c r="I773" s="14"/>
      <c r="J773" s="12"/>
      <c r="K773" s="12"/>
      <c r="L773" s="14"/>
      <c r="M773" s="12"/>
      <c r="N773" s="14"/>
      <c r="O773" s="12">
        <v>1</v>
      </c>
      <c r="P773" s="12" t="s">
        <v>3846</v>
      </c>
      <c r="Q773" s="13" t="s">
        <v>3847</v>
      </c>
      <c r="R773" s="10"/>
      <c r="S773" s="10"/>
      <c r="T773" s="11"/>
    </row>
    <row r="774" spans="1:20" ht="84" x14ac:dyDescent="0.35">
      <c r="A774" s="12" t="s">
        <v>413</v>
      </c>
      <c r="B774" s="12" t="s">
        <v>365</v>
      </c>
      <c r="C774" s="13" t="s">
        <v>3848</v>
      </c>
      <c r="D774" s="13" t="s">
        <v>3849</v>
      </c>
      <c r="E774" s="12" t="s">
        <v>1702</v>
      </c>
      <c r="F774" s="12"/>
      <c r="G774" s="12"/>
      <c r="H774" s="12"/>
      <c r="I774" s="14"/>
      <c r="J774" s="12"/>
      <c r="K774" s="12"/>
      <c r="L774" s="14"/>
      <c r="M774" s="12"/>
      <c r="N774" s="14"/>
      <c r="O774" s="12">
        <v>1</v>
      </c>
      <c r="P774" s="12" t="s">
        <v>3850</v>
      </c>
      <c r="Q774" s="13" t="s">
        <v>3851</v>
      </c>
      <c r="R774" s="10"/>
      <c r="S774" s="10"/>
      <c r="T774" s="11"/>
    </row>
    <row r="775" spans="1:20" ht="56" x14ac:dyDescent="0.35">
      <c r="A775" s="12" t="s">
        <v>413</v>
      </c>
      <c r="B775" s="12" t="s">
        <v>365</v>
      </c>
      <c r="C775" s="13" t="s">
        <v>3852</v>
      </c>
      <c r="D775" s="13" t="s">
        <v>3853</v>
      </c>
      <c r="E775" s="12" t="s">
        <v>1992</v>
      </c>
      <c r="F775" s="12"/>
      <c r="G775" s="12"/>
      <c r="H775" s="12"/>
      <c r="I775" s="14"/>
      <c r="J775" s="12"/>
      <c r="K775" s="12"/>
      <c r="L775" s="14"/>
      <c r="M775" s="12"/>
      <c r="N775" s="14"/>
      <c r="O775" s="12">
        <v>1</v>
      </c>
      <c r="P775" s="12" t="s">
        <v>3854</v>
      </c>
      <c r="Q775" s="13" t="s">
        <v>3855</v>
      </c>
      <c r="R775" s="10"/>
      <c r="S775" s="10"/>
      <c r="T775" s="11"/>
    </row>
    <row r="776" spans="1:20" ht="112" x14ac:dyDescent="0.35">
      <c r="A776" s="12" t="s">
        <v>413</v>
      </c>
      <c r="B776" s="12" t="s">
        <v>365</v>
      </c>
      <c r="C776" s="13" t="s">
        <v>3856</v>
      </c>
      <c r="D776" s="13" t="s">
        <v>3857</v>
      </c>
      <c r="E776" s="12" t="s">
        <v>3858</v>
      </c>
      <c r="F776" s="12"/>
      <c r="G776" s="12"/>
      <c r="H776" s="12"/>
      <c r="I776" s="14"/>
      <c r="J776" s="12"/>
      <c r="K776" s="12"/>
      <c r="L776" s="14"/>
      <c r="M776" s="12"/>
      <c r="N776" s="14"/>
      <c r="O776" s="12">
        <v>1</v>
      </c>
      <c r="P776" s="12" t="s">
        <v>3859</v>
      </c>
      <c r="Q776" s="13" t="s">
        <v>3860</v>
      </c>
      <c r="R776" s="10"/>
      <c r="S776" s="10"/>
      <c r="T776" s="11"/>
    </row>
    <row r="777" spans="1:20" ht="42" x14ac:dyDescent="0.35">
      <c r="A777" s="12" t="s">
        <v>413</v>
      </c>
      <c r="B777" s="12" t="s">
        <v>365</v>
      </c>
      <c r="C777" s="13" t="s">
        <v>3861</v>
      </c>
      <c r="D777" s="13"/>
      <c r="E777" s="12" t="s">
        <v>3862</v>
      </c>
      <c r="F777" s="12"/>
      <c r="G777" s="12"/>
      <c r="H777" s="12"/>
      <c r="I777" s="14"/>
      <c r="J777" s="12"/>
      <c r="K777" s="12"/>
      <c r="L777" s="14"/>
      <c r="M777" s="12"/>
      <c r="N777" s="14"/>
      <c r="O777" s="12">
        <v>1</v>
      </c>
      <c r="P777" s="12" t="s">
        <v>3863</v>
      </c>
      <c r="Q777" s="13" t="s">
        <v>3864</v>
      </c>
      <c r="R777" s="10"/>
      <c r="S777" s="10"/>
      <c r="T777" s="11"/>
    </row>
    <row r="778" spans="1:20" ht="70" x14ac:dyDescent="0.35">
      <c r="A778" s="12" t="s">
        <v>413</v>
      </c>
      <c r="B778" s="12" t="s">
        <v>365</v>
      </c>
      <c r="C778" s="13" t="s">
        <v>3865</v>
      </c>
      <c r="D778" s="13" t="s">
        <v>3866</v>
      </c>
      <c r="E778" s="12" t="s">
        <v>3867</v>
      </c>
      <c r="F778" s="12"/>
      <c r="G778" s="12"/>
      <c r="H778" s="12"/>
      <c r="I778" s="14"/>
      <c r="J778" s="12"/>
      <c r="K778" s="12"/>
      <c r="L778" s="14"/>
      <c r="M778" s="12"/>
      <c r="N778" s="14"/>
      <c r="O778" s="12">
        <v>1</v>
      </c>
      <c r="P778" s="12" t="s">
        <v>3868</v>
      </c>
      <c r="Q778" s="13" t="s">
        <v>3869</v>
      </c>
      <c r="R778" s="10"/>
      <c r="S778" s="10"/>
      <c r="T778" s="11"/>
    </row>
    <row r="779" spans="1:20" ht="70" x14ac:dyDescent="0.35">
      <c r="A779" s="12" t="s">
        <v>413</v>
      </c>
      <c r="B779" s="12" t="s">
        <v>365</v>
      </c>
      <c r="C779" s="13" t="s">
        <v>3870</v>
      </c>
      <c r="D779" s="13" t="s">
        <v>3871</v>
      </c>
      <c r="E779" s="12" t="s">
        <v>1702</v>
      </c>
      <c r="F779" s="12"/>
      <c r="G779" s="12"/>
      <c r="H779" s="12"/>
      <c r="I779" s="14"/>
      <c r="J779" s="12"/>
      <c r="K779" s="12"/>
      <c r="L779" s="14"/>
      <c r="M779" s="12"/>
      <c r="N779" s="14"/>
      <c r="O779" s="12">
        <v>1</v>
      </c>
      <c r="P779" s="12" t="s">
        <v>3872</v>
      </c>
      <c r="Q779" s="13" t="s">
        <v>3873</v>
      </c>
      <c r="R779" s="10"/>
      <c r="S779" s="10"/>
      <c r="T779" s="11"/>
    </row>
    <row r="780" spans="1:20" ht="112" x14ac:dyDescent="0.35">
      <c r="A780" s="12" t="s">
        <v>413</v>
      </c>
      <c r="B780" s="12" t="s">
        <v>365</v>
      </c>
      <c r="C780" s="13" t="s">
        <v>3874</v>
      </c>
      <c r="D780" s="13" t="s">
        <v>3875</v>
      </c>
      <c r="E780" s="12" t="s">
        <v>1886</v>
      </c>
      <c r="F780" s="12"/>
      <c r="G780" s="12"/>
      <c r="H780" s="12"/>
      <c r="I780" s="14"/>
      <c r="J780" s="12"/>
      <c r="K780" s="12"/>
      <c r="L780" s="14"/>
      <c r="M780" s="12"/>
      <c r="N780" s="14"/>
      <c r="O780" s="12">
        <v>1</v>
      </c>
      <c r="P780" s="12" t="s">
        <v>3876</v>
      </c>
      <c r="Q780" s="13" t="s">
        <v>3877</v>
      </c>
      <c r="R780" s="10"/>
      <c r="S780" s="10"/>
      <c r="T780" s="11"/>
    </row>
    <row r="781" spans="1:20" ht="56" x14ac:dyDescent="0.35">
      <c r="A781" s="12" t="s">
        <v>413</v>
      </c>
      <c r="B781" s="12" t="s">
        <v>365</v>
      </c>
      <c r="C781" s="13" t="s">
        <v>3878</v>
      </c>
      <c r="D781" s="13" t="s">
        <v>3879</v>
      </c>
      <c r="E781" s="12" t="s">
        <v>3880</v>
      </c>
      <c r="F781" s="12"/>
      <c r="G781" s="12"/>
      <c r="H781" s="12"/>
      <c r="I781" s="14"/>
      <c r="J781" s="12"/>
      <c r="K781" s="12"/>
      <c r="L781" s="14"/>
      <c r="M781" s="12"/>
      <c r="N781" s="14"/>
      <c r="O781" s="12">
        <v>1</v>
      </c>
      <c r="P781" s="12" t="s">
        <v>3881</v>
      </c>
      <c r="Q781" s="13" t="s">
        <v>3882</v>
      </c>
      <c r="R781" s="10"/>
      <c r="S781" s="10"/>
      <c r="T781" s="11"/>
    </row>
    <row r="782" spans="1:20" ht="112" x14ac:dyDescent="0.35">
      <c r="A782" s="12" t="s">
        <v>413</v>
      </c>
      <c r="B782" s="12" t="s">
        <v>365</v>
      </c>
      <c r="C782" s="13" t="s">
        <v>3883</v>
      </c>
      <c r="D782" s="13" t="s">
        <v>3884</v>
      </c>
      <c r="E782" s="12" t="s">
        <v>3885</v>
      </c>
      <c r="F782" s="12"/>
      <c r="G782" s="12"/>
      <c r="H782" s="12"/>
      <c r="I782" s="14"/>
      <c r="J782" s="12"/>
      <c r="K782" s="12"/>
      <c r="L782" s="14"/>
      <c r="M782" s="12"/>
      <c r="N782" s="14"/>
      <c r="O782" s="12">
        <v>1</v>
      </c>
      <c r="P782" s="12" t="s">
        <v>3886</v>
      </c>
      <c r="Q782" s="13" t="s">
        <v>3887</v>
      </c>
      <c r="R782" s="10"/>
      <c r="S782" s="10"/>
      <c r="T782" s="11"/>
    </row>
    <row r="783" spans="1:20" ht="112" x14ac:dyDescent="0.35">
      <c r="A783" s="12" t="s">
        <v>413</v>
      </c>
      <c r="B783" s="12" t="s">
        <v>365</v>
      </c>
      <c r="C783" s="13" t="s">
        <v>3888</v>
      </c>
      <c r="D783" s="13"/>
      <c r="E783" s="12" t="s">
        <v>232</v>
      </c>
      <c r="F783" s="12"/>
      <c r="G783" s="12"/>
      <c r="H783" s="12"/>
      <c r="I783" s="14"/>
      <c r="J783" s="12"/>
      <c r="K783" s="12"/>
      <c r="L783" s="14"/>
      <c r="M783" s="12"/>
      <c r="N783" s="14"/>
      <c r="O783" s="12">
        <v>1</v>
      </c>
      <c r="P783" s="12" t="s">
        <v>3889</v>
      </c>
      <c r="Q783" s="13" t="s">
        <v>3890</v>
      </c>
      <c r="R783" s="10"/>
      <c r="S783" s="10"/>
      <c r="T783" s="11"/>
    </row>
    <row r="784" spans="1:20" ht="70" x14ac:dyDescent="0.35">
      <c r="A784" s="12" t="s">
        <v>413</v>
      </c>
      <c r="B784" s="12" t="s">
        <v>365</v>
      </c>
      <c r="C784" s="13" t="s">
        <v>3891</v>
      </c>
      <c r="D784" s="13" t="s">
        <v>3892</v>
      </c>
      <c r="E784" s="12" t="s">
        <v>3893</v>
      </c>
      <c r="F784" s="12"/>
      <c r="G784" s="12"/>
      <c r="H784" s="12"/>
      <c r="I784" s="14"/>
      <c r="J784" s="12"/>
      <c r="K784" s="12"/>
      <c r="L784" s="14"/>
      <c r="M784" s="12"/>
      <c r="N784" s="14"/>
      <c r="O784" s="12">
        <v>1</v>
      </c>
      <c r="P784" s="12" t="s">
        <v>3894</v>
      </c>
      <c r="Q784" s="13" t="s">
        <v>3895</v>
      </c>
      <c r="R784" s="10"/>
      <c r="S784" s="10"/>
      <c r="T784" s="11"/>
    </row>
    <row r="785" spans="1:20" ht="56" x14ac:dyDescent="0.35">
      <c r="A785" s="12" t="s">
        <v>413</v>
      </c>
      <c r="B785" s="12" t="s">
        <v>365</v>
      </c>
      <c r="C785" s="13" t="s">
        <v>3896</v>
      </c>
      <c r="D785" s="13"/>
      <c r="E785" s="12" t="s">
        <v>291</v>
      </c>
      <c r="F785" s="12"/>
      <c r="G785" s="12"/>
      <c r="H785" s="12"/>
      <c r="I785" s="14"/>
      <c r="J785" s="12"/>
      <c r="K785" s="12"/>
      <c r="L785" s="14"/>
      <c r="M785" s="12"/>
      <c r="N785" s="14"/>
      <c r="O785" s="12">
        <v>1</v>
      </c>
      <c r="P785" s="12" t="s">
        <v>3897</v>
      </c>
      <c r="Q785" s="13" t="s">
        <v>3898</v>
      </c>
      <c r="R785" s="10"/>
      <c r="S785" s="10"/>
      <c r="T785" s="11"/>
    </row>
    <row r="786" spans="1:20" ht="56" x14ac:dyDescent="0.35">
      <c r="A786" s="12" t="s">
        <v>413</v>
      </c>
      <c r="B786" s="12" t="s">
        <v>365</v>
      </c>
      <c r="C786" s="13" t="s">
        <v>3899</v>
      </c>
      <c r="D786" s="13" t="s">
        <v>3900</v>
      </c>
      <c r="E786" s="12" t="s">
        <v>2112</v>
      </c>
      <c r="F786" s="12"/>
      <c r="G786" s="12"/>
      <c r="H786" s="12"/>
      <c r="I786" s="14"/>
      <c r="J786" s="12"/>
      <c r="K786" s="12"/>
      <c r="L786" s="14"/>
      <c r="M786" s="12"/>
      <c r="N786" s="14"/>
      <c r="O786" s="12">
        <v>1</v>
      </c>
      <c r="P786" s="12" t="s">
        <v>3901</v>
      </c>
      <c r="Q786" s="13" t="s">
        <v>3902</v>
      </c>
      <c r="R786" s="10"/>
      <c r="S786" s="10"/>
      <c r="T786" s="11"/>
    </row>
    <row r="787" spans="1:20" ht="84" x14ac:dyDescent="0.35">
      <c r="A787" s="12" t="s">
        <v>413</v>
      </c>
      <c r="B787" s="12" t="s">
        <v>365</v>
      </c>
      <c r="C787" s="13" t="s">
        <v>3903</v>
      </c>
      <c r="D787" s="13" t="s">
        <v>2118</v>
      </c>
      <c r="E787" s="12" t="s">
        <v>3903</v>
      </c>
      <c r="F787" s="12"/>
      <c r="G787" s="12"/>
      <c r="H787" s="12"/>
      <c r="I787" s="14"/>
      <c r="J787" s="12"/>
      <c r="K787" s="12"/>
      <c r="L787" s="14"/>
      <c r="M787" s="12"/>
      <c r="N787" s="14"/>
      <c r="O787" s="12">
        <v>1</v>
      </c>
      <c r="P787" s="12" t="s">
        <v>2121</v>
      </c>
      <c r="Q787" s="13" t="s">
        <v>2122</v>
      </c>
      <c r="R787" s="10"/>
      <c r="S787" s="10"/>
      <c r="T787" s="11"/>
    </row>
    <row r="788" spans="1:20" ht="70" x14ac:dyDescent="0.35">
      <c r="A788" s="12" t="s">
        <v>413</v>
      </c>
      <c r="B788" s="12" t="s">
        <v>365</v>
      </c>
      <c r="C788" s="13" t="s">
        <v>3904</v>
      </c>
      <c r="D788" s="13" t="s">
        <v>3905</v>
      </c>
      <c r="E788" s="12" t="s">
        <v>3906</v>
      </c>
      <c r="F788" s="12"/>
      <c r="G788" s="12"/>
      <c r="H788" s="12"/>
      <c r="I788" s="14"/>
      <c r="J788" s="12"/>
      <c r="K788" s="12"/>
      <c r="L788" s="14"/>
      <c r="M788" s="12"/>
      <c r="N788" s="14"/>
      <c r="O788" s="12">
        <v>1</v>
      </c>
      <c r="P788" s="12" t="s">
        <v>3907</v>
      </c>
      <c r="Q788" s="13" t="s">
        <v>3908</v>
      </c>
      <c r="R788" s="10"/>
      <c r="S788" s="10"/>
      <c r="T788" s="11"/>
    </row>
    <row r="789" spans="1:20" ht="84" x14ac:dyDescent="0.35">
      <c r="A789" s="12" t="s">
        <v>413</v>
      </c>
      <c r="B789" s="12" t="s">
        <v>365</v>
      </c>
      <c r="C789" s="13" t="s">
        <v>3909</v>
      </c>
      <c r="D789" s="13" t="s">
        <v>3910</v>
      </c>
      <c r="E789" s="12" t="s">
        <v>3911</v>
      </c>
      <c r="F789" s="12"/>
      <c r="G789" s="12"/>
      <c r="H789" s="12"/>
      <c r="I789" s="14"/>
      <c r="J789" s="12"/>
      <c r="K789" s="12"/>
      <c r="L789" s="14"/>
      <c r="M789" s="12"/>
      <c r="N789" s="14"/>
      <c r="O789" s="12">
        <v>1</v>
      </c>
      <c r="P789" s="12" t="s">
        <v>3912</v>
      </c>
      <c r="Q789" s="13" t="s">
        <v>3913</v>
      </c>
      <c r="R789" s="10"/>
      <c r="S789" s="10"/>
      <c r="T789" s="11"/>
    </row>
    <row r="790" spans="1:20" ht="84" x14ac:dyDescent="0.35">
      <c r="A790" s="12" t="s">
        <v>413</v>
      </c>
      <c r="B790" s="12" t="s">
        <v>365</v>
      </c>
      <c r="C790" s="13" t="s">
        <v>3914</v>
      </c>
      <c r="D790" s="13" t="s">
        <v>3915</v>
      </c>
      <c r="E790" s="12" t="s">
        <v>291</v>
      </c>
      <c r="F790" s="12"/>
      <c r="G790" s="12"/>
      <c r="H790" s="12"/>
      <c r="I790" s="14"/>
      <c r="J790" s="12"/>
      <c r="K790" s="12"/>
      <c r="L790" s="14"/>
      <c r="M790" s="12"/>
      <c r="N790" s="14"/>
      <c r="O790" s="12">
        <v>1</v>
      </c>
      <c r="P790" s="12" t="s">
        <v>3916</v>
      </c>
      <c r="Q790" s="13" t="s">
        <v>3917</v>
      </c>
      <c r="R790" s="10"/>
      <c r="S790" s="10"/>
      <c r="T790" s="11"/>
    </row>
    <row r="791" spans="1:20" ht="70" x14ac:dyDescent="0.35">
      <c r="A791" s="12" t="s">
        <v>413</v>
      </c>
      <c r="B791" s="12" t="s">
        <v>365</v>
      </c>
      <c r="C791" s="13" t="s">
        <v>3918</v>
      </c>
      <c r="D791" s="13" t="s">
        <v>3919</v>
      </c>
      <c r="E791" s="12"/>
      <c r="F791" s="12"/>
      <c r="G791" s="12"/>
      <c r="H791" s="12"/>
      <c r="I791" s="14"/>
      <c r="J791" s="12"/>
      <c r="K791" s="12"/>
      <c r="L791" s="14"/>
      <c r="M791" s="12"/>
      <c r="N791" s="14"/>
      <c r="O791" s="12">
        <v>3</v>
      </c>
      <c r="P791" s="12" t="s">
        <v>3920</v>
      </c>
      <c r="Q791" s="13" t="s">
        <v>3921</v>
      </c>
      <c r="R791" s="10"/>
      <c r="S791" s="10"/>
      <c r="T791" s="11"/>
    </row>
    <row r="792" spans="1:20" ht="42" x14ac:dyDescent="0.35">
      <c r="A792" s="12" t="s">
        <v>413</v>
      </c>
      <c r="B792" s="12" t="s">
        <v>365</v>
      </c>
      <c r="C792" s="13" t="s">
        <v>3922</v>
      </c>
      <c r="D792" s="13" t="s">
        <v>3923</v>
      </c>
      <c r="E792" s="12" t="s">
        <v>387</v>
      </c>
      <c r="F792" s="12"/>
      <c r="G792" s="12"/>
      <c r="H792" s="12"/>
      <c r="I792" s="14"/>
      <c r="J792" s="12"/>
      <c r="K792" s="12"/>
      <c r="L792" s="14"/>
      <c r="M792" s="12"/>
      <c r="N792" s="14"/>
      <c r="O792" s="12">
        <v>4</v>
      </c>
      <c r="P792" s="12" t="s">
        <v>3924</v>
      </c>
      <c r="Q792" s="13" t="s">
        <v>3925</v>
      </c>
      <c r="R792" s="10"/>
      <c r="S792" s="10"/>
      <c r="T792" s="11"/>
    </row>
    <row r="793" spans="1:20" ht="42" x14ac:dyDescent="0.35">
      <c r="A793" s="12" t="s">
        <v>413</v>
      </c>
      <c r="B793" s="12" t="s">
        <v>365</v>
      </c>
      <c r="C793" s="13" t="s">
        <v>3926</v>
      </c>
      <c r="D793" s="13" t="s">
        <v>3927</v>
      </c>
      <c r="E793" s="12" t="s">
        <v>1804</v>
      </c>
      <c r="F793" s="12"/>
      <c r="G793" s="12"/>
      <c r="H793" s="12"/>
      <c r="I793" s="14"/>
      <c r="J793" s="12"/>
      <c r="K793" s="12"/>
      <c r="L793" s="14"/>
      <c r="M793" s="12"/>
      <c r="N793" s="14"/>
      <c r="O793" s="12">
        <v>1</v>
      </c>
      <c r="P793" s="12" t="s">
        <v>3928</v>
      </c>
      <c r="Q793" s="13" t="s">
        <v>3929</v>
      </c>
      <c r="R793" s="10"/>
      <c r="S793" s="10"/>
      <c r="T793" s="11"/>
    </row>
    <row r="794" spans="1:20" ht="70" x14ac:dyDescent="0.35">
      <c r="A794" s="12" t="s">
        <v>413</v>
      </c>
      <c r="B794" s="12" t="s">
        <v>365</v>
      </c>
      <c r="C794" s="13" t="s">
        <v>3930</v>
      </c>
      <c r="D794" s="13" t="s">
        <v>3931</v>
      </c>
      <c r="E794" s="12" t="s">
        <v>1804</v>
      </c>
      <c r="F794" s="12"/>
      <c r="G794" s="12"/>
      <c r="H794" s="12"/>
      <c r="I794" s="14"/>
      <c r="J794" s="12"/>
      <c r="K794" s="12"/>
      <c r="L794" s="14"/>
      <c r="M794" s="12"/>
      <c r="N794" s="14"/>
      <c r="O794" s="12">
        <v>1</v>
      </c>
      <c r="P794" s="12" t="s">
        <v>3932</v>
      </c>
      <c r="Q794" s="13" t="s">
        <v>3933</v>
      </c>
      <c r="R794" s="10"/>
      <c r="S794" s="10"/>
      <c r="T794" s="11"/>
    </row>
    <row r="795" spans="1:20" ht="56" x14ac:dyDescent="0.35">
      <c r="A795" s="12" t="s">
        <v>413</v>
      </c>
      <c r="B795" s="12" t="s">
        <v>365</v>
      </c>
      <c r="C795" s="13" t="s">
        <v>3934</v>
      </c>
      <c r="D795" s="13" t="s">
        <v>3935</v>
      </c>
      <c r="E795" s="12" t="s">
        <v>1804</v>
      </c>
      <c r="F795" s="12"/>
      <c r="G795" s="12"/>
      <c r="H795" s="12"/>
      <c r="I795" s="14"/>
      <c r="J795" s="12"/>
      <c r="K795" s="12"/>
      <c r="L795" s="14"/>
      <c r="M795" s="12"/>
      <c r="N795" s="14"/>
      <c r="O795" s="12">
        <v>1</v>
      </c>
      <c r="P795" s="12" t="s">
        <v>3936</v>
      </c>
      <c r="Q795" s="13" t="s">
        <v>3937</v>
      </c>
      <c r="R795" s="10"/>
      <c r="S795" s="10"/>
      <c r="T795" s="11"/>
    </row>
    <row r="796" spans="1:20" ht="70" x14ac:dyDescent="0.35">
      <c r="A796" s="12" t="s">
        <v>413</v>
      </c>
      <c r="B796" s="12" t="s">
        <v>365</v>
      </c>
      <c r="C796" s="13" t="s">
        <v>3938</v>
      </c>
      <c r="D796" s="13" t="s">
        <v>3939</v>
      </c>
      <c r="E796" s="12" t="s">
        <v>2068</v>
      </c>
      <c r="F796" s="12"/>
      <c r="G796" s="12"/>
      <c r="H796" s="12"/>
      <c r="I796" s="14"/>
      <c r="J796" s="12"/>
      <c r="K796" s="12"/>
      <c r="L796" s="14"/>
      <c r="M796" s="12"/>
      <c r="N796" s="14"/>
      <c r="O796" s="12">
        <v>1</v>
      </c>
      <c r="P796" s="12" t="s">
        <v>3940</v>
      </c>
      <c r="Q796" s="13" t="s">
        <v>3941</v>
      </c>
      <c r="R796" s="10"/>
      <c r="S796" s="10"/>
      <c r="T796" s="11"/>
    </row>
    <row r="797" spans="1:20" ht="196" x14ac:dyDescent="0.35">
      <c r="A797" s="12" t="s">
        <v>413</v>
      </c>
      <c r="B797" s="12" t="s">
        <v>365</v>
      </c>
      <c r="C797" s="13" t="s">
        <v>3942</v>
      </c>
      <c r="D797" s="13" t="s">
        <v>3943</v>
      </c>
      <c r="E797" s="12" t="s">
        <v>232</v>
      </c>
      <c r="F797" s="12"/>
      <c r="G797" s="12"/>
      <c r="H797" s="12"/>
      <c r="I797" s="14"/>
      <c r="J797" s="12"/>
      <c r="K797" s="12"/>
      <c r="L797" s="14"/>
      <c r="M797" s="12"/>
      <c r="N797" s="14"/>
      <c r="O797" s="12">
        <v>1</v>
      </c>
      <c r="P797" s="12" t="s">
        <v>3944</v>
      </c>
      <c r="Q797" s="13" t="s">
        <v>3945</v>
      </c>
      <c r="R797" s="10"/>
      <c r="S797" s="10"/>
      <c r="T797" s="11"/>
    </row>
    <row r="798" spans="1:20" ht="56" x14ac:dyDescent="0.35">
      <c r="A798" s="12" t="s">
        <v>413</v>
      </c>
      <c r="B798" s="12" t="s">
        <v>365</v>
      </c>
      <c r="C798" s="13" t="s">
        <v>3946</v>
      </c>
      <c r="D798" s="13"/>
      <c r="E798" s="12" t="s">
        <v>3947</v>
      </c>
      <c r="F798" s="12"/>
      <c r="G798" s="12"/>
      <c r="H798" s="12"/>
      <c r="I798" s="14"/>
      <c r="J798" s="12"/>
      <c r="K798" s="12"/>
      <c r="L798" s="14"/>
      <c r="M798" s="12"/>
      <c r="N798" s="14"/>
      <c r="O798" s="12">
        <v>1</v>
      </c>
      <c r="P798" s="12" t="s">
        <v>3948</v>
      </c>
      <c r="Q798" s="13" t="s">
        <v>3949</v>
      </c>
      <c r="R798" s="10"/>
      <c r="S798" s="10"/>
      <c r="T798" s="11"/>
    </row>
    <row r="799" spans="1:20" ht="98" x14ac:dyDescent="0.35">
      <c r="A799" s="12" t="s">
        <v>413</v>
      </c>
      <c r="B799" s="12" t="s">
        <v>365</v>
      </c>
      <c r="C799" s="13" t="s">
        <v>3950</v>
      </c>
      <c r="D799" s="13" t="s">
        <v>3951</v>
      </c>
      <c r="E799" s="12" t="s">
        <v>197</v>
      </c>
      <c r="F799" s="12"/>
      <c r="G799" s="12"/>
      <c r="H799" s="12"/>
      <c r="I799" s="14"/>
      <c r="J799" s="12"/>
      <c r="K799" s="12"/>
      <c r="L799" s="14"/>
      <c r="M799" s="12"/>
      <c r="N799" s="14"/>
      <c r="O799" s="12">
        <v>1</v>
      </c>
      <c r="P799" s="12" t="s">
        <v>3952</v>
      </c>
      <c r="Q799" s="13" t="s">
        <v>3953</v>
      </c>
      <c r="R799" s="10"/>
      <c r="S799" s="10"/>
      <c r="T799" s="11"/>
    </row>
    <row r="800" spans="1:20" ht="56" x14ac:dyDescent="0.35">
      <c r="A800" s="12" t="s">
        <v>413</v>
      </c>
      <c r="B800" s="12" t="s">
        <v>365</v>
      </c>
      <c r="C800" s="13" t="s">
        <v>3954</v>
      </c>
      <c r="D800" s="13"/>
      <c r="E800" s="12" t="s">
        <v>1394</v>
      </c>
      <c r="F800" s="12"/>
      <c r="G800" s="12"/>
      <c r="H800" s="12"/>
      <c r="I800" s="14"/>
      <c r="J800" s="12"/>
      <c r="K800" s="12"/>
      <c r="L800" s="14"/>
      <c r="M800" s="12"/>
      <c r="N800" s="14"/>
      <c r="O800" s="12">
        <v>1</v>
      </c>
      <c r="P800" s="12" t="s">
        <v>3955</v>
      </c>
      <c r="Q800" s="13" t="s">
        <v>3956</v>
      </c>
      <c r="R800" s="10"/>
      <c r="S800" s="10"/>
      <c r="T800" s="11"/>
    </row>
    <row r="801" spans="1:20" ht="84" x14ac:dyDescent="0.35">
      <c r="A801" s="12" t="s">
        <v>413</v>
      </c>
      <c r="B801" s="12" t="s">
        <v>365</v>
      </c>
      <c r="C801" s="13" t="s">
        <v>3957</v>
      </c>
      <c r="D801" s="13" t="s">
        <v>3958</v>
      </c>
      <c r="E801" s="12" t="s">
        <v>1696</v>
      </c>
      <c r="F801" s="12"/>
      <c r="G801" s="12"/>
      <c r="H801" s="12"/>
      <c r="I801" s="14"/>
      <c r="J801" s="12"/>
      <c r="K801" s="12"/>
      <c r="L801" s="14"/>
      <c r="M801" s="12"/>
      <c r="N801" s="14"/>
      <c r="O801" s="12">
        <v>1</v>
      </c>
      <c r="P801" s="12" t="s">
        <v>3959</v>
      </c>
      <c r="Q801" s="13" t="s">
        <v>3960</v>
      </c>
      <c r="R801" s="10"/>
      <c r="S801" s="10"/>
      <c r="T801" s="11"/>
    </row>
    <row r="802" spans="1:20" ht="84" x14ac:dyDescent="0.35">
      <c r="A802" s="12" t="s">
        <v>413</v>
      </c>
      <c r="B802" s="12" t="s">
        <v>365</v>
      </c>
      <c r="C802" s="13" t="s">
        <v>3961</v>
      </c>
      <c r="D802" s="13" t="s">
        <v>3962</v>
      </c>
      <c r="E802" s="12" t="s">
        <v>232</v>
      </c>
      <c r="F802" s="12"/>
      <c r="G802" s="12"/>
      <c r="H802" s="12"/>
      <c r="I802" s="14"/>
      <c r="J802" s="12"/>
      <c r="K802" s="12"/>
      <c r="L802" s="14"/>
      <c r="M802" s="12"/>
      <c r="N802" s="14"/>
      <c r="O802" s="12">
        <v>2</v>
      </c>
      <c r="P802" s="12" t="s">
        <v>3963</v>
      </c>
      <c r="Q802" s="13" t="s">
        <v>3964</v>
      </c>
      <c r="R802" s="10"/>
      <c r="S802" s="10"/>
      <c r="T802" s="11"/>
    </row>
    <row r="803" spans="1:20" ht="112" x14ac:dyDescent="0.35">
      <c r="A803" s="12" t="s">
        <v>413</v>
      </c>
      <c r="B803" s="12" t="s">
        <v>365</v>
      </c>
      <c r="C803" s="13" t="s">
        <v>3965</v>
      </c>
      <c r="D803" s="13" t="s">
        <v>3966</v>
      </c>
      <c r="E803" s="12" t="s">
        <v>1992</v>
      </c>
      <c r="F803" s="12"/>
      <c r="G803" s="12"/>
      <c r="H803" s="12"/>
      <c r="I803" s="14"/>
      <c r="J803" s="12"/>
      <c r="K803" s="12"/>
      <c r="L803" s="14"/>
      <c r="M803" s="12"/>
      <c r="N803" s="14"/>
      <c r="O803" s="12">
        <v>1</v>
      </c>
      <c r="P803" s="12" t="s">
        <v>3967</v>
      </c>
      <c r="Q803" s="13" t="s">
        <v>3968</v>
      </c>
      <c r="R803" s="10"/>
      <c r="S803" s="10"/>
      <c r="T803" s="11"/>
    </row>
    <row r="804" spans="1:20" ht="112" x14ac:dyDescent="0.35">
      <c r="A804" s="12" t="s">
        <v>413</v>
      </c>
      <c r="B804" s="12" t="s">
        <v>365</v>
      </c>
      <c r="C804" s="13" t="s">
        <v>3969</v>
      </c>
      <c r="D804" s="13"/>
      <c r="E804" s="12" t="s">
        <v>3970</v>
      </c>
      <c r="F804" s="12"/>
      <c r="G804" s="12"/>
      <c r="H804" s="12"/>
      <c r="I804" s="14"/>
      <c r="J804" s="12"/>
      <c r="K804" s="12"/>
      <c r="L804" s="14"/>
      <c r="M804" s="12"/>
      <c r="N804" s="14"/>
      <c r="O804" s="12">
        <v>1</v>
      </c>
      <c r="P804" s="12" t="s">
        <v>3971</v>
      </c>
      <c r="Q804" s="13" t="s">
        <v>3972</v>
      </c>
      <c r="R804" s="10"/>
      <c r="S804" s="10"/>
      <c r="T804" s="11"/>
    </row>
    <row r="805" spans="1:20" ht="84" x14ac:dyDescent="0.35">
      <c r="A805" s="12" t="s">
        <v>413</v>
      </c>
      <c r="B805" s="12" t="s">
        <v>365</v>
      </c>
      <c r="C805" s="13" t="s">
        <v>3973</v>
      </c>
      <c r="D805" s="13" t="s">
        <v>3974</v>
      </c>
      <c r="E805" s="12" t="s">
        <v>1804</v>
      </c>
      <c r="F805" s="12"/>
      <c r="G805" s="12"/>
      <c r="H805" s="12"/>
      <c r="I805" s="14"/>
      <c r="J805" s="12"/>
      <c r="K805" s="12"/>
      <c r="L805" s="14"/>
      <c r="M805" s="12"/>
      <c r="N805" s="14"/>
      <c r="O805" s="12">
        <v>1</v>
      </c>
      <c r="P805" s="12" t="s">
        <v>3975</v>
      </c>
      <c r="Q805" s="13" t="s">
        <v>3976</v>
      </c>
      <c r="R805" s="10"/>
      <c r="S805" s="10"/>
      <c r="T805" s="11"/>
    </row>
    <row r="806" spans="1:20" ht="126" x14ac:dyDescent="0.35">
      <c r="A806" s="12" t="s">
        <v>413</v>
      </c>
      <c r="B806" s="12" t="s">
        <v>365</v>
      </c>
      <c r="C806" s="13" t="s">
        <v>3977</v>
      </c>
      <c r="D806" s="13" t="s">
        <v>3978</v>
      </c>
      <c r="E806" s="12" t="s">
        <v>2498</v>
      </c>
      <c r="F806" s="12"/>
      <c r="G806" s="12"/>
      <c r="H806" s="12"/>
      <c r="I806" s="14"/>
      <c r="J806" s="12"/>
      <c r="K806" s="12"/>
      <c r="L806" s="14"/>
      <c r="M806" s="12"/>
      <c r="N806" s="14"/>
      <c r="O806" s="12">
        <v>1</v>
      </c>
      <c r="P806" s="12" t="s">
        <v>3979</v>
      </c>
      <c r="Q806" s="13" t="s">
        <v>3980</v>
      </c>
      <c r="R806" s="10"/>
      <c r="S806" s="10"/>
      <c r="T806" s="11"/>
    </row>
    <row r="807" spans="1:20" ht="98" x14ac:dyDescent="0.35">
      <c r="A807" s="12" t="s">
        <v>413</v>
      </c>
      <c r="B807" s="12" t="s">
        <v>365</v>
      </c>
      <c r="C807" s="13" t="s">
        <v>3981</v>
      </c>
      <c r="D807" s="13"/>
      <c r="E807" s="12" t="s">
        <v>1322</v>
      </c>
      <c r="F807" s="12"/>
      <c r="G807" s="12"/>
      <c r="H807" s="12"/>
      <c r="I807" s="14"/>
      <c r="J807" s="12"/>
      <c r="K807" s="12"/>
      <c r="L807" s="14"/>
      <c r="M807" s="12"/>
      <c r="N807" s="14"/>
      <c r="O807" s="12">
        <v>1</v>
      </c>
      <c r="P807" s="12" t="s">
        <v>3982</v>
      </c>
      <c r="Q807" s="13" t="s">
        <v>3983</v>
      </c>
      <c r="R807" s="10"/>
      <c r="S807" s="10"/>
      <c r="T807" s="11"/>
    </row>
    <row r="808" spans="1:20" ht="70" x14ac:dyDescent="0.35">
      <c r="A808" s="12" t="s">
        <v>413</v>
      </c>
      <c r="B808" s="12" t="s">
        <v>365</v>
      </c>
      <c r="C808" s="13" t="s">
        <v>3984</v>
      </c>
      <c r="D808" s="13"/>
      <c r="E808" s="12" t="s">
        <v>232</v>
      </c>
      <c r="F808" s="12"/>
      <c r="G808" s="12"/>
      <c r="H808" s="12"/>
      <c r="I808" s="14"/>
      <c r="J808" s="12"/>
      <c r="K808" s="12"/>
      <c r="L808" s="14"/>
      <c r="M808" s="12"/>
      <c r="N808" s="14"/>
      <c r="O808" s="12">
        <v>1</v>
      </c>
      <c r="P808" s="12" t="s">
        <v>3985</v>
      </c>
      <c r="Q808" s="13" t="s">
        <v>3986</v>
      </c>
      <c r="R808" s="10"/>
      <c r="S808" s="10"/>
      <c r="T808" s="11"/>
    </row>
    <row r="809" spans="1:20" ht="84" x14ac:dyDescent="0.35">
      <c r="A809" s="12" t="s">
        <v>413</v>
      </c>
      <c r="B809" s="12" t="s">
        <v>365</v>
      </c>
      <c r="C809" s="13" t="s">
        <v>3987</v>
      </c>
      <c r="D809" s="13"/>
      <c r="E809" s="12" t="s">
        <v>2595</v>
      </c>
      <c r="F809" s="12"/>
      <c r="G809" s="12"/>
      <c r="H809" s="12"/>
      <c r="I809" s="14"/>
      <c r="J809" s="12"/>
      <c r="K809" s="12"/>
      <c r="L809" s="14"/>
      <c r="M809" s="12"/>
      <c r="N809" s="14"/>
      <c r="O809" s="12">
        <v>1</v>
      </c>
      <c r="P809" s="12" t="s">
        <v>3988</v>
      </c>
      <c r="Q809" s="13" t="s">
        <v>3989</v>
      </c>
      <c r="R809" s="10"/>
      <c r="S809" s="10"/>
      <c r="T809" s="11"/>
    </row>
    <row r="810" spans="1:20" ht="70" x14ac:dyDescent="0.35">
      <c r="A810" s="12" t="s">
        <v>413</v>
      </c>
      <c r="B810" s="12" t="s">
        <v>365</v>
      </c>
      <c r="C810" s="13" t="s">
        <v>3990</v>
      </c>
      <c r="D810" s="13"/>
      <c r="E810" s="12" t="s">
        <v>3991</v>
      </c>
      <c r="F810" s="12"/>
      <c r="G810" s="12"/>
      <c r="H810" s="12"/>
      <c r="I810" s="14"/>
      <c r="J810" s="12"/>
      <c r="K810" s="12"/>
      <c r="L810" s="14"/>
      <c r="M810" s="12"/>
      <c r="N810" s="14"/>
      <c r="O810" s="12">
        <v>1</v>
      </c>
      <c r="P810" s="12" t="s">
        <v>3992</v>
      </c>
      <c r="Q810" s="13" t="s">
        <v>3993</v>
      </c>
      <c r="R810" s="10"/>
      <c r="S810" s="10"/>
      <c r="T810" s="11"/>
    </row>
    <row r="811" spans="1:20" ht="70" x14ac:dyDescent="0.35">
      <c r="A811" s="12" t="s">
        <v>413</v>
      </c>
      <c r="B811" s="12" t="s">
        <v>365</v>
      </c>
      <c r="C811" s="13" t="s">
        <v>3994</v>
      </c>
      <c r="D811" s="13" t="s">
        <v>3995</v>
      </c>
      <c r="E811" s="12" t="s">
        <v>3996</v>
      </c>
      <c r="F811" s="12"/>
      <c r="G811" s="12"/>
      <c r="H811" s="12"/>
      <c r="I811" s="14"/>
      <c r="J811" s="12"/>
      <c r="K811" s="12"/>
      <c r="L811" s="14"/>
      <c r="M811" s="12"/>
      <c r="N811" s="14"/>
      <c r="O811" s="12">
        <v>1</v>
      </c>
      <c r="P811" s="12" t="s">
        <v>3997</v>
      </c>
      <c r="Q811" s="13" t="s">
        <v>3998</v>
      </c>
      <c r="R811" s="10"/>
      <c r="S811" s="10"/>
      <c r="T811" s="11"/>
    </row>
    <row r="812" spans="1:20" ht="56" x14ac:dyDescent="0.35">
      <c r="A812" s="12" t="s">
        <v>413</v>
      </c>
      <c r="B812" s="12" t="s">
        <v>365</v>
      </c>
      <c r="C812" s="13" t="s">
        <v>3999</v>
      </c>
      <c r="D812" s="13" t="s">
        <v>4000</v>
      </c>
      <c r="E812" s="12" t="s">
        <v>1300</v>
      </c>
      <c r="F812" s="12"/>
      <c r="G812" s="12"/>
      <c r="H812" s="12"/>
      <c r="I812" s="14"/>
      <c r="J812" s="12"/>
      <c r="K812" s="12"/>
      <c r="L812" s="14"/>
      <c r="M812" s="12"/>
      <c r="N812" s="14"/>
      <c r="O812" s="12">
        <v>1</v>
      </c>
      <c r="P812" s="12" t="s">
        <v>4001</v>
      </c>
      <c r="Q812" s="13" t="s">
        <v>4002</v>
      </c>
      <c r="R812" s="10"/>
      <c r="S812" s="10"/>
      <c r="T812" s="11"/>
    </row>
    <row r="813" spans="1:20" ht="56" x14ac:dyDescent="0.35">
      <c r="A813" s="12" t="s">
        <v>413</v>
      </c>
      <c r="B813" s="12" t="s">
        <v>365</v>
      </c>
      <c r="C813" s="13" t="s">
        <v>4003</v>
      </c>
      <c r="D813" s="13" t="s">
        <v>4004</v>
      </c>
      <c r="E813" s="12" t="s">
        <v>1294</v>
      </c>
      <c r="F813" s="12"/>
      <c r="G813" s="12"/>
      <c r="H813" s="12"/>
      <c r="I813" s="14"/>
      <c r="J813" s="12"/>
      <c r="K813" s="12"/>
      <c r="L813" s="14"/>
      <c r="M813" s="12"/>
      <c r="N813" s="14"/>
      <c r="O813" s="12">
        <v>1</v>
      </c>
      <c r="P813" s="12" t="s">
        <v>4005</v>
      </c>
      <c r="Q813" s="13" t="s">
        <v>4006</v>
      </c>
      <c r="R813" s="10"/>
      <c r="S813" s="10"/>
      <c r="T813" s="11"/>
    </row>
    <row r="814" spans="1:20" ht="112" x14ac:dyDescent="0.35">
      <c r="A814" s="12" t="s">
        <v>413</v>
      </c>
      <c r="B814" s="12" t="s">
        <v>365</v>
      </c>
      <c r="C814" s="13" t="s">
        <v>4007</v>
      </c>
      <c r="D814" s="13" t="s">
        <v>4008</v>
      </c>
      <c r="E814" s="12" t="s">
        <v>4009</v>
      </c>
      <c r="F814" s="12"/>
      <c r="G814" s="12"/>
      <c r="H814" s="12"/>
      <c r="I814" s="14"/>
      <c r="J814" s="12"/>
      <c r="K814" s="12"/>
      <c r="L814" s="14"/>
      <c r="M814" s="12"/>
      <c r="N814" s="14"/>
      <c r="O814" s="12">
        <v>1</v>
      </c>
      <c r="P814" s="12" t="s">
        <v>4010</v>
      </c>
      <c r="Q814" s="13" t="s">
        <v>4011</v>
      </c>
      <c r="R814" s="10"/>
      <c r="S814" s="10"/>
      <c r="T814" s="11"/>
    </row>
    <row r="815" spans="1:20" ht="126" x14ac:dyDescent="0.35">
      <c r="A815" s="12" t="s">
        <v>413</v>
      </c>
      <c r="B815" s="12" t="s">
        <v>365</v>
      </c>
      <c r="C815" s="13" t="s">
        <v>4012</v>
      </c>
      <c r="D815" s="13" t="s">
        <v>4013</v>
      </c>
      <c r="E815" s="12" t="s">
        <v>4009</v>
      </c>
      <c r="F815" s="12"/>
      <c r="G815" s="12"/>
      <c r="H815" s="12"/>
      <c r="I815" s="14"/>
      <c r="J815" s="12"/>
      <c r="K815" s="12"/>
      <c r="L815" s="14"/>
      <c r="M815" s="12"/>
      <c r="N815" s="14"/>
      <c r="O815" s="12">
        <v>1</v>
      </c>
      <c r="P815" s="12" t="s">
        <v>4014</v>
      </c>
      <c r="Q815" s="13" t="s">
        <v>4015</v>
      </c>
      <c r="R815" s="10"/>
      <c r="S815" s="10"/>
      <c r="T815" s="11"/>
    </row>
    <row r="816" spans="1:20" ht="56" x14ac:dyDescent="0.35">
      <c r="A816" s="12" t="s">
        <v>413</v>
      </c>
      <c r="B816" s="12" t="s">
        <v>365</v>
      </c>
      <c r="C816" s="13" t="s">
        <v>4016</v>
      </c>
      <c r="D816" s="13" t="s">
        <v>3173</v>
      </c>
      <c r="E816" s="12" t="s">
        <v>4016</v>
      </c>
      <c r="F816" s="12"/>
      <c r="G816" s="12"/>
      <c r="H816" s="12"/>
      <c r="I816" s="14"/>
      <c r="J816" s="12"/>
      <c r="K816" s="12"/>
      <c r="L816" s="14"/>
      <c r="M816" s="12"/>
      <c r="N816" s="14"/>
      <c r="O816" s="12">
        <v>1</v>
      </c>
      <c r="P816" s="12" t="s">
        <v>3176</v>
      </c>
      <c r="Q816" s="13" t="s">
        <v>3177</v>
      </c>
      <c r="R816" s="10"/>
      <c r="S816" s="10"/>
      <c r="T816" s="11"/>
    </row>
    <row r="817" spans="1:20" ht="112" x14ac:dyDescent="0.35">
      <c r="A817" s="12" t="s">
        <v>413</v>
      </c>
      <c r="B817" s="12" t="s">
        <v>365</v>
      </c>
      <c r="C817" s="13" t="s">
        <v>4017</v>
      </c>
      <c r="D817" s="13" t="s">
        <v>4018</v>
      </c>
      <c r="E817" s="12" t="s">
        <v>4016</v>
      </c>
      <c r="F817" s="12"/>
      <c r="G817" s="12"/>
      <c r="H817" s="12"/>
      <c r="I817" s="14"/>
      <c r="J817" s="12"/>
      <c r="K817" s="12"/>
      <c r="L817" s="14"/>
      <c r="M817" s="12"/>
      <c r="N817" s="14"/>
      <c r="O817" s="12">
        <v>1</v>
      </c>
      <c r="P817" s="12" t="s">
        <v>4019</v>
      </c>
      <c r="Q817" s="13" t="s">
        <v>4020</v>
      </c>
      <c r="R817" s="10"/>
      <c r="S817" s="10"/>
      <c r="T817" s="11"/>
    </row>
    <row r="818" spans="1:20" ht="84" x14ac:dyDescent="0.35">
      <c r="A818" s="12" t="s">
        <v>413</v>
      </c>
      <c r="B818" s="12" t="s">
        <v>365</v>
      </c>
      <c r="C818" s="13" t="s">
        <v>4021</v>
      </c>
      <c r="D818" s="13" t="s">
        <v>4022</v>
      </c>
      <c r="E818" s="12" t="s">
        <v>4023</v>
      </c>
      <c r="F818" s="12"/>
      <c r="G818" s="12"/>
      <c r="H818" s="12"/>
      <c r="I818" s="14"/>
      <c r="J818" s="12"/>
      <c r="K818" s="12"/>
      <c r="L818" s="14"/>
      <c r="M818" s="12"/>
      <c r="N818" s="14"/>
      <c r="O818" s="12">
        <v>1</v>
      </c>
      <c r="P818" s="12" t="s">
        <v>4024</v>
      </c>
      <c r="Q818" s="13" t="s">
        <v>4025</v>
      </c>
      <c r="R818" s="10"/>
      <c r="S818" s="10"/>
      <c r="T818" s="11"/>
    </row>
    <row r="819" spans="1:20" ht="56" x14ac:dyDescent="0.35">
      <c r="A819" s="12" t="s">
        <v>413</v>
      </c>
      <c r="B819" s="12" t="s">
        <v>365</v>
      </c>
      <c r="C819" s="13" t="s">
        <v>4026</v>
      </c>
      <c r="D819" s="13" t="s">
        <v>4027</v>
      </c>
      <c r="E819" s="12" t="s">
        <v>1475</v>
      </c>
      <c r="F819" s="12"/>
      <c r="G819" s="12"/>
      <c r="H819" s="12"/>
      <c r="I819" s="14"/>
      <c r="J819" s="12"/>
      <c r="K819" s="12"/>
      <c r="L819" s="14"/>
      <c r="M819" s="12"/>
      <c r="N819" s="14"/>
      <c r="O819" s="12">
        <v>1</v>
      </c>
      <c r="P819" s="12" t="s">
        <v>4028</v>
      </c>
      <c r="Q819" s="13" t="s">
        <v>4029</v>
      </c>
      <c r="R819" s="10"/>
      <c r="S819" s="10"/>
      <c r="T819" s="11"/>
    </row>
    <row r="820" spans="1:20" ht="98" x14ac:dyDescent="0.35">
      <c r="A820" s="12" t="s">
        <v>413</v>
      </c>
      <c r="B820" s="12" t="s">
        <v>365</v>
      </c>
      <c r="C820" s="13" t="s">
        <v>4030</v>
      </c>
      <c r="D820" s="13" t="s">
        <v>4031</v>
      </c>
      <c r="E820" s="12" t="s">
        <v>4032</v>
      </c>
      <c r="F820" s="12"/>
      <c r="G820" s="12"/>
      <c r="H820" s="12"/>
      <c r="I820" s="14"/>
      <c r="J820" s="12"/>
      <c r="K820" s="12"/>
      <c r="L820" s="14"/>
      <c r="M820" s="12"/>
      <c r="N820" s="14"/>
      <c r="O820" s="12">
        <v>1</v>
      </c>
      <c r="P820" s="12" t="s">
        <v>4033</v>
      </c>
      <c r="Q820" s="13" t="s">
        <v>4034</v>
      </c>
      <c r="R820" s="10"/>
      <c r="S820" s="10"/>
      <c r="T820" s="11"/>
    </row>
    <row r="821" spans="1:20" ht="70" x14ac:dyDescent="0.35">
      <c r="A821" s="12" t="s">
        <v>413</v>
      </c>
      <c r="B821" s="12" t="s">
        <v>365</v>
      </c>
      <c r="C821" s="13" t="s">
        <v>4035</v>
      </c>
      <c r="D821" s="13"/>
      <c r="E821" s="12" t="s">
        <v>4036</v>
      </c>
      <c r="F821" s="12"/>
      <c r="G821" s="12"/>
      <c r="H821" s="12"/>
      <c r="I821" s="14"/>
      <c r="J821" s="12"/>
      <c r="K821" s="12"/>
      <c r="L821" s="14"/>
      <c r="M821" s="12"/>
      <c r="N821" s="14"/>
      <c r="O821" s="12">
        <v>1</v>
      </c>
      <c r="P821" s="12" t="s">
        <v>4037</v>
      </c>
      <c r="Q821" s="13" t="s">
        <v>4038</v>
      </c>
      <c r="R821" s="10"/>
      <c r="S821" s="10"/>
      <c r="T821" s="11"/>
    </row>
    <row r="822" spans="1:20" ht="42" x14ac:dyDescent="0.35">
      <c r="A822" s="12" t="s">
        <v>413</v>
      </c>
      <c r="B822" s="12" t="s">
        <v>365</v>
      </c>
      <c r="C822" s="13" t="s">
        <v>4039</v>
      </c>
      <c r="D822" s="13" t="s">
        <v>4040</v>
      </c>
      <c r="E822" s="12" t="s">
        <v>1280</v>
      </c>
      <c r="F822" s="12"/>
      <c r="G822" s="12"/>
      <c r="H822" s="12"/>
      <c r="I822" s="14"/>
      <c r="J822" s="12"/>
      <c r="K822" s="12"/>
      <c r="L822" s="14"/>
      <c r="M822" s="12"/>
      <c r="N822" s="14"/>
      <c r="O822" s="12">
        <v>1</v>
      </c>
      <c r="P822" s="12" t="s">
        <v>4041</v>
      </c>
      <c r="Q822" s="13" t="s">
        <v>4042</v>
      </c>
      <c r="R822" s="10"/>
      <c r="S822" s="10"/>
      <c r="T822" s="11"/>
    </row>
    <row r="823" spans="1:20" ht="84" x14ac:dyDescent="0.35">
      <c r="A823" s="12" t="s">
        <v>413</v>
      </c>
      <c r="B823" s="12" t="s">
        <v>365</v>
      </c>
      <c r="C823" s="13" t="s">
        <v>4043</v>
      </c>
      <c r="D823" s="13" t="s">
        <v>4044</v>
      </c>
      <c r="E823" s="12" t="s">
        <v>1280</v>
      </c>
      <c r="F823" s="12"/>
      <c r="G823" s="12"/>
      <c r="H823" s="12"/>
      <c r="I823" s="14"/>
      <c r="J823" s="12"/>
      <c r="K823" s="12"/>
      <c r="L823" s="14"/>
      <c r="M823" s="12"/>
      <c r="N823" s="14"/>
      <c r="O823" s="12">
        <v>1</v>
      </c>
      <c r="P823" s="12" t="s">
        <v>4045</v>
      </c>
      <c r="Q823" s="13" t="s">
        <v>4046</v>
      </c>
      <c r="R823" s="10"/>
      <c r="S823" s="10"/>
      <c r="T823" s="11"/>
    </row>
    <row r="824" spans="1:20" ht="98" x14ac:dyDescent="0.35">
      <c r="A824" s="12" t="s">
        <v>413</v>
      </c>
      <c r="B824" s="12" t="s">
        <v>365</v>
      </c>
      <c r="C824" s="13" t="s">
        <v>4047</v>
      </c>
      <c r="D824" s="13" t="s">
        <v>4048</v>
      </c>
      <c r="E824" s="12" t="s">
        <v>205</v>
      </c>
      <c r="F824" s="12"/>
      <c r="G824" s="12"/>
      <c r="H824" s="12"/>
      <c r="I824" s="14"/>
      <c r="J824" s="12"/>
      <c r="K824" s="12"/>
      <c r="L824" s="14"/>
      <c r="M824" s="12"/>
      <c r="N824" s="14"/>
      <c r="O824" s="12">
        <v>1</v>
      </c>
      <c r="P824" s="12" t="s">
        <v>4049</v>
      </c>
      <c r="Q824" s="13" t="s">
        <v>4050</v>
      </c>
      <c r="R824" s="10"/>
      <c r="S824" s="10"/>
      <c r="T824" s="11"/>
    </row>
    <row r="825" spans="1:20" ht="98" x14ac:dyDescent="0.35">
      <c r="A825" s="12" t="s">
        <v>413</v>
      </c>
      <c r="B825" s="12" t="s">
        <v>365</v>
      </c>
      <c r="C825" s="13" t="s">
        <v>4051</v>
      </c>
      <c r="D825" s="13" t="s">
        <v>4052</v>
      </c>
      <c r="E825" s="12" t="s">
        <v>205</v>
      </c>
      <c r="F825" s="12"/>
      <c r="G825" s="12"/>
      <c r="H825" s="12"/>
      <c r="I825" s="14"/>
      <c r="J825" s="12"/>
      <c r="K825" s="12"/>
      <c r="L825" s="14"/>
      <c r="M825" s="12"/>
      <c r="N825" s="14"/>
      <c r="O825" s="12">
        <v>1</v>
      </c>
      <c r="P825" s="12" t="s">
        <v>4053</v>
      </c>
      <c r="Q825" s="13" t="s">
        <v>4054</v>
      </c>
      <c r="R825" s="10"/>
      <c r="S825" s="10"/>
      <c r="T825" s="11"/>
    </row>
    <row r="826" spans="1:20" ht="126" x14ac:dyDescent="0.35">
      <c r="A826" s="12" t="s">
        <v>413</v>
      </c>
      <c r="B826" s="12" t="s">
        <v>365</v>
      </c>
      <c r="C826" s="13" t="s">
        <v>4055</v>
      </c>
      <c r="D826" s="13" t="s">
        <v>4056</v>
      </c>
      <c r="E826" s="12" t="s">
        <v>1751</v>
      </c>
      <c r="F826" s="12"/>
      <c r="G826" s="12"/>
      <c r="H826" s="12"/>
      <c r="I826" s="14"/>
      <c r="J826" s="12"/>
      <c r="K826" s="12"/>
      <c r="L826" s="14"/>
      <c r="M826" s="12"/>
      <c r="N826" s="14"/>
      <c r="O826" s="12">
        <v>1</v>
      </c>
      <c r="P826" s="12" t="s">
        <v>4057</v>
      </c>
      <c r="Q826" s="13" t="s">
        <v>4058</v>
      </c>
      <c r="R826" s="10"/>
      <c r="S826" s="10"/>
      <c r="T826" s="11"/>
    </row>
    <row r="827" spans="1:20" ht="98" x14ac:dyDescent="0.35">
      <c r="A827" s="12" t="s">
        <v>413</v>
      </c>
      <c r="B827" s="12" t="s">
        <v>365</v>
      </c>
      <c r="C827" s="13" t="s">
        <v>4059</v>
      </c>
      <c r="D827" s="13" t="s">
        <v>4060</v>
      </c>
      <c r="E827" s="12" t="s">
        <v>1336</v>
      </c>
      <c r="F827" s="12"/>
      <c r="G827" s="12"/>
      <c r="H827" s="12"/>
      <c r="I827" s="14"/>
      <c r="J827" s="12"/>
      <c r="K827" s="12"/>
      <c r="L827" s="14"/>
      <c r="M827" s="12"/>
      <c r="N827" s="14"/>
      <c r="O827" s="12">
        <v>1</v>
      </c>
      <c r="P827" s="12" t="s">
        <v>4061</v>
      </c>
      <c r="Q827" s="13" t="s">
        <v>4062</v>
      </c>
      <c r="R827" s="10"/>
      <c r="S827" s="10"/>
      <c r="T827" s="11"/>
    </row>
    <row r="828" spans="1:20" ht="56" x14ac:dyDescent="0.35">
      <c r="A828" s="12" t="s">
        <v>413</v>
      </c>
      <c r="B828" s="12" t="s">
        <v>365</v>
      </c>
      <c r="C828" s="13" t="s">
        <v>4063</v>
      </c>
      <c r="D828" s="13" t="s">
        <v>4064</v>
      </c>
      <c r="E828" s="12" t="s">
        <v>3174</v>
      </c>
      <c r="F828" s="12"/>
      <c r="G828" s="12"/>
      <c r="H828" s="12"/>
      <c r="I828" s="14"/>
      <c r="J828" s="12"/>
      <c r="K828" s="12"/>
      <c r="L828" s="14"/>
      <c r="M828" s="12"/>
      <c r="N828" s="14"/>
      <c r="O828" s="12">
        <v>1</v>
      </c>
      <c r="P828" s="12" t="s">
        <v>4065</v>
      </c>
      <c r="Q828" s="13" t="s">
        <v>4066</v>
      </c>
      <c r="R828" s="10"/>
      <c r="S828" s="10"/>
      <c r="T828" s="11"/>
    </row>
    <row r="829" spans="1:20" ht="56" x14ac:dyDescent="0.35">
      <c r="A829" s="12" t="s">
        <v>413</v>
      </c>
      <c r="B829" s="12" t="s">
        <v>365</v>
      </c>
      <c r="C829" s="13" t="s">
        <v>4067</v>
      </c>
      <c r="D829" s="13" t="s">
        <v>4068</v>
      </c>
      <c r="E829" s="12" t="s">
        <v>3174</v>
      </c>
      <c r="F829" s="12"/>
      <c r="G829" s="12"/>
      <c r="H829" s="12"/>
      <c r="I829" s="14"/>
      <c r="J829" s="12"/>
      <c r="K829" s="12"/>
      <c r="L829" s="14"/>
      <c r="M829" s="12"/>
      <c r="N829" s="14"/>
      <c r="O829" s="12">
        <v>1</v>
      </c>
      <c r="P829" s="12" t="s">
        <v>4069</v>
      </c>
      <c r="Q829" s="13" t="s">
        <v>4070</v>
      </c>
      <c r="R829" s="10"/>
      <c r="S829" s="10"/>
      <c r="T829" s="11"/>
    </row>
    <row r="830" spans="1:20" ht="56" x14ac:dyDescent="0.35">
      <c r="A830" s="12" t="s">
        <v>413</v>
      </c>
      <c r="B830" s="12" t="s">
        <v>365</v>
      </c>
      <c r="C830" s="13" t="s">
        <v>4071</v>
      </c>
      <c r="D830" s="13" t="s">
        <v>4072</v>
      </c>
      <c r="E830" s="12" t="s">
        <v>1475</v>
      </c>
      <c r="F830" s="12"/>
      <c r="G830" s="12"/>
      <c r="H830" s="12"/>
      <c r="I830" s="14"/>
      <c r="J830" s="12"/>
      <c r="K830" s="12"/>
      <c r="L830" s="14"/>
      <c r="M830" s="12"/>
      <c r="N830" s="14"/>
      <c r="O830" s="12">
        <v>1</v>
      </c>
      <c r="P830" s="12" t="s">
        <v>4073</v>
      </c>
      <c r="Q830" s="13" t="s">
        <v>4074</v>
      </c>
      <c r="R830" s="10"/>
      <c r="S830" s="10"/>
      <c r="T830" s="11"/>
    </row>
    <row r="831" spans="1:20" ht="56" x14ac:dyDescent="0.35">
      <c r="A831" s="12" t="s">
        <v>413</v>
      </c>
      <c r="B831" s="12" t="s">
        <v>365</v>
      </c>
      <c r="C831" s="13" t="s">
        <v>4075</v>
      </c>
      <c r="D831" s="13" t="s">
        <v>4076</v>
      </c>
      <c r="E831" s="12" t="s">
        <v>291</v>
      </c>
      <c r="F831" s="12"/>
      <c r="G831" s="12"/>
      <c r="H831" s="12"/>
      <c r="I831" s="14"/>
      <c r="J831" s="12"/>
      <c r="K831" s="12"/>
      <c r="L831" s="14"/>
      <c r="M831" s="12"/>
      <c r="N831" s="14"/>
      <c r="O831" s="12">
        <v>1</v>
      </c>
      <c r="P831" s="12" t="s">
        <v>4077</v>
      </c>
      <c r="Q831" s="13" t="s">
        <v>4078</v>
      </c>
      <c r="R831" s="10"/>
      <c r="S831" s="10"/>
      <c r="T831" s="11"/>
    </row>
    <row r="832" spans="1:20" ht="84" x14ac:dyDescent="0.35">
      <c r="A832" s="12" t="s">
        <v>413</v>
      </c>
      <c r="B832" s="12" t="s">
        <v>365</v>
      </c>
      <c r="C832" s="13" t="s">
        <v>4079</v>
      </c>
      <c r="D832" s="13" t="s">
        <v>4080</v>
      </c>
      <c r="E832" s="12" t="s">
        <v>1848</v>
      </c>
      <c r="F832" s="12"/>
      <c r="G832" s="12"/>
      <c r="H832" s="12"/>
      <c r="I832" s="14"/>
      <c r="J832" s="12"/>
      <c r="K832" s="12"/>
      <c r="L832" s="14"/>
      <c r="M832" s="12"/>
      <c r="N832" s="14"/>
      <c r="O832" s="12">
        <v>1</v>
      </c>
      <c r="P832" s="12" t="s">
        <v>4081</v>
      </c>
      <c r="Q832" s="13" t="s">
        <v>4082</v>
      </c>
      <c r="R832" s="10"/>
      <c r="S832" s="10"/>
      <c r="T832" s="11"/>
    </row>
    <row r="833" spans="1:20" ht="56" x14ac:dyDescent="0.35">
      <c r="A833" s="12" t="s">
        <v>413</v>
      </c>
      <c r="B833" s="12" t="s">
        <v>365</v>
      </c>
      <c r="C833" s="13" t="s">
        <v>4083</v>
      </c>
      <c r="D833" s="13" t="s">
        <v>4084</v>
      </c>
      <c r="E833" s="12" t="s">
        <v>2286</v>
      </c>
      <c r="F833" s="12"/>
      <c r="G833" s="12"/>
      <c r="H833" s="12"/>
      <c r="I833" s="14"/>
      <c r="J833" s="12"/>
      <c r="K833" s="12"/>
      <c r="L833" s="14"/>
      <c r="M833" s="12"/>
      <c r="N833" s="14"/>
      <c r="O833" s="12">
        <v>1</v>
      </c>
      <c r="P833" s="12" t="s">
        <v>4085</v>
      </c>
      <c r="Q833" s="13" t="s">
        <v>4086</v>
      </c>
      <c r="R833" s="10"/>
      <c r="S833" s="10"/>
      <c r="T833" s="11"/>
    </row>
    <row r="834" spans="1:20" ht="42" x14ac:dyDescent="0.35">
      <c r="A834" s="12" t="s">
        <v>413</v>
      </c>
      <c r="B834" s="12" t="s">
        <v>365</v>
      </c>
      <c r="C834" s="13" t="s">
        <v>4087</v>
      </c>
      <c r="D834" s="13" t="s">
        <v>4088</v>
      </c>
      <c r="E834" s="12" t="s">
        <v>2286</v>
      </c>
      <c r="F834" s="12"/>
      <c r="G834" s="12"/>
      <c r="H834" s="12"/>
      <c r="I834" s="14"/>
      <c r="J834" s="12"/>
      <c r="K834" s="12"/>
      <c r="L834" s="14"/>
      <c r="M834" s="12"/>
      <c r="N834" s="14"/>
      <c r="O834" s="12">
        <v>1</v>
      </c>
      <c r="P834" s="12" t="s">
        <v>4089</v>
      </c>
      <c r="Q834" s="13" t="s">
        <v>4090</v>
      </c>
      <c r="R834" s="10"/>
      <c r="S834" s="10"/>
      <c r="T834" s="11"/>
    </row>
    <row r="835" spans="1:20" ht="70" x14ac:dyDescent="0.35">
      <c r="A835" s="12" t="s">
        <v>413</v>
      </c>
      <c r="B835" s="12" t="s">
        <v>365</v>
      </c>
      <c r="C835" s="13" t="s">
        <v>4091</v>
      </c>
      <c r="D835" s="13"/>
      <c r="E835" s="12" t="s">
        <v>3862</v>
      </c>
      <c r="F835" s="12"/>
      <c r="G835" s="12"/>
      <c r="H835" s="12"/>
      <c r="I835" s="14"/>
      <c r="J835" s="12"/>
      <c r="K835" s="12"/>
      <c r="L835" s="14"/>
      <c r="M835" s="12"/>
      <c r="N835" s="14"/>
      <c r="O835" s="12">
        <v>1</v>
      </c>
      <c r="P835" s="12" t="s">
        <v>4092</v>
      </c>
      <c r="Q835" s="13" t="s">
        <v>4093</v>
      </c>
      <c r="R835" s="10"/>
      <c r="S835" s="10"/>
      <c r="T835" s="11"/>
    </row>
    <row r="836" spans="1:20" ht="70" x14ac:dyDescent="0.35">
      <c r="A836" s="12" t="s">
        <v>413</v>
      </c>
      <c r="B836" s="12" t="s">
        <v>365</v>
      </c>
      <c r="C836" s="13" t="s">
        <v>4094</v>
      </c>
      <c r="D836" s="13" t="s">
        <v>4095</v>
      </c>
      <c r="E836" s="12" t="s">
        <v>1483</v>
      </c>
      <c r="F836" s="12"/>
      <c r="G836" s="12"/>
      <c r="H836" s="12"/>
      <c r="I836" s="14"/>
      <c r="J836" s="12"/>
      <c r="K836" s="12"/>
      <c r="L836" s="14"/>
      <c r="M836" s="12"/>
      <c r="N836" s="14"/>
      <c r="O836" s="12">
        <v>1</v>
      </c>
      <c r="P836" s="12" t="s">
        <v>4096</v>
      </c>
      <c r="Q836" s="13" t="s">
        <v>4097</v>
      </c>
      <c r="R836" s="10"/>
      <c r="S836" s="10"/>
      <c r="T836" s="11"/>
    </row>
    <row r="837" spans="1:20" ht="98" x14ac:dyDescent="0.35">
      <c r="A837" s="12" t="s">
        <v>413</v>
      </c>
      <c r="B837" s="12" t="s">
        <v>365</v>
      </c>
      <c r="C837" s="13" t="s">
        <v>4098</v>
      </c>
      <c r="D837" s="13" t="s">
        <v>4099</v>
      </c>
      <c r="E837" s="12" t="s">
        <v>1255</v>
      </c>
      <c r="F837" s="12"/>
      <c r="G837" s="12"/>
      <c r="H837" s="12"/>
      <c r="I837" s="14"/>
      <c r="J837" s="12"/>
      <c r="K837" s="12"/>
      <c r="L837" s="14"/>
      <c r="M837" s="12"/>
      <c r="N837" s="14"/>
      <c r="O837" s="12">
        <v>1</v>
      </c>
      <c r="P837" s="12" t="s">
        <v>4100</v>
      </c>
      <c r="Q837" s="13" t="s">
        <v>4101</v>
      </c>
      <c r="R837" s="10"/>
      <c r="S837" s="10"/>
      <c r="T837" s="11"/>
    </row>
    <row r="838" spans="1:20" ht="84" x14ac:dyDescent="0.35">
      <c r="A838" s="12" t="s">
        <v>413</v>
      </c>
      <c r="B838" s="12" t="s">
        <v>365</v>
      </c>
      <c r="C838" s="13" t="s">
        <v>4102</v>
      </c>
      <c r="D838" s="13" t="s">
        <v>4103</v>
      </c>
      <c r="E838" s="12" t="s">
        <v>1255</v>
      </c>
      <c r="F838" s="12"/>
      <c r="G838" s="12"/>
      <c r="H838" s="12"/>
      <c r="I838" s="14"/>
      <c r="J838" s="12"/>
      <c r="K838" s="12"/>
      <c r="L838" s="14"/>
      <c r="M838" s="12"/>
      <c r="N838" s="14"/>
      <c r="O838" s="12">
        <v>1</v>
      </c>
      <c r="P838" s="12" t="s">
        <v>4104</v>
      </c>
      <c r="Q838" s="13" t="s">
        <v>4105</v>
      </c>
      <c r="R838" s="10"/>
      <c r="S838" s="10"/>
      <c r="T838" s="11"/>
    </row>
    <row r="839" spans="1:20" ht="56" x14ac:dyDescent="0.35">
      <c r="A839" s="12" t="s">
        <v>413</v>
      </c>
      <c r="B839" s="12" t="s">
        <v>365</v>
      </c>
      <c r="C839" s="13" t="s">
        <v>4106</v>
      </c>
      <c r="D839" s="13" t="s">
        <v>4107</v>
      </c>
      <c r="E839" s="12" t="s">
        <v>1255</v>
      </c>
      <c r="F839" s="12"/>
      <c r="G839" s="12"/>
      <c r="H839" s="12"/>
      <c r="I839" s="14"/>
      <c r="J839" s="12"/>
      <c r="K839" s="12"/>
      <c r="L839" s="14"/>
      <c r="M839" s="12"/>
      <c r="N839" s="14"/>
      <c r="O839" s="12">
        <v>1</v>
      </c>
      <c r="P839" s="12" t="s">
        <v>4108</v>
      </c>
      <c r="Q839" s="13" t="s">
        <v>4109</v>
      </c>
      <c r="R839" s="10"/>
      <c r="S839" s="10"/>
      <c r="T839" s="11"/>
    </row>
    <row r="840" spans="1:20" ht="112" x14ac:dyDescent="0.35">
      <c r="A840" s="12" t="s">
        <v>413</v>
      </c>
      <c r="B840" s="12" t="s">
        <v>365</v>
      </c>
      <c r="C840" s="13" t="s">
        <v>4110</v>
      </c>
      <c r="D840" s="13" t="s">
        <v>4111</v>
      </c>
      <c r="E840" s="12" t="s">
        <v>368</v>
      </c>
      <c r="F840" s="12"/>
      <c r="G840" s="12"/>
      <c r="H840" s="12"/>
      <c r="I840" s="14"/>
      <c r="J840" s="12"/>
      <c r="K840" s="12"/>
      <c r="L840" s="14"/>
      <c r="M840" s="12"/>
      <c r="N840" s="14"/>
      <c r="O840" s="12">
        <v>1</v>
      </c>
      <c r="P840" s="12" t="s">
        <v>4112</v>
      </c>
      <c r="Q840" s="13" t="s">
        <v>4113</v>
      </c>
      <c r="R840" s="10"/>
      <c r="S840" s="10"/>
      <c r="T840" s="11"/>
    </row>
    <row r="841" spans="1:20" ht="70" x14ac:dyDescent="0.35">
      <c r="A841" s="12" t="s">
        <v>413</v>
      </c>
      <c r="B841" s="12" t="s">
        <v>365</v>
      </c>
      <c r="C841" s="13" t="s">
        <v>4114</v>
      </c>
      <c r="D841" s="13" t="s">
        <v>4115</v>
      </c>
      <c r="E841" s="12" t="s">
        <v>1255</v>
      </c>
      <c r="F841" s="12"/>
      <c r="G841" s="12"/>
      <c r="H841" s="12"/>
      <c r="I841" s="14"/>
      <c r="J841" s="12"/>
      <c r="K841" s="12"/>
      <c r="L841" s="14"/>
      <c r="M841" s="12"/>
      <c r="N841" s="14"/>
      <c r="O841" s="12">
        <v>1</v>
      </c>
      <c r="P841" s="12" t="s">
        <v>4116</v>
      </c>
      <c r="Q841" s="13" t="s">
        <v>4117</v>
      </c>
      <c r="R841" s="10"/>
      <c r="S841" s="10"/>
      <c r="T841" s="11"/>
    </row>
    <row r="842" spans="1:20" ht="56" x14ac:dyDescent="0.35">
      <c r="A842" s="12" t="s">
        <v>413</v>
      </c>
      <c r="B842" s="12" t="s">
        <v>365</v>
      </c>
      <c r="C842" s="13" t="s">
        <v>4118</v>
      </c>
      <c r="D842" s="13" t="s">
        <v>4119</v>
      </c>
      <c r="E842" s="12" t="s">
        <v>2178</v>
      </c>
      <c r="F842" s="12"/>
      <c r="G842" s="12"/>
      <c r="H842" s="12"/>
      <c r="I842" s="14"/>
      <c r="J842" s="12"/>
      <c r="K842" s="12"/>
      <c r="L842" s="14"/>
      <c r="M842" s="12"/>
      <c r="N842" s="14"/>
      <c r="O842" s="12">
        <v>8</v>
      </c>
      <c r="P842" s="12" t="s">
        <v>4120</v>
      </c>
      <c r="Q842" s="13" t="s">
        <v>4121</v>
      </c>
      <c r="R842" s="10"/>
      <c r="S842" s="10"/>
      <c r="T842" s="11"/>
    </row>
    <row r="843" spans="1:20" ht="56" x14ac:dyDescent="0.35">
      <c r="A843" s="12" t="s">
        <v>413</v>
      </c>
      <c r="B843" s="12" t="s">
        <v>365</v>
      </c>
      <c r="C843" s="13" t="s">
        <v>4122</v>
      </c>
      <c r="D843" s="13" t="s">
        <v>4123</v>
      </c>
      <c r="E843" s="12" t="s">
        <v>2178</v>
      </c>
      <c r="F843" s="12"/>
      <c r="G843" s="12"/>
      <c r="H843" s="12"/>
      <c r="I843" s="14"/>
      <c r="J843" s="12"/>
      <c r="K843" s="12"/>
      <c r="L843" s="14"/>
      <c r="M843" s="12"/>
      <c r="N843" s="14"/>
      <c r="O843" s="12">
        <v>1</v>
      </c>
      <c r="P843" s="12" t="s">
        <v>4124</v>
      </c>
      <c r="Q843" s="13" t="s">
        <v>1204</v>
      </c>
      <c r="R843" s="10"/>
      <c r="S843" s="10"/>
      <c r="T843" s="11"/>
    </row>
    <row r="844" spans="1:20" ht="70" x14ac:dyDescent="0.35">
      <c r="A844" s="12" t="s">
        <v>413</v>
      </c>
      <c r="B844" s="12" t="s">
        <v>365</v>
      </c>
      <c r="C844" s="13" t="s">
        <v>4125</v>
      </c>
      <c r="D844" s="13" t="s">
        <v>4126</v>
      </c>
      <c r="E844" s="12" t="s">
        <v>2178</v>
      </c>
      <c r="F844" s="12"/>
      <c r="G844" s="12"/>
      <c r="H844" s="12"/>
      <c r="I844" s="14"/>
      <c r="J844" s="12"/>
      <c r="K844" s="12"/>
      <c r="L844" s="14"/>
      <c r="M844" s="12"/>
      <c r="N844" s="14"/>
      <c r="O844" s="12">
        <v>1</v>
      </c>
      <c r="P844" s="12" t="s">
        <v>4127</v>
      </c>
      <c r="Q844" s="13" t="s">
        <v>4128</v>
      </c>
      <c r="R844" s="10"/>
      <c r="S844" s="10"/>
      <c r="T844" s="11"/>
    </row>
    <row r="845" spans="1:20" ht="84" x14ac:dyDescent="0.35">
      <c r="A845" s="12" t="s">
        <v>413</v>
      </c>
      <c r="B845" s="12" t="s">
        <v>365</v>
      </c>
      <c r="C845" s="13" t="s">
        <v>4129</v>
      </c>
      <c r="D845" s="13" t="s">
        <v>4130</v>
      </c>
      <c r="E845" s="12" t="s">
        <v>4131</v>
      </c>
      <c r="F845" s="12"/>
      <c r="G845" s="12"/>
      <c r="H845" s="12"/>
      <c r="I845" s="14"/>
      <c r="J845" s="12"/>
      <c r="K845" s="12"/>
      <c r="L845" s="14"/>
      <c r="M845" s="12"/>
      <c r="N845" s="14"/>
      <c r="O845" s="12">
        <v>1</v>
      </c>
      <c r="P845" s="12" t="s">
        <v>4132</v>
      </c>
      <c r="Q845" s="13" t="s">
        <v>4133</v>
      </c>
      <c r="R845" s="10"/>
      <c r="S845" s="10"/>
      <c r="T845" s="11"/>
    </row>
    <row r="846" spans="1:20" ht="84" x14ac:dyDescent="0.35">
      <c r="A846" s="12" t="s">
        <v>413</v>
      </c>
      <c r="B846" s="12" t="s">
        <v>365</v>
      </c>
      <c r="C846" s="13" t="s">
        <v>4134</v>
      </c>
      <c r="D846" s="13" t="s">
        <v>4135</v>
      </c>
      <c r="E846" s="12" t="s">
        <v>4131</v>
      </c>
      <c r="F846" s="12"/>
      <c r="G846" s="12"/>
      <c r="H846" s="12"/>
      <c r="I846" s="14"/>
      <c r="J846" s="12"/>
      <c r="K846" s="12"/>
      <c r="L846" s="14"/>
      <c r="M846" s="12"/>
      <c r="N846" s="14"/>
      <c r="O846" s="12">
        <v>1</v>
      </c>
      <c r="P846" s="12" t="s">
        <v>4136</v>
      </c>
      <c r="Q846" s="13" t="s">
        <v>4137</v>
      </c>
      <c r="R846" s="10"/>
      <c r="S846" s="10"/>
      <c r="T846" s="11"/>
    </row>
    <row r="847" spans="1:20" ht="84" x14ac:dyDescent="0.35">
      <c r="A847" s="12" t="s">
        <v>413</v>
      </c>
      <c r="B847" s="12" t="s">
        <v>365</v>
      </c>
      <c r="C847" s="13" t="s">
        <v>4138</v>
      </c>
      <c r="D847" s="13" t="s">
        <v>4139</v>
      </c>
      <c r="E847" s="12" t="s">
        <v>4140</v>
      </c>
      <c r="F847" s="12"/>
      <c r="G847" s="12"/>
      <c r="H847" s="12"/>
      <c r="I847" s="14"/>
      <c r="J847" s="12"/>
      <c r="K847" s="12"/>
      <c r="L847" s="14"/>
      <c r="M847" s="12"/>
      <c r="N847" s="14"/>
      <c r="O847" s="12">
        <v>1</v>
      </c>
      <c r="P847" s="12" t="s">
        <v>4141</v>
      </c>
      <c r="Q847" s="13" t="s">
        <v>4142</v>
      </c>
      <c r="R847" s="10"/>
      <c r="S847" s="10"/>
      <c r="T847" s="11"/>
    </row>
    <row r="848" spans="1:20" ht="70" x14ac:dyDescent="0.35">
      <c r="A848" s="12" t="s">
        <v>413</v>
      </c>
      <c r="B848" s="12" t="s">
        <v>365</v>
      </c>
      <c r="C848" s="13" t="s">
        <v>4143</v>
      </c>
      <c r="D848" s="13"/>
      <c r="E848" s="12" t="s">
        <v>1829</v>
      </c>
      <c r="F848" s="12"/>
      <c r="G848" s="12"/>
      <c r="H848" s="12"/>
      <c r="I848" s="14"/>
      <c r="J848" s="12"/>
      <c r="K848" s="12"/>
      <c r="L848" s="14"/>
      <c r="M848" s="12"/>
      <c r="N848" s="14"/>
      <c r="O848" s="12">
        <v>1</v>
      </c>
      <c r="P848" s="12" t="s">
        <v>4144</v>
      </c>
      <c r="Q848" s="13" t="s">
        <v>4145</v>
      </c>
      <c r="R848" s="10"/>
      <c r="S848" s="10"/>
      <c r="T848" s="11"/>
    </row>
    <row r="849" spans="1:20" ht="70" x14ac:dyDescent="0.35">
      <c r="A849" s="12" t="s">
        <v>413</v>
      </c>
      <c r="B849" s="12" t="s">
        <v>365</v>
      </c>
      <c r="C849" s="13" t="s">
        <v>4146</v>
      </c>
      <c r="D849" s="13" t="s">
        <v>4147</v>
      </c>
      <c r="E849" s="12" t="s">
        <v>1829</v>
      </c>
      <c r="F849" s="12"/>
      <c r="G849" s="12"/>
      <c r="H849" s="12"/>
      <c r="I849" s="14"/>
      <c r="J849" s="12"/>
      <c r="K849" s="12"/>
      <c r="L849" s="14"/>
      <c r="M849" s="12"/>
      <c r="N849" s="14"/>
      <c r="O849" s="12">
        <v>1</v>
      </c>
      <c r="P849" s="12" t="s">
        <v>4148</v>
      </c>
      <c r="Q849" s="13" t="s">
        <v>4149</v>
      </c>
      <c r="R849" s="10"/>
      <c r="S849" s="10"/>
      <c r="T849" s="11"/>
    </row>
    <row r="850" spans="1:20" ht="70" x14ac:dyDescent="0.35">
      <c r="A850" s="12" t="s">
        <v>413</v>
      </c>
      <c r="B850" s="12" t="s">
        <v>365</v>
      </c>
      <c r="C850" s="13" t="s">
        <v>4150</v>
      </c>
      <c r="D850" s="13" t="s">
        <v>4151</v>
      </c>
      <c r="E850" s="12"/>
      <c r="F850" s="12"/>
      <c r="G850" s="12"/>
      <c r="H850" s="12"/>
      <c r="I850" s="14"/>
      <c r="J850" s="12"/>
      <c r="K850" s="12"/>
      <c r="L850" s="14"/>
      <c r="M850" s="12"/>
      <c r="N850" s="14"/>
      <c r="O850" s="12">
        <v>1</v>
      </c>
      <c r="P850" s="12" t="s">
        <v>4152</v>
      </c>
      <c r="Q850" s="13" t="s">
        <v>4153</v>
      </c>
      <c r="R850" s="10"/>
      <c r="S850" s="10"/>
      <c r="T850" s="11"/>
    </row>
    <row r="851" spans="1:20" ht="112" x14ac:dyDescent="0.35">
      <c r="A851" s="12" t="s">
        <v>413</v>
      </c>
      <c r="B851" s="12" t="s">
        <v>365</v>
      </c>
      <c r="C851" s="13" t="s">
        <v>4154</v>
      </c>
      <c r="D851" s="13" t="s">
        <v>4155</v>
      </c>
      <c r="E851" s="12" t="s">
        <v>1308</v>
      </c>
      <c r="F851" s="12"/>
      <c r="G851" s="12"/>
      <c r="H851" s="12"/>
      <c r="I851" s="14"/>
      <c r="J851" s="12"/>
      <c r="K851" s="12"/>
      <c r="L851" s="14"/>
      <c r="M851" s="12"/>
      <c r="N851" s="14"/>
      <c r="O851" s="12">
        <v>1</v>
      </c>
      <c r="P851" s="12" t="s">
        <v>4156</v>
      </c>
      <c r="Q851" s="13" t="s">
        <v>4157</v>
      </c>
      <c r="R851" s="10"/>
      <c r="S851" s="10"/>
      <c r="T851" s="11"/>
    </row>
    <row r="852" spans="1:20" ht="84" x14ac:dyDescent="0.35">
      <c r="A852" s="12" t="s">
        <v>413</v>
      </c>
      <c r="B852" s="12" t="s">
        <v>365</v>
      </c>
      <c r="C852" s="13" t="s">
        <v>4158</v>
      </c>
      <c r="D852" s="13" t="s">
        <v>4159</v>
      </c>
      <c r="E852" s="12" t="s">
        <v>1308</v>
      </c>
      <c r="F852" s="12"/>
      <c r="G852" s="12"/>
      <c r="H852" s="12"/>
      <c r="I852" s="14"/>
      <c r="J852" s="12"/>
      <c r="K852" s="12"/>
      <c r="L852" s="14"/>
      <c r="M852" s="12"/>
      <c r="N852" s="14"/>
      <c r="O852" s="12">
        <v>1</v>
      </c>
      <c r="P852" s="12" t="s">
        <v>4160</v>
      </c>
      <c r="Q852" s="13" t="s">
        <v>4161</v>
      </c>
      <c r="R852" s="10"/>
      <c r="S852" s="10"/>
      <c r="T852" s="11"/>
    </row>
    <row r="853" spans="1:20" ht="56" x14ac:dyDescent="0.35">
      <c r="A853" s="12" t="s">
        <v>413</v>
      </c>
      <c r="B853" s="12" t="s">
        <v>365</v>
      </c>
      <c r="C853" s="13" t="s">
        <v>4162</v>
      </c>
      <c r="D853" s="13"/>
      <c r="E853" s="12" t="s">
        <v>4163</v>
      </c>
      <c r="F853" s="12"/>
      <c r="G853" s="12"/>
      <c r="H853" s="12"/>
      <c r="I853" s="14"/>
      <c r="J853" s="12"/>
      <c r="K853" s="12"/>
      <c r="L853" s="14"/>
      <c r="M853" s="12"/>
      <c r="N853" s="14"/>
      <c r="O853" s="12">
        <v>1</v>
      </c>
      <c r="P853" s="12" t="s">
        <v>4164</v>
      </c>
      <c r="Q853" s="13" t="s">
        <v>4165</v>
      </c>
      <c r="R853" s="10"/>
      <c r="S853" s="10"/>
      <c r="T853" s="11"/>
    </row>
    <row r="854" spans="1:20" ht="98" x14ac:dyDescent="0.35">
      <c r="A854" s="12" t="s">
        <v>413</v>
      </c>
      <c r="B854" s="12" t="s">
        <v>365</v>
      </c>
      <c r="C854" s="13" t="s">
        <v>4166</v>
      </c>
      <c r="D854" s="13" t="s">
        <v>4167</v>
      </c>
      <c r="E854" s="12" t="s">
        <v>3372</v>
      </c>
      <c r="F854" s="12"/>
      <c r="G854" s="12"/>
      <c r="H854" s="12"/>
      <c r="I854" s="14"/>
      <c r="J854" s="12"/>
      <c r="K854" s="12"/>
      <c r="L854" s="14"/>
      <c r="M854" s="12"/>
      <c r="N854" s="14"/>
      <c r="O854" s="12">
        <v>1</v>
      </c>
      <c r="P854" s="12" t="s">
        <v>4168</v>
      </c>
      <c r="Q854" s="13" t="s">
        <v>4169</v>
      </c>
      <c r="R854" s="10"/>
      <c r="S854" s="10"/>
      <c r="T854" s="11"/>
    </row>
    <row r="855" spans="1:20" ht="126" x14ac:dyDescent="0.35">
      <c r="A855" s="12" t="s">
        <v>413</v>
      </c>
      <c r="B855" s="12" t="s">
        <v>365</v>
      </c>
      <c r="C855" s="13" t="s">
        <v>4170</v>
      </c>
      <c r="D855" s="13" t="s">
        <v>4171</v>
      </c>
      <c r="E855" s="12" t="s">
        <v>1578</v>
      </c>
      <c r="F855" s="12"/>
      <c r="G855" s="12"/>
      <c r="H855" s="12"/>
      <c r="I855" s="14"/>
      <c r="J855" s="12"/>
      <c r="K855" s="12"/>
      <c r="L855" s="14"/>
      <c r="M855" s="12"/>
      <c r="N855" s="14"/>
      <c r="O855" s="12">
        <v>1</v>
      </c>
      <c r="P855" s="12" t="s">
        <v>4172</v>
      </c>
      <c r="Q855" s="13" t="s">
        <v>4173</v>
      </c>
      <c r="R855" s="10"/>
      <c r="S855" s="10"/>
      <c r="T855" s="11"/>
    </row>
    <row r="856" spans="1:20" ht="168" x14ac:dyDescent="0.35">
      <c r="A856" s="12" t="s">
        <v>413</v>
      </c>
      <c r="B856" s="12" t="s">
        <v>365</v>
      </c>
      <c r="C856" s="13" t="s">
        <v>4174</v>
      </c>
      <c r="D856" s="13" t="s">
        <v>4175</v>
      </c>
      <c r="E856" s="12" t="s">
        <v>4176</v>
      </c>
      <c r="F856" s="12"/>
      <c r="G856" s="12"/>
      <c r="H856" s="12"/>
      <c r="I856" s="14"/>
      <c r="J856" s="12"/>
      <c r="K856" s="12"/>
      <c r="L856" s="14"/>
      <c r="M856" s="12"/>
      <c r="N856" s="14"/>
      <c r="O856" s="12">
        <v>1</v>
      </c>
      <c r="P856" s="12" t="s">
        <v>4177</v>
      </c>
      <c r="Q856" s="13" t="s">
        <v>4178</v>
      </c>
      <c r="R856" s="10"/>
      <c r="S856" s="10"/>
      <c r="T856" s="11"/>
    </row>
    <row r="857" spans="1:20" ht="84" x14ac:dyDescent="0.35">
      <c r="A857" s="12" t="s">
        <v>413</v>
      </c>
      <c r="B857" s="12" t="s">
        <v>365</v>
      </c>
      <c r="C857" s="13" t="s">
        <v>4179</v>
      </c>
      <c r="D857" s="13" t="s">
        <v>4180</v>
      </c>
      <c r="E857" s="12" t="s">
        <v>1696</v>
      </c>
      <c r="F857" s="12"/>
      <c r="G857" s="12"/>
      <c r="H857" s="12"/>
      <c r="I857" s="14"/>
      <c r="J857" s="12"/>
      <c r="K857" s="12"/>
      <c r="L857" s="14"/>
      <c r="M857" s="12"/>
      <c r="N857" s="14"/>
      <c r="O857" s="12">
        <v>1</v>
      </c>
      <c r="P857" s="12" t="s">
        <v>4181</v>
      </c>
      <c r="Q857" s="13" t="s">
        <v>4182</v>
      </c>
      <c r="R857" s="10"/>
      <c r="S857" s="10"/>
      <c r="T857" s="11"/>
    </row>
    <row r="858" spans="1:20" ht="70" x14ac:dyDescent="0.35">
      <c r="A858" s="12" t="s">
        <v>413</v>
      </c>
      <c r="B858" s="12" t="s">
        <v>365</v>
      </c>
      <c r="C858" s="13" t="s">
        <v>4183</v>
      </c>
      <c r="D858" s="13" t="s">
        <v>4184</v>
      </c>
      <c r="E858" s="12" t="s">
        <v>1702</v>
      </c>
      <c r="F858" s="12"/>
      <c r="G858" s="12"/>
      <c r="H858" s="12"/>
      <c r="I858" s="14"/>
      <c r="J858" s="12"/>
      <c r="K858" s="12"/>
      <c r="L858" s="14"/>
      <c r="M858" s="12"/>
      <c r="N858" s="14"/>
      <c r="O858" s="12">
        <v>1</v>
      </c>
      <c r="P858" s="12" t="s">
        <v>4185</v>
      </c>
      <c r="Q858" s="13" t="s">
        <v>4186</v>
      </c>
      <c r="R858" s="10"/>
      <c r="S858" s="10"/>
      <c r="T858" s="11"/>
    </row>
    <row r="859" spans="1:20" ht="98" x14ac:dyDescent="0.35">
      <c r="A859" s="12" t="s">
        <v>413</v>
      </c>
      <c r="B859" s="12" t="s">
        <v>365</v>
      </c>
      <c r="C859" s="13" t="s">
        <v>4187</v>
      </c>
      <c r="D859" s="13" t="s">
        <v>4188</v>
      </c>
      <c r="E859" s="12" t="s">
        <v>4189</v>
      </c>
      <c r="F859" s="12"/>
      <c r="G859" s="12"/>
      <c r="H859" s="12"/>
      <c r="I859" s="14"/>
      <c r="J859" s="12"/>
      <c r="K859" s="12"/>
      <c r="L859" s="14"/>
      <c r="M859" s="12"/>
      <c r="N859" s="14"/>
      <c r="O859" s="12">
        <v>1</v>
      </c>
      <c r="P859" s="12" t="s">
        <v>4190</v>
      </c>
      <c r="Q859" s="13" t="s">
        <v>4191</v>
      </c>
      <c r="R859" s="10"/>
      <c r="S859" s="10"/>
      <c r="T859" s="11"/>
    </row>
    <row r="860" spans="1:20" ht="56" x14ac:dyDescent="0.35">
      <c r="A860" s="12" t="s">
        <v>413</v>
      </c>
      <c r="B860" s="12" t="s">
        <v>365</v>
      </c>
      <c r="C860" s="13" t="s">
        <v>4192</v>
      </c>
      <c r="D860" s="13" t="s">
        <v>4193</v>
      </c>
      <c r="E860" s="12" t="s">
        <v>4194</v>
      </c>
      <c r="F860" s="12"/>
      <c r="G860" s="12"/>
      <c r="H860" s="12"/>
      <c r="I860" s="14"/>
      <c r="J860" s="12"/>
      <c r="K860" s="12"/>
      <c r="L860" s="14"/>
      <c r="M860" s="12"/>
      <c r="N860" s="14"/>
      <c r="O860" s="12">
        <v>1</v>
      </c>
      <c r="P860" s="12" t="s">
        <v>4195</v>
      </c>
      <c r="Q860" s="13" t="s">
        <v>4196</v>
      </c>
      <c r="R860" s="10"/>
      <c r="S860" s="10"/>
      <c r="T860" s="11"/>
    </row>
    <row r="861" spans="1:20" ht="70" x14ac:dyDescent="0.35">
      <c r="A861" s="12" t="s">
        <v>413</v>
      </c>
      <c r="B861" s="12" t="s">
        <v>365</v>
      </c>
      <c r="C861" s="13" t="s">
        <v>4197</v>
      </c>
      <c r="D861" s="13" t="s">
        <v>4198</v>
      </c>
      <c r="E861" s="12" t="s">
        <v>218</v>
      </c>
      <c r="F861" s="12"/>
      <c r="G861" s="12"/>
      <c r="H861" s="12"/>
      <c r="I861" s="14"/>
      <c r="J861" s="12"/>
      <c r="K861" s="12"/>
      <c r="L861" s="14"/>
      <c r="M861" s="12"/>
      <c r="N861" s="14"/>
      <c r="O861" s="12">
        <v>1</v>
      </c>
      <c r="P861" s="12" t="s">
        <v>4199</v>
      </c>
      <c r="Q861" s="13" t="s">
        <v>4200</v>
      </c>
      <c r="R861" s="10"/>
      <c r="S861" s="10"/>
      <c r="T861" s="11"/>
    </row>
    <row r="862" spans="1:20" ht="84" x14ac:dyDescent="0.35">
      <c r="A862" s="12" t="s">
        <v>413</v>
      </c>
      <c r="B862" s="12" t="s">
        <v>365</v>
      </c>
      <c r="C862" s="13" t="s">
        <v>4201</v>
      </c>
      <c r="D862" s="13" t="s">
        <v>4202</v>
      </c>
      <c r="E862" s="12" t="s">
        <v>1294</v>
      </c>
      <c r="F862" s="12"/>
      <c r="G862" s="12"/>
      <c r="H862" s="12"/>
      <c r="I862" s="14"/>
      <c r="J862" s="12"/>
      <c r="K862" s="12"/>
      <c r="L862" s="14"/>
      <c r="M862" s="12"/>
      <c r="N862" s="14"/>
      <c r="O862" s="12">
        <v>2</v>
      </c>
      <c r="P862" s="12" t="s">
        <v>4203</v>
      </c>
      <c r="Q862" s="13" t="s">
        <v>4204</v>
      </c>
      <c r="R862" s="10"/>
      <c r="S862" s="10"/>
      <c r="T862" s="11"/>
    </row>
    <row r="863" spans="1:20" ht="154" x14ac:dyDescent="0.35">
      <c r="A863" s="12" t="s">
        <v>413</v>
      </c>
      <c r="B863" s="12" t="s">
        <v>365</v>
      </c>
      <c r="C863" s="13" t="s">
        <v>4205</v>
      </c>
      <c r="D863" s="13" t="s">
        <v>1293</v>
      </c>
      <c r="E863" s="12" t="s">
        <v>1294</v>
      </c>
      <c r="F863" s="12"/>
      <c r="G863" s="12"/>
      <c r="H863" s="12"/>
      <c r="I863" s="14"/>
      <c r="J863" s="12"/>
      <c r="K863" s="12"/>
      <c r="L863" s="14"/>
      <c r="M863" s="12"/>
      <c r="N863" s="14"/>
      <c r="O863" s="12">
        <v>1</v>
      </c>
      <c r="P863" s="12" t="s">
        <v>1296</v>
      </c>
      <c r="Q863" s="13" t="s">
        <v>1297</v>
      </c>
      <c r="R863" s="10"/>
      <c r="S863" s="10"/>
      <c r="T863" s="11"/>
    </row>
    <row r="864" spans="1:20" ht="112" x14ac:dyDescent="0.35">
      <c r="A864" s="12" t="s">
        <v>413</v>
      </c>
      <c r="B864" s="12" t="s">
        <v>365</v>
      </c>
      <c r="C864" s="13" t="s">
        <v>4206</v>
      </c>
      <c r="D864" s="13"/>
      <c r="E864" s="12" t="s">
        <v>309</v>
      </c>
      <c r="F864" s="12"/>
      <c r="G864" s="12"/>
      <c r="H864" s="12"/>
      <c r="I864" s="14"/>
      <c r="J864" s="12"/>
      <c r="K864" s="12"/>
      <c r="L864" s="14"/>
      <c r="M864" s="12"/>
      <c r="N864" s="14"/>
      <c r="O864" s="12">
        <v>1</v>
      </c>
      <c r="P864" s="12" t="s">
        <v>4207</v>
      </c>
      <c r="Q864" s="13" t="s">
        <v>4208</v>
      </c>
      <c r="R864" s="10"/>
      <c r="S864" s="10"/>
      <c r="T864" s="11"/>
    </row>
    <row r="865" spans="1:20" ht="98" x14ac:dyDescent="0.35">
      <c r="A865" s="12" t="s">
        <v>413</v>
      </c>
      <c r="B865" s="12" t="s">
        <v>365</v>
      </c>
      <c r="C865" s="13" t="s">
        <v>4209</v>
      </c>
      <c r="D865" s="13" t="s">
        <v>225</v>
      </c>
      <c r="E865" s="12" t="s">
        <v>368</v>
      </c>
      <c r="F865" s="12"/>
      <c r="G865" s="12"/>
      <c r="H865" s="12"/>
      <c r="I865" s="14"/>
      <c r="J865" s="12"/>
      <c r="K865" s="12"/>
      <c r="L865" s="14"/>
      <c r="M865" s="12"/>
      <c r="N865" s="14"/>
      <c r="O865" s="12">
        <v>1</v>
      </c>
      <c r="P865" s="12" t="s">
        <v>229</v>
      </c>
      <c r="Q865" s="13" t="s">
        <v>230</v>
      </c>
      <c r="R865" s="10"/>
      <c r="S865" s="10"/>
      <c r="T865" s="11"/>
    </row>
    <row r="866" spans="1:20" ht="112" x14ac:dyDescent="0.35">
      <c r="A866" s="12" t="s">
        <v>413</v>
      </c>
      <c r="B866" s="12" t="s">
        <v>365</v>
      </c>
      <c r="C866" s="13" t="s">
        <v>4210</v>
      </c>
      <c r="D866" s="13"/>
      <c r="E866" s="12" t="s">
        <v>1829</v>
      </c>
      <c r="F866" s="12"/>
      <c r="G866" s="12"/>
      <c r="H866" s="12"/>
      <c r="I866" s="14"/>
      <c r="J866" s="12"/>
      <c r="K866" s="12"/>
      <c r="L866" s="14"/>
      <c r="M866" s="12"/>
      <c r="N866" s="14"/>
      <c r="O866" s="12">
        <v>1</v>
      </c>
      <c r="P866" s="12" t="s">
        <v>4211</v>
      </c>
      <c r="Q866" s="13" t="s">
        <v>4212</v>
      </c>
      <c r="R866" s="10"/>
      <c r="S866" s="10"/>
      <c r="T866" s="11"/>
    </row>
    <row r="867" spans="1:20" ht="84" x14ac:dyDescent="0.35">
      <c r="A867" s="12" t="s">
        <v>413</v>
      </c>
      <c r="B867" s="12" t="s">
        <v>365</v>
      </c>
      <c r="C867" s="13" t="s">
        <v>4213</v>
      </c>
      <c r="D867" s="13" t="s">
        <v>4214</v>
      </c>
      <c r="E867" s="12" t="s">
        <v>2899</v>
      </c>
      <c r="F867" s="12"/>
      <c r="G867" s="12"/>
      <c r="H867" s="12"/>
      <c r="I867" s="14"/>
      <c r="J867" s="12"/>
      <c r="K867" s="12"/>
      <c r="L867" s="14"/>
      <c r="M867" s="12"/>
      <c r="N867" s="14"/>
      <c r="O867" s="12">
        <v>1</v>
      </c>
      <c r="P867" s="12" t="s">
        <v>4215</v>
      </c>
      <c r="Q867" s="13" t="s">
        <v>4216</v>
      </c>
      <c r="R867" s="10"/>
      <c r="S867" s="10"/>
      <c r="T867" s="11"/>
    </row>
    <row r="868" spans="1:20" ht="126" x14ac:dyDescent="0.35">
      <c r="A868" s="12" t="s">
        <v>413</v>
      </c>
      <c r="B868" s="12" t="s">
        <v>365</v>
      </c>
      <c r="C868" s="13" t="s">
        <v>4217</v>
      </c>
      <c r="D868" s="13" t="s">
        <v>4218</v>
      </c>
      <c r="E868" s="12" t="s">
        <v>1483</v>
      </c>
      <c r="F868" s="12"/>
      <c r="G868" s="12"/>
      <c r="H868" s="12"/>
      <c r="I868" s="14"/>
      <c r="J868" s="12"/>
      <c r="K868" s="12"/>
      <c r="L868" s="14"/>
      <c r="M868" s="12"/>
      <c r="N868" s="14"/>
      <c r="O868" s="12">
        <v>1</v>
      </c>
      <c r="P868" s="12" t="s">
        <v>4219</v>
      </c>
      <c r="Q868" s="13" t="s">
        <v>4220</v>
      </c>
      <c r="R868" s="10"/>
      <c r="S868" s="10"/>
      <c r="T868" s="11"/>
    </row>
    <row r="869" spans="1:20" ht="84" x14ac:dyDescent="0.35">
      <c r="A869" s="12" t="s">
        <v>413</v>
      </c>
      <c r="B869" s="12" t="s">
        <v>365</v>
      </c>
      <c r="C869" s="13" t="s">
        <v>4221</v>
      </c>
      <c r="D869" s="13"/>
      <c r="E869" s="12" t="s">
        <v>309</v>
      </c>
      <c r="F869" s="12"/>
      <c r="G869" s="12"/>
      <c r="H869" s="12"/>
      <c r="I869" s="14"/>
      <c r="J869" s="12"/>
      <c r="K869" s="12"/>
      <c r="L869" s="14"/>
      <c r="M869" s="12"/>
      <c r="N869" s="14"/>
      <c r="O869" s="12">
        <v>1</v>
      </c>
      <c r="P869" s="12" t="s">
        <v>4222</v>
      </c>
      <c r="Q869" s="13" t="s">
        <v>4223</v>
      </c>
      <c r="R869" s="10"/>
      <c r="S869" s="10"/>
      <c r="T869" s="11"/>
    </row>
    <row r="870" spans="1:20" ht="70" x14ac:dyDescent="0.35">
      <c r="A870" s="12" t="s">
        <v>413</v>
      </c>
      <c r="B870" s="12" t="s">
        <v>365</v>
      </c>
      <c r="C870" s="13" t="s">
        <v>4224</v>
      </c>
      <c r="D870" s="13" t="s">
        <v>4225</v>
      </c>
      <c r="E870" s="12" t="s">
        <v>1280</v>
      </c>
      <c r="F870" s="12"/>
      <c r="G870" s="12"/>
      <c r="H870" s="12"/>
      <c r="I870" s="14"/>
      <c r="J870" s="12"/>
      <c r="K870" s="12"/>
      <c r="L870" s="14"/>
      <c r="M870" s="12"/>
      <c r="N870" s="14"/>
      <c r="O870" s="12">
        <v>1</v>
      </c>
      <c r="P870" s="12" t="s">
        <v>4226</v>
      </c>
      <c r="Q870" s="13" t="s">
        <v>4227</v>
      </c>
      <c r="R870" s="10"/>
      <c r="S870" s="10"/>
      <c r="T870" s="11"/>
    </row>
    <row r="871" spans="1:20" ht="84" x14ac:dyDescent="0.35">
      <c r="A871" s="12" t="s">
        <v>413</v>
      </c>
      <c r="B871" s="12" t="s">
        <v>365</v>
      </c>
      <c r="C871" s="13" t="s">
        <v>4228</v>
      </c>
      <c r="D871" s="13" t="s">
        <v>4229</v>
      </c>
      <c r="E871" s="12" t="s">
        <v>3752</v>
      </c>
      <c r="F871" s="12"/>
      <c r="G871" s="12"/>
      <c r="H871" s="12"/>
      <c r="I871" s="14"/>
      <c r="J871" s="12"/>
      <c r="K871" s="12"/>
      <c r="L871" s="14"/>
      <c r="M871" s="12"/>
      <c r="N871" s="14"/>
      <c r="O871" s="12">
        <v>1</v>
      </c>
      <c r="P871" s="12" t="s">
        <v>4230</v>
      </c>
      <c r="Q871" s="13" t="s">
        <v>4231</v>
      </c>
      <c r="R871" s="10"/>
      <c r="S871" s="10"/>
      <c r="T871" s="11"/>
    </row>
    <row r="872" spans="1:20" ht="112" x14ac:dyDescent="0.35">
      <c r="A872" s="12" t="s">
        <v>413</v>
      </c>
      <c r="B872" s="12" t="s">
        <v>365</v>
      </c>
      <c r="C872" s="13" t="s">
        <v>4232</v>
      </c>
      <c r="D872" s="13" t="s">
        <v>4233</v>
      </c>
      <c r="E872" s="12" t="s">
        <v>2585</v>
      </c>
      <c r="F872" s="12"/>
      <c r="G872" s="12"/>
      <c r="H872" s="12"/>
      <c r="I872" s="14"/>
      <c r="J872" s="12"/>
      <c r="K872" s="12"/>
      <c r="L872" s="14"/>
      <c r="M872" s="12"/>
      <c r="N872" s="14"/>
      <c r="O872" s="12">
        <v>1</v>
      </c>
      <c r="P872" s="12" t="s">
        <v>4234</v>
      </c>
      <c r="Q872" s="13" t="s">
        <v>4235</v>
      </c>
      <c r="R872" s="10"/>
      <c r="S872" s="10"/>
      <c r="T872" s="11"/>
    </row>
    <row r="873" spans="1:20" ht="70" x14ac:dyDescent="0.35">
      <c r="A873" s="12" t="s">
        <v>413</v>
      </c>
      <c r="B873" s="12" t="s">
        <v>365</v>
      </c>
      <c r="C873" s="13" t="s">
        <v>4236</v>
      </c>
      <c r="D873" s="13" t="s">
        <v>4237</v>
      </c>
      <c r="E873" s="12" t="s">
        <v>2585</v>
      </c>
      <c r="F873" s="12"/>
      <c r="G873" s="12"/>
      <c r="H873" s="12"/>
      <c r="I873" s="14"/>
      <c r="J873" s="12"/>
      <c r="K873" s="12"/>
      <c r="L873" s="14"/>
      <c r="M873" s="12"/>
      <c r="N873" s="14"/>
      <c r="O873" s="12">
        <v>1</v>
      </c>
      <c r="P873" s="12" t="s">
        <v>4238</v>
      </c>
      <c r="Q873" s="13" t="s">
        <v>4239</v>
      </c>
      <c r="R873" s="10"/>
      <c r="S873" s="10"/>
      <c r="T873" s="11"/>
    </row>
    <row r="874" spans="1:20" ht="56" x14ac:dyDescent="0.35">
      <c r="A874" s="12" t="s">
        <v>413</v>
      </c>
      <c r="B874" s="12" t="s">
        <v>365</v>
      </c>
      <c r="C874" s="13" t="s">
        <v>4240</v>
      </c>
      <c r="D874" s="13" t="s">
        <v>4241</v>
      </c>
      <c r="E874" s="12" t="s">
        <v>1679</v>
      </c>
      <c r="F874" s="12"/>
      <c r="G874" s="12"/>
      <c r="H874" s="12"/>
      <c r="I874" s="14"/>
      <c r="J874" s="12"/>
      <c r="K874" s="12"/>
      <c r="L874" s="14"/>
      <c r="M874" s="12"/>
      <c r="N874" s="14"/>
      <c r="O874" s="12">
        <v>1</v>
      </c>
      <c r="P874" s="12" t="s">
        <v>4242</v>
      </c>
      <c r="Q874" s="13" t="s">
        <v>4243</v>
      </c>
      <c r="R874" s="10"/>
      <c r="S874" s="10"/>
      <c r="T874" s="11"/>
    </row>
    <row r="875" spans="1:20" ht="70" x14ac:dyDescent="0.35">
      <c r="A875" s="12" t="s">
        <v>413</v>
      </c>
      <c r="B875" s="12" t="s">
        <v>365</v>
      </c>
      <c r="C875" s="13" t="s">
        <v>4244</v>
      </c>
      <c r="D875" s="13" t="s">
        <v>4245</v>
      </c>
      <c r="E875" s="12" t="s">
        <v>1758</v>
      </c>
      <c r="F875" s="12"/>
      <c r="G875" s="12"/>
      <c r="H875" s="12"/>
      <c r="I875" s="14"/>
      <c r="J875" s="12"/>
      <c r="K875" s="12"/>
      <c r="L875" s="14"/>
      <c r="M875" s="12"/>
      <c r="N875" s="14"/>
      <c r="O875" s="12">
        <v>1</v>
      </c>
      <c r="P875" s="12" t="s">
        <v>4246</v>
      </c>
      <c r="Q875" s="13" t="s">
        <v>4247</v>
      </c>
      <c r="R875" s="10"/>
      <c r="S875" s="10"/>
      <c r="T875" s="11"/>
    </row>
  </sheetData>
  <autoFilter ref="A1:T875" xr:uid="{00000000-0009-0000-0000-000001000000}"/>
  <dataValidations count="1">
    <dataValidation type="list" allowBlank="1" showErrorMessage="1" errorTitle="Judgement" error="Choose: correct, partial, wrong, unclear" sqref="R2:R875" xr:uid="{00000000-0002-0000-0100-000000000000}">
      <formula1>"correct,partial,wrong,unclear"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
  <sheetViews>
    <sheetView workbookViewId="0"/>
  </sheetViews>
  <sheetFormatPr defaultRowHeight="14.5" x14ac:dyDescent="0.35"/>
  <cols>
    <col min="1" max="1" width="22" customWidth="1"/>
    <col min="2" max="2" width="9" customWidth="1"/>
    <col min="3" max="3" width="10" customWidth="1"/>
    <col min="4" max="8" width="8" customWidth="1"/>
    <col min="9" max="9" width="17" customWidth="1"/>
    <col min="10" max="10" width="18" customWidth="1"/>
  </cols>
  <sheetData>
    <row r="1" spans="1:10" x14ac:dyDescent="0.35">
      <c r="A1" s="4" t="s">
        <v>1</v>
      </c>
      <c r="B1" s="4" t="s">
        <v>4270</v>
      </c>
      <c r="C1" s="4" t="s">
        <v>4271</v>
      </c>
      <c r="D1" s="4" t="s">
        <v>4272</v>
      </c>
      <c r="E1" s="4" t="s">
        <v>4273</v>
      </c>
      <c r="F1" s="4" t="s">
        <v>4268</v>
      </c>
      <c r="G1" s="4" t="s">
        <v>4274</v>
      </c>
      <c r="H1" s="4" t="s">
        <v>4275</v>
      </c>
      <c r="I1" s="4" t="s">
        <v>4276</v>
      </c>
      <c r="J1" s="4" t="s">
        <v>4277</v>
      </c>
    </row>
    <row r="2" spans="1:10" x14ac:dyDescent="0.35">
      <c r="A2" s="5" t="s">
        <v>21</v>
      </c>
      <c r="B2" s="5">
        <f>COUNTIFS(Validate!$B$2:$B$875,A2)</f>
        <v>51</v>
      </c>
      <c r="C2" s="5">
        <f>COUNTIFS(Validate!$B$2:$B$875,A2,Validate!$A$2:$A$875,"yes")</f>
        <v>10</v>
      </c>
      <c r="D2" s="5">
        <f>COUNTIFS(Validate!$B$2:$B$875,A2,Validate!$R$2:$R$875,"&lt;&gt;")</f>
        <v>0</v>
      </c>
      <c r="E2" s="5">
        <f>COUNTIFS(Validate!$B$2:$B$875,A2,Validate!$R$2:$R$875,"correct")</f>
        <v>0</v>
      </c>
      <c r="F2" s="5">
        <f>COUNTIFS(Validate!$B$2:$B$875,A2,Validate!$R$2:$R$875,"partial")</f>
        <v>0</v>
      </c>
      <c r="G2" s="5">
        <f>COUNTIFS(Validate!$B$2:$B$875,A2,Validate!$R$2:$R$875,"wrong")</f>
        <v>0</v>
      </c>
      <c r="H2" s="5">
        <f>COUNTIFS(Validate!$B$2:$B$875,A2,Validate!$R$2:$R$875,"unclear")</f>
        <v>0</v>
      </c>
      <c r="I2" s="15" t="str">
        <f t="shared" ref="I2:I9" si="0">IFERROR(E2/(D2-H2),"")</f>
        <v/>
      </c>
      <c r="J2" s="15" t="str">
        <f t="shared" ref="J2:J9" si="1">IFERROR((E2+F2)/(D2-H2),"")</f>
        <v/>
      </c>
    </row>
    <row r="3" spans="1:10" x14ac:dyDescent="0.35">
      <c r="A3" s="5" t="s">
        <v>4</v>
      </c>
      <c r="B3" s="5">
        <f>COUNTIFS(Validate!$B$2:$B$875,A3)</f>
        <v>139</v>
      </c>
      <c r="C3" s="5">
        <f>COUNTIFS(Validate!$B$2:$B$875,A3,Validate!$A$2:$A$875,"yes")</f>
        <v>10</v>
      </c>
      <c r="D3" s="5">
        <f>COUNTIFS(Validate!$B$2:$B$875,A3,Validate!$R$2:$R$875,"&lt;&gt;")</f>
        <v>0</v>
      </c>
      <c r="E3" s="5">
        <f>COUNTIFS(Validate!$B$2:$B$875,A3,Validate!$R$2:$R$875,"correct")</f>
        <v>0</v>
      </c>
      <c r="F3" s="5">
        <f>COUNTIFS(Validate!$B$2:$B$875,A3,Validate!$R$2:$R$875,"partial")</f>
        <v>0</v>
      </c>
      <c r="G3" s="5">
        <f>COUNTIFS(Validate!$B$2:$B$875,A3,Validate!$R$2:$R$875,"wrong")</f>
        <v>0</v>
      </c>
      <c r="H3" s="5">
        <f>COUNTIFS(Validate!$B$2:$B$875,A3,Validate!$R$2:$R$875,"unclear")</f>
        <v>0</v>
      </c>
      <c r="I3" s="15" t="str">
        <f t="shared" si="0"/>
        <v/>
      </c>
      <c r="J3" s="15" t="str">
        <f t="shared" si="1"/>
        <v/>
      </c>
    </row>
    <row r="4" spans="1:10" x14ac:dyDescent="0.35">
      <c r="A4" s="5" t="s">
        <v>115</v>
      </c>
      <c r="B4" s="5">
        <f>COUNTIFS(Validate!$B$2:$B$875,A4)</f>
        <v>39</v>
      </c>
      <c r="C4" s="5">
        <f>COUNTIFS(Validate!$B$2:$B$875,A4,Validate!$A$2:$A$875,"yes")</f>
        <v>10</v>
      </c>
      <c r="D4" s="5">
        <f>COUNTIFS(Validate!$B$2:$B$875,A4,Validate!$R$2:$R$875,"&lt;&gt;")</f>
        <v>0</v>
      </c>
      <c r="E4" s="5">
        <f>COUNTIFS(Validate!$B$2:$B$875,A4,Validate!$R$2:$R$875,"correct")</f>
        <v>0</v>
      </c>
      <c r="F4" s="5">
        <f>COUNTIFS(Validate!$B$2:$B$875,A4,Validate!$R$2:$R$875,"partial")</f>
        <v>0</v>
      </c>
      <c r="G4" s="5">
        <f>COUNTIFS(Validate!$B$2:$B$875,A4,Validate!$R$2:$R$875,"wrong")</f>
        <v>0</v>
      </c>
      <c r="H4" s="5">
        <f>COUNTIFS(Validate!$B$2:$B$875,A4,Validate!$R$2:$R$875,"unclear")</f>
        <v>0</v>
      </c>
      <c r="I4" s="15" t="str">
        <f t="shared" si="0"/>
        <v/>
      </c>
      <c r="J4" s="15" t="str">
        <f t="shared" si="1"/>
        <v/>
      </c>
    </row>
    <row r="5" spans="1:10" x14ac:dyDescent="0.35">
      <c r="A5" s="5" t="s">
        <v>170</v>
      </c>
      <c r="B5" s="5">
        <f>COUNTIFS(Validate!$B$2:$B$875,A5)</f>
        <v>193</v>
      </c>
      <c r="C5" s="5">
        <f>COUNTIFS(Validate!$B$2:$B$875,A5,Validate!$A$2:$A$875,"yes")</f>
        <v>10</v>
      </c>
      <c r="D5" s="5">
        <f>COUNTIFS(Validate!$B$2:$B$875,A5,Validate!$R$2:$R$875,"&lt;&gt;")</f>
        <v>0</v>
      </c>
      <c r="E5" s="5">
        <f>COUNTIFS(Validate!$B$2:$B$875,A5,Validate!$R$2:$R$875,"correct")</f>
        <v>0</v>
      </c>
      <c r="F5" s="5">
        <f>COUNTIFS(Validate!$B$2:$B$875,A5,Validate!$R$2:$R$875,"partial")</f>
        <v>0</v>
      </c>
      <c r="G5" s="5">
        <f>COUNTIFS(Validate!$B$2:$B$875,A5,Validate!$R$2:$R$875,"wrong")</f>
        <v>0</v>
      </c>
      <c r="H5" s="5">
        <f>COUNTIFS(Validate!$B$2:$B$875,A5,Validate!$R$2:$R$875,"unclear")</f>
        <v>0</v>
      </c>
      <c r="I5" s="15" t="str">
        <f t="shared" si="0"/>
        <v/>
      </c>
      <c r="J5" s="15" t="str">
        <f t="shared" si="1"/>
        <v/>
      </c>
    </row>
    <row r="6" spans="1:10" x14ac:dyDescent="0.35">
      <c r="A6" s="5" t="s">
        <v>238</v>
      </c>
      <c r="B6" s="5">
        <f>COUNTIFS(Validate!$B$2:$B$875,A6)</f>
        <v>184</v>
      </c>
      <c r="C6" s="5">
        <f>COUNTIFS(Validate!$B$2:$B$875,A6,Validate!$A$2:$A$875,"yes")</f>
        <v>10</v>
      </c>
      <c r="D6" s="5">
        <f>COUNTIFS(Validate!$B$2:$B$875,A6,Validate!$R$2:$R$875,"&lt;&gt;")</f>
        <v>0</v>
      </c>
      <c r="E6" s="5">
        <f>COUNTIFS(Validate!$B$2:$B$875,A6,Validate!$R$2:$R$875,"correct")</f>
        <v>0</v>
      </c>
      <c r="F6" s="5">
        <f>COUNTIFS(Validate!$B$2:$B$875,A6,Validate!$R$2:$R$875,"partial")</f>
        <v>0</v>
      </c>
      <c r="G6" s="5">
        <f>COUNTIFS(Validate!$B$2:$B$875,A6,Validate!$R$2:$R$875,"wrong")</f>
        <v>0</v>
      </c>
      <c r="H6" s="5">
        <f>COUNTIFS(Validate!$B$2:$B$875,A6,Validate!$R$2:$R$875,"unclear")</f>
        <v>0</v>
      </c>
      <c r="I6" s="15" t="str">
        <f t="shared" si="0"/>
        <v/>
      </c>
      <c r="J6" s="15" t="str">
        <f t="shared" si="1"/>
        <v/>
      </c>
    </row>
    <row r="7" spans="1:10" x14ac:dyDescent="0.35">
      <c r="A7" s="5" t="s">
        <v>302</v>
      </c>
      <c r="B7" s="5">
        <f>COUNTIFS(Validate!$B$2:$B$875,A7)</f>
        <v>126</v>
      </c>
      <c r="C7" s="5">
        <f>COUNTIFS(Validate!$B$2:$B$875,A7,Validate!$A$2:$A$875,"yes")</f>
        <v>10</v>
      </c>
      <c r="D7" s="5">
        <f>COUNTIFS(Validate!$B$2:$B$875,A7,Validate!$R$2:$R$875,"&lt;&gt;")</f>
        <v>0</v>
      </c>
      <c r="E7" s="5">
        <f>COUNTIFS(Validate!$B$2:$B$875,A7,Validate!$R$2:$R$875,"correct")</f>
        <v>0</v>
      </c>
      <c r="F7" s="5">
        <f>COUNTIFS(Validate!$B$2:$B$875,A7,Validate!$R$2:$R$875,"partial")</f>
        <v>0</v>
      </c>
      <c r="G7" s="5">
        <f>COUNTIFS(Validate!$B$2:$B$875,A7,Validate!$R$2:$R$875,"wrong")</f>
        <v>0</v>
      </c>
      <c r="H7" s="5">
        <f>COUNTIFS(Validate!$B$2:$B$875,A7,Validate!$R$2:$R$875,"unclear")</f>
        <v>0</v>
      </c>
      <c r="I7" s="15" t="str">
        <f t="shared" si="0"/>
        <v/>
      </c>
      <c r="J7" s="15" t="str">
        <f t="shared" si="1"/>
        <v/>
      </c>
    </row>
    <row r="8" spans="1:10" x14ac:dyDescent="0.35">
      <c r="A8" s="5" t="s">
        <v>365</v>
      </c>
      <c r="B8" s="5">
        <f>COUNTIFS(Validate!$B$2:$B$875,A8)</f>
        <v>142</v>
      </c>
      <c r="C8" s="5">
        <f>COUNTIFS(Validate!$B$2:$B$875,A8,Validate!$A$2:$A$875,"yes")</f>
        <v>10</v>
      </c>
      <c r="D8" s="5">
        <f>COUNTIFS(Validate!$B$2:$B$875,A8,Validate!$R$2:$R$875,"&lt;&gt;")</f>
        <v>0</v>
      </c>
      <c r="E8" s="5">
        <f>COUNTIFS(Validate!$B$2:$B$875,A8,Validate!$R$2:$R$875,"correct")</f>
        <v>0</v>
      </c>
      <c r="F8" s="5">
        <f>COUNTIFS(Validate!$B$2:$B$875,A8,Validate!$R$2:$R$875,"partial")</f>
        <v>0</v>
      </c>
      <c r="G8" s="5">
        <f>COUNTIFS(Validate!$B$2:$B$875,A8,Validate!$R$2:$R$875,"wrong")</f>
        <v>0</v>
      </c>
      <c r="H8" s="5">
        <f>COUNTIFS(Validate!$B$2:$B$875,A8,Validate!$R$2:$R$875,"unclear")</f>
        <v>0</v>
      </c>
      <c r="I8" s="15" t="str">
        <f t="shared" si="0"/>
        <v/>
      </c>
      <c r="J8" s="15" t="str">
        <f t="shared" si="1"/>
        <v/>
      </c>
    </row>
    <row r="9" spans="1:10" x14ac:dyDescent="0.35">
      <c r="A9" s="16" t="s">
        <v>4278</v>
      </c>
      <c r="B9" s="16">
        <f t="shared" ref="B9:H9" si="2">SUM(B2:B8)</f>
        <v>874</v>
      </c>
      <c r="C9" s="16">
        <f t="shared" si="2"/>
        <v>70</v>
      </c>
      <c r="D9" s="16">
        <f t="shared" si="2"/>
        <v>0</v>
      </c>
      <c r="E9" s="16">
        <f t="shared" si="2"/>
        <v>0</v>
      </c>
      <c r="F9" s="16">
        <f t="shared" si="2"/>
        <v>0</v>
      </c>
      <c r="G9" s="16">
        <f t="shared" si="2"/>
        <v>0</v>
      </c>
      <c r="H9" s="16">
        <f t="shared" si="2"/>
        <v>0</v>
      </c>
      <c r="I9" s="17" t="str">
        <f t="shared" si="0"/>
        <v/>
      </c>
      <c r="J9" s="17" t="str">
        <f t="shared" si="1"/>
        <v/>
      </c>
    </row>
    <row r="11" spans="1:10" x14ac:dyDescent="0.35">
      <c r="A11" s="18" t="s">
        <v>4279</v>
      </c>
    </row>
    <row r="12" spans="1:10" x14ac:dyDescent="0.35">
      <c r="A12" s="18" t="s">
        <v>4280</v>
      </c>
    </row>
    <row r="13" spans="1:10" x14ac:dyDescent="0.35">
      <c r="A13" s="18" t="s">
        <v>4281</v>
      </c>
    </row>
    <row r="14" spans="1:10" x14ac:dyDescent="0.35">
      <c r="A14" s="18" t="s">
        <v>4282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11"/>
  <sheetViews>
    <sheetView workbookViewId="0">
      <pane xSplit="1" ySplit="1" topLeftCell="B3" activePane="bottomRight" state="frozen"/>
      <selection pane="topRight"/>
      <selection pane="bottomLeft"/>
      <selection pane="bottomRight"/>
    </sheetView>
  </sheetViews>
  <sheetFormatPr defaultRowHeight="14.5" x14ac:dyDescent="0.35"/>
  <cols>
    <col min="1" max="1" width="22" customWidth="1"/>
    <col min="2" max="2" width="50" customWidth="1"/>
    <col min="3" max="3" width="35" customWidth="1"/>
    <col min="4" max="4" width="11" customWidth="1"/>
    <col min="5" max="5" width="26" customWidth="1"/>
    <col min="6" max="6" width="8" customWidth="1"/>
    <col min="7" max="8" width="22" customWidth="1"/>
  </cols>
  <sheetData>
    <row r="1" spans="1:8" x14ac:dyDescent="0.35">
      <c r="A1" s="4" t="s">
        <v>4283</v>
      </c>
      <c r="B1" s="4" t="s">
        <v>2</v>
      </c>
      <c r="C1" s="4" t="s">
        <v>4284</v>
      </c>
      <c r="D1" s="4" t="s">
        <v>5</v>
      </c>
      <c r="E1" s="4" t="s">
        <v>7</v>
      </c>
      <c r="F1" s="4" t="s">
        <v>8</v>
      </c>
      <c r="G1" s="4" t="s">
        <v>10</v>
      </c>
      <c r="H1" s="4" t="s">
        <v>12</v>
      </c>
    </row>
    <row r="2" spans="1:8" x14ac:dyDescent="0.35">
      <c r="A2" s="19" t="s">
        <v>3179</v>
      </c>
      <c r="B2" s="20" t="s">
        <v>3178</v>
      </c>
      <c r="C2" s="20" t="s">
        <v>3178</v>
      </c>
      <c r="D2" s="19" t="s">
        <v>174</v>
      </c>
      <c r="E2" s="19" t="s">
        <v>2448</v>
      </c>
      <c r="F2" s="19">
        <v>0.30249999999999999</v>
      </c>
      <c r="G2" s="19" t="s">
        <v>1397</v>
      </c>
      <c r="H2" s="19" t="s">
        <v>2196</v>
      </c>
    </row>
    <row r="3" spans="1:8" ht="84" x14ac:dyDescent="0.35">
      <c r="A3" s="19" t="s">
        <v>4132</v>
      </c>
      <c r="B3" s="20" t="s">
        <v>4130</v>
      </c>
      <c r="C3" s="20" t="s">
        <v>4129</v>
      </c>
      <c r="D3" s="19"/>
      <c r="E3" s="19"/>
      <c r="F3" s="19"/>
      <c r="G3" s="19"/>
      <c r="H3" s="19"/>
    </row>
    <row r="4" spans="1:8" ht="28" x14ac:dyDescent="0.35">
      <c r="A4" s="19" t="s">
        <v>877</v>
      </c>
      <c r="B4" s="20" t="s">
        <v>874</v>
      </c>
      <c r="C4" s="20" t="s">
        <v>4285</v>
      </c>
      <c r="D4" s="19" t="s">
        <v>4</v>
      </c>
      <c r="E4" s="19" t="s">
        <v>876</v>
      </c>
      <c r="F4" s="19">
        <v>0.8</v>
      </c>
      <c r="G4" s="19" t="s">
        <v>2502</v>
      </c>
      <c r="H4" s="19" t="s">
        <v>1396</v>
      </c>
    </row>
    <row r="5" spans="1:8" ht="56" x14ac:dyDescent="0.35">
      <c r="A5" s="19" t="s">
        <v>4116</v>
      </c>
      <c r="B5" s="20" t="s">
        <v>4115</v>
      </c>
      <c r="C5" s="20" t="s">
        <v>4114</v>
      </c>
      <c r="D5" s="19"/>
      <c r="E5" s="19"/>
      <c r="F5" s="19"/>
      <c r="G5" s="19"/>
      <c r="H5" s="19"/>
    </row>
    <row r="6" spans="1:8" x14ac:dyDescent="0.35">
      <c r="A6" s="19" t="s">
        <v>4286</v>
      </c>
      <c r="B6" s="20" t="s">
        <v>4287</v>
      </c>
      <c r="C6" s="20"/>
      <c r="D6" s="19"/>
      <c r="E6" s="19"/>
      <c r="F6" s="19"/>
      <c r="G6" s="19"/>
      <c r="H6" s="19"/>
    </row>
    <row r="7" spans="1:8" x14ac:dyDescent="0.35">
      <c r="A7" s="19" t="s">
        <v>2157</v>
      </c>
      <c r="B7" s="20" t="s">
        <v>2154</v>
      </c>
      <c r="C7" s="20" t="s">
        <v>2153</v>
      </c>
      <c r="D7" s="19" t="s">
        <v>174</v>
      </c>
      <c r="E7" s="19" t="s">
        <v>2155</v>
      </c>
      <c r="F7" s="19">
        <v>0.2157</v>
      </c>
      <c r="G7" s="19" t="s">
        <v>2156</v>
      </c>
      <c r="H7" s="19"/>
    </row>
    <row r="8" spans="1:8" ht="42" x14ac:dyDescent="0.35">
      <c r="A8" s="19" t="s">
        <v>4100</v>
      </c>
      <c r="B8" s="20" t="s">
        <v>4099</v>
      </c>
      <c r="C8" s="20" t="s">
        <v>4098</v>
      </c>
      <c r="D8" s="19"/>
      <c r="E8" s="19"/>
      <c r="F8" s="19"/>
      <c r="G8" s="19"/>
      <c r="H8" s="19"/>
    </row>
    <row r="9" spans="1:8" x14ac:dyDescent="0.35">
      <c r="A9" s="19" t="s">
        <v>483</v>
      </c>
      <c r="B9" s="20" t="s">
        <v>482</v>
      </c>
      <c r="C9" s="20" t="s">
        <v>67</v>
      </c>
      <c r="D9" s="19" t="s">
        <v>21</v>
      </c>
      <c r="E9" s="19" t="s">
        <v>67</v>
      </c>
      <c r="F9" s="19">
        <v>1</v>
      </c>
      <c r="G9" s="19"/>
      <c r="H9" s="19"/>
    </row>
    <row r="10" spans="1:8" x14ac:dyDescent="0.35">
      <c r="A10" s="19" t="s">
        <v>3020</v>
      </c>
      <c r="B10" s="20" t="s">
        <v>3016</v>
      </c>
      <c r="C10" s="20" t="s">
        <v>3016</v>
      </c>
      <c r="D10" s="19" t="s">
        <v>174</v>
      </c>
      <c r="E10" s="19" t="s">
        <v>3017</v>
      </c>
      <c r="F10" s="19">
        <v>0.31790000000000002</v>
      </c>
      <c r="G10" s="19" t="s">
        <v>3018</v>
      </c>
      <c r="H10" s="19" t="s">
        <v>3019</v>
      </c>
    </row>
    <row r="11" spans="1:8" ht="56" x14ac:dyDescent="0.35">
      <c r="A11" s="19" t="s">
        <v>4104</v>
      </c>
      <c r="B11" s="20" t="s">
        <v>4103</v>
      </c>
      <c r="C11" s="20" t="s">
        <v>4102</v>
      </c>
      <c r="D11" s="19"/>
      <c r="E11" s="19"/>
      <c r="F11" s="19"/>
      <c r="G11" s="19"/>
      <c r="H11" s="19"/>
    </row>
    <row r="12" spans="1:8" ht="84" x14ac:dyDescent="0.35">
      <c r="A12" s="19" t="s">
        <v>3952</v>
      </c>
      <c r="B12" s="20" t="s">
        <v>3951</v>
      </c>
      <c r="C12" s="20" t="s">
        <v>3950</v>
      </c>
      <c r="D12" s="19"/>
      <c r="E12" s="19"/>
      <c r="F12" s="19"/>
      <c r="G12" s="19"/>
      <c r="H12" s="19"/>
    </row>
    <row r="13" spans="1:8" x14ac:dyDescent="0.35">
      <c r="A13" s="19" t="s">
        <v>1404</v>
      </c>
      <c r="B13" s="20" t="s">
        <v>1401</v>
      </c>
      <c r="C13" s="20" t="s">
        <v>1400</v>
      </c>
      <c r="D13" s="19" t="s">
        <v>174</v>
      </c>
      <c r="E13" s="19" t="s">
        <v>1402</v>
      </c>
      <c r="F13" s="19">
        <v>0.28949999999999998</v>
      </c>
      <c r="G13" s="19" t="s">
        <v>1397</v>
      </c>
      <c r="H13" s="19" t="s">
        <v>1403</v>
      </c>
    </row>
    <row r="14" spans="1:8" x14ac:dyDescent="0.35">
      <c r="A14" s="19" t="s">
        <v>3672</v>
      </c>
      <c r="B14" s="20" t="s">
        <v>3668</v>
      </c>
      <c r="C14" s="20" t="s">
        <v>3667</v>
      </c>
      <c r="D14" s="19" t="s">
        <v>174</v>
      </c>
      <c r="E14" s="19" t="s">
        <v>3670</v>
      </c>
      <c r="F14" s="19">
        <v>0.4103</v>
      </c>
      <c r="G14" s="19" t="s">
        <v>3540</v>
      </c>
      <c r="H14" s="19" t="s">
        <v>3671</v>
      </c>
    </row>
    <row r="15" spans="1:8" ht="42" x14ac:dyDescent="0.35">
      <c r="A15" s="19" t="s">
        <v>979</v>
      </c>
      <c r="B15" s="20" t="s">
        <v>977</v>
      </c>
      <c r="C15" s="20" t="s">
        <v>977</v>
      </c>
      <c r="D15" s="19" t="s">
        <v>4</v>
      </c>
      <c r="E15" s="19" t="s">
        <v>978</v>
      </c>
      <c r="F15" s="19">
        <v>0.8</v>
      </c>
      <c r="G15" s="19"/>
      <c r="H15" s="19"/>
    </row>
    <row r="16" spans="1:8" ht="70" x14ac:dyDescent="0.35">
      <c r="A16" s="19" t="s">
        <v>1244</v>
      </c>
      <c r="B16" s="20" t="s">
        <v>1243</v>
      </c>
      <c r="C16" s="20" t="s">
        <v>1242</v>
      </c>
      <c r="D16" s="19" t="s">
        <v>115</v>
      </c>
      <c r="E16" s="19" t="s">
        <v>119</v>
      </c>
      <c r="F16" s="19">
        <v>0.6</v>
      </c>
      <c r="G16" s="19"/>
      <c r="H16" s="19"/>
    </row>
    <row r="17" spans="1:8" x14ac:dyDescent="0.35">
      <c r="A17" s="19" t="s">
        <v>294</v>
      </c>
      <c r="B17" s="20" t="s">
        <v>292</v>
      </c>
      <c r="C17" s="20" t="s">
        <v>291</v>
      </c>
      <c r="D17" s="19" t="s">
        <v>174</v>
      </c>
      <c r="E17" s="19" t="s">
        <v>293</v>
      </c>
      <c r="F17" s="19">
        <v>0.30990000000000001</v>
      </c>
      <c r="G17" s="19"/>
      <c r="H17" s="19"/>
    </row>
    <row r="18" spans="1:8" x14ac:dyDescent="0.35">
      <c r="A18" s="19" t="s">
        <v>491</v>
      </c>
      <c r="B18" s="20" t="s">
        <v>490</v>
      </c>
      <c r="C18" s="20" t="s">
        <v>490</v>
      </c>
      <c r="D18" s="19" t="s">
        <v>21</v>
      </c>
      <c r="E18" s="19" t="s">
        <v>487</v>
      </c>
      <c r="F18" s="19">
        <v>1</v>
      </c>
      <c r="G18" s="19"/>
      <c r="H18" s="19"/>
    </row>
    <row r="19" spans="1:8" x14ac:dyDescent="0.35">
      <c r="A19" s="19" t="s">
        <v>4288</v>
      </c>
      <c r="B19" s="20" t="s">
        <v>490</v>
      </c>
      <c r="C19" s="20" t="s">
        <v>490</v>
      </c>
      <c r="D19" s="19" t="s">
        <v>21</v>
      </c>
      <c r="E19" s="19" t="s">
        <v>487</v>
      </c>
      <c r="F19" s="19">
        <v>1</v>
      </c>
      <c r="G19" s="19"/>
      <c r="H19" s="19"/>
    </row>
    <row r="20" spans="1:8" x14ac:dyDescent="0.35">
      <c r="A20" s="19" t="s">
        <v>4289</v>
      </c>
      <c r="B20" s="20" t="s">
        <v>3016</v>
      </c>
      <c r="C20" s="20" t="s">
        <v>3016</v>
      </c>
      <c r="D20" s="19" t="s">
        <v>174</v>
      </c>
      <c r="E20" s="19" t="s">
        <v>3017</v>
      </c>
      <c r="F20" s="19">
        <v>0.31790000000000002</v>
      </c>
      <c r="G20" s="19" t="s">
        <v>3018</v>
      </c>
      <c r="H20" s="19" t="s">
        <v>3019</v>
      </c>
    </row>
    <row r="21" spans="1:8" ht="28" x14ac:dyDescent="0.35">
      <c r="A21" s="19" t="s">
        <v>3753</v>
      </c>
      <c r="B21" s="20" t="s">
        <v>3751</v>
      </c>
      <c r="C21" s="20" t="s">
        <v>3750</v>
      </c>
      <c r="D21" s="19"/>
      <c r="E21" s="19"/>
      <c r="F21" s="19"/>
      <c r="G21" s="19"/>
      <c r="H21" s="19"/>
    </row>
    <row r="22" spans="1:8" x14ac:dyDescent="0.35">
      <c r="A22" s="19" t="s">
        <v>718</v>
      </c>
      <c r="B22" s="20" t="s">
        <v>717</v>
      </c>
      <c r="C22" s="20" t="s">
        <v>716</v>
      </c>
      <c r="D22" s="19" t="s">
        <v>4</v>
      </c>
      <c r="E22" s="19" t="s">
        <v>36</v>
      </c>
      <c r="F22" s="19">
        <v>0.8</v>
      </c>
      <c r="G22" s="19"/>
      <c r="H22" s="19"/>
    </row>
    <row r="23" spans="1:8" x14ac:dyDescent="0.35">
      <c r="A23" s="19" t="s">
        <v>357</v>
      </c>
      <c r="B23" s="20" t="s">
        <v>353</v>
      </c>
      <c r="C23" s="20" t="s">
        <v>352</v>
      </c>
      <c r="D23" s="19" t="s">
        <v>174</v>
      </c>
      <c r="E23" s="19" t="s">
        <v>354</v>
      </c>
      <c r="F23" s="19">
        <v>0.43280000000000002</v>
      </c>
      <c r="G23" s="19" t="s">
        <v>355</v>
      </c>
      <c r="H23" s="19" t="s">
        <v>356</v>
      </c>
    </row>
    <row r="24" spans="1:8" x14ac:dyDescent="0.35">
      <c r="A24" s="19" t="s">
        <v>1207</v>
      </c>
      <c r="B24" s="20" t="s">
        <v>1206</v>
      </c>
      <c r="C24" s="20" t="s">
        <v>1205</v>
      </c>
      <c r="D24" s="19" t="s">
        <v>115</v>
      </c>
      <c r="E24" s="19" t="s">
        <v>106</v>
      </c>
      <c r="F24" s="19">
        <v>0.6</v>
      </c>
      <c r="G24" s="19"/>
      <c r="H24" s="19"/>
    </row>
    <row r="25" spans="1:8" x14ac:dyDescent="0.35">
      <c r="A25" s="19" t="s">
        <v>2250</v>
      </c>
      <c r="B25" s="20" t="s">
        <v>2248</v>
      </c>
      <c r="C25" s="20" t="s">
        <v>2248</v>
      </c>
      <c r="D25" s="19" t="s">
        <v>174</v>
      </c>
      <c r="E25" s="19" t="s">
        <v>2249</v>
      </c>
      <c r="F25" s="19">
        <v>0.2049</v>
      </c>
      <c r="G25" s="19"/>
      <c r="H25" s="19"/>
    </row>
    <row r="26" spans="1:8" x14ac:dyDescent="0.35">
      <c r="A26" s="19" t="s">
        <v>3699</v>
      </c>
      <c r="B26" s="20" t="s">
        <v>3696</v>
      </c>
      <c r="C26" s="20" t="s">
        <v>3696</v>
      </c>
      <c r="D26" s="19" t="s">
        <v>174</v>
      </c>
      <c r="E26" s="19" t="s">
        <v>3697</v>
      </c>
      <c r="F26" s="19">
        <v>0.40570000000000001</v>
      </c>
      <c r="G26" s="19" t="s">
        <v>1768</v>
      </c>
      <c r="H26" s="19" t="s">
        <v>3698</v>
      </c>
    </row>
    <row r="27" spans="1:8" x14ac:dyDescent="0.35">
      <c r="A27" s="19" t="s">
        <v>4290</v>
      </c>
      <c r="B27" s="20" t="s">
        <v>3696</v>
      </c>
      <c r="C27" s="20" t="s">
        <v>3696</v>
      </c>
      <c r="D27" s="19" t="s">
        <v>174</v>
      </c>
      <c r="E27" s="19" t="s">
        <v>3697</v>
      </c>
      <c r="F27" s="19">
        <v>0.40570000000000001</v>
      </c>
      <c r="G27" s="19" t="s">
        <v>1768</v>
      </c>
      <c r="H27" s="19" t="s">
        <v>3698</v>
      </c>
    </row>
    <row r="28" spans="1:8" x14ac:dyDescent="0.35">
      <c r="A28" s="19" t="s">
        <v>4291</v>
      </c>
      <c r="B28" s="20" t="s">
        <v>3696</v>
      </c>
      <c r="C28" s="20" t="s">
        <v>3696</v>
      </c>
      <c r="D28" s="19" t="s">
        <v>174</v>
      </c>
      <c r="E28" s="19" t="s">
        <v>3697</v>
      </c>
      <c r="F28" s="19">
        <v>0.40570000000000001</v>
      </c>
      <c r="G28" s="19" t="s">
        <v>1768</v>
      </c>
      <c r="H28" s="19" t="s">
        <v>3698</v>
      </c>
    </row>
    <row r="29" spans="1:8" x14ac:dyDescent="0.35">
      <c r="A29" s="19" t="s">
        <v>379</v>
      </c>
      <c r="B29" s="20" t="s">
        <v>377</v>
      </c>
      <c r="C29" s="20" t="s">
        <v>376</v>
      </c>
      <c r="D29" s="19"/>
      <c r="E29" s="19"/>
      <c r="F29" s="19"/>
      <c r="G29" s="19"/>
      <c r="H29" s="19"/>
    </row>
    <row r="30" spans="1:8" x14ac:dyDescent="0.35">
      <c r="A30" s="19" t="s">
        <v>4292</v>
      </c>
      <c r="B30" s="20" t="s">
        <v>3696</v>
      </c>
      <c r="C30" s="20" t="s">
        <v>3696</v>
      </c>
      <c r="D30" s="19" t="s">
        <v>174</v>
      </c>
      <c r="E30" s="19" t="s">
        <v>3697</v>
      </c>
      <c r="F30" s="19">
        <v>0.40570000000000001</v>
      </c>
      <c r="G30" s="19" t="s">
        <v>1768</v>
      </c>
      <c r="H30" s="19" t="s">
        <v>3698</v>
      </c>
    </row>
    <row r="31" spans="1:8" x14ac:dyDescent="0.35">
      <c r="A31" s="19" t="s">
        <v>1704</v>
      </c>
      <c r="B31" s="20" t="s">
        <v>1701</v>
      </c>
      <c r="C31" s="20" t="s">
        <v>1700</v>
      </c>
      <c r="D31" s="19" t="s">
        <v>174</v>
      </c>
      <c r="E31" s="19" t="s">
        <v>1703</v>
      </c>
      <c r="F31" s="19">
        <v>0.25890000000000002</v>
      </c>
      <c r="G31" s="19"/>
      <c r="H31" s="19"/>
    </row>
    <row r="32" spans="1:8" x14ac:dyDescent="0.35">
      <c r="A32" s="19" t="s">
        <v>3302</v>
      </c>
      <c r="B32" s="20" t="s">
        <v>3299</v>
      </c>
      <c r="C32" s="20" t="s">
        <v>3298</v>
      </c>
      <c r="D32" s="19" t="s">
        <v>174</v>
      </c>
      <c r="E32" s="19" t="s">
        <v>1494</v>
      </c>
      <c r="F32" s="19">
        <v>0.46289999999999998</v>
      </c>
      <c r="G32" s="19" t="s">
        <v>3300</v>
      </c>
      <c r="H32" s="19" t="s">
        <v>3301</v>
      </c>
    </row>
    <row r="33" spans="1:8" ht="56" x14ac:dyDescent="0.35">
      <c r="A33" s="19" t="s">
        <v>4033</v>
      </c>
      <c r="B33" s="20" t="s">
        <v>4031</v>
      </c>
      <c r="C33" s="20" t="s">
        <v>4030</v>
      </c>
      <c r="D33" s="19"/>
      <c r="E33" s="19"/>
      <c r="F33" s="19"/>
      <c r="G33" s="19"/>
      <c r="H33" s="19"/>
    </row>
    <row r="34" spans="1:8" ht="42" x14ac:dyDescent="0.35">
      <c r="A34" s="19" t="s">
        <v>1370</v>
      </c>
      <c r="B34" s="20" t="s">
        <v>1367</v>
      </c>
      <c r="C34" s="20" t="s">
        <v>1366</v>
      </c>
      <c r="D34" s="19" t="s">
        <v>174</v>
      </c>
      <c r="E34" s="19" t="s">
        <v>1369</v>
      </c>
      <c r="F34" s="19">
        <v>0.29160000000000003</v>
      </c>
      <c r="G34" s="19" t="s">
        <v>219</v>
      </c>
      <c r="H34" s="19" t="s">
        <v>175</v>
      </c>
    </row>
    <row r="35" spans="1:8" x14ac:dyDescent="0.35">
      <c r="A35" s="19" t="s">
        <v>4293</v>
      </c>
      <c r="B35" s="20" t="s">
        <v>4294</v>
      </c>
      <c r="C35" s="20" t="s">
        <v>3298</v>
      </c>
      <c r="D35" s="19" t="s">
        <v>174</v>
      </c>
      <c r="E35" s="19" t="s">
        <v>1494</v>
      </c>
      <c r="F35" s="19">
        <v>0.46289999999999998</v>
      </c>
      <c r="G35" s="19" t="s">
        <v>3300</v>
      </c>
      <c r="H35" s="19" t="s">
        <v>3301</v>
      </c>
    </row>
    <row r="36" spans="1:8" x14ac:dyDescent="0.35">
      <c r="A36" s="19" t="s">
        <v>4295</v>
      </c>
      <c r="B36" s="20" t="s">
        <v>4294</v>
      </c>
      <c r="C36" s="20" t="s">
        <v>3298</v>
      </c>
      <c r="D36" s="19" t="s">
        <v>174</v>
      </c>
      <c r="E36" s="19" t="s">
        <v>1494</v>
      </c>
      <c r="F36" s="19">
        <v>0.46289999999999998</v>
      </c>
      <c r="G36" s="19" t="s">
        <v>3300</v>
      </c>
      <c r="H36" s="19" t="s">
        <v>3301</v>
      </c>
    </row>
    <row r="37" spans="1:8" x14ac:dyDescent="0.35">
      <c r="A37" s="19" t="s">
        <v>4296</v>
      </c>
      <c r="B37" s="20" t="s">
        <v>4294</v>
      </c>
      <c r="C37" s="20" t="s">
        <v>3298</v>
      </c>
      <c r="D37" s="19" t="s">
        <v>174</v>
      </c>
      <c r="E37" s="19" t="s">
        <v>1494</v>
      </c>
      <c r="F37" s="19">
        <v>0.46289999999999998</v>
      </c>
      <c r="G37" s="19" t="s">
        <v>3300</v>
      </c>
      <c r="H37" s="19" t="s">
        <v>3301</v>
      </c>
    </row>
    <row r="38" spans="1:8" x14ac:dyDescent="0.35">
      <c r="A38" s="19" t="s">
        <v>4297</v>
      </c>
      <c r="B38" s="20" t="s">
        <v>4294</v>
      </c>
      <c r="C38" s="20" t="s">
        <v>3298</v>
      </c>
      <c r="D38" s="19" t="s">
        <v>174</v>
      </c>
      <c r="E38" s="19" t="s">
        <v>1494</v>
      </c>
      <c r="F38" s="19">
        <v>0.46289999999999998</v>
      </c>
      <c r="G38" s="19" t="s">
        <v>3300</v>
      </c>
      <c r="H38" s="19" t="s">
        <v>3301</v>
      </c>
    </row>
    <row r="39" spans="1:8" ht="42" x14ac:dyDescent="0.35">
      <c r="A39" s="19" t="s">
        <v>754</v>
      </c>
      <c r="B39" s="20" t="s">
        <v>751</v>
      </c>
      <c r="C39" s="20" t="s">
        <v>750</v>
      </c>
      <c r="D39" s="19" t="s">
        <v>4</v>
      </c>
      <c r="E39" s="19" t="s">
        <v>753</v>
      </c>
      <c r="F39" s="19">
        <v>0.8</v>
      </c>
      <c r="G39" s="19"/>
      <c r="H39" s="19"/>
    </row>
    <row r="40" spans="1:8" ht="56" x14ac:dyDescent="0.35">
      <c r="A40" s="19" t="s">
        <v>4061</v>
      </c>
      <c r="B40" s="20" t="s">
        <v>4060</v>
      </c>
      <c r="C40" s="20" t="s">
        <v>4059</v>
      </c>
      <c r="D40" s="19"/>
      <c r="E40" s="19"/>
      <c r="F40" s="19"/>
      <c r="G40" s="19"/>
      <c r="H40" s="19"/>
    </row>
    <row r="41" spans="1:8" x14ac:dyDescent="0.35">
      <c r="A41" s="19" t="s">
        <v>4298</v>
      </c>
      <c r="B41" s="20" t="s">
        <v>4287</v>
      </c>
      <c r="C41" s="20"/>
      <c r="D41" s="19"/>
      <c r="E41" s="19"/>
      <c r="F41" s="19"/>
      <c r="G41" s="19"/>
      <c r="H41" s="19"/>
    </row>
    <row r="42" spans="1:8" ht="28" x14ac:dyDescent="0.35">
      <c r="A42" s="19" t="s">
        <v>1032</v>
      </c>
      <c r="B42" s="20" t="s">
        <v>1031</v>
      </c>
      <c r="C42" s="20" t="s">
        <v>1030</v>
      </c>
      <c r="D42" s="19" t="s">
        <v>4</v>
      </c>
      <c r="E42" s="19" t="s">
        <v>539</v>
      </c>
      <c r="F42" s="19">
        <v>0.8</v>
      </c>
      <c r="G42" s="19"/>
      <c r="H42" s="19"/>
    </row>
    <row r="43" spans="1:8" ht="28" x14ac:dyDescent="0.35">
      <c r="A43" s="19" t="s">
        <v>1635</v>
      </c>
      <c r="B43" s="20" t="s">
        <v>1633</v>
      </c>
      <c r="C43" s="20" t="s">
        <v>1633</v>
      </c>
      <c r="D43" s="19" t="s">
        <v>174</v>
      </c>
      <c r="E43" s="19" t="s">
        <v>1634</v>
      </c>
      <c r="F43" s="19">
        <v>0.26740000000000003</v>
      </c>
      <c r="G43" s="19" t="s">
        <v>1496</v>
      </c>
      <c r="H43" s="19" t="s">
        <v>243</v>
      </c>
    </row>
    <row r="44" spans="1:8" ht="28" x14ac:dyDescent="0.35">
      <c r="A44" s="19" t="s">
        <v>1040</v>
      </c>
      <c r="B44" s="20" t="s">
        <v>1039</v>
      </c>
      <c r="C44" s="20" t="s">
        <v>4299</v>
      </c>
      <c r="D44" s="19" t="s">
        <v>4</v>
      </c>
      <c r="E44" s="19" t="s">
        <v>67</v>
      </c>
      <c r="F44" s="19">
        <v>0.8</v>
      </c>
      <c r="G44" s="19" t="s">
        <v>1106</v>
      </c>
      <c r="H44" s="19"/>
    </row>
    <row r="45" spans="1:8" ht="70" x14ac:dyDescent="0.35">
      <c r="A45" s="19" t="s">
        <v>4136</v>
      </c>
      <c r="B45" s="20" t="s">
        <v>4135</v>
      </c>
      <c r="C45" s="20" t="s">
        <v>4134</v>
      </c>
      <c r="D45" s="19"/>
      <c r="E45" s="19"/>
      <c r="F45" s="19"/>
      <c r="G45" s="19"/>
      <c r="H45" s="19"/>
    </row>
    <row r="46" spans="1:8" x14ac:dyDescent="0.35">
      <c r="A46" s="19" t="s">
        <v>2108</v>
      </c>
      <c r="B46" s="20" t="s">
        <v>2107</v>
      </c>
      <c r="C46" s="20" t="s">
        <v>2107</v>
      </c>
      <c r="D46" s="19" t="s">
        <v>174</v>
      </c>
      <c r="E46" s="19" t="s">
        <v>1691</v>
      </c>
      <c r="F46" s="19">
        <v>0.2177</v>
      </c>
      <c r="G46" s="19"/>
      <c r="H46" s="19"/>
    </row>
    <row r="47" spans="1:8" x14ac:dyDescent="0.35">
      <c r="A47" s="19" t="s">
        <v>4300</v>
      </c>
      <c r="B47" s="20"/>
      <c r="C47" s="20"/>
      <c r="D47" s="19"/>
      <c r="E47" s="19"/>
      <c r="F47" s="19"/>
      <c r="G47" s="19"/>
      <c r="H47" s="19"/>
    </row>
    <row r="48" spans="1:8" x14ac:dyDescent="0.35">
      <c r="A48" s="19" t="s">
        <v>3081</v>
      </c>
      <c r="B48" s="20" t="s">
        <v>3080</v>
      </c>
      <c r="C48" s="20" t="s">
        <v>3079</v>
      </c>
      <c r="D48" s="19" t="s">
        <v>174</v>
      </c>
      <c r="E48" s="19" t="s">
        <v>561</v>
      </c>
      <c r="F48" s="19">
        <v>0.31369999999999998</v>
      </c>
      <c r="G48" s="19"/>
      <c r="H48" s="19"/>
    </row>
    <row r="49" spans="1:8" x14ac:dyDescent="0.35">
      <c r="A49" s="19" t="s">
        <v>4301</v>
      </c>
      <c r="B49" s="20" t="s">
        <v>4302</v>
      </c>
      <c r="C49" s="20" t="s">
        <v>2107</v>
      </c>
      <c r="D49" s="19" t="s">
        <v>174</v>
      </c>
      <c r="E49" s="19" t="s">
        <v>1691</v>
      </c>
      <c r="F49" s="19">
        <v>0.2177</v>
      </c>
      <c r="G49" s="19"/>
      <c r="H49" s="19"/>
    </row>
    <row r="50" spans="1:8" x14ac:dyDescent="0.35">
      <c r="A50" s="19" t="s">
        <v>4303</v>
      </c>
      <c r="B50" s="20"/>
      <c r="C50" s="20"/>
      <c r="D50" s="19"/>
      <c r="E50" s="19"/>
      <c r="F50" s="19"/>
      <c r="G50" s="19"/>
      <c r="H50" s="19"/>
    </row>
    <row r="51" spans="1:8" ht="84" x14ac:dyDescent="0.35">
      <c r="A51" s="19" t="s">
        <v>1103</v>
      </c>
      <c r="B51" s="20" t="s">
        <v>1100</v>
      </c>
      <c r="C51" s="20" t="s">
        <v>1099</v>
      </c>
      <c r="D51" s="19" t="s">
        <v>4</v>
      </c>
      <c r="E51" s="19" t="s">
        <v>1102</v>
      </c>
      <c r="F51" s="19">
        <v>0.8</v>
      </c>
      <c r="G51" s="19"/>
      <c r="H51" s="19"/>
    </row>
    <row r="52" spans="1:8" ht="42" x14ac:dyDescent="0.35">
      <c r="A52" s="19" t="s">
        <v>3768</v>
      </c>
      <c r="B52" s="20" t="s">
        <v>3767</v>
      </c>
      <c r="C52" s="20" t="s">
        <v>3767</v>
      </c>
      <c r="D52" s="19"/>
      <c r="E52" s="19"/>
      <c r="F52" s="19"/>
      <c r="G52" s="19"/>
      <c r="H52" s="19"/>
    </row>
    <row r="53" spans="1:8" x14ac:dyDescent="0.35">
      <c r="A53" s="19" t="s">
        <v>1364</v>
      </c>
      <c r="B53" s="20" t="s">
        <v>1359</v>
      </c>
      <c r="C53" s="20" t="s">
        <v>1358</v>
      </c>
      <c r="D53" s="19" t="s">
        <v>174</v>
      </c>
      <c r="E53" s="19" t="s">
        <v>1361</v>
      </c>
      <c r="F53" s="19">
        <v>0.2923</v>
      </c>
      <c r="G53" s="19" t="s">
        <v>1362</v>
      </c>
      <c r="H53" s="19" t="s">
        <v>1363</v>
      </c>
    </row>
    <row r="54" spans="1:8" ht="28" x14ac:dyDescent="0.35">
      <c r="A54" s="19" t="s">
        <v>4304</v>
      </c>
      <c r="B54" s="20" t="s">
        <v>4305</v>
      </c>
      <c r="C54" s="20"/>
      <c r="D54" s="19"/>
      <c r="E54" s="19"/>
      <c r="F54" s="19"/>
      <c r="G54" s="19"/>
      <c r="H54" s="19"/>
    </row>
    <row r="55" spans="1:8" x14ac:dyDescent="0.35">
      <c r="A55" s="19" t="s">
        <v>4306</v>
      </c>
      <c r="B55" s="20"/>
      <c r="C55" s="20"/>
      <c r="D55" s="19"/>
      <c r="E55" s="19"/>
      <c r="F55" s="19"/>
      <c r="G55" s="19"/>
      <c r="H55" s="19"/>
    </row>
    <row r="56" spans="1:8" ht="84" x14ac:dyDescent="0.35">
      <c r="A56" s="19" t="s">
        <v>3868</v>
      </c>
      <c r="B56" s="20" t="s">
        <v>3866</v>
      </c>
      <c r="C56" s="20" t="s">
        <v>3865</v>
      </c>
      <c r="D56" s="19"/>
      <c r="E56" s="19"/>
      <c r="F56" s="19"/>
      <c r="G56" s="19"/>
      <c r="H56" s="19"/>
    </row>
    <row r="57" spans="1:8" ht="28" x14ac:dyDescent="0.35">
      <c r="A57" s="19" t="s">
        <v>3187</v>
      </c>
      <c r="B57" s="20" t="s">
        <v>3185</v>
      </c>
      <c r="C57" s="20" t="s">
        <v>3185</v>
      </c>
      <c r="D57" s="19" t="s">
        <v>174</v>
      </c>
      <c r="E57" s="19" t="s">
        <v>220</v>
      </c>
      <c r="F57" s="19">
        <v>0.30020000000000002</v>
      </c>
      <c r="G57" s="19" t="s">
        <v>3186</v>
      </c>
      <c r="H57" s="19" t="s">
        <v>221</v>
      </c>
    </row>
    <row r="58" spans="1:8" ht="70" x14ac:dyDescent="0.35">
      <c r="A58" s="19" t="s">
        <v>2282</v>
      </c>
      <c r="B58" s="20" t="s">
        <v>2281</v>
      </c>
      <c r="C58" s="20" t="s">
        <v>2280</v>
      </c>
      <c r="D58" s="19" t="s">
        <v>174</v>
      </c>
      <c r="E58" s="19" t="s">
        <v>219</v>
      </c>
      <c r="F58" s="19">
        <v>0.2009</v>
      </c>
      <c r="G58" s="19"/>
      <c r="H58" s="19"/>
    </row>
    <row r="59" spans="1:8" ht="154" x14ac:dyDescent="0.35">
      <c r="A59" s="19" t="s">
        <v>2246</v>
      </c>
      <c r="B59" s="20" t="s">
        <v>2245</v>
      </c>
      <c r="C59" s="20" t="s">
        <v>2244</v>
      </c>
      <c r="D59" s="19" t="s">
        <v>174</v>
      </c>
      <c r="E59" s="19" t="s">
        <v>221</v>
      </c>
      <c r="F59" s="19">
        <v>0.20499999999999999</v>
      </c>
      <c r="G59" s="19"/>
      <c r="H59" s="19"/>
    </row>
    <row r="60" spans="1:8" x14ac:dyDescent="0.35">
      <c r="A60" s="19" t="s">
        <v>4307</v>
      </c>
      <c r="B60" s="20"/>
      <c r="C60" s="20"/>
      <c r="D60" s="19"/>
      <c r="E60" s="19"/>
      <c r="F60" s="19"/>
      <c r="G60" s="19"/>
      <c r="H60" s="19"/>
    </row>
    <row r="61" spans="1:8" ht="98" x14ac:dyDescent="0.35">
      <c r="A61" s="19" t="s">
        <v>4045</v>
      </c>
      <c r="B61" s="20" t="s">
        <v>4044</v>
      </c>
      <c r="C61" s="20" t="s">
        <v>4043</v>
      </c>
      <c r="D61" s="19"/>
      <c r="E61" s="19"/>
      <c r="F61" s="19"/>
      <c r="G61" s="19"/>
      <c r="H61" s="19"/>
    </row>
    <row r="62" spans="1:8" x14ac:dyDescent="0.35">
      <c r="A62" s="19" t="s">
        <v>4308</v>
      </c>
      <c r="B62" s="20" t="s">
        <v>4309</v>
      </c>
      <c r="C62" s="20" t="s">
        <v>2501</v>
      </c>
      <c r="D62" s="19" t="s">
        <v>174</v>
      </c>
      <c r="E62" s="19" t="s">
        <v>2502</v>
      </c>
      <c r="F62" s="19">
        <v>0.3831</v>
      </c>
      <c r="G62" s="19" t="s">
        <v>1396</v>
      </c>
      <c r="H62" s="19" t="s">
        <v>2503</v>
      </c>
    </row>
    <row r="63" spans="1:8" ht="28" x14ac:dyDescent="0.35">
      <c r="A63" s="19" t="s">
        <v>1411</v>
      </c>
      <c r="B63" s="20" t="s">
        <v>1407</v>
      </c>
      <c r="C63" s="20" t="s">
        <v>4310</v>
      </c>
      <c r="D63" s="19" t="s">
        <v>174</v>
      </c>
      <c r="E63" s="19" t="s">
        <v>2807</v>
      </c>
      <c r="F63" s="19">
        <v>0.34279999999999999</v>
      </c>
      <c r="G63" s="19" t="s">
        <v>2808</v>
      </c>
      <c r="H63" s="19" t="s">
        <v>2809</v>
      </c>
    </row>
    <row r="64" spans="1:8" x14ac:dyDescent="0.35">
      <c r="A64" s="19" t="s">
        <v>4311</v>
      </c>
      <c r="B64" s="20"/>
      <c r="C64" s="20"/>
      <c r="D64" s="19"/>
      <c r="E64" s="19"/>
      <c r="F64" s="19"/>
      <c r="G64" s="19"/>
      <c r="H64" s="19"/>
    </row>
    <row r="65" spans="1:8" ht="28" x14ac:dyDescent="0.35">
      <c r="A65" s="19" t="s">
        <v>3655</v>
      </c>
      <c r="B65" s="20" t="s">
        <v>3654</v>
      </c>
      <c r="C65" s="20" t="s">
        <v>3653</v>
      </c>
      <c r="D65" s="19" t="s">
        <v>174</v>
      </c>
      <c r="E65" s="19" t="s">
        <v>555</v>
      </c>
      <c r="F65" s="19">
        <v>0.41239999999999999</v>
      </c>
      <c r="G65" s="19" t="s">
        <v>153</v>
      </c>
      <c r="H65" s="19" t="s">
        <v>1389</v>
      </c>
    </row>
    <row r="66" spans="1:8" ht="28" x14ac:dyDescent="0.35">
      <c r="A66" s="19" t="s">
        <v>1036</v>
      </c>
      <c r="B66" s="20" t="s">
        <v>1035</v>
      </c>
      <c r="C66" s="20" t="s">
        <v>1034</v>
      </c>
      <c r="D66" s="19" t="s">
        <v>4</v>
      </c>
      <c r="E66" s="19" t="s">
        <v>466</v>
      </c>
      <c r="F66" s="19">
        <v>0.8</v>
      </c>
      <c r="G66" s="19"/>
      <c r="H66" s="19"/>
    </row>
    <row r="67" spans="1:8" x14ac:dyDescent="0.35">
      <c r="A67" s="19" t="s">
        <v>468</v>
      </c>
      <c r="B67" s="20" t="s">
        <v>467</v>
      </c>
      <c r="C67" s="20" t="s">
        <v>466</v>
      </c>
      <c r="D67" s="19" t="s">
        <v>21</v>
      </c>
      <c r="E67" s="19" t="s">
        <v>466</v>
      </c>
      <c r="F67" s="19">
        <v>1</v>
      </c>
      <c r="G67" s="19"/>
      <c r="H67" s="19"/>
    </row>
    <row r="68" spans="1:8" x14ac:dyDescent="0.35">
      <c r="A68" s="19" t="s">
        <v>4312</v>
      </c>
      <c r="B68" s="20" t="s">
        <v>4313</v>
      </c>
      <c r="C68" s="20" t="s">
        <v>466</v>
      </c>
      <c r="D68" s="19" t="s">
        <v>21</v>
      </c>
      <c r="E68" s="19" t="s">
        <v>466</v>
      </c>
      <c r="F68" s="19">
        <v>1</v>
      </c>
      <c r="G68" s="19"/>
      <c r="H68" s="19"/>
    </row>
    <row r="69" spans="1:8" ht="28" x14ac:dyDescent="0.35">
      <c r="A69" s="19" t="s">
        <v>997</v>
      </c>
      <c r="B69" s="20" t="s">
        <v>996</v>
      </c>
      <c r="C69" s="20" t="s">
        <v>995</v>
      </c>
      <c r="D69" s="19" t="s">
        <v>4</v>
      </c>
      <c r="E69" s="19" t="s">
        <v>36</v>
      </c>
      <c r="F69" s="19">
        <v>0.8</v>
      </c>
      <c r="G69" s="19"/>
      <c r="H69" s="19"/>
    </row>
    <row r="70" spans="1:8" x14ac:dyDescent="0.35">
      <c r="A70" s="19" t="s">
        <v>558</v>
      </c>
      <c r="B70" s="20" t="s">
        <v>556</v>
      </c>
      <c r="C70" s="20" t="s">
        <v>555</v>
      </c>
      <c r="D70" s="19" t="s">
        <v>21</v>
      </c>
      <c r="E70" s="19" t="s">
        <v>36</v>
      </c>
      <c r="F70" s="19">
        <v>1</v>
      </c>
      <c r="G70" s="19"/>
      <c r="H70" s="19"/>
    </row>
    <row r="71" spans="1:8" x14ac:dyDescent="0.35">
      <c r="A71" s="19" t="s">
        <v>4314</v>
      </c>
      <c r="B71" s="20" t="s">
        <v>556</v>
      </c>
      <c r="C71" s="20" t="s">
        <v>555</v>
      </c>
      <c r="D71" s="19" t="s">
        <v>21</v>
      </c>
      <c r="E71" s="19" t="s">
        <v>36</v>
      </c>
      <c r="F71" s="19">
        <v>1</v>
      </c>
      <c r="G71" s="19"/>
      <c r="H71" s="19"/>
    </row>
    <row r="72" spans="1:8" ht="28" x14ac:dyDescent="0.35">
      <c r="A72" s="19" t="s">
        <v>3761</v>
      </c>
      <c r="B72" s="20" t="s">
        <v>3760</v>
      </c>
      <c r="C72" s="20" t="s">
        <v>3759</v>
      </c>
      <c r="D72" s="19"/>
      <c r="E72" s="19"/>
      <c r="F72" s="19"/>
      <c r="G72" s="19"/>
      <c r="H72" s="19"/>
    </row>
    <row r="73" spans="1:8" ht="28" x14ac:dyDescent="0.35">
      <c r="A73" s="19" t="s">
        <v>881</v>
      </c>
      <c r="B73" s="20" t="s">
        <v>880</v>
      </c>
      <c r="C73" s="20" t="s">
        <v>879</v>
      </c>
      <c r="D73" s="19" t="s">
        <v>4</v>
      </c>
      <c r="E73" s="19" t="s">
        <v>67</v>
      </c>
      <c r="F73" s="19">
        <v>0.8</v>
      </c>
      <c r="G73" s="19"/>
      <c r="H73" s="19"/>
    </row>
    <row r="74" spans="1:8" x14ac:dyDescent="0.35">
      <c r="A74" s="19" t="s">
        <v>1698</v>
      </c>
      <c r="B74" s="20" t="s">
        <v>1695</v>
      </c>
      <c r="C74" s="20" t="s">
        <v>1694</v>
      </c>
      <c r="D74" s="19" t="s">
        <v>174</v>
      </c>
      <c r="E74" s="19" t="s">
        <v>1697</v>
      </c>
      <c r="F74" s="19">
        <v>0.25940000000000002</v>
      </c>
      <c r="G74" s="19"/>
      <c r="H74" s="19"/>
    </row>
    <row r="75" spans="1:8" x14ac:dyDescent="0.35">
      <c r="A75" s="19" t="s">
        <v>762</v>
      </c>
      <c r="B75" s="20" t="s">
        <v>761</v>
      </c>
      <c r="C75" s="20" t="s">
        <v>760</v>
      </c>
      <c r="D75" s="19" t="s">
        <v>4</v>
      </c>
      <c r="E75" s="19" t="s">
        <v>722</v>
      </c>
      <c r="F75" s="19">
        <v>0.8</v>
      </c>
      <c r="G75" s="19"/>
      <c r="H75" s="19"/>
    </row>
    <row r="76" spans="1:8" x14ac:dyDescent="0.35">
      <c r="A76" s="19" t="s">
        <v>4315</v>
      </c>
      <c r="B76" s="20" t="s">
        <v>3696</v>
      </c>
      <c r="C76" s="20" t="s">
        <v>3696</v>
      </c>
      <c r="D76" s="19" t="s">
        <v>174</v>
      </c>
      <c r="E76" s="19" t="s">
        <v>3697</v>
      </c>
      <c r="F76" s="19">
        <v>0.40570000000000001</v>
      </c>
      <c r="G76" s="19" t="s">
        <v>1768</v>
      </c>
      <c r="H76" s="19" t="s">
        <v>3698</v>
      </c>
    </row>
    <row r="77" spans="1:8" x14ac:dyDescent="0.35">
      <c r="A77" s="19" t="s">
        <v>2928</v>
      </c>
      <c r="B77" s="20" t="s">
        <v>2924</v>
      </c>
      <c r="C77" s="20" t="s">
        <v>2924</v>
      </c>
      <c r="D77" s="19" t="s">
        <v>174</v>
      </c>
      <c r="E77" s="19" t="s">
        <v>2664</v>
      </c>
      <c r="F77" s="19">
        <v>0.33310000000000001</v>
      </c>
      <c r="G77" s="19" t="s">
        <v>2926</v>
      </c>
      <c r="H77" s="19" t="s">
        <v>2927</v>
      </c>
    </row>
    <row r="78" spans="1:8" x14ac:dyDescent="0.35">
      <c r="A78" s="19" t="s">
        <v>1732</v>
      </c>
      <c r="B78" s="20" t="s">
        <v>1728</v>
      </c>
      <c r="C78" s="20" t="s">
        <v>1727</v>
      </c>
      <c r="D78" s="19" t="s">
        <v>174</v>
      </c>
      <c r="E78" s="19" t="s">
        <v>1730</v>
      </c>
      <c r="F78" s="19">
        <v>0.25590000000000002</v>
      </c>
      <c r="G78" s="19" t="s">
        <v>1731</v>
      </c>
      <c r="H78" s="19"/>
    </row>
    <row r="79" spans="1:8" x14ac:dyDescent="0.35">
      <c r="A79" s="19" t="s">
        <v>3409</v>
      </c>
      <c r="B79" s="20" t="s">
        <v>3405</v>
      </c>
      <c r="C79" s="20" t="s">
        <v>3405</v>
      </c>
      <c r="D79" s="19" t="s">
        <v>174</v>
      </c>
      <c r="E79" s="19" t="s">
        <v>3407</v>
      </c>
      <c r="F79" s="19">
        <v>0.4466</v>
      </c>
      <c r="G79" s="19" t="s">
        <v>3408</v>
      </c>
      <c r="H79" s="19" t="s">
        <v>3175</v>
      </c>
    </row>
    <row r="80" spans="1:8" x14ac:dyDescent="0.35">
      <c r="A80" s="19" t="s">
        <v>4316</v>
      </c>
      <c r="B80" s="20" t="s">
        <v>3178</v>
      </c>
      <c r="C80" s="20" t="s">
        <v>3178</v>
      </c>
      <c r="D80" s="19" t="s">
        <v>174</v>
      </c>
      <c r="E80" s="19" t="s">
        <v>2448</v>
      </c>
      <c r="F80" s="19">
        <v>0.30249999999999999</v>
      </c>
      <c r="G80" s="19" t="s">
        <v>1397</v>
      </c>
      <c r="H80" s="19" t="s">
        <v>2196</v>
      </c>
    </row>
    <row r="81" spans="1:8" x14ac:dyDescent="0.35">
      <c r="A81" s="19" t="s">
        <v>446</v>
      </c>
      <c r="B81" s="20" t="s">
        <v>445</v>
      </c>
      <c r="C81" s="20" t="s">
        <v>445</v>
      </c>
      <c r="D81" s="19" t="s">
        <v>21</v>
      </c>
      <c r="E81" s="19" t="s">
        <v>201</v>
      </c>
      <c r="F81" s="19">
        <v>1</v>
      </c>
      <c r="G81" s="19"/>
      <c r="H81" s="19"/>
    </row>
    <row r="82" spans="1:8" ht="42" x14ac:dyDescent="0.35">
      <c r="A82" s="19" t="s">
        <v>4190</v>
      </c>
      <c r="B82" s="20" t="s">
        <v>4188</v>
      </c>
      <c r="C82" s="20" t="s">
        <v>4187</v>
      </c>
      <c r="D82" s="19"/>
      <c r="E82" s="19"/>
      <c r="F82" s="19"/>
      <c r="G82" s="19"/>
      <c r="H82" s="19"/>
    </row>
    <row r="83" spans="1:8" x14ac:dyDescent="0.35">
      <c r="A83" s="19" t="s">
        <v>4317</v>
      </c>
      <c r="B83" s="20"/>
      <c r="C83" s="20"/>
      <c r="D83" s="19"/>
      <c r="E83" s="19"/>
      <c r="F83" s="19"/>
      <c r="G83" s="19"/>
      <c r="H83" s="19"/>
    </row>
    <row r="84" spans="1:8" ht="28" x14ac:dyDescent="0.35">
      <c r="A84" s="19" t="s">
        <v>177</v>
      </c>
      <c r="B84" s="20" t="s">
        <v>172</v>
      </c>
      <c r="C84" s="20" t="s">
        <v>171</v>
      </c>
      <c r="D84" s="19" t="s">
        <v>174</v>
      </c>
      <c r="E84" s="19" t="s">
        <v>175</v>
      </c>
      <c r="F84" s="19">
        <v>0.28960000000000002</v>
      </c>
      <c r="G84" s="19" t="s">
        <v>176</v>
      </c>
      <c r="H84" s="19"/>
    </row>
    <row r="85" spans="1:8" ht="56" x14ac:dyDescent="0.35">
      <c r="A85" s="19" t="s">
        <v>393</v>
      </c>
      <c r="B85" s="20" t="s">
        <v>391</v>
      </c>
      <c r="C85" s="20" t="s">
        <v>390</v>
      </c>
      <c r="D85" s="19"/>
      <c r="E85" s="19"/>
      <c r="F85" s="19"/>
      <c r="G85" s="19"/>
      <c r="H85" s="19"/>
    </row>
    <row r="86" spans="1:8" ht="70" x14ac:dyDescent="0.35">
      <c r="A86" s="19" t="s">
        <v>4024</v>
      </c>
      <c r="B86" s="20" t="s">
        <v>4022</v>
      </c>
      <c r="C86" s="20" t="s">
        <v>4021</v>
      </c>
      <c r="D86" s="19"/>
      <c r="E86" s="19"/>
      <c r="F86" s="19"/>
      <c r="G86" s="19"/>
      <c r="H86" s="19"/>
    </row>
    <row r="87" spans="1:8" x14ac:dyDescent="0.35">
      <c r="A87" s="19" t="s">
        <v>540</v>
      </c>
      <c r="B87" s="20" t="s">
        <v>538</v>
      </c>
      <c r="C87" s="20" t="s">
        <v>4318</v>
      </c>
      <c r="D87" s="19" t="s">
        <v>21</v>
      </c>
      <c r="E87" s="19" t="s">
        <v>539</v>
      </c>
      <c r="F87" s="19">
        <v>1</v>
      </c>
      <c r="G87" s="19" t="s">
        <v>2921</v>
      </c>
      <c r="H87" s="19" t="s">
        <v>2962</v>
      </c>
    </row>
    <row r="88" spans="1:8" ht="224" x14ac:dyDescent="0.35">
      <c r="A88" s="19" t="s">
        <v>3944</v>
      </c>
      <c r="B88" s="20" t="s">
        <v>3943</v>
      </c>
      <c r="C88" s="20" t="s">
        <v>3942</v>
      </c>
      <c r="D88" s="19"/>
      <c r="E88" s="19"/>
      <c r="F88" s="19"/>
      <c r="G88" s="19"/>
      <c r="H88" s="19"/>
    </row>
    <row r="89" spans="1:8" ht="28" x14ac:dyDescent="0.35">
      <c r="A89" s="19" t="s">
        <v>2757</v>
      </c>
      <c r="B89" s="20" t="s">
        <v>2752</v>
      </c>
      <c r="C89" s="20" t="s">
        <v>2751</v>
      </c>
      <c r="D89" s="19" t="s">
        <v>174</v>
      </c>
      <c r="E89" s="19" t="s">
        <v>2754</v>
      </c>
      <c r="F89" s="19">
        <v>0.34989999999999999</v>
      </c>
      <c r="G89" s="19" t="s">
        <v>2755</v>
      </c>
      <c r="H89" s="19" t="s">
        <v>2756</v>
      </c>
    </row>
    <row r="90" spans="1:8" x14ac:dyDescent="0.35">
      <c r="A90" s="19" t="s">
        <v>3665</v>
      </c>
      <c r="B90" s="20" t="s">
        <v>3662</v>
      </c>
      <c r="C90" s="20" t="s">
        <v>3661</v>
      </c>
      <c r="D90" s="19" t="s">
        <v>174</v>
      </c>
      <c r="E90" s="19" t="s">
        <v>3663</v>
      </c>
      <c r="F90" s="19">
        <v>0.41070000000000001</v>
      </c>
      <c r="G90" s="19" t="s">
        <v>3664</v>
      </c>
      <c r="H90" s="19" t="s">
        <v>3301</v>
      </c>
    </row>
    <row r="91" spans="1:8" x14ac:dyDescent="0.35">
      <c r="A91" s="19" t="s">
        <v>38</v>
      </c>
      <c r="B91" s="20" t="s">
        <v>37</v>
      </c>
      <c r="C91" s="20" t="s">
        <v>36</v>
      </c>
      <c r="D91" s="19" t="s">
        <v>21</v>
      </c>
      <c r="E91" s="19" t="s">
        <v>36</v>
      </c>
      <c r="F91" s="19">
        <v>1</v>
      </c>
      <c r="G91" s="19"/>
      <c r="H91" s="19"/>
    </row>
    <row r="92" spans="1:8" x14ac:dyDescent="0.35">
      <c r="A92" s="19" t="s">
        <v>2071</v>
      </c>
      <c r="B92" s="20" t="s">
        <v>2069</v>
      </c>
      <c r="C92" s="20" t="s">
        <v>2068</v>
      </c>
      <c r="D92" s="19" t="s">
        <v>174</v>
      </c>
      <c r="E92" s="19" t="s">
        <v>2070</v>
      </c>
      <c r="F92" s="19">
        <v>0.22009999999999999</v>
      </c>
      <c r="G92" s="19"/>
      <c r="H92" s="19"/>
    </row>
    <row r="93" spans="1:8" x14ac:dyDescent="0.35">
      <c r="A93" s="19" t="s">
        <v>3466</v>
      </c>
      <c r="B93" s="20" t="s">
        <v>3462</v>
      </c>
      <c r="C93" s="20" t="s">
        <v>3461</v>
      </c>
      <c r="D93" s="19" t="s">
        <v>174</v>
      </c>
      <c r="E93" s="19" t="s">
        <v>3463</v>
      </c>
      <c r="F93" s="19">
        <v>0.43909999999999999</v>
      </c>
      <c r="G93" s="19" t="s">
        <v>3464</v>
      </c>
      <c r="H93" s="19" t="s">
        <v>3465</v>
      </c>
    </row>
    <row r="94" spans="1:8" x14ac:dyDescent="0.35">
      <c r="A94" s="19" t="s">
        <v>2499</v>
      </c>
      <c r="B94" s="20" t="s">
        <v>2497</v>
      </c>
      <c r="C94" s="20" t="s">
        <v>2496</v>
      </c>
      <c r="D94" s="19" t="s">
        <v>174</v>
      </c>
      <c r="E94" s="19" t="s">
        <v>1434</v>
      </c>
      <c r="F94" s="19">
        <v>0.38290000000000002</v>
      </c>
      <c r="G94" s="19"/>
      <c r="H94" s="19"/>
    </row>
    <row r="95" spans="1:8" ht="28" x14ac:dyDescent="0.35">
      <c r="A95" s="19" t="s">
        <v>1211</v>
      </c>
      <c r="B95" s="20" t="s">
        <v>1210</v>
      </c>
      <c r="C95" s="20" t="s">
        <v>1209</v>
      </c>
      <c r="D95" s="19" t="s">
        <v>115</v>
      </c>
      <c r="E95" s="19" t="s">
        <v>106</v>
      </c>
      <c r="F95" s="19">
        <v>0.6</v>
      </c>
      <c r="G95" s="19"/>
      <c r="H95" s="19"/>
    </row>
    <row r="96" spans="1:8" ht="28" x14ac:dyDescent="0.35">
      <c r="A96" s="19" t="s">
        <v>3963</v>
      </c>
      <c r="B96" s="20" t="s">
        <v>3962</v>
      </c>
      <c r="C96" s="20" t="s">
        <v>3961</v>
      </c>
      <c r="D96" s="19"/>
      <c r="E96" s="19"/>
      <c r="F96" s="19"/>
      <c r="G96" s="19"/>
      <c r="H96" s="19"/>
    </row>
    <row r="97" spans="1:8" x14ac:dyDescent="0.35">
      <c r="A97" s="19" t="s">
        <v>4319</v>
      </c>
      <c r="B97" s="20" t="s">
        <v>4320</v>
      </c>
      <c r="C97" s="20" t="s">
        <v>1038</v>
      </c>
      <c r="D97" s="19" t="s">
        <v>4</v>
      </c>
      <c r="E97" s="19" t="s">
        <v>67</v>
      </c>
      <c r="F97" s="19">
        <v>0.8</v>
      </c>
      <c r="G97" s="19"/>
      <c r="H97" s="19"/>
    </row>
    <row r="98" spans="1:8" x14ac:dyDescent="0.35">
      <c r="A98" s="19" t="s">
        <v>1190</v>
      </c>
      <c r="B98" s="20" t="s">
        <v>1189</v>
      </c>
      <c r="C98" s="20" t="s">
        <v>1188</v>
      </c>
      <c r="D98" s="19" t="s">
        <v>115</v>
      </c>
      <c r="E98" s="19" t="s">
        <v>130</v>
      </c>
      <c r="F98" s="19">
        <v>0.6</v>
      </c>
      <c r="G98" s="19"/>
      <c r="H98" s="19"/>
    </row>
    <row r="99" spans="1:8" x14ac:dyDescent="0.35">
      <c r="A99" s="19" t="s">
        <v>4321</v>
      </c>
      <c r="B99" s="20" t="s">
        <v>4322</v>
      </c>
      <c r="C99" s="20" t="s">
        <v>2107</v>
      </c>
      <c r="D99" s="19" t="s">
        <v>174</v>
      </c>
      <c r="E99" s="19" t="s">
        <v>1691</v>
      </c>
      <c r="F99" s="19">
        <v>0.2177</v>
      </c>
      <c r="G99" s="19"/>
      <c r="H99" s="19"/>
    </row>
    <row r="100" spans="1:8" x14ac:dyDescent="0.35">
      <c r="A100" s="19" t="s">
        <v>1849</v>
      </c>
      <c r="B100" s="20" t="s">
        <v>1847</v>
      </c>
      <c r="C100" s="20" t="s">
        <v>1846</v>
      </c>
      <c r="D100" s="19" t="s">
        <v>174</v>
      </c>
      <c r="E100" s="19" t="s">
        <v>1691</v>
      </c>
      <c r="F100" s="19">
        <v>0.24249999999999999</v>
      </c>
      <c r="G100" s="19"/>
      <c r="H100" s="19"/>
    </row>
    <row r="101" spans="1:8" x14ac:dyDescent="0.35">
      <c r="A101" s="19" t="s">
        <v>4323</v>
      </c>
      <c r="B101" s="20" t="s">
        <v>4324</v>
      </c>
      <c r="C101" s="20" t="s">
        <v>3661</v>
      </c>
      <c r="D101" s="19" t="s">
        <v>174</v>
      </c>
      <c r="E101" s="19" t="s">
        <v>3663</v>
      </c>
      <c r="F101" s="19">
        <v>0.41070000000000001</v>
      </c>
      <c r="G101" s="19" t="s">
        <v>3664</v>
      </c>
      <c r="H101" s="19" t="s">
        <v>3301</v>
      </c>
    </row>
    <row r="102" spans="1:8" x14ac:dyDescent="0.35">
      <c r="A102" s="19" t="s">
        <v>4325</v>
      </c>
      <c r="B102" s="20"/>
      <c r="C102" s="20"/>
      <c r="D102" s="19"/>
      <c r="E102" s="19"/>
      <c r="F102" s="19"/>
      <c r="G102" s="19"/>
      <c r="H102" s="19"/>
    </row>
    <row r="103" spans="1:8" x14ac:dyDescent="0.35">
      <c r="A103" s="19" t="s">
        <v>1681</v>
      </c>
      <c r="B103" s="20" t="s">
        <v>1678</v>
      </c>
      <c r="C103" s="20" t="s">
        <v>1677</v>
      </c>
      <c r="D103" s="19" t="s">
        <v>174</v>
      </c>
      <c r="E103" s="19" t="s">
        <v>753</v>
      </c>
      <c r="F103" s="19">
        <v>0.26219999999999999</v>
      </c>
      <c r="G103" s="19" t="s">
        <v>1680</v>
      </c>
      <c r="H103" s="19"/>
    </row>
    <row r="104" spans="1:8" x14ac:dyDescent="0.35">
      <c r="A104" s="19" t="s">
        <v>1819</v>
      </c>
      <c r="B104" s="20" t="s">
        <v>1815</v>
      </c>
      <c r="C104" s="20" t="s">
        <v>4326</v>
      </c>
      <c r="D104" s="19" t="s">
        <v>174</v>
      </c>
      <c r="E104" s="19" t="s">
        <v>2822</v>
      </c>
      <c r="F104" s="19">
        <v>0.3422</v>
      </c>
      <c r="G104" s="19" t="s">
        <v>2823</v>
      </c>
      <c r="H104" s="19" t="s">
        <v>2824</v>
      </c>
    </row>
    <row r="105" spans="1:8" x14ac:dyDescent="0.35">
      <c r="A105" s="19" t="s">
        <v>4327</v>
      </c>
      <c r="B105" s="20" t="s">
        <v>4328</v>
      </c>
      <c r="C105" s="20" t="s">
        <v>1677</v>
      </c>
      <c r="D105" s="19" t="s">
        <v>174</v>
      </c>
      <c r="E105" s="19" t="s">
        <v>753</v>
      </c>
      <c r="F105" s="19">
        <v>0.26219999999999999</v>
      </c>
      <c r="G105" s="19" t="s">
        <v>1680</v>
      </c>
      <c r="H105" s="19"/>
    </row>
    <row r="106" spans="1:8" ht="56" x14ac:dyDescent="0.35">
      <c r="A106" s="19" t="s">
        <v>1976</v>
      </c>
      <c r="B106" s="20" t="s">
        <v>1973</v>
      </c>
      <c r="C106" s="20" t="s">
        <v>1972</v>
      </c>
      <c r="D106" s="19" t="s">
        <v>174</v>
      </c>
      <c r="E106" s="19" t="s">
        <v>1974</v>
      </c>
      <c r="F106" s="19">
        <v>0.23130000000000001</v>
      </c>
      <c r="G106" s="19" t="s">
        <v>1975</v>
      </c>
      <c r="H106" s="19"/>
    </row>
    <row r="107" spans="1:8" ht="28" x14ac:dyDescent="0.35">
      <c r="A107" s="19" t="s">
        <v>1044</v>
      </c>
      <c r="B107" s="20" t="s">
        <v>1043</v>
      </c>
      <c r="C107" s="20" t="s">
        <v>1042</v>
      </c>
      <c r="D107" s="19" t="s">
        <v>4</v>
      </c>
      <c r="E107" s="19" t="s">
        <v>106</v>
      </c>
      <c r="F107" s="19">
        <v>0.8</v>
      </c>
      <c r="G107" s="19"/>
      <c r="H107" s="19"/>
    </row>
    <row r="108" spans="1:8" x14ac:dyDescent="0.35">
      <c r="A108" s="19" t="s">
        <v>2911</v>
      </c>
      <c r="B108" s="20" t="s">
        <v>2907</v>
      </c>
      <c r="C108" s="20" t="s">
        <v>2906</v>
      </c>
      <c r="D108" s="19" t="s">
        <v>174</v>
      </c>
      <c r="E108" s="19" t="s">
        <v>2908</v>
      </c>
      <c r="F108" s="19">
        <v>0.33360000000000001</v>
      </c>
      <c r="G108" s="19" t="s">
        <v>2909</v>
      </c>
      <c r="H108" s="19" t="s">
        <v>2910</v>
      </c>
    </row>
    <row r="109" spans="1:8" x14ac:dyDescent="0.35">
      <c r="A109" s="19" t="s">
        <v>4329</v>
      </c>
      <c r="B109" s="20" t="s">
        <v>4330</v>
      </c>
      <c r="C109" s="20" t="s">
        <v>2501</v>
      </c>
      <c r="D109" s="19" t="s">
        <v>174</v>
      </c>
      <c r="E109" s="19" t="s">
        <v>2502</v>
      </c>
      <c r="F109" s="19">
        <v>0.3831</v>
      </c>
      <c r="G109" s="19" t="s">
        <v>1396</v>
      </c>
      <c r="H109" s="19" t="s">
        <v>2503</v>
      </c>
    </row>
    <row r="110" spans="1:8" x14ac:dyDescent="0.35">
      <c r="A110" s="19" t="s">
        <v>4331</v>
      </c>
      <c r="B110" s="20" t="s">
        <v>4332</v>
      </c>
      <c r="C110" s="20" t="s">
        <v>555</v>
      </c>
      <c r="D110" s="19" t="s">
        <v>21</v>
      </c>
      <c r="E110" s="19" t="s">
        <v>36</v>
      </c>
      <c r="F110" s="19">
        <v>1</v>
      </c>
      <c r="G110" s="19"/>
      <c r="H110" s="19"/>
    </row>
    <row r="111" spans="1:8" x14ac:dyDescent="0.35">
      <c r="A111" s="19" t="s">
        <v>4333</v>
      </c>
      <c r="B111" s="20" t="s">
        <v>4334</v>
      </c>
      <c r="C111" s="20" t="s">
        <v>2068</v>
      </c>
      <c r="D111" s="19" t="s">
        <v>174</v>
      </c>
      <c r="E111" s="19" t="s">
        <v>2070</v>
      </c>
      <c r="F111" s="19">
        <v>0.22009999999999999</v>
      </c>
      <c r="G111" s="19"/>
      <c r="H111" s="19"/>
    </row>
    <row r="112" spans="1:8" x14ac:dyDescent="0.35">
      <c r="A112" s="19" t="s">
        <v>4335</v>
      </c>
      <c r="B112" s="20"/>
      <c r="C112" s="20"/>
      <c r="D112" s="19"/>
      <c r="E112" s="19"/>
      <c r="F112" s="19"/>
      <c r="G112" s="19"/>
      <c r="H112" s="19"/>
    </row>
    <row r="113" spans="1:8" ht="42" x14ac:dyDescent="0.35">
      <c r="A113" s="19" t="s">
        <v>3785</v>
      </c>
      <c r="B113" s="20" t="s">
        <v>3784</v>
      </c>
      <c r="C113" s="20" t="s">
        <v>3783</v>
      </c>
      <c r="D113" s="19"/>
      <c r="E113" s="19"/>
      <c r="F113" s="19"/>
      <c r="G113" s="19"/>
      <c r="H113" s="19"/>
    </row>
    <row r="114" spans="1:8" x14ac:dyDescent="0.35">
      <c r="A114" s="19" t="s">
        <v>3068</v>
      </c>
      <c r="B114" s="20" t="s">
        <v>3067</v>
      </c>
      <c r="C114" s="20" t="s">
        <v>3066</v>
      </c>
      <c r="D114" s="19" t="s">
        <v>174</v>
      </c>
      <c r="E114" s="19" t="s">
        <v>1622</v>
      </c>
      <c r="F114" s="19">
        <v>0.31369999999999998</v>
      </c>
      <c r="G114" s="19" t="s">
        <v>2080</v>
      </c>
      <c r="H114" s="19" t="s">
        <v>2809</v>
      </c>
    </row>
    <row r="115" spans="1:8" x14ac:dyDescent="0.35">
      <c r="A115" s="19" t="s">
        <v>4336</v>
      </c>
      <c r="B115" s="20"/>
      <c r="C115" s="20"/>
      <c r="D115" s="19"/>
      <c r="E115" s="19"/>
      <c r="F115" s="19"/>
      <c r="G115" s="19"/>
      <c r="H115" s="19"/>
    </row>
    <row r="116" spans="1:8" ht="70" x14ac:dyDescent="0.35">
      <c r="A116" s="19" t="s">
        <v>825</v>
      </c>
      <c r="B116" s="20" t="s">
        <v>824</v>
      </c>
      <c r="C116" s="20" t="s">
        <v>823</v>
      </c>
      <c r="D116" s="19" t="s">
        <v>4</v>
      </c>
      <c r="E116" s="19" t="s">
        <v>67</v>
      </c>
      <c r="F116" s="19">
        <v>0.8</v>
      </c>
      <c r="G116" s="19"/>
      <c r="H116" s="19"/>
    </row>
    <row r="117" spans="1:8" ht="42" x14ac:dyDescent="0.35">
      <c r="A117" s="19" t="s">
        <v>4148</v>
      </c>
      <c r="B117" s="20" t="s">
        <v>4147</v>
      </c>
      <c r="C117" s="20" t="s">
        <v>4146</v>
      </c>
      <c r="D117" s="19"/>
      <c r="E117" s="19"/>
      <c r="F117" s="19"/>
      <c r="G117" s="19"/>
      <c r="H117" s="19"/>
    </row>
    <row r="118" spans="1:8" x14ac:dyDescent="0.35">
      <c r="A118" s="19" t="s">
        <v>4337</v>
      </c>
      <c r="B118" s="20"/>
      <c r="C118" s="20"/>
      <c r="D118" s="19"/>
      <c r="E118" s="19"/>
      <c r="F118" s="19"/>
      <c r="G118" s="19"/>
      <c r="H118" s="19"/>
    </row>
    <row r="119" spans="1:8" x14ac:dyDescent="0.35">
      <c r="A119" s="19" t="s">
        <v>1631</v>
      </c>
      <c r="B119" s="20" t="s">
        <v>1627</v>
      </c>
      <c r="C119" s="20" t="s">
        <v>1626</v>
      </c>
      <c r="D119" s="19" t="s">
        <v>174</v>
      </c>
      <c r="E119" s="19" t="s">
        <v>1628</v>
      </c>
      <c r="F119" s="19">
        <v>0.26900000000000002</v>
      </c>
      <c r="G119" s="19" t="s">
        <v>1629</v>
      </c>
      <c r="H119" s="19" t="s">
        <v>1630</v>
      </c>
    </row>
    <row r="120" spans="1:8" x14ac:dyDescent="0.35">
      <c r="A120" s="19" t="s">
        <v>4338</v>
      </c>
      <c r="B120" s="20" t="s">
        <v>4339</v>
      </c>
      <c r="C120" s="20" t="s">
        <v>1626</v>
      </c>
      <c r="D120" s="19" t="s">
        <v>174</v>
      </c>
      <c r="E120" s="19" t="s">
        <v>1628</v>
      </c>
      <c r="F120" s="19">
        <v>0.26900000000000002</v>
      </c>
      <c r="G120" s="19" t="s">
        <v>1629</v>
      </c>
      <c r="H120" s="19" t="s">
        <v>1630</v>
      </c>
    </row>
    <row r="121" spans="1:8" x14ac:dyDescent="0.35">
      <c r="A121" s="19" t="s">
        <v>500</v>
      </c>
      <c r="B121" s="20" t="s">
        <v>499</v>
      </c>
      <c r="C121" s="20" t="s">
        <v>498</v>
      </c>
      <c r="D121" s="19" t="s">
        <v>21</v>
      </c>
      <c r="E121" s="19" t="s">
        <v>498</v>
      </c>
      <c r="F121" s="19">
        <v>1</v>
      </c>
      <c r="G121" s="19"/>
      <c r="H121" s="19"/>
    </row>
    <row r="122" spans="1:8" x14ac:dyDescent="0.35">
      <c r="A122" s="19" t="s">
        <v>4340</v>
      </c>
      <c r="B122" s="20"/>
      <c r="C122" s="20"/>
      <c r="D122" s="19"/>
      <c r="E122" s="19"/>
      <c r="F122" s="19"/>
      <c r="G122" s="19"/>
      <c r="H122" s="19"/>
    </row>
    <row r="123" spans="1:8" x14ac:dyDescent="0.35">
      <c r="A123" s="19" t="s">
        <v>3529</v>
      </c>
      <c r="B123" s="20" t="s">
        <v>3526</v>
      </c>
      <c r="C123" s="20" t="s">
        <v>1255</v>
      </c>
      <c r="D123" s="19" t="s">
        <v>174</v>
      </c>
      <c r="E123" s="19" t="s">
        <v>2356</v>
      </c>
      <c r="F123" s="19">
        <v>0.42659999999999998</v>
      </c>
      <c r="G123" s="19" t="s">
        <v>3527</v>
      </c>
      <c r="H123" s="19" t="s">
        <v>3528</v>
      </c>
    </row>
    <row r="124" spans="1:8" x14ac:dyDescent="0.35">
      <c r="A124" s="19" t="s">
        <v>4341</v>
      </c>
      <c r="B124" s="20"/>
      <c r="C124" s="20"/>
      <c r="D124" s="19"/>
      <c r="E124" s="19"/>
      <c r="F124" s="19"/>
      <c r="G124" s="19"/>
      <c r="H124" s="19"/>
    </row>
    <row r="125" spans="1:8" ht="28" x14ac:dyDescent="0.35">
      <c r="A125" s="19" t="s">
        <v>3480</v>
      </c>
      <c r="B125" s="20" t="s">
        <v>3477</v>
      </c>
      <c r="C125" s="20" t="s">
        <v>4342</v>
      </c>
      <c r="D125" s="19" t="s">
        <v>174</v>
      </c>
      <c r="E125" s="19" t="s">
        <v>3479</v>
      </c>
      <c r="F125" s="19">
        <v>0.43659999999999999</v>
      </c>
      <c r="G125" s="19" t="s">
        <v>2754</v>
      </c>
      <c r="H125" s="19" t="s">
        <v>2755</v>
      </c>
    </row>
    <row r="126" spans="1:8" x14ac:dyDescent="0.35">
      <c r="A126" s="19" t="s">
        <v>4343</v>
      </c>
      <c r="B126" s="20"/>
      <c r="C126" s="20"/>
      <c r="D126" s="19"/>
      <c r="E126" s="19"/>
      <c r="F126" s="19"/>
      <c r="G126" s="19"/>
      <c r="H126" s="19"/>
    </row>
    <row r="127" spans="1:8" ht="28" x14ac:dyDescent="0.35">
      <c r="A127" s="19" t="s">
        <v>1981</v>
      </c>
      <c r="B127" s="20" t="s">
        <v>1979</v>
      </c>
      <c r="C127" s="20" t="s">
        <v>1978</v>
      </c>
      <c r="D127" s="19" t="s">
        <v>174</v>
      </c>
      <c r="E127" s="19" t="s">
        <v>1573</v>
      </c>
      <c r="F127" s="19">
        <v>0.23069999999999999</v>
      </c>
      <c r="G127" s="19" t="s">
        <v>1805</v>
      </c>
      <c r="H127" s="19" t="s">
        <v>1980</v>
      </c>
    </row>
    <row r="128" spans="1:8" x14ac:dyDescent="0.35">
      <c r="A128" s="19" t="s">
        <v>4344</v>
      </c>
      <c r="B128" s="20"/>
      <c r="C128" s="20"/>
      <c r="D128" s="19"/>
      <c r="E128" s="19"/>
      <c r="F128" s="19"/>
      <c r="G128" s="19"/>
      <c r="H128" s="19"/>
    </row>
    <row r="129" spans="1:8" ht="126" x14ac:dyDescent="0.35">
      <c r="A129" s="19" t="s">
        <v>3979</v>
      </c>
      <c r="B129" s="20" t="s">
        <v>3978</v>
      </c>
      <c r="C129" s="20" t="s">
        <v>3977</v>
      </c>
      <c r="D129" s="19"/>
      <c r="E129" s="19"/>
      <c r="F129" s="19"/>
      <c r="G129" s="19"/>
      <c r="H129" s="19"/>
    </row>
    <row r="130" spans="1:8" x14ac:dyDescent="0.35">
      <c r="A130" s="19" t="s">
        <v>4345</v>
      </c>
      <c r="B130" s="20" t="s">
        <v>1847</v>
      </c>
      <c r="C130" s="20" t="s">
        <v>1846</v>
      </c>
      <c r="D130" s="19" t="s">
        <v>174</v>
      </c>
      <c r="E130" s="19" t="s">
        <v>1691</v>
      </c>
      <c r="F130" s="19">
        <v>0.24249999999999999</v>
      </c>
      <c r="G130" s="19"/>
      <c r="H130" s="19"/>
    </row>
    <row r="131" spans="1:8" x14ac:dyDescent="0.35">
      <c r="A131" s="19" t="s">
        <v>4346</v>
      </c>
      <c r="B131" s="20"/>
      <c r="C131" s="20"/>
      <c r="D131" s="19"/>
      <c r="E131" s="19"/>
      <c r="F131" s="19"/>
      <c r="G131" s="19"/>
      <c r="H131" s="19"/>
    </row>
    <row r="132" spans="1:8" x14ac:dyDescent="0.35">
      <c r="A132" s="19" t="s">
        <v>4347</v>
      </c>
      <c r="B132" s="20"/>
      <c r="C132" s="20"/>
      <c r="D132" s="19"/>
      <c r="E132" s="19"/>
      <c r="F132" s="19"/>
      <c r="G132" s="19"/>
      <c r="H132" s="19"/>
    </row>
    <row r="133" spans="1:8" ht="56" x14ac:dyDescent="0.35">
      <c r="A133" s="19" t="s">
        <v>611</v>
      </c>
      <c r="B133" s="20" t="s">
        <v>608</v>
      </c>
      <c r="C133" s="20" t="s">
        <v>607</v>
      </c>
      <c r="D133" s="19" t="s">
        <v>4</v>
      </c>
      <c r="E133" s="19" t="s">
        <v>610</v>
      </c>
      <c r="F133" s="19">
        <v>0.8</v>
      </c>
      <c r="G133" s="19"/>
      <c r="H133" s="19"/>
    </row>
    <row r="134" spans="1:8" ht="28" x14ac:dyDescent="0.35">
      <c r="A134" s="19" t="s">
        <v>2081</v>
      </c>
      <c r="B134" s="20" t="s">
        <v>2079</v>
      </c>
      <c r="C134" s="20" t="s">
        <v>4348</v>
      </c>
      <c r="D134" s="19" t="s">
        <v>174</v>
      </c>
      <c r="E134" s="19" t="s">
        <v>2330</v>
      </c>
      <c r="F134" s="19">
        <v>0.39639999999999997</v>
      </c>
      <c r="G134" s="19" t="s">
        <v>2331</v>
      </c>
      <c r="H134" s="19" t="s">
        <v>2332</v>
      </c>
    </row>
    <row r="135" spans="1:8" ht="28" x14ac:dyDescent="0.35">
      <c r="A135" s="19" t="s">
        <v>4349</v>
      </c>
      <c r="B135" s="20" t="s">
        <v>3962</v>
      </c>
      <c r="C135" s="20" t="s">
        <v>3961</v>
      </c>
      <c r="D135" s="19"/>
      <c r="E135" s="19"/>
      <c r="F135" s="19"/>
      <c r="G135" s="19"/>
      <c r="H135" s="19"/>
    </row>
    <row r="136" spans="1:8" x14ac:dyDescent="0.35">
      <c r="A136" s="19" t="s">
        <v>4350</v>
      </c>
      <c r="B136" s="20" t="s">
        <v>4351</v>
      </c>
      <c r="C136" s="20" t="s">
        <v>1255</v>
      </c>
      <c r="D136" s="19" t="s">
        <v>174</v>
      </c>
      <c r="E136" s="19" t="s">
        <v>2356</v>
      </c>
      <c r="F136" s="19">
        <v>0.42659999999999998</v>
      </c>
      <c r="G136" s="19" t="s">
        <v>3527</v>
      </c>
      <c r="H136" s="19" t="s">
        <v>3528</v>
      </c>
    </row>
    <row r="137" spans="1:8" x14ac:dyDescent="0.35">
      <c r="A137" s="19" t="s">
        <v>4352</v>
      </c>
      <c r="B137" s="20" t="s">
        <v>4351</v>
      </c>
      <c r="C137" s="20" t="s">
        <v>1255</v>
      </c>
      <c r="D137" s="19" t="s">
        <v>174</v>
      </c>
      <c r="E137" s="19" t="s">
        <v>2356</v>
      </c>
      <c r="F137" s="19">
        <v>0.42659999999999998</v>
      </c>
      <c r="G137" s="19" t="s">
        <v>3527</v>
      </c>
      <c r="H137" s="19" t="s">
        <v>3528</v>
      </c>
    </row>
    <row r="138" spans="1:8" x14ac:dyDescent="0.35">
      <c r="A138" s="19" t="s">
        <v>2100</v>
      </c>
      <c r="B138" s="20" t="s">
        <v>2098</v>
      </c>
      <c r="C138" s="20" t="s">
        <v>2097</v>
      </c>
      <c r="D138" s="19" t="s">
        <v>174</v>
      </c>
      <c r="E138" s="19" t="s">
        <v>2099</v>
      </c>
      <c r="F138" s="19">
        <v>0.21840000000000001</v>
      </c>
      <c r="G138" s="19"/>
      <c r="H138" s="19"/>
    </row>
    <row r="139" spans="1:8" ht="42" x14ac:dyDescent="0.35">
      <c r="A139" s="19" t="s">
        <v>86</v>
      </c>
      <c r="B139" s="20" t="s">
        <v>85</v>
      </c>
      <c r="C139" s="20" t="s">
        <v>84</v>
      </c>
      <c r="D139" s="19" t="s">
        <v>4</v>
      </c>
      <c r="E139" s="19" t="s">
        <v>67</v>
      </c>
      <c r="F139" s="19">
        <v>0.8</v>
      </c>
      <c r="G139" s="19"/>
      <c r="H139" s="19"/>
    </row>
    <row r="140" spans="1:8" x14ac:dyDescent="0.35">
      <c r="A140" s="19" t="s">
        <v>4353</v>
      </c>
      <c r="B140" s="20"/>
      <c r="C140" s="20"/>
      <c r="D140" s="19"/>
      <c r="E140" s="19"/>
      <c r="F140" s="19"/>
      <c r="G140" s="19"/>
      <c r="H140" s="19"/>
    </row>
    <row r="141" spans="1:8" ht="28" x14ac:dyDescent="0.35">
      <c r="A141" s="19" t="s">
        <v>622</v>
      </c>
      <c r="B141" s="20" t="s">
        <v>621</v>
      </c>
      <c r="C141" s="20" t="s">
        <v>620</v>
      </c>
      <c r="D141" s="19" t="s">
        <v>4</v>
      </c>
      <c r="E141" s="19" t="s">
        <v>610</v>
      </c>
      <c r="F141" s="19">
        <v>0.8</v>
      </c>
      <c r="G141" s="19"/>
      <c r="H141" s="19"/>
    </row>
    <row r="142" spans="1:8" x14ac:dyDescent="0.35">
      <c r="A142" s="19" t="s">
        <v>505</v>
      </c>
      <c r="B142" s="20" t="s">
        <v>503</v>
      </c>
      <c r="C142" s="20" t="s">
        <v>4354</v>
      </c>
      <c r="D142" s="19" t="s">
        <v>21</v>
      </c>
      <c r="E142" s="19" t="s">
        <v>502</v>
      </c>
      <c r="F142" s="19">
        <v>1</v>
      </c>
      <c r="G142" s="19" t="s">
        <v>1223</v>
      </c>
      <c r="H142" s="19" t="s">
        <v>3283</v>
      </c>
    </row>
    <row r="143" spans="1:8" x14ac:dyDescent="0.35">
      <c r="A143" s="19" t="s">
        <v>2237</v>
      </c>
      <c r="B143" s="20" t="s">
        <v>2234</v>
      </c>
      <c r="C143" s="20" t="s">
        <v>2233</v>
      </c>
      <c r="D143" s="19" t="s">
        <v>174</v>
      </c>
      <c r="E143" s="19" t="s">
        <v>2235</v>
      </c>
      <c r="F143" s="19">
        <v>0.20569999999999999</v>
      </c>
      <c r="G143" s="19" t="s">
        <v>2236</v>
      </c>
      <c r="H143" s="19"/>
    </row>
    <row r="144" spans="1:8" ht="42" x14ac:dyDescent="0.35">
      <c r="A144" s="19" t="s">
        <v>3790</v>
      </c>
      <c r="B144" s="20" t="s">
        <v>3789</v>
      </c>
      <c r="C144" s="20" t="s">
        <v>3788</v>
      </c>
      <c r="D144" s="19"/>
      <c r="E144" s="19"/>
      <c r="F144" s="19"/>
      <c r="G144" s="19"/>
      <c r="H144" s="19"/>
    </row>
    <row r="145" spans="1:8" ht="28" x14ac:dyDescent="0.35">
      <c r="A145" s="19" t="s">
        <v>1052</v>
      </c>
      <c r="B145" s="20" t="s">
        <v>1051</v>
      </c>
      <c r="C145" s="20" t="s">
        <v>1050</v>
      </c>
      <c r="D145" s="19" t="s">
        <v>4</v>
      </c>
      <c r="E145" s="19" t="s">
        <v>106</v>
      </c>
      <c r="F145" s="19">
        <v>0.8</v>
      </c>
      <c r="G145" s="19"/>
      <c r="H145" s="19"/>
    </row>
    <row r="146" spans="1:8" ht="28" x14ac:dyDescent="0.35">
      <c r="A146" s="19" t="s">
        <v>618</v>
      </c>
      <c r="B146" s="20" t="s">
        <v>617</v>
      </c>
      <c r="C146" s="20" t="s">
        <v>617</v>
      </c>
      <c r="D146" s="19" t="s">
        <v>4</v>
      </c>
      <c r="E146" s="19" t="s">
        <v>610</v>
      </c>
      <c r="F146" s="19">
        <v>0.8</v>
      </c>
      <c r="G146" s="19"/>
      <c r="H146" s="19"/>
    </row>
    <row r="147" spans="1:8" x14ac:dyDescent="0.35">
      <c r="A147" s="19" t="s">
        <v>4355</v>
      </c>
      <c r="B147" s="20"/>
      <c r="C147" s="20"/>
      <c r="D147" s="19"/>
      <c r="E147" s="19"/>
      <c r="F147" s="19"/>
      <c r="G147" s="19"/>
      <c r="H147" s="19"/>
    </row>
    <row r="148" spans="1:8" x14ac:dyDescent="0.35">
      <c r="A148" s="19" t="s">
        <v>871</v>
      </c>
      <c r="B148" s="20" t="s">
        <v>870</v>
      </c>
      <c r="C148" s="20" t="s">
        <v>869</v>
      </c>
      <c r="D148" s="19" t="s">
        <v>4</v>
      </c>
      <c r="E148" s="19" t="s">
        <v>67</v>
      </c>
      <c r="F148" s="19">
        <v>0.8</v>
      </c>
      <c r="G148" s="19"/>
      <c r="H148" s="19"/>
    </row>
    <row r="149" spans="1:8" ht="28" x14ac:dyDescent="0.35">
      <c r="A149" s="19" t="s">
        <v>2979</v>
      </c>
      <c r="B149" s="20" t="s">
        <v>2975</v>
      </c>
      <c r="C149" s="20" t="s">
        <v>2974</v>
      </c>
      <c r="D149" s="19" t="s">
        <v>174</v>
      </c>
      <c r="E149" s="19" t="s">
        <v>2977</v>
      </c>
      <c r="F149" s="19">
        <v>0.32569999999999999</v>
      </c>
      <c r="G149" s="19" t="s">
        <v>2273</v>
      </c>
      <c r="H149" s="19" t="s">
        <v>2978</v>
      </c>
    </row>
    <row r="150" spans="1:8" x14ac:dyDescent="0.35">
      <c r="A150" s="19" t="s">
        <v>4356</v>
      </c>
      <c r="B150" s="20"/>
      <c r="C150" s="20"/>
      <c r="D150" s="19"/>
      <c r="E150" s="19"/>
      <c r="F150" s="19"/>
      <c r="G150" s="19"/>
      <c r="H150" s="19"/>
    </row>
    <row r="151" spans="1:8" x14ac:dyDescent="0.35">
      <c r="A151" s="19" t="s">
        <v>574</v>
      </c>
      <c r="B151" s="20" t="s">
        <v>573</v>
      </c>
      <c r="C151" s="20" t="s">
        <v>572</v>
      </c>
      <c r="D151" s="19" t="s">
        <v>21</v>
      </c>
      <c r="E151" s="19" t="s">
        <v>106</v>
      </c>
      <c r="F151" s="19">
        <v>1</v>
      </c>
      <c r="G151" s="19"/>
      <c r="H151" s="19"/>
    </row>
    <row r="152" spans="1:8" ht="28" x14ac:dyDescent="0.35">
      <c r="A152" s="19" t="s">
        <v>2311</v>
      </c>
      <c r="B152" s="20" t="s">
        <v>2309</v>
      </c>
      <c r="C152" s="20" t="s">
        <v>4357</v>
      </c>
      <c r="D152" s="19" t="s">
        <v>4</v>
      </c>
      <c r="E152" s="19" t="s">
        <v>67</v>
      </c>
      <c r="F152" s="19">
        <v>0.8</v>
      </c>
      <c r="G152" s="19" t="s">
        <v>3427</v>
      </c>
      <c r="H152" s="19" t="s">
        <v>3428</v>
      </c>
    </row>
    <row r="153" spans="1:8" x14ac:dyDescent="0.35">
      <c r="A153" s="19" t="s">
        <v>1352</v>
      </c>
      <c r="B153" s="20" t="s">
        <v>1347</v>
      </c>
      <c r="C153" s="20" t="s">
        <v>1347</v>
      </c>
      <c r="D153" s="19" t="s">
        <v>174</v>
      </c>
      <c r="E153" s="19" t="s">
        <v>1349</v>
      </c>
      <c r="F153" s="19">
        <v>0.29339999999999999</v>
      </c>
      <c r="G153" s="19" t="s">
        <v>1350</v>
      </c>
      <c r="H153" s="19" t="s">
        <v>1351</v>
      </c>
    </row>
    <row r="154" spans="1:8" x14ac:dyDescent="0.35">
      <c r="A154" s="19" t="s">
        <v>3850</v>
      </c>
      <c r="B154" s="20" t="s">
        <v>3849</v>
      </c>
      <c r="C154" s="20" t="s">
        <v>3848</v>
      </c>
      <c r="D154" s="19"/>
      <c r="E154" s="19"/>
      <c r="F154" s="19"/>
      <c r="G154" s="19"/>
      <c r="H154" s="19"/>
    </row>
    <row r="155" spans="1:8" x14ac:dyDescent="0.35">
      <c r="A155" s="19" t="s">
        <v>4358</v>
      </c>
      <c r="B155" s="20" t="s">
        <v>4359</v>
      </c>
      <c r="C155" s="20"/>
      <c r="D155" s="19"/>
      <c r="E155" s="19"/>
      <c r="F155" s="19"/>
      <c r="G155" s="19"/>
      <c r="H155" s="19"/>
    </row>
    <row r="156" spans="1:8" x14ac:dyDescent="0.35">
      <c r="A156" s="19" t="s">
        <v>4360</v>
      </c>
      <c r="B156" s="20"/>
      <c r="C156" s="20"/>
      <c r="D156" s="19"/>
      <c r="E156" s="19"/>
      <c r="F156" s="19"/>
      <c r="G156" s="19"/>
      <c r="H156" s="19"/>
    </row>
    <row r="157" spans="1:8" ht="28" x14ac:dyDescent="0.35">
      <c r="A157" s="19" t="s">
        <v>1391</v>
      </c>
      <c r="B157" s="20" t="s">
        <v>1387</v>
      </c>
      <c r="C157" s="20" t="s">
        <v>1387</v>
      </c>
      <c r="D157" s="19" t="s">
        <v>174</v>
      </c>
      <c r="E157" s="19" t="s">
        <v>1388</v>
      </c>
      <c r="F157" s="19">
        <v>0.29049999999999998</v>
      </c>
      <c r="G157" s="19" t="s">
        <v>1389</v>
      </c>
      <c r="H157" s="19" t="s">
        <v>1390</v>
      </c>
    </row>
    <row r="158" spans="1:8" x14ac:dyDescent="0.35">
      <c r="A158" s="19" t="s">
        <v>2796</v>
      </c>
      <c r="B158" s="20" t="s">
        <v>2794</v>
      </c>
      <c r="C158" s="20" t="s">
        <v>2793</v>
      </c>
      <c r="D158" s="19" t="s">
        <v>174</v>
      </c>
      <c r="E158" s="19" t="s">
        <v>1900</v>
      </c>
      <c r="F158" s="19">
        <v>0.34460000000000002</v>
      </c>
      <c r="G158" s="19" t="s">
        <v>2795</v>
      </c>
      <c r="H158" s="19" t="s">
        <v>324</v>
      </c>
    </row>
    <row r="159" spans="1:8" x14ac:dyDescent="0.35">
      <c r="A159" s="19" t="s">
        <v>4361</v>
      </c>
      <c r="B159" s="20"/>
      <c r="C159" s="20"/>
      <c r="D159" s="19"/>
      <c r="E159" s="19"/>
      <c r="F159" s="19"/>
      <c r="G159" s="19"/>
      <c r="H159" s="19"/>
    </row>
    <row r="160" spans="1:8" x14ac:dyDescent="0.35">
      <c r="A160" s="19" t="s">
        <v>4362</v>
      </c>
      <c r="B160" s="20" t="s">
        <v>4363</v>
      </c>
      <c r="C160" s="20"/>
      <c r="D160" s="19"/>
      <c r="E160" s="19"/>
      <c r="F160" s="19"/>
      <c r="G160" s="19"/>
      <c r="H160" s="19"/>
    </row>
    <row r="161" spans="1:8" x14ac:dyDescent="0.35">
      <c r="A161" s="19" t="s">
        <v>4364</v>
      </c>
      <c r="B161" s="20" t="s">
        <v>4365</v>
      </c>
      <c r="C161" s="20" t="s">
        <v>1255</v>
      </c>
      <c r="D161" s="19" t="s">
        <v>174</v>
      </c>
      <c r="E161" s="19" t="s">
        <v>2356</v>
      </c>
      <c r="F161" s="19">
        <v>0.42659999999999998</v>
      </c>
      <c r="G161" s="19" t="s">
        <v>3527</v>
      </c>
      <c r="H161" s="19" t="s">
        <v>3528</v>
      </c>
    </row>
    <row r="162" spans="1:8" ht="28" x14ac:dyDescent="0.35">
      <c r="A162" s="19" t="s">
        <v>4238</v>
      </c>
      <c r="B162" s="20" t="s">
        <v>4237</v>
      </c>
      <c r="C162" s="20" t="s">
        <v>4236</v>
      </c>
      <c r="D162" s="19"/>
      <c r="E162" s="19"/>
      <c r="F162" s="19"/>
      <c r="G162" s="19"/>
      <c r="H162" s="19"/>
    </row>
    <row r="163" spans="1:8" x14ac:dyDescent="0.35">
      <c r="A163" s="19" t="s">
        <v>263</v>
      </c>
      <c r="B163" s="20" t="s">
        <v>261</v>
      </c>
      <c r="C163" s="20" t="s">
        <v>260</v>
      </c>
      <c r="D163" s="19" t="s">
        <v>174</v>
      </c>
      <c r="E163" s="19" t="s">
        <v>262</v>
      </c>
      <c r="F163" s="19">
        <v>0.36049999999999999</v>
      </c>
      <c r="G163" s="19"/>
      <c r="H163" s="19"/>
    </row>
    <row r="164" spans="1:8" x14ac:dyDescent="0.35">
      <c r="A164" s="19" t="s">
        <v>4366</v>
      </c>
      <c r="B164" s="20"/>
      <c r="C164" s="20"/>
      <c r="D164" s="19"/>
      <c r="E164" s="19"/>
      <c r="F164" s="19"/>
      <c r="G164" s="19"/>
      <c r="H164" s="19"/>
    </row>
    <row r="165" spans="1:8" ht="28" x14ac:dyDescent="0.35">
      <c r="A165" s="19" t="s">
        <v>1178</v>
      </c>
      <c r="B165" s="20" t="s">
        <v>1177</v>
      </c>
      <c r="C165" s="20" t="s">
        <v>1176</v>
      </c>
      <c r="D165" s="19" t="s">
        <v>115</v>
      </c>
      <c r="E165" s="19" t="s">
        <v>106</v>
      </c>
      <c r="F165" s="19">
        <v>0.6</v>
      </c>
      <c r="G165" s="19"/>
      <c r="H165" s="19"/>
    </row>
    <row r="166" spans="1:8" x14ac:dyDescent="0.35">
      <c r="A166" s="19" t="s">
        <v>570</v>
      </c>
      <c r="B166" s="20" t="s">
        <v>569</v>
      </c>
      <c r="C166" s="20" t="s">
        <v>105</v>
      </c>
      <c r="D166" s="19" t="s">
        <v>21</v>
      </c>
      <c r="E166" s="19" t="s">
        <v>106</v>
      </c>
      <c r="F166" s="19">
        <v>1</v>
      </c>
      <c r="G166" s="19"/>
      <c r="H166" s="19"/>
    </row>
    <row r="167" spans="1:8" ht="42" x14ac:dyDescent="0.35">
      <c r="A167" s="19" t="s">
        <v>3940</v>
      </c>
      <c r="B167" s="20" t="s">
        <v>3939</v>
      </c>
      <c r="C167" s="20" t="s">
        <v>3938</v>
      </c>
      <c r="D167" s="19"/>
      <c r="E167" s="19"/>
      <c r="F167" s="19"/>
      <c r="G167" s="19"/>
      <c r="H167" s="19"/>
    </row>
    <row r="168" spans="1:8" x14ac:dyDescent="0.35">
      <c r="A168" s="19" t="s">
        <v>4367</v>
      </c>
      <c r="B168" s="20" t="s">
        <v>4368</v>
      </c>
      <c r="C168" s="20" t="s">
        <v>2068</v>
      </c>
      <c r="D168" s="19" t="s">
        <v>174</v>
      </c>
      <c r="E168" s="19" t="s">
        <v>2070</v>
      </c>
      <c r="F168" s="19">
        <v>0.22009999999999999</v>
      </c>
      <c r="G168" s="19"/>
      <c r="H168" s="19"/>
    </row>
    <row r="169" spans="1:8" x14ac:dyDescent="0.35">
      <c r="A169" s="19" t="s">
        <v>4369</v>
      </c>
      <c r="B169" s="20"/>
      <c r="C169" s="20"/>
      <c r="D169" s="19"/>
      <c r="E169" s="19"/>
      <c r="F169" s="19"/>
      <c r="G169" s="19"/>
      <c r="H169" s="19"/>
    </row>
    <row r="170" spans="1:8" x14ac:dyDescent="0.35">
      <c r="A170" s="19" t="s">
        <v>4370</v>
      </c>
      <c r="B170" s="20" t="s">
        <v>4371</v>
      </c>
      <c r="C170" s="20" t="s">
        <v>67</v>
      </c>
      <c r="D170" s="19" t="s">
        <v>21</v>
      </c>
      <c r="E170" s="19" t="s">
        <v>67</v>
      </c>
      <c r="F170" s="19">
        <v>1</v>
      </c>
      <c r="G170" s="19"/>
      <c r="H170" s="19"/>
    </row>
    <row r="171" spans="1:8" x14ac:dyDescent="0.35">
      <c r="A171" s="19" t="s">
        <v>4372</v>
      </c>
      <c r="B171" s="20" t="s">
        <v>4351</v>
      </c>
      <c r="C171" s="20" t="s">
        <v>1255</v>
      </c>
      <c r="D171" s="19" t="s">
        <v>174</v>
      </c>
      <c r="E171" s="19" t="s">
        <v>2356</v>
      </c>
      <c r="F171" s="19">
        <v>0.42659999999999998</v>
      </c>
      <c r="G171" s="19" t="s">
        <v>3527</v>
      </c>
      <c r="H171" s="19" t="s">
        <v>3528</v>
      </c>
    </row>
    <row r="172" spans="1:8" x14ac:dyDescent="0.35">
      <c r="A172" s="19" t="s">
        <v>4373</v>
      </c>
      <c r="B172" s="20" t="s">
        <v>4374</v>
      </c>
      <c r="C172" s="20" t="s">
        <v>1209</v>
      </c>
      <c r="D172" s="19" t="s">
        <v>115</v>
      </c>
      <c r="E172" s="19" t="s">
        <v>106</v>
      </c>
      <c r="F172" s="19">
        <v>0.6</v>
      </c>
      <c r="G172" s="19"/>
      <c r="H172" s="19"/>
    </row>
    <row r="173" spans="1:8" x14ac:dyDescent="0.35">
      <c r="A173" s="19" t="s">
        <v>4375</v>
      </c>
      <c r="B173" s="20"/>
      <c r="C173" s="20"/>
      <c r="D173" s="19"/>
      <c r="E173" s="19"/>
      <c r="F173" s="19"/>
      <c r="G173" s="19"/>
      <c r="H173" s="19"/>
    </row>
    <row r="174" spans="1:8" ht="28" x14ac:dyDescent="0.35">
      <c r="A174" s="19" t="s">
        <v>817</v>
      </c>
      <c r="B174" s="20" t="s">
        <v>816</v>
      </c>
      <c r="C174" s="20" t="s">
        <v>815</v>
      </c>
      <c r="D174" s="19" t="s">
        <v>4</v>
      </c>
      <c r="E174" s="19" t="s">
        <v>67</v>
      </c>
      <c r="F174" s="19">
        <v>0.8</v>
      </c>
      <c r="G174" s="19"/>
      <c r="H174" s="19"/>
    </row>
    <row r="175" spans="1:8" x14ac:dyDescent="0.35">
      <c r="A175" s="19" t="s">
        <v>512</v>
      </c>
      <c r="B175" s="20" t="s">
        <v>508</v>
      </c>
      <c r="C175" s="20" t="s">
        <v>507</v>
      </c>
      <c r="D175" s="19" t="s">
        <v>21</v>
      </c>
      <c r="E175" s="19" t="s">
        <v>511</v>
      </c>
      <c r="F175" s="19">
        <v>1</v>
      </c>
      <c r="G175" s="19"/>
      <c r="H175" s="19"/>
    </row>
    <row r="176" spans="1:8" x14ac:dyDescent="0.35">
      <c r="A176" s="19" t="s">
        <v>4376</v>
      </c>
      <c r="B176" s="20" t="s">
        <v>4377</v>
      </c>
      <c r="C176" s="20"/>
      <c r="D176" s="19"/>
      <c r="E176" s="19"/>
      <c r="F176" s="19"/>
      <c r="G176" s="19"/>
      <c r="H176" s="19"/>
    </row>
    <row r="177" spans="1:8" x14ac:dyDescent="0.35">
      <c r="A177" s="19" t="s">
        <v>4378</v>
      </c>
      <c r="B177" s="20"/>
      <c r="C177" s="20"/>
      <c r="D177" s="19"/>
      <c r="E177" s="19"/>
      <c r="F177" s="19"/>
      <c r="G177" s="19"/>
      <c r="H177" s="19"/>
    </row>
    <row r="178" spans="1:8" ht="28" x14ac:dyDescent="0.35">
      <c r="A178" s="19" t="s">
        <v>4181</v>
      </c>
      <c r="B178" s="20" t="s">
        <v>4180</v>
      </c>
      <c r="C178" s="20" t="s">
        <v>4179</v>
      </c>
      <c r="D178" s="19"/>
      <c r="E178" s="19"/>
      <c r="F178" s="19"/>
      <c r="G178" s="19"/>
      <c r="H178" s="19"/>
    </row>
    <row r="179" spans="1:8" ht="70" x14ac:dyDescent="0.35">
      <c r="A179" s="19" t="s">
        <v>3859</v>
      </c>
      <c r="B179" s="20" t="s">
        <v>3857</v>
      </c>
      <c r="C179" s="20" t="s">
        <v>3856</v>
      </c>
      <c r="D179" s="19"/>
      <c r="E179" s="19"/>
      <c r="F179" s="19"/>
      <c r="G179" s="19"/>
      <c r="H179" s="19"/>
    </row>
    <row r="180" spans="1:8" x14ac:dyDescent="0.35">
      <c r="A180" s="19" t="s">
        <v>275</v>
      </c>
      <c r="B180" s="20" t="s">
        <v>271</v>
      </c>
      <c r="C180" s="20" t="s">
        <v>270</v>
      </c>
      <c r="D180" s="19" t="s">
        <v>174</v>
      </c>
      <c r="E180" s="19" t="s">
        <v>272</v>
      </c>
      <c r="F180" s="19">
        <v>0.35449999999999998</v>
      </c>
      <c r="G180" s="19" t="s">
        <v>273</v>
      </c>
      <c r="H180" s="19" t="s">
        <v>274</v>
      </c>
    </row>
    <row r="181" spans="1:8" ht="28" x14ac:dyDescent="0.35">
      <c r="A181" s="19" t="s">
        <v>4379</v>
      </c>
      <c r="B181" s="20" t="s">
        <v>4380</v>
      </c>
      <c r="C181" s="20" t="s">
        <v>1846</v>
      </c>
      <c r="D181" s="19" t="s">
        <v>174</v>
      </c>
      <c r="E181" s="19" t="s">
        <v>1691</v>
      </c>
      <c r="F181" s="19">
        <v>0.24249999999999999</v>
      </c>
      <c r="G181" s="19"/>
      <c r="H181" s="19"/>
    </row>
    <row r="182" spans="1:8" x14ac:dyDescent="0.35">
      <c r="A182" s="19" t="s">
        <v>325</v>
      </c>
      <c r="B182" s="20" t="s">
        <v>321</v>
      </c>
      <c r="C182" s="20" t="s">
        <v>320</v>
      </c>
      <c r="D182" s="19" t="s">
        <v>174</v>
      </c>
      <c r="E182" s="19" t="s">
        <v>322</v>
      </c>
      <c r="F182" s="19">
        <v>0.45369999999999999</v>
      </c>
      <c r="G182" s="19" t="s">
        <v>323</v>
      </c>
      <c r="H182" s="19" t="s">
        <v>324</v>
      </c>
    </row>
    <row r="183" spans="1:8" x14ac:dyDescent="0.35">
      <c r="A183" s="19" t="s">
        <v>3916</v>
      </c>
      <c r="B183" s="20" t="s">
        <v>3915</v>
      </c>
      <c r="C183" s="20" t="s">
        <v>3914</v>
      </c>
      <c r="D183" s="19"/>
      <c r="E183" s="19"/>
      <c r="F183" s="19"/>
      <c r="G183" s="19"/>
      <c r="H183" s="19"/>
    </row>
    <row r="184" spans="1:8" x14ac:dyDescent="0.35">
      <c r="A184" s="19" t="s">
        <v>1048</v>
      </c>
      <c r="B184" s="20" t="s">
        <v>1047</v>
      </c>
      <c r="C184" s="20" t="s">
        <v>1046</v>
      </c>
      <c r="D184" s="19" t="s">
        <v>4</v>
      </c>
      <c r="E184" s="19" t="s">
        <v>106</v>
      </c>
      <c r="F184" s="19">
        <v>0.8</v>
      </c>
      <c r="G184" s="19"/>
      <c r="H184" s="19"/>
    </row>
    <row r="185" spans="1:8" x14ac:dyDescent="0.35">
      <c r="A185" s="19" t="s">
        <v>4077</v>
      </c>
      <c r="B185" s="20" t="s">
        <v>4076</v>
      </c>
      <c r="C185" s="20" t="s">
        <v>4075</v>
      </c>
      <c r="D185" s="19"/>
      <c r="E185" s="19"/>
      <c r="F185" s="19"/>
      <c r="G185" s="19"/>
      <c r="H185" s="19"/>
    </row>
    <row r="186" spans="1:8" x14ac:dyDescent="0.35">
      <c r="A186" s="19" t="s">
        <v>1551</v>
      </c>
      <c r="B186" s="20" t="s">
        <v>1548</v>
      </c>
      <c r="C186" s="20" t="s">
        <v>1547</v>
      </c>
      <c r="D186" s="19" t="s">
        <v>174</v>
      </c>
      <c r="E186" s="19" t="s">
        <v>1549</v>
      </c>
      <c r="F186" s="19">
        <v>0.27510000000000001</v>
      </c>
      <c r="G186" s="19" t="s">
        <v>1550</v>
      </c>
      <c r="H186" s="19" t="s">
        <v>1450</v>
      </c>
    </row>
    <row r="187" spans="1:8" x14ac:dyDescent="0.35">
      <c r="A187" s="19" t="s">
        <v>2734</v>
      </c>
      <c r="B187" s="20" t="s">
        <v>2732</v>
      </c>
      <c r="C187" s="20" t="s">
        <v>2731</v>
      </c>
      <c r="D187" s="19" t="s">
        <v>174</v>
      </c>
      <c r="E187" s="19" t="s">
        <v>1549</v>
      </c>
      <c r="F187" s="19">
        <v>0.35099999999999998</v>
      </c>
      <c r="G187" s="19" t="s">
        <v>2733</v>
      </c>
      <c r="H187" s="19" t="s">
        <v>1450</v>
      </c>
    </row>
    <row r="188" spans="1:8" ht="70" x14ac:dyDescent="0.35">
      <c r="A188" s="19" t="s">
        <v>2146</v>
      </c>
      <c r="B188" s="20" t="s">
        <v>2145</v>
      </c>
      <c r="C188" s="20" t="s">
        <v>2144</v>
      </c>
      <c r="D188" s="19" t="s">
        <v>174</v>
      </c>
      <c r="E188" s="19" t="s">
        <v>219</v>
      </c>
      <c r="F188" s="19">
        <v>0.21609999999999999</v>
      </c>
      <c r="G188" s="19"/>
      <c r="H188" s="19"/>
    </row>
    <row r="189" spans="1:8" x14ac:dyDescent="0.35">
      <c r="A189" s="19" t="s">
        <v>4381</v>
      </c>
      <c r="B189" s="20"/>
      <c r="C189" s="20"/>
      <c r="D189" s="19"/>
      <c r="E189" s="19"/>
      <c r="F189" s="19"/>
      <c r="G189" s="19"/>
      <c r="H189" s="19"/>
    </row>
    <row r="190" spans="1:8" ht="56" x14ac:dyDescent="0.35">
      <c r="A190" s="19" t="s">
        <v>1901</v>
      </c>
      <c r="B190" s="20" t="s">
        <v>1898</v>
      </c>
      <c r="C190" s="20" t="s">
        <v>1897</v>
      </c>
      <c r="D190" s="19" t="s">
        <v>174</v>
      </c>
      <c r="E190" s="19" t="s">
        <v>1899</v>
      </c>
      <c r="F190" s="19">
        <v>0.23899999999999999</v>
      </c>
      <c r="G190" s="19" t="s">
        <v>1900</v>
      </c>
      <c r="H190" s="19"/>
    </row>
    <row r="191" spans="1:8" x14ac:dyDescent="0.35">
      <c r="A191" s="19" t="s">
        <v>4382</v>
      </c>
      <c r="B191" s="20"/>
      <c r="C191" s="20"/>
      <c r="D191" s="19"/>
      <c r="E191" s="19"/>
      <c r="F191" s="19"/>
      <c r="G191" s="19"/>
      <c r="H191" s="19"/>
    </row>
    <row r="192" spans="1:8" x14ac:dyDescent="0.35">
      <c r="A192" s="19" t="s">
        <v>3460</v>
      </c>
      <c r="B192" s="20" t="s">
        <v>3457</v>
      </c>
      <c r="C192" s="20" t="s">
        <v>3457</v>
      </c>
      <c r="D192" s="19" t="s">
        <v>174</v>
      </c>
      <c r="E192" s="19" t="s">
        <v>1963</v>
      </c>
      <c r="F192" s="19">
        <v>0.43980000000000002</v>
      </c>
      <c r="G192" s="19" t="s">
        <v>3458</v>
      </c>
      <c r="H192" s="19" t="s">
        <v>3459</v>
      </c>
    </row>
    <row r="193" spans="1:8" x14ac:dyDescent="0.35">
      <c r="A193" s="19" t="s">
        <v>4383</v>
      </c>
      <c r="B193" s="20" t="s">
        <v>3457</v>
      </c>
      <c r="C193" s="20" t="s">
        <v>3457</v>
      </c>
      <c r="D193" s="19" t="s">
        <v>174</v>
      </c>
      <c r="E193" s="19" t="s">
        <v>1963</v>
      </c>
      <c r="F193" s="19">
        <v>0.43980000000000002</v>
      </c>
      <c r="G193" s="19" t="s">
        <v>3458</v>
      </c>
      <c r="H193" s="19" t="s">
        <v>3459</v>
      </c>
    </row>
    <row r="194" spans="1:8" x14ac:dyDescent="0.35">
      <c r="A194" s="19" t="s">
        <v>430</v>
      </c>
      <c r="B194" s="20" t="s">
        <v>429</v>
      </c>
      <c r="C194" s="20" t="s">
        <v>429</v>
      </c>
      <c r="D194" s="19" t="s">
        <v>21</v>
      </c>
      <c r="E194" s="19" t="s">
        <v>424</v>
      </c>
      <c r="F194" s="19">
        <v>0.8</v>
      </c>
      <c r="G194" s="19" t="s">
        <v>426</v>
      </c>
      <c r="H194" s="19"/>
    </row>
    <row r="195" spans="1:8" ht="28" x14ac:dyDescent="0.35">
      <c r="A195" s="19" t="s">
        <v>740</v>
      </c>
      <c r="B195" s="20" t="s">
        <v>739</v>
      </c>
      <c r="C195" s="20" t="s">
        <v>738</v>
      </c>
      <c r="D195" s="19" t="s">
        <v>4</v>
      </c>
      <c r="E195" s="19" t="s">
        <v>67</v>
      </c>
      <c r="F195" s="19">
        <v>0.8</v>
      </c>
      <c r="G195" s="19"/>
      <c r="H195" s="19"/>
    </row>
    <row r="196" spans="1:8" ht="28" x14ac:dyDescent="0.35">
      <c r="A196" s="19" t="s">
        <v>2371</v>
      </c>
      <c r="B196" s="20" t="s">
        <v>2366</v>
      </c>
      <c r="C196" s="20" t="s">
        <v>2365</v>
      </c>
      <c r="D196" s="19" t="s">
        <v>174</v>
      </c>
      <c r="E196" s="19" t="s">
        <v>2368</v>
      </c>
      <c r="F196" s="19">
        <v>0.39340000000000003</v>
      </c>
      <c r="G196" s="19" t="s">
        <v>2369</v>
      </c>
      <c r="H196" s="19" t="s">
        <v>2370</v>
      </c>
    </row>
    <row r="197" spans="1:8" x14ac:dyDescent="0.35">
      <c r="A197" s="19" t="s">
        <v>2336</v>
      </c>
      <c r="B197" s="20" t="s">
        <v>2334</v>
      </c>
      <c r="C197" s="20" t="s">
        <v>2333</v>
      </c>
      <c r="D197" s="19" t="s">
        <v>174</v>
      </c>
      <c r="E197" s="19" t="s">
        <v>312</v>
      </c>
      <c r="F197" s="19">
        <v>0.39579999999999999</v>
      </c>
      <c r="G197" s="19" t="s">
        <v>273</v>
      </c>
      <c r="H197" s="19" t="s">
        <v>2335</v>
      </c>
    </row>
    <row r="198" spans="1:8" x14ac:dyDescent="0.35">
      <c r="A198" s="19" t="s">
        <v>3230</v>
      </c>
      <c r="B198" s="20" t="s">
        <v>3229</v>
      </c>
      <c r="C198" s="20" t="s">
        <v>3228</v>
      </c>
      <c r="D198" s="19" t="s">
        <v>174</v>
      </c>
      <c r="E198" s="19" t="s">
        <v>1450</v>
      </c>
      <c r="F198" s="19">
        <v>0.47560000000000002</v>
      </c>
      <c r="G198" s="19" t="s">
        <v>272</v>
      </c>
      <c r="H198" s="19" t="s">
        <v>312</v>
      </c>
    </row>
    <row r="199" spans="1:8" ht="182" x14ac:dyDescent="0.35">
      <c r="A199" s="19" t="s">
        <v>369</v>
      </c>
      <c r="B199" s="20" t="s">
        <v>367</v>
      </c>
      <c r="C199" s="20" t="s">
        <v>366</v>
      </c>
      <c r="D199" s="19"/>
      <c r="E199" s="19"/>
      <c r="F199" s="19"/>
      <c r="G199" s="19"/>
      <c r="H199" s="19"/>
    </row>
    <row r="200" spans="1:8" x14ac:dyDescent="0.35">
      <c r="A200" s="19" t="s">
        <v>4384</v>
      </c>
      <c r="B200" s="20"/>
      <c r="C200" s="20"/>
      <c r="D200" s="19"/>
      <c r="E200" s="19"/>
      <c r="F200" s="19"/>
      <c r="G200" s="19"/>
      <c r="H200" s="19"/>
    </row>
    <row r="201" spans="1:8" ht="28" x14ac:dyDescent="0.35">
      <c r="A201" s="19" t="s">
        <v>4385</v>
      </c>
      <c r="B201" s="20" t="s">
        <v>4386</v>
      </c>
      <c r="C201" s="20" t="s">
        <v>36</v>
      </c>
      <c r="D201" s="19" t="s">
        <v>21</v>
      </c>
      <c r="E201" s="19" t="s">
        <v>36</v>
      </c>
      <c r="F201" s="19">
        <v>1</v>
      </c>
      <c r="G201" s="19"/>
      <c r="H201" s="19"/>
    </row>
    <row r="202" spans="1:8" ht="28" x14ac:dyDescent="0.35">
      <c r="A202" s="19" t="s">
        <v>723</v>
      </c>
      <c r="B202" s="20" t="s">
        <v>721</v>
      </c>
      <c r="C202" s="20" t="s">
        <v>4387</v>
      </c>
      <c r="D202" s="19" t="s">
        <v>4</v>
      </c>
      <c r="E202" s="19" t="s">
        <v>722</v>
      </c>
      <c r="F202" s="19">
        <v>0.8</v>
      </c>
      <c r="G202" s="19" t="s">
        <v>1463</v>
      </c>
      <c r="H202" s="19" t="s">
        <v>1301</v>
      </c>
    </row>
    <row r="203" spans="1:8" x14ac:dyDescent="0.35">
      <c r="A203" s="19" t="s">
        <v>2738</v>
      </c>
      <c r="B203" s="20" t="s">
        <v>2736</v>
      </c>
      <c r="C203" s="20" t="s">
        <v>2736</v>
      </c>
      <c r="D203" s="19" t="s">
        <v>174</v>
      </c>
      <c r="E203" s="19" t="s">
        <v>212</v>
      </c>
      <c r="F203" s="19">
        <v>0.35049999999999998</v>
      </c>
      <c r="G203" s="19" t="s">
        <v>355</v>
      </c>
      <c r="H203" s="19" t="s">
        <v>1543</v>
      </c>
    </row>
    <row r="204" spans="1:8" ht="28" x14ac:dyDescent="0.35">
      <c r="A204" s="19" t="s">
        <v>3145</v>
      </c>
      <c r="B204" s="20" t="s">
        <v>3144</v>
      </c>
      <c r="C204" s="20" t="s">
        <v>3143</v>
      </c>
      <c r="D204" s="19" t="s">
        <v>174</v>
      </c>
      <c r="E204" s="19" t="s">
        <v>212</v>
      </c>
      <c r="F204" s="19">
        <v>0.30459999999999998</v>
      </c>
      <c r="G204" s="19" t="s">
        <v>1543</v>
      </c>
      <c r="H204" s="19" t="s">
        <v>355</v>
      </c>
    </row>
    <row r="205" spans="1:8" ht="98" x14ac:dyDescent="0.35">
      <c r="A205" s="19" t="s">
        <v>3816</v>
      </c>
      <c r="B205" s="20" t="s">
        <v>3814</v>
      </c>
      <c r="C205" s="20" t="s">
        <v>3813</v>
      </c>
      <c r="D205" s="19"/>
      <c r="E205" s="19"/>
      <c r="F205" s="19"/>
      <c r="G205" s="19"/>
      <c r="H205" s="19"/>
    </row>
    <row r="206" spans="1:8" ht="28" x14ac:dyDescent="0.35">
      <c r="A206" s="19" t="s">
        <v>1965</v>
      </c>
      <c r="B206" s="20" t="s">
        <v>1961</v>
      </c>
      <c r="C206" s="20" t="s">
        <v>1960</v>
      </c>
      <c r="D206" s="19" t="s">
        <v>174</v>
      </c>
      <c r="E206" s="19" t="s">
        <v>1963</v>
      </c>
      <c r="F206" s="19">
        <v>0.23350000000000001</v>
      </c>
      <c r="G206" s="19" t="s">
        <v>1964</v>
      </c>
      <c r="H206" s="19"/>
    </row>
    <row r="207" spans="1:8" x14ac:dyDescent="0.35">
      <c r="A207" s="19" t="s">
        <v>4388</v>
      </c>
      <c r="B207" s="20"/>
      <c r="C207" s="20"/>
      <c r="D207" s="19"/>
      <c r="E207" s="19"/>
      <c r="F207" s="19"/>
      <c r="G207" s="19"/>
      <c r="H207" s="19"/>
    </row>
    <row r="208" spans="1:8" x14ac:dyDescent="0.35">
      <c r="A208" s="19" t="s">
        <v>4389</v>
      </c>
      <c r="B208" s="20"/>
      <c r="C208" s="20"/>
      <c r="D208" s="19"/>
      <c r="E208" s="19"/>
      <c r="F208" s="19"/>
      <c r="G208" s="19"/>
      <c r="H208" s="19"/>
    </row>
    <row r="209" spans="1:8" x14ac:dyDescent="0.35">
      <c r="A209" s="19" t="s">
        <v>4390</v>
      </c>
      <c r="B209" s="20" t="s">
        <v>4391</v>
      </c>
      <c r="C209" s="20" t="s">
        <v>3667</v>
      </c>
      <c r="D209" s="19" t="s">
        <v>174</v>
      </c>
      <c r="E209" s="19" t="s">
        <v>3670</v>
      </c>
      <c r="F209" s="19">
        <v>0.4103</v>
      </c>
      <c r="G209" s="19" t="s">
        <v>3540</v>
      </c>
      <c r="H209" s="19" t="s">
        <v>3671</v>
      </c>
    </row>
    <row r="210" spans="1:8" ht="70" x14ac:dyDescent="0.35">
      <c r="A210" s="19" t="s">
        <v>3872</v>
      </c>
      <c r="B210" s="20" t="s">
        <v>3871</v>
      </c>
      <c r="C210" s="20" t="s">
        <v>3870</v>
      </c>
      <c r="D210" s="19"/>
      <c r="E210" s="19"/>
      <c r="F210" s="19"/>
      <c r="G210" s="19"/>
      <c r="H210" s="19"/>
    </row>
    <row r="211" spans="1:8" ht="70" x14ac:dyDescent="0.35">
      <c r="A211" s="19" t="s">
        <v>3894</v>
      </c>
      <c r="B211" s="20" t="s">
        <v>3892</v>
      </c>
      <c r="C211" s="20" t="s">
        <v>3891</v>
      </c>
      <c r="D211" s="19"/>
      <c r="E211" s="19"/>
      <c r="F211" s="19"/>
      <c r="G211" s="19"/>
      <c r="H211" s="19"/>
    </row>
    <row r="212" spans="1:8" ht="98" x14ac:dyDescent="0.35">
      <c r="A212" s="19" t="s">
        <v>1479</v>
      </c>
      <c r="B212" s="20" t="s">
        <v>1474</v>
      </c>
      <c r="C212" s="20" t="s">
        <v>4392</v>
      </c>
      <c r="D212" s="19" t="s">
        <v>174</v>
      </c>
      <c r="E212" s="19" t="s">
        <v>355</v>
      </c>
      <c r="F212" s="19">
        <v>0.37840000000000001</v>
      </c>
      <c r="G212" s="19" t="s">
        <v>2514</v>
      </c>
      <c r="H212" s="19" t="s">
        <v>1476</v>
      </c>
    </row>
    <row r="213" spans="1:8" x14ac:dyDescent="0.35">
      <c r="A213" s="19" t="s">
        <v>4393</v>
      </c>
      <c r="B213" s="20"/>
      <c r="C213" s="20"/>
      <c r="D213" s="19"/>
      <c r="E213" s="19"/>
      <c r="F213" s="19"/>
      <c r="G213" s="19"/>
      <c r="H213" s="19"/>
    </row>
    <row r="214" spans="1:8" x14ac:dyDescent="0.35">
      <c r="A214" s="19" t="s">
        <v>4394</v>
      </c>
      <c r="B214" s="20"/>
      <c r="C214" s="20"/>
      <c r="D214" s="19"/>
      <c r="E214" s="19"/>
      <c r="F214" s="19"/>
      <c r="G214" s="19"/>
      <c r="H214" s="19"/>
    </row>
    <row r="215" spans="1:8" x14ac:dyDescent="0.35">
      <c r="A215" s="19" t="s">
        <v>438</v>
      </c>
      <c r="B215" s="20" t="s">
        <v>437</v>
      </c>
      <c r="C215" s="20" t="s">
        <v>436</v>
      </c>
      <c r="D215" s="19" t="s">
        <v>21</v>
      </c>
      <c r="E215" s="19" t="s">
        <v>436</v>
      </c>
      <c r="F215" s="19">
        <v>1</v>
      </c>
      <c r="G215" s="19"/>
      <c r="H215" s="19"/>
    </row>
    <row r="216" spans="1:8" x14ac:dyDescent="0.35">
      <c r="A216" s="19" t="s">
        <v>2862</v>
      </c>
      <c r="B216" s="20" t="s">
        <v>2861</v>
      </c>
      <c r="C216" s="20" t="s">
        <v>2860</v>
      </c>
      <c r="D216" s="19" t="s">
        <v>174</v>
      </c>
      <c r="E216" s="19" t="s">
        <v>2350</v>
      </c>
      <c r="F216" s="19">
        <v>0.3382</v>
      </c>
      <c r="G216" s="19" t="s">
        <v>2543</v>
      </c>
      <c r="H216" s="19" t="s">
        <v>1476</v>
      </c>
    </row>
    <row r="217" spans="1:8" ht="42" x14ac:dyDescent="0.35">
      <c r="A217" s="19" t="s">
        <v>821</v>
      </c>
      <c r="B217" s="20" t="s">
        <v>820</v>
      </c>
      <c r="C217" s="20" t="s">
        <v>819</v>
      </c>
      <c r="D217" s="19" t="s">
        <v>4</v>
      </c>
      <c r="E217" s="19" t="s">
        <v>67</v>
      </c>
      <c r="F217" s="19">
        <v>0.8</v>
      </c>
      <c r="G217" s="19"/>
      <c r="H217" s="19"/>
    </row>
    <row r="218" spans="1:8" x14ac:dyDescent="0.35">
      <c r="A218" s="19" t="s">
        <v>2351</v>
      </c>
      <c r="B218" s="20" t="s">
        <v>2349</v>
      </c>
      <c r="C218" s="20" t="s">
        <v>2348</v>
      </c>
      <c r="D218" s="19" t="s">
        <v>174</v>
      </c>
      <c r="E218" s="19" t="s">
        <v>1476</v>
      </c>
      <c r="F218" s="19">
        <v>0.39460000000000001</v>
      </c>
      <c r="G218" s="19" t="s">
        <v>2350</v>
      </c>
      <c r="H218" s="19" t="s">
        <v>273</v>
      </c>
    </row>
    <row r="219" spans="1:8" ht="28" x14ac:dyDescent="0.35">
      <c r="A219" s="19" t="s">
        <v>1196</v>
      </c>
      <c r="B219" s="20" t="s">
        <v>1193</v>
      </c>
      <c r="C219" s="20" t="s">
        <v>1192</v>
      </c>
      <c r="D219" s="19" t="s">
        <v>115</v>
      </c>
      <c r="E219" s="19" t="s">
        <v>1195</v>
      </c>
      <c r="F219" s="19">
        <v>0.6</v>
      </c>
      <c r="G219" s="19"/>
      <c r="H219" s="19"/>
    </row>
    <row r="220" spans="1:8" x14ac:dyDescent="0.35">
      <c r="A220" s="19" t="s">
        <v>4120</v>
      </c>
      <c r="B220" s="20" t="s">
        <v>4119</v>
      </c>
      <c r="C220" s="20" t="s">
        <v>4118</v>
      </c>
      <c r="D220" s="19"/>
      <c r="E220" s="19"/>
      <c r="F220" s="19"/>
      <c r="G220" s="19"/>
      <c r="H220" s="19"/>
    </row>
    <row r="221" spans="1:8" x14ac:dyDescent="0.35">
      <c r="A221" s="19" t="s">
        <v>1290</v>
      </c>
      <c r="B221" s="20" t="s">
        <v>1285</v>
      </c>
      <c r="C221" s="20" t="s">
        <v>1284</v>
      </c>
      <c r="D221" s="19" t="s">
        <v>174</v>
      </c>
      <c r="E221" s="19" t="s">
        <v>1287</v>
      </c>
      <c r="F221" s="19">
        <v>0.29670000000000002</v>
      </c>
      <c r="G221" s="19" t="s">
        <v>1288</v>
      </c>
      <c r="H221" s="19" t="s">
        <v>1289</v>
      </c>
    </row>
    <row r="222" spans="1:8" ht="42" x14ac:dyDescent="0.35">
      <c r="A222" s="19" t="s">
        <v>1082</v>
      </c>
      <c r="B222" s="20" t="s">
        <v>1080</v>
      </c>
      <c r="C222" s="20" t="s">
        <v>1079</v>
      </c>
      <c r="D222" s="19" t="s">
        <v>4</v>
      </c>
      <c r="E222" s="19" t="s">
        <v>1081</v>
      </c>
      <c r="F222" s="19">
        <v>0.8</v>
      </c>
      <c r="G222" s="19"/>
      <c r="H222" s="19"/>
    </row>
    <row r="223" spans="1:8" x14ac:dyDescent="0.35">
      <c r="A223" s="19" t="s">
        <v>4395</v>
      </c>
      <c r="B223" s="20"/>
      <c r="C223" s="20"/>
      <c r="D223" s="19"/>
      <c r="E223" s="19"/>
      <c r="F223" s="19"/>
      <c r="G223" s="19"/>
      <c r="H223" s="19"/>
    </row>
    <row r="224" spans="1:8" x14ac:dyDescent="0.35">
      <c r="A224" s="19" t="s">
        <v>4396</v>
      </c>
      <c r="B224" s="20"/>
      <c r="C224" s="20"/>
      <c r="D224" s="19"/>
      <c r="E224" s="19"/>
      <c r="F224" s="19"/>
      <c r="G224" s="19"/>
      <c r="H224" s="19"/>
    </row>
    <row r="225" spans="1:8" ht="28" x14ac:dyDescent="0.35">
      <c r="A225" s="19" t="s">
        <v>2242</v>
      </c>
      <c r="B225" s="20" t="s">
        <v>2240</v>
      </c>
      <c r="C225" s="20" t="s">
        <v>2239</v>
      </c>
      <c r="D225" s="19" t="s">
        <v>174</v>
      </c>
      <c r="E225" s="19" t="s">
        <v>2007</v>
      </c>
      <c r="F225" s="19">
        <v>0.20499999999999999</v>
      </c>
      <c r="G225" s="19"/>
      <c r="H225" s="19"/>
    </row>
    <row r="226" spans="1:8" x14ac:dyDescent="0.35">
      <c r="A226" s="19" t="s">
        <v>4397</v>
      </c>
      <c r="B226" s="20"/>
      <c r="C226" s="20"/>
      <c r="D226" s="19"/>
      <c r="E226" s="19"/>
      <c r="F226" s="19"/>
      <c r="G226" s="19"/>
      <c r="H226" s="19"/>
    </row>
    <row r="227" spans="1:8" x14ac:dyDescent="0.35">
      <c r="A227" s="19" t="s">
        <v>4398</v>
      </c>
      <c r="B227" s="20" t="s">
        <v>4399</v>
      </c>
      <c r="C227" s="20" t="s">
        <v>2731</v>
      </c>
      <c r="D227" s="19" t="s">
        <v>174</v>
      </c>
      <c r="E227" s="19" t="s">
        <v>1549</v>
      </c>
      <c r="F227" s="19">
        <v>0.35099999999999998</v>
      </c>
      <c r="G227" s="19" t="s">
        <v>2733</v>
      </c>
      <c r="H227" s="19" t="s">
        <v>1450</v>
      </c>
    </row>
    <row r="228" spans="1:8" x14ac:dyDescent="0.35">
      <c r="A228" s="19" t="s">
        <v>2581</v>
      </c>
      <c r="B228" s="20" t="s">
        <v>2578</v>
      </c>
      <c r="C228" s="20" t="s">
        <v>2577</v>
      </c>
      <c r="D228" s="19" t="s">
        <v>174</v>
      </c>
      <c r="E228" s="19" t="s">
        <v>1752</v>
      </c>
      <c r="F228" s="19">
        <v>0.36730000000000002</v>
      </c>
      <c r="G228" s="19" t="s">
        <v>2579</v>
      </c>
      <c r="H228" s="19" t="s">
        <v>2580</v>
      </c>
    </row>
    <row r="229" spans="1:8" x14ac:dyDescent="0.35">
      <c r="A229" s="19" t="s">
        <v>2415</v>
      </c>
      <c r="B229" s="20" t="s">
        <v>2412</v>
      </c>
      <c r="C229" s="20" t="s">
        <v>2412</v>
      </c>
      <c r="D229" s="19" t="s">
        <v>174</v>
      </c>
      <c r="E229" s="19" t="s">
        <v>1963</v>
      </c>
      <c r="F229" s="19">
        <v>0.38919999999999999</v>
      </c>
      <c r="G229" s="19" t="s">
        <v>2413</v>
      </c>
      <c r="H229" s="19" t="s">
        <v>2414</v>
      </c>
    </row>
    <row r="230" spans="1:8" x14ac:dyDescent="0.35">
      <c r="A230" s="19" t="s">
        <v>2346</v>
      </c>
      <c r="B230" s="20" t="s">
        <v>2342</v>
      </c>
      <c r="C230" s="20" t="s">
        <v>2341</v>
      </c>
      <c r="D230" s="19" t="s">
        <v>174</v>
      </c>
      <c r="E230" s="19" t="s">
        <v>2343</v>
      </c>
      <c r="F230" s="19">
        <v>0.3947</v>
      </c>
      <c r="G230" s="19" t="s">
        <v>2344</v>
      </c>
      <c r="H230" s="19" t="s">
        <v>2345</v>
      </c>
    </row>
    <row r="231" spans="1:8" ht="28" x14ac:dyDescent="0.35">
      <c r="A231" s="19" t="s">
        <v>3837</v>
      </c>
      <c r="B231" s="20" t="s">
        <v>3835</v>
      </c>
      <c r="C231" s="20" t="s">
        <v>3834</v>
      </c>
      <c r="D231" s="19"/>
      <c r="E231" s="19"/>
      <c r="F231" s="19"/>
      <c r="G231" s="19"/>
      <c r="H231" s="19"/>
    </row>
    <row r="232" spans="1:8" x14ac:dyDescent="0.35">
      <c r="A232" s="19" t="s">
        <v>3003</v>
      </c>
      <c r="B232" s="20" t="s">
        <v>2998</v>
      </c>
      <c r="C232" s="20" t="s">
        <v>2998</v>
      </c>
      <c r="D232" s="19" t="s">
        <v>174</v>
      </c>
      <c r="E232" s="19" t="s">
        <v>3000</v>
      </c>
      <c r="F232" s="19">
        <v>0.32100000000000001</v>
      </c>
      <c r="G232" s="19" t="s">
        <v>3001</v>
      </c>
      <c r="H232" s="19" t="s">
        <v>3002</v>
      </c>
    </row>
    <row r="233" spans="1:8" ht="28" x14ac:dyDescent="0.35">
      <c r="A233" s="19" t="s">
        <v>1952</v>
      </c>
      <c r="B233" s="20" t="s">
        <v>1950</v>
      </c>
      <c r="C233" s="20" t="s">
        <v>1949</v>
      </c>
      <c r="D233" s="19" t="s">
        <v>174</v>
      </c>
      <c r="E233" s="19" t="s">
        <v>1416</v>
      </c>
      <c r="F233" s="19">
        <v>0.23469999999999999</v>
      </c>
      <c r="G233" s="19" t="s">
        <v>1951</v>
      </c>
      <c r="H233" s="19"/>
    </row>
    <row r="234" spans="1:8" x14ac:dyDescent="0.35">
      <c r="A234" s="19" t="s">
        <v>4400</v>
      </c>
      <c r="B234" s="20"/>
      <c r="C234" s="20"/>
      <c r="D234" s="19"/>
      <c r="E234" s="19"/>
      <c r="F234" s="19"/>
      <c r="G234" s="19"/>
      <c r="H234" s="19"/>
    </row>
    <row r="235" spans="1:8" ht="28" x14ac:dyDescent="0.35">
      <c r="A235" s="19" t="s">
        <v>960</v>
      </c>
      <c r="B235" s="20" t="s">
        <v>959</v>
      </c>
      <c r="C235" s="20" t="s">
        <v>958</v>
      </c>
      <c r="D235" s="19" t="s">
        <v>4</v>
      </c>
      <c r="E235" s="19" t="s">
        <v>36</v>
      </c>
      <c r="F235" s="19">
        <v>0.8</v>
      </c>
      <c r="G235" s="19"/>
      <c r="H235" s="19"/>
    </row>
    <row r="236" spans="1:8" x14ac:dyDescent="0.35">
      <c r="A236" s="19" t="s">
        <v>4401</v>
      </c>
      <c r="B236" s="20" t="s">
        <v>4402</v>
      </c>
      <c r="C236" s="20"/>
      <c r="D236" s="19"/>
      <c r="E236" s="19"/>
      <c r="F236" s="19"/>
      <c r="G236" s="19"/>
      <c r="H236" s="19"/>
    </row>
    <row r="237" spans="1:8" x14ac:dyDescent="0.35">
      <c r="A237" s="19" t="s">
        <v>2126</v>
      </c>
      <c r="B237" s="20" t="s">
        <v>2123</v>
      </c>
      <c r="C237" s="20" t="s">
        <v>2123</v>
      </c>
      <c r="D237" s="19" t="s">
        <v>174</v>
      </c>
      <c r="E237" s="19" t="s">
        <v>2124</v>
      </c>
      <c r="F237" s="19">
        <v>0.21729999999999999</v>
      </c>
      <c r="G237" s="19" t="s">
        <v>2125</v>
      </c>
      <c r="H237" s="19"/>
    </row>
    <row r="238" spans="1:8" ht="28" x14ac:dyDescent="0.35">
      <c r="A238" s="19" t="s">
        <v>1808</v>
      </c>
      <c r="B238" s="20" t="s">
        <v>1803</v>
      </c>
      <c r="C238" s="20" t="s">
        <v>1802</v>
      </c>
      <c r="D238" s="19" t="s">
        <v>174</v>
      </c>
      <c r="E238" s="19" t="s">
        <v>1805</v>
      </c>
      <c r="F238" s="19">
        <v>0.2477</v>
      </c>
      <c r="G238" s="19" t="s">
        <v>1806</v>
      </c>
      <c r="H238" s="19" t="s">
        <v>1807</v>
      </c>
    </row>
    <row r="239" spans="1:8" x14ac:dyDescent="0.35">
      <c r="A239" s="19" t="s">
        <v>3928</v>
      </c>
      <c r="B239" s="20" t="s">
        <v>3927</v>
      </c>
      <c r="C239" s="20" t="s">
        <v>3926</v>
      </c>
      <c r="D239" s="19"/>
      <c r="E239" s="19"/>
      <c r="F239" s="19"/>
      <c r="G239" s="19"/>
      <c r="H239" s="19"/>
    </row>
    <row r="240" spans="1:8" ht="28" x14ac:dyDescent="0.35">
      <c r="A240" s="19" t="s">
        <v>2003</v>
      </c>
      <c r="B240" s="20" t="s">
        <v>2001</v>
      </c>
      <c r="C240" s="20" t="s">
        <v>2000</v>
      </c>
      <c r="D240" s="19" t="s">
        <v>174</v>
      </c>
      <c r="E240" s="19" t="s">
        <v>2002</v>
      </c>
      <c r="F240" s="19">
        <v>0.2293</v>
      </c>
      <c r="G240" s="19"/>
      <c r="H240" s="19"/>
    </row>
    <row r="241" spans="1:8" x14ac:dyDescent="0.35">
      <c r="A241" s="19" t="s">
        <v>3580</v>
      </c>
      <c r="B241" s="20" t="s">
        <v>3577</v>
      </c>
      <c r="C241" s="20" t="s">
        <v>3576</v>
      </c>
      <c r="D241" s="19" t="s">
        <v>174</v>
      </c>
      <c r="E241" s="19" t="s">
        <v>3578</v>
      </c>
      <c r="F241" s="19">
        <v>0.4204</v>
      </c>
      <c r="G241" s="19" t="s">
        <v>3579</v>
      </c>
      <c r="H241" s="19" t="s">
        <v>95</v>
      </c>
    </row>
    <row r="242" spans="1:8" x14ac:dyDescent="0.35">
      <c r="A242" s="19" t="s">
        <v>4403</v>
      </c>
      <c r="B242" s="20" t="s">
        <v>4404</v>
      </c>
      <c r="C242" s="20"/>
      <c r="D242" s="19"/>
      <c r="E242" s="19"/>
      <c r="F242" s="19"/>
      <c r="G242" s="19"/>
      <c r="H242" s="19"/>
    </row>
    <row r="243" spans="1:8" x14ac:dyDescent="0.35">
      <c r="A243" s="19" t="s">
        <v>4405</v>
      </c>
      <c r="B243" s="20"/>
      <c r="C243" s="20"/>
      <c r="D243" s="19"/>
      <c r="E243" s="19"/>
      <c r="F243" s="19"/>
      <c r="G243" s="19"/>
      <c r="H243" s="19"/>
    </row>
    <row r="244" spans="1:8" ht="42" x14ac:dyDescent="0.35">
      <c r="A244" s="19" t="s">
        <v>406</v>
      </c>
      <c r="B244" s="20" t="s">
        <v>405</v>
      </c>
      <c r="C244" s="20" t="s">
        <v>404</v>
      </c>
      <c r="D244" s="19"/>
      <c r="E244" s="19"/>
      <c r="F244" s="19"/>
      <c r="G244" s="19"/>
      <c r="H244" s="19"/>
    </row>
    <row r="245" spans="1:8" x14ac:dyDescent="0.35">
      <c r="A245" s="19" t="s">
        <v>3056</v>
      </c>
      <c r="B245" s="20" t="s">
        <v>3053</v>
      </c>
      <c r="C245" s="20" t="s">
        <v>3053</v>
      </c>
      <c r="D245" s="19" t="s">
        <v>174</v>
      </c>
      <c r="E245" s="19" t="s">
        <v>3054</v>
      </c>
      <c r="F245" s="19">
        <v>0.31559999999999999</v>
      </c>
      <c r="G245" s="19" t="s">
        <v>1301</v>
      </c>
      <c r="H245" s="19" t="s">
        <v>3055</v>
      </c>
    </row>
    <row r="246" spans="1:8" x14ac:dyDescent="0.35">
      <c r="A246" s="19" t="s">
        <v>2420</v>
      </c>
      <c r="B246" s="20" t="s">
        <v>2418</v>
      </c>
      <c r="C246" s="20" t="s">
        <v>2417</v>
      </c>
      <c r="D246" s="19" t="s">
        <v>174</v>
      </c>
      <c r="E246" s="19" t="s">
        <v>212</v>
      </c>
      <c r="F246" s="19">
        <v>0.38929999999999998</v>
      </c>
      <c r="G246" s="19" t="s">
        <v>1543</v>
      </c>
      <c r="H246" s="19" t="s">
        <v>355</v>
      </c>
    </row>
    <row r="247" spans="1:8" x14ac:dyDescent="0.35">
      <c r="A247" s="19" t="s">
        <v>3160</v>
      </c>
      <c r="B247" s="20" t="s">
        <v>3158</v>
      </c>
      <c r="C247" s="20" t="s">
        <v>2746</v>
      </c>
      <c r="D247" s="19" t="s">
        <v>174</v>
      </c>
      <c r="E247" s="19" t="s">
        <v>1101</v>
      </c>
      <c r="F247" s="19">
        <v>0.3044</v>
      </c>
      <c r="G247" s="19" t="s">
        <v>3159</v>
      </c>
      <c r="H247" s="19"/>
    </row>
    <row r="248" spans="1:8" ht="28" x14ac:dyDescent="0.35">
      <c r="A248" s="19" t="s">
        <v>1840</v>
      </c>
      <c r="B248" s="20" t="s">
        <v>1836</v>
      </c>
      <c r="C248" s="20" t="s">
        <v>1835</v>
      </c>
      <c r="D248" s="19" t="s">
        <v>174</v>
      </c>
      <c r="E248" s="19" t="s">
        <v>1837</v>
      </c>
      <c r="F248" s="19">
        <v>0.24410000000000001</v>
      </c>
      <c r="G248" s="19" t="s">
        <v>1838</v>
      </c>
      <c r="H248" s="19" t="s">
        <v>1839</v>
      </c>
    </row>
    <row r="249" spans="1:8" x14ac:dyDescent="0.35">
      <c r="A249" s="19" t="s">
        <v>4406</v>
      </c>
      <c r="B249" s="20" t="s">
        <v>3577</v>
      </c>
      <c r="C249" s="20" t="s">
        <v>3576</v>
      </c>
      <c r="D249" s="19" t="s">
        <v>174</v>
      </c>
      <c r="E249" s="19" t="s">
        <v>3578</v>
      </c>
      <c r="F249" s="19">
        <v>0.4204</v>
      </c>
      <c r="G249" s="19" t="s">
        <v>3579</v>
      </c>
      <c r="H249" s="19" t="s">
        <v>95</v>
      </c>
    </row>
    <row r="250" spans="1:8" x14ac:dyDescent="0.35">
      <c r="A250" s="19" t="s">
        <v>4407</v>
      </c>
      <c r="B250" s="20" t="s">
        <v>3577</v>
      </c>
      <c r="C250" s="20" t="s">
        <v>3576</v>
      </c>
      <c r="D250" s="19" t="s">
        <v>174</v>
      </c>
      <c r="E250" s="19" t="s">
        <v>3578</v>
      </c>
      <c r="F250" s="19">
        <v>0.4204</v>
      </c>
      <c r="G250" s="19" t="s">
        <v>3579</v>
      </c>
      <c r="H250" s="19" t="s">
        <v>95</v>
      </c>
    </row>
    <row r="251" spans="1:8" x14ac:dyDescent="0.35">
      <c r="A251" s="19" t="s">
        <v>4408</v>
      </c>
      <c r="B251" s="20" t="s">
        <v>3577</v>
      </c>
      <c r="C251" s="20" t="s">
        <v>3576</v>
      </c>
      <c r="D251" s="19" t="s">
        <v>174</v>
      </c>
      <c r="E251" s="19" t="s">
        <v>3578</v>
      </c>
      <c r="F251" s="19">
        <v>0.4204</v>
      </c>
      <c r="G251" s="19" t="s">
        <v>3579</v>
      </c>
      <c r="H251" s="19" t="s">
        <v>95</v>
      </c>
    </row>
    <row r="252" spans="1:8" x14ac:dyDescent="0.35">
      <c r="A252" s="19" t="s">
        <v>2729</v>
      </c>
      <c r="B252" s="20" t="s">
        <v>2728</v>
      </c>
      <c r="C252" s="20" t="s">
        <v>2727</v>
      </c>
      <c r="D252" s="19" t="s">
        <v>174</v>
      </c>
      <c r="E252" s="19" t="s">
        <v>1806</v>
      </c>
      <c r="F252" s="19">
        <v>0.35120000000000001</v>
      </c>
      <c r="G252" s="19" t="s">
        <v>1906</v>
      </c>
      <c r="H252" s="19" t="s">
        <v>1450</v>
      </c>
    </row>
    <row r="253" spans="1:8" x14ac:dyDescent="0.35">
      <c r="A253" s="19" t="s">
        <v>4409</v>
      </c>
      <c r="B253" s="20"/>
      <c r="C253" s="20"/>
      <c r="D253" s="19"/>
      <c r="E253" s="19"/>
      <c r="F253" s="19"/>
      <c r="G253" s="19"/>
      <c r="H253" s="19"/>
    </row>
    <row r="254" spans="1:8" x14ac:dyDescent="0.35">
      <c r="A254" s="19" t="s">
        <v>4410</v>
      </c>
      <c r="B254" s="20" t="s">
        <v>4363</v>
      </c>
      <c r="C254" s="20"/>
      <c r="D254" s="19"/>
      <c r="E254" s="19"/>
      <c r="F254" s="19"/>
      <c r="G254" s="19"/>
      <c r="H254" s="19"/>
    </row>
    <row r="255" spans="1:8" x14ac:dyDescent="0.35">
      <c r="A255" s="19" t="s">
        <v>3122</v>
      </c>
      <c r="B255" s="20" t="s">
        <v>3120</v>
      </c>
      <c r="C255" s="20" t="s">
        <v>3119</v>
      </c>
      <c r="D255" s="19" t="s">
        <v>174</v>
      </c>
      <c r="E255" s="19" t="s">
        <v>273</v>
      </c>
      <c r="F255" s="19">
        <v>0.30759999999999998</v>
      </c>
      <c r="G255" s="19" t="s">
        <v>274</v>
      </c>
      <c r="H255" s="19" t="s">
        <v>272</v>
      </c>
    </row>
    <row r="256" spans="1:8" ht="28" x14ac:dyDescent="0.35">
      <c r="A256" s="19" t="s">
        <v>1624</v>
      </c>
      <c r="B256" s="20" t="s">
        <v>1620</v>
      </c>
      <c r="C256" s="20" t="s">
        <v>1619</v>
      </c>
      <c r="D256" s="19" t="s">
        <v>174</v>
      </c>
      <c r="E256" s="19" t="s">
        <v>1332</v>
      </c>
      <c r="F256" s="19">
        <v>0.26939999999999997</v>
      </c>
      <c r="G256" s="19" t="s">
        <v>1622</v>
      </c>
      <c r="H256" s="19" t="s">
        <v>1623</v>
      </c>
    </row>
    <row r="257" spans="1:8" x14ac:dyDescent="0.35">
      <c r="A257" s="19" t="s">
        <v>4411</v>
      </c>
      <c r="B257" s="20"/>
      <c r="C257" s="20"/>
      <c r="D257" s="19"/>
      <c r="E257" s="19"/>
      <c r="F257" s="19"/>
      <c r="G257" s="19"/>
      <c r="H257" s="19"/>
    </row>
    <row r="258" spans="1:8" ht="28" x14ac:dyDescent="0.35">
      <c r="A258" s="19" t="s">
        <v>2218</v>
      </c>
      <c r="B258" s="20" t="s">
        <v>2216</v>
      </c>
      <c r="C258" s="20" t="s">
        <v>2215</v>
      </c>
      <c r="D258" s="19" t="s">
        <v>174</v>
      </c>
      <c r="E258" s="19" t="s">
        <v>2217</v>
      </c>
      <c r="F258" s="19">
        <v>0.2097</v>
      </c>
      <c r="G258" s="19"/>
      <c r="H258" s="19"/>
    </row>
    <row r="259" spans="1:8" x14ac:dyDescent="0.35">
      <c r="A259" s="19" t="s">
        <v>1060</v>
      </c>
      <c r="B259" s="20" t="s">
        <v>1059</v>
      </c>
      <c r="C259" s="20" t="s">
        <v>1058</v>
      </c>
      <c r="D259" s="19" t="s">
        <v>4</v>
      </c>
      <c r="E259" s="19" t="s">
        <v>63</v>
      </c>
      <c r="F259" s="19">
        <v>0.8</v>
      </c>
      <c r="G259" s="19"/>
      <c r="H259" s="19"/>
    </row>
    <row r="260" spans="1:8" ht="56" x14ac:dyDescent="0.35">
      <c r="A260" s="19" t="s">
        <v>3738</v>
      </c>
      <c r="B260" s="20" t="s">
        <v>3737</v>
      </c>
      <c r="C260" s="20" t="s">
        <v>3736</v>
      </c>
      <c r="D260" s="19"/>
      <c r="E260" s="19"/>
      <c r="F260" s="19"/>
      <c r="G260" s="19"/>
      <c r="H260" s="19"/>
    </row>
    <row r="261" spans="1:8" x14ac:dyDescent="0.35">
      <c r="A261" s="19" t="s">
        <v>1890</v>
      </c>
      <c r="B261" s="20" t="s">
        <v>1885</v>
      </c>
      <c r="C261" s="20" t="s">
        <v>1885</v>
      </c>
      <c r="D261" s="19" t="s">
        <v>174</v>
      </c>
      <c r="E261" s="19" t="s">
        <v>1887</v>
      </c>
      <c r="F261" s="19">
        <v>0.2399</v>
      </c>
      <c r="G261" s="19" t="s">
        <v>1888</v>
      </c>
      <c r="H261" s="19" t="s">
        <v>1889</v>
      </c>
    </row>
    <row r="262" spans="1:8" x14ac:dyDescent="0.35">
      <c r="A262" s="19" t="s">
        <v>4412</v>
      </c>
      <c r="B262" s="20" t="s">
        <v>1885</v>
      </c>
      <c r="C262" s="20" t="s">
        <v>1885</v>
      </c>
      <c r="D262" s="19" t="s">
        <v>174</v>
      </c>
      <c r="E262" s="19" t="s">
        <v>1887</v>
      </c>
      <c r="F262" s="19">
        <v>0.2399</v>
      </c>
      <c r="G262" s="19" t="s">
        <v>1888</v>
      </c>
      <c r="H262" s="19" t="s">
        <v>1889</v>
      </c>
    </row>
    <row r="263" spans="1:8" x14ac:dyDescent="0.35">
      <c r="A263" s="19" t="s">
        <v>496</v>
      </c>
      <c r="B263" s="20" t="s">
        <v>494</v>
      </c>
      <c r="C263" s="20" t="s">
        <v>4413</v>
      </c>
      <c r="D263" s="19" t="s">
        <v>21</v>
      </c>
      <c r="E263" s="19" t="s">
        <v>495</v>
      </c>
      <c r="F263" s="19">
        <v>1</v>
      </c>
      <c r="G263" s="19" t="s">
        <v>3670</v>
      </c>
      <c r="H263" s="19" t="s">
        <v>3540</v>
      </c>
    </row>
    <row r="264" spans="1:8" ht="42" x14ac:dyDescent="0.35">
      <c r="A264" s="19" t="s">
        <v>972</v>
      </c>
      <c r="B264" s="20" t="s">
        <v>971</v>
      </c>
      <c r="C264" s="20" t="s">
        <v>970</v>
      </c>
      <c r="D264" s="19" t="s">
        <v>4</v>
      </c>
      <c r="E264" s="19" t="s">
        <v>67</v>
      </c>
      <c r="F264" s="19">
        <v>0.8</v>
      </c>
      <c r="G264" s="19"/>
      <c r="H264" s="19"/>
    </row>
    <row r="265" spans="1:8" ht="56" x14ac:dyDescent="0.35">
      <c r="A265" s="19" t="s">
        <v>2197</v>
      </c>
      <c r="B265" s="20" t="s">
        <v>2195</v>
      </c>
      <c r="C265" s="20" t="s">
        <v>2194</v>
      </c>
      <c r="D265" s="19" t="s">
        <v>174</v>
      </c>
      <c r="E265" s="19" t="s">
        <v>1496</v>
      </c>
      <c r="F265" s="19">
        <v>0.21279999999999999</v>
      </c>
      <c r="G265" s="19" t="s">
        <v>2196</v>
      </c>
      <c r="H265" s="19"/>
    </row>
    <row r="266" spans="1:8" ht="70" x14ac:dyDescent="0.35">
      <c r="A266" s="19" t="s">
        <v>3886</v>
      </c>
      <c r="B266" s="20" t="s">
        <v>3884</v>
      </c>
      <c r="C266" s="20" t="s">
        <v>3883</v>
      </c>
      <c r="D266" s="19"/>
      <c r="E266" s="19"/>
      <c r="F266" s="19"/>
      <c r="G266" s="19"/>
      <c r="H266" s="19"/>
    </row>
    <row r="267" spans="1:8" ht="42" x14ac:dyDescent="0.35">
      <c r="A267" s="19" t="s">
        <v>3027</v>
      </c>
      <c r="B267" s="20" t="s">
        <v>3023</v>
      </c>
      <c r="C267" s="20" t="s">
        <v>3022</v>
      </c>
      <c r="D267" s="19" t="s">
        <v>174</v>
      </c>
      <c r="E267" s="19" t="s">
        <v>3025</v>
      </c>
      <c r="F267" s="19">
        <v>0.31769999999999998</v>
      </c>
      <c r="G267" s="19" t="s">
        <v>1496</v>
      </c>
      <c r="H267" s="19" t="s">
        <v>3026</v>
      </c>
    </row>
    <row r="268" spans="1:8" ht="56" x14ac:dyDescent="0.35">
      <c r="A268" s="19" t="s">
        <v>3876</v>
      </c>
      <c r="B268" s="20" t="s">
        <v>3875</v>
      </c>
      <c r="C268" s="20" t="s">
        <v>3874</v>
      </c>
      <c r="D268" s="19"/>
      <c r="E268" s="19"/>
      <c r="F268" s="19"/>
      <c r="G268" s="19"/>
      <c r="H268" s="19"/>
    </row>
    <row r="269" spans="1:8" ht="84" x14ac:dyDescent="0.35">
      <c r="A269" s="19" t="s">
        <v>3967</v>
      </c>
      <c r="B269" s="20" t="s">
        <v>3966</v>
      </c>
      <c r="C269" s="20" t="s">
        <v>3965</v>
      </c>
      <c r="D269" s="19"/>
      <c r="E269" s="19"/>
      <c r="F269" s="19"/>
      <c r="G269" s="19"/>
      <c r="H269" s="19"/>
    </row>
    <row r="270" spans="1:8" ht="98" x14ac:dyDescent="0.35">
      <c r="A270" s="19" t="s">
        <v>3912</v>
      </c>
      <c r="B270" s="20" t="s">
        <v>3910</v>
      </c>
      <c r="C270" s="20" t="s">
        <v>3909</v>
      </c>
      <c r="D270" s="19"/>
      <c r="E270" s="19"/>
      <c r="F270" s="19"/>
      <c r="G270" s="19"/>
      <c r="H270" s="19"/>
    </row>
    <row r="271" spans="1:8" x14ac:dyDescent="0.35">
      <c r="A271" s="19" t="s">
        <v>4414</v>
      </c>
      <c r="B271" s="20" t="s">
        <v>4415</v>
      </c>
      <c r="C271" s="20" t="s">
        <v>1462</v>
      </c>
      <c r="D271" s="19" t="s">
        <v>174</v>
      </c>
      <c r="E271" s="19" t="s">
        <v>1463</v>
      </c>
      <c r="F271" s="19">
        <v>0.35499999999999998</v>
      </c>
      <c r="G271" s="19" t="s">
        <v>1301</v>
      </c>
      <c r="H271" s="19" t="s">
        <v>753</v>
      </c>
    </row>
    <row r="272" spans="1:8" x14ac:dyDescent="0.35">
      <c r="A272" s="19" t="s">
        <v>3901</v>
      </c>
      <c r="B272" s="20" t="s">
        <v>3900</v>
      </c>
      <c r="C272" s="20" t="s">
        <v>3899</v>
      </c>
      <c r="D272" s="19"/>
      <c r="E272" s="19"/>
      <c r="F272" s="19"/>
      <c r="G272" s="19"/>
      <c r="H272" s="19"/>
    </row>
    <row r="273" spans="1:8" x14ac:dyDescent="0.35">
      <c r="A273" s="19" t="s">
        <v>964</v>
      </c>
      <c r="B273" s="20" t="s">
        <v>963</v>
      </c>
      <c r="C273" s="20" t="s">
        <v>962</v>
      </c>
      <c r="D273" s="19" t="s">
        <v>4</v>
      </c>
      <c r="E273" s="19" t="s">
        <v>67</v>
      </c>
      <c r="F273" s="19">
        <v>0.8</v>
      </c>
      <c r="G273" s="19"/>
      <c r="H273" s="19"/>
    </row>
    <row r="274" spans="1:8" ht="28" x14ac:dyDescent="0.35">
      <c r="A274" s="19" t="s">
        <v>789</v>
      </c>
      <c r="B274" s="20" t="s">
        <v>788</v>
      </c>
      <c r="C274" s="20" t="s">
        <v>787</v>
      </c>
      <c r="D274" s="19" t="s">
        <v>4</v>
      </c>
      <c r="E274" s="19" t="s">
        <v>67</v>
      </c>
      <c r="F274" s="19">
        <v>0.8</v>
      </c>
      <c r="G274" s="19"/>
      <c r="H274" s="19"/>
    </row>
    <row r="275" spans="1:8" x14ac:dyDescent="0.35">
      <c r="A275" s="19" t="s">
        <v>4416</v>
      </c>
      <c r="B275" s="20"/>
      <c r="C275" s="20"/>
      <c r="D275" s="19"/>
      <c r="E275" s="19"/>
      <c r="F275" s="19"/>
      <c r="G275" s="19"/>
      <c r="H275" s="19"/>
    </row>
    <row r="276" spans="1:8" ht="28" x14ac:dyDescent="0.35">
      <c r="A276" s="19" t="s">
        <v>3170</v>
      </c>
      <c r="B276" s="20" t="s">
        <v>3169</v>
      </c>
      <c r="C276" s="20" t="s">
        <v>3168</v>
      </c>
      <c r="D276" s="19" t="s">
        <v>174</v>
      </c>
      <c r="E276" s="19" t="s">
        <v>1622</v>
      </c>
      <c r="F276" s="19">
        <v>0.30330000000000001</v>
      </c>
      <c r="G276" s="19" t="s">
        <v>2809</v>
      </c>
      <c r="H276" s="19" t="s">
        <v>2080</v>
      </c>
    </row>
    <row r="277" spans="1:8" x14ac:dyDescent="0.35">
      <c r="A277" s="19" t="s">
        <v>4417</v>
      </c>
      <c r="B277" s="20" t="s">
        <v>3067</v>
      </c>
      <c r="C277" s="20" t="s">
        <v>3066</v>
      </c>
      <c r="D277" s="19" t="s">
        <v>174</v>
      </c>
      <c r="E277" s="19" t="s">
        <v>1622</v>
      </c>
      <c r="F277" s="19">
        <v>0.31369999999999998</v>
      </c>
      <c r="G277" s="19" t="s">
        <v>2080</v>
      </c>
      <c r="H277" s="19" t="s">
        <v>2809</v>
      </c>
    </row>
    <row r="278" spans="1:8" x14ac:dyDescent="0.35">
      <c r="A278" s="19" t="s">
        <v>3624</v>
      </c>
      <c r="B278" s="20" t="s">
        <v>3623</v>
      </c>
      <c r="C278" s="20" t="s">
        <v>3622</v>
      </c>
      <c r="D278" s="19" t="s">
        <v>174</v>
      </c>
      <c r="E278" s="19" t="s">
        <v>3287</v>
      </c>
      <c r="F278" s="19">
        <v>0.41589999999999999</v>
      </c>
      <c r="G278" s="19" t="s">
        <v>3578</v>
      </c>
      <c r="H278" s="19" t="s">
        <v>95</v>
      </c>
    </row>
    <row r="279" spans="1:8" x14ac:dyDescent="0.35">
      <c r="A279" s="19" t="s">
        <v>4418</v>
      </c>
      <c r="B279" s="20" t="s">
        <v>3623</v>
      </c>
      <c r="C279" s="20" t="s">
        <v>3622</v>
      </c>
      <c r="D279" s="19" t="s">
        <v>174</v>
      </c>
      <c r="E279" s="19" t="s">
        <v>3287</v>
      </c>
      <c r="F279" s="19">
        <v>0.41589999999999999</v>
      </c>
      <c r="G279" s="19" t="s">
        <v>3578</v>
      </c>
      <c r="H279" s="19" t="s">
        <v>95</v>
      </c>
    </row>
    <row r="280" spans="1:8" x14ac:dyDescent="0.35">
      <c r="A280" s="19" t="s">
        <v>4419</v>
      </c>
      <c r="B280" s="20" t="s">
        <v>3577</v>
      </c>
      <c r="C280" s="20" t="s">
        <v>3576</v>
      </c>
      <c r="D280" s="19" t="s">
        <v>174</v>
      </c>
      <c r="E280" s="19" t="s">
        <v>3578</v>
      </c>
      <c r="F280" s="19">
        <v>0.4204</v>
      </c>
      <c r="G280" s="19" t="s">
        <v>3579</v>
      </c>
      <c r="H280" s="19" t="s">
        <v>95</v>
      </c>
    </row>
    <row r="281" spans="1:8" x14ac:dyDescent="0.35">
      <c r="A281" s="19" t="s">
        <v>4420</v>
      </c>
      <c r="B281" s="20" t="s">
        <v>3577</v>
      </c>
      <c r="C281" s="20" t="s">
        <v>3576</v>
      </c>
      <c r="D281" s="19" t="s">
        <v>174</v>
      </c>
      <c r="E281" s="19" t="s">
        <v>3578</v>
      </c>
      <c r="F281" s="19">
        <v>0.4204</v>
      </c>
      <c r="G281" s="19" t="s">
        <v>3579</v>
      </c>
      <c r="H281" s="19" t="s">
        <v>95</v>
      </c>
    </row>
    <row r="282" spans="1:8" x14ac:dyDescent="0.35">
      <c r="A282" s="19" t="s">
        <v>4421</v>
      </c>
      <c r="B282" s="20" t="s">
        <v>3577</v>
      </c>
      <c r="C282" s="20" t="s">
        <v>3576</v>
      </c>
      <c r="D282" s="19" t="s">
        <v>174</v>
      </c>
      <c r="E282" s="19" t="s">
        <v>3578</v>
      </c>
      <c r="F282" s="19">
        <v>0.4204</v>
      </c>
      <c r="G282" s="19" t="s">
        <v>3579</v>
      </c>
      <c r="H282" s="19" t="s">
        <v>95</v>
      </c>
    </row>
    <row r="283" spans="1:8" ht="42" x14ac:dyDescent="0.35">
      <c r="A283" s="19" t="s">
        <v>1958</v>
      </c>
      <c r="B283" s="20" t="s">
        <v>1955</v>
      </c>
      <c r="C283" s="20" t="s">
        <v>1954</v>
      </c>
      <c r="D283" s="19" t="s">
        <v>174</v>
      </c>
      <c r="E283" s="19" t="s">
        <v>1414</v>
      </c>
      <c r="F283" s="19">
        <v>0.23369999999999999</v>
      </c>
      <c r="G283" s="19" t="s">
        <v>1603</v>
      </c>
      <c r="H283" s="19" t="s">
        <v>1957</v>
      </c>
    </row>
    <row r="284" spans="1:8" ht="70" x14ac:dyDescent="0.35">
      <c r="A284" s="19" t="s">
        <v>3854</v>
      </c>
      <c r="B284" s="20" t="s">
        <v>3853</v>
      </c>
      <c r="C284" s="20" t="s">
        <v>3852</v>
      </c>
      <c r="D284" s="19"/>
      <c r="E284" s="19"/>
      <c r="F284" s="19"/>
      <c r="G284" s="19"/>
      <c r="H284" s="19"/>
    </row>
    <row r="285" spans="1:8" ht="28" x14ac:dyDescent="0.35">
      <c r="A285" s="19" t="s">
        <v>2477</v>
      </c>
      <c r="B285" s="20" t="s">
        <v>2474</v>
      </c>
      <c r="C285" s="20" t="s">
        <v>4422</v>
      </c>
      <c r="D285" s="19" t="s">
        <v>174</v>
      </c>
      <c r="E285" s="19" t="s">
        <v>1579</v>
      </c>
      <c r="F285" s="19">
        <v>0.47599999999999998</v>
      </c>
      <c r="G285" s="19" t="s">
        <v>3226</v>
      </c>
      <c r="H285" s="19" t="s">
        <v>3227</v>
      </c>
    </row>
    <row r="286" spans="1:8" x14ac:dyDescent="0.35">
      <c r="A286" s="19" t="s">
        <v>4423</v>
      </c>
      <c r="B286" s="20"/>
      <c r="C286" s="20"/>
      <c r="D286" s="19"/>
      <c r="E286" s="19"/>
      <c r="F286" s="19"/>
      <c r="G286" s="19"/>
      <c r="H286" s="19"/>
    </row>
    <row r="287" spans="1:8" ht="28" x14ac:dyDescent="0.35">
      <c r="A287" s="19" t="s">
        <v>34</v>
      </c>
      <c r="B287" s="20" t="s">
        <v>32</v>
      </c>
      <c r="C287" s="20" t="s">
        <v>31</v>
      </c>
      <c r="D287" s="19" t="s">
        <v>21</v>
      </c>
      <c r="E287" s="19" t="s">
        <v>33</v>
      </c>
      <c r="F287" s="19">
        <v>1</v>
      </c>
      <c r="G287" s="19"/>
      <c r="H287" s="19"/>
    </row>
    <row r="288" spans="1:8" x14ac:dyDescent="0.35">
      <c r="A288" s="19" t="s">
        <v>82</v>
      </c>
      <c r="B288" s="20" t="s">
        <v>80</v>
      </c>
      <c r="C288" s="20" t="s">
        <v>79</v>
      </c>
      <c r="D288" s="19" t="s">
        <v>4</v>
      </c>
      <c r="E288" s="19" t="s">
        <v>81</v>
      </c>
      <c r="F288" s="19">
        <v>0.8</v>
      </c>
      <c r="G288" s="19"/>
      <c r="H288" s="19"/>
    </row>
    <row r="289" spans="1:8" ht="70" x14ac:dyDescent="0.35">
      <c r="A289" s="19" t="s">
        <v>4168</v>
      </c>
      <c r="B289" s="20" t="s">
        <v>4167</v>
      </c>
      <c r="C289" s="20" t="s">
        <v>4166</v>
      </c>
      <c r="D289" s="19"/>
      <c r="E289" s="19"/>
      <c r="F289" s="19"/>
      <c r="G289" s="19"/>
      <c r="H289" s="19"/>
    </row>
    <row r="290" spans="1:8" ht="56" x14ac:dyDescent="0.35">
      <c r="A290" s="19" t="s">
        <v>1112</v>
      </c>
      <c r="B290" s="20" t="s">
        <v>1111</v>
      </c>
      <c r="C290" s="20" t="s">
        <v>1110</v>
      </c>
      <c r="D290" s="19" t="s">
        <v>4</v>
      </c>
      <c r="E290" s="19" t="s">
        <v>1007</v>
      </c>
      <c r="F290" s="19">
        <v>0.8</v>
      </c>
      <c r="G290" s="19"/>
      <c r="H290" s="19"/>
    </row>
    <row r="291" spans="1:8" ht="42" x14ac:dyDescent="0.35">
      <c r="A291" s="19" t="s">
        <v>1895</v>
      </c>
      <c r="B291" s="20" t="s">
        <v>1893</v>
      </c>
      <c r="C291" s="20" t="s">
        <v>1892</v>
      </c>
      <c r="D291" s="19" t="s">
        <v>174</v>
      </c>
      <c r="E291" s="19" t="s">
        <v>1651</v>
      </c>
      <c r="F291" s="19">
        <v>0.23960000000000001</v>
      </c>
      <c r="G291" s="19"/>
      <c r="H291" s="19"/>
    </row>
    <row r="292" spans="1:8" x14ac:dyDescent="0.35">
      <c r="A292" s="19" t="s">
        <v>785</v>
      </c>
      <c r="B292" s="20" t="s">
        <v>784</v>
      </c>
      <c r="C292" s="20" t="s">
        <v>783</v>
      </c>
      <c r="D292" s="19" t="s">
        <v>4</v>
      </c>
      <c r="E292" s="19" t="s">
        <v>153</v>
      </c>
      <c r="F292" s="19">
        <v>0.8</v>
      </c>
      <c r="G292" s="19"/>
      <c r="H292" s="19"/>
    </row>
    <row r="293" spans="1:8" x14ac:dyDescent="0.35">
      <c r="A293" s="19" t="s">
        <v>4424</v>
      </c>
      <c r="B293" s="20" t="s">
        <v>4425</v>
      </c>
      <c r="C293" s="20" t="s">
        <v>67</v>
      </c>
      <c r="D293" s="19" t="s">
        <v>21</v>
      </c>
      <c r="E293" s="19" t="s">
        <v>67</v>
      </c>
      <c r="F293" s="19">
        <v>1</v>
      </c>
      <c r="G293" s="19"/>
      <c r="H293" s="19"/>
    </row>
    <row r="294" spans="1:8" ht="42" x14ac:dyDescent="0.35">
      <c r="A294" s="19" t="s">
        <v>2827</v>
      </c>
      <c r="B294" s="20" t="s">
        <v>2826</v>
      </c>
      <c r="C294" s="20" t="s">
        <v>2825</v>
      </c>
      <c r="D294" s="19" t="s">
        <v>174</v>
      </c>
      <c r="E294" s="19" t="s">
        <v>212</v>
      </c>
      <c r="F294" s="19">
        <v>0.34179999999999999</v>
      </c>
      <c r="G294" s="19"/>
      <c r="H294" s="19"/>
    </row>
    <row r="295" spans="1:8" x14ac:dyDescent="0.35">
      <c r="A295" s="19" t="s">
        <v>4426</v>
      </c>
      <c r="B295" s="20"/>
      <c r="C295" s="20"/>
      <c r="D295" s="19"/>
      <c r="E295" s="19"/>
      <c r="F295" s="19"/>
      <c r="G295" s="19"/>
      <c r="H295" s="19"/>
    </row>
    <row r="296" spans="1:8" ht="28" x14ac:dyDescent="0.35">
      <c r="A296" s="19" t="s">
        <v>3841</v>
      </c>
      <c r="B296" s="20" t="s">
        <v>3840</v>
      </c>
      <c r="C296" s="20" t="s">
        <v>3839</v>
      </c>
      <c r="D296" s="19"/>
      <c r="E296" s="19"/>
      <c r="F296" s="19"/>
      <c r="G296" s="19"/>
      <c r="H296" s="19"/>
    </row>
    <row r="297" spans="1:8" ht="28" x14ac:dyDescent="0.35">
      <c r="A297" s="19" t="s">
        <v>1545</v>
      </c>
      <c r="B297" s="20" t="s">
        <v>1541</v>
      </c>
      <c r="C297" s="20" t="s">
        <v>1540</v>
      </c>
      <c r="D297" s="19" t="s">
        <v>174</v>
      </c>
      <c r="E297" s="19" t="s">
        <v>212</v>
      </c>
      <c r="F297" s="19">
        <v>0.27500000000000002</v>
      </c>
      <c r="G297" s="19" t="s">
        <v>1543</v>
      </c>
      <c r="H297" s="19" t="s">
        <v>1544</v>
      </c>
    </row>
    <row r="298" spans="1:8" x14ac:dyDescent="0.35">
      <c r="A298" s="19" t="s">
        <v>202</v>
      </c>
      <c r="B298" s="20" t="s">
        <v>198</v>
      </c>
      <c r="C298" s="20" t="s">
        <v>197</v>
      </c>
      <c r="D298" s="19" t="s">
        <v>174</v>
      </c>
      <c r="E298" s="19" t="s">
        <v>199</v>
      </c>
      <c r="F298" s="19">
        <v>0.25700000000000001</v>
      </c>
      <c r="G298" s="19" t="s">
        <v>200</v>
      </c>
      <c r="H298" s="19" t="s">
        <v>201</v>
      </c>
    </row>
    <row r="299" spans="1:8" ht="28" x14ac:dyDescent="0.35">
      <c r="A299" s="19" t="s">
        <v>1617</v>
      </c>
      <c r="B299" s="20" t="s">
        <v>1616</v>
      </c>
      <c r="C299" s="20" t="s">
        <v>1615</v>
      </c>
      <c r="D299" s="19" t="s">
        <v>174</v>
      </c>
      <c r="E299" s="19" t="s">
        <v>212</v>
      </c>
      <c r="F299" s="19">
        <v>0.26979999999999998</v>
      </c>
      <c r="G299" s="19" t="s">
        <v>1543</v>
      </c>
      <c r="H299" s="19"/>
    </row>
    <row r="300" spans="1:8" x14ac:dyDescent="0.35">
      <c r="A300" s="19" t="s">
        <v>4427</v>
      </c>
      <c r="B300" s="20" t="s">
        <v>2233</v>
      </c>
      <c r="C300" s="20" t="s">
        <v>2233</v>
      </c>
      <c r="D300" s="19" t="s">
        <v>174</v>
      </c>
      <c r="E300" s="19" t="s">
        <v>2235</v>
      </c>
      <c r="F300" s="19">
        <v>0.20569999999999999</v>
      </c>
      <c r="G300" s="19" t="s">
        <v>2236</v>
      </c>
      <c r="H300" s="19"/>
    </row>
    <row r="301" spans="1:8" x14ac:dyDescent="0.35">
      <c r="A301" s="19" t="s">
        <v>4428</v>
      </c>
      <c r="B301" s="20" t="s">
        <v>3696</v>
      </c>
      <c r="C301" s="20" t="s">
        <v>3696</v>
      </c>
      <c r="D301" s="19" t="s">
        <v>174</v>
      </c>
      <c r="E301" s="19" t="s">
        <v>3697</v>
      </c>
      <c r="F301" s="19">
        <v>0.40570000000000001</v>
      </c>
      <c r="G301" s="19" t="s">
        <v>1768</v>
      </c>
      <c r="H301" s="19" t="s">
        <v>3698</v>
      </c>
    </row>
    <row r="302" spans="1:8" x14ac:dyDescent="0.35">
      <c r="A302" s="19" t="s">
        <v>4429</v>
      </c>
      <c r="B302" s="20" t="s">
        <v>4430</v>
      </c>
      <c r="C302" s="20" t="s">
        <v>3696</v>
      </c>
      <c r="D302" s="19" t="s">
        <v>174</v>
      </c>
      <c r="E302" s="19" t="s">
        <v>3697</v>
      </c>
      <c r="F302" s="19">
        <v>0.40570000000000001</v>
      </c>
      <c r="G302" s="19" t="s">
        <v>1768</v>
      </c>
      <c r="H302" s="19" t="s">
        <v>3698</v>
      </c>
    </row>
    <row r="303" spans="1:8" x14ac:dyDescent="0.35">
      <c r="A303" s="19" t="s">
        <v>4431</v>
      </c>
      <c r="B303" s="20" t="s">
        <v>3696</v>
      </c>
      <c r="C303" s="20" t="s">
        <v>3696</v>
      </c>
      <c r="D303" s="19" t="s">
        <v>174</v>
      </c>
      <c r="E303" s="19" t="s">
        <v>3697</v>
      </c>
      <c r="F303" s="19">
        <v>0.40570000000000001</v>
      </c>
      <c r="G303" s="19" t="s">
        <v>1768</v>
      </c>
      <c r="H303" s="19" t="s">
        <v>3698</v>
      </c>
    </row>
    <row r="304" spans="1:8" x14ac:dyDescent="0.35">
      <c r="A304" s="19" t="s">
        <v>4432</v>
      </c>
      <c r="B304" s="20" t="s">
        <v>1462</v>
      </c>
      <c r="C304" s="20" t="s">
        <v>1462</v>
      </c>
      <c r="D304" s="19" t="s">
        <v>174</v>
      </c>
      <c r="E304" s="19" t="s">
        <v>1463</v>
      </c>
      <c r="F304" s="19">
        <v>0.35499999999999998</v>
      </c>
      <c r="G304" s="19" t="s">
        <v>1301</v>
      </c>
      <c r="H304" s="19" t="s">
        <v>753</v>
      </c>
    </row>
    <row r="305" spans="1:8" x14ac:dyDescent="0.35">
      <c r="A305" s="19" t="s">
        <v>1464</v>
      </c>
      <c r="B305" s="20" t="s">
        <v>1461</v>
      </c>
      <c r="C305" s="20" t="s">
        <v>1461</v>
      </c>
      <c r="D305" s="19" t="s">
        <v>174</v>
      </c>
      <c r="E305" s="19" t="s">
        <v>1463</v>
      </c>
      <c r="F305" s="19">
        <v>0.28029999999999999</v>
      </c>
      <c r="G305" s="19" t="s">
        <v>1301</v>
      </c>
      <c r="H305" s="19"/>
    </row>
    <row r="306" spans="1:8" x14ac:dyDescent="0.35">
      <c r="A306" s="19" t="s">
        <v>1574</v>
      </c>
      <c r="B306" s="20" t="s">
        <v>1569</v>
      </c>
      <c r="C306" s="20" t="s">
        <v>1568</v>
      </c>
      <c r="D306" s="19" t="s">
        <v>174</v>
      </c>
      <c r="E306" s="19" t="s">
        <v>1571</v>
      </c>
      <c r="F306" s="19">
        <v>0.27360000000000001</v>
      </c>
      <c r="G306" s="19" t="s">
        <v>1572</v>
      </c>
      <c r="H306" s="19" t="s">
        <v>1573</v>
      </c>
    </row>
    <row r="307" spans="1:8" x14ac:dyDescent="0.35">
      <c r="A307" s="19" t="s">
        <v>1883</v>
      </c>
      <c r="B307" s="20" t="s">
        <v>1878</v>
      </c>
      <c r="C307" s="20" t="s">
        <v>1878</v>
      </c>
      <c r="D307" s="19" t="s">
        <v>174</v>
      </c>
      <c r="E307" s="19" t="s">
        <v>1880</v>
      </c>
      <c r="F307" s="19">
        <v>0.2399</v>
      </c>
      <c r="G307" s="19" t="s">
        <v>1881</v>
      </c>
      <c r="H307" s="19" t="s">
        <v>1882</v>
      </c>
    </row>
    <row r="308" spans="1:8" x14ac:dyDescent="0.35">
      <c r="A308" s="19" t="s">
        <v>4433</v>
      </c>
      <c r="B308" s="20" t="s">
        <v>4434</v>
      </c>
      <c r="C308" s="20"/>
      <c r="D308" s="19"/>
      <c r="E308" s="19"/>
      <c r="F308" s="19"/>
      <c r="G308" s="19"/>
      <c r="H308" s="19"/>
    </row>
    <row r="309" spans="1:8" x14ac:dyDescent="0.35">
      <c r="A309" s="19" t="s">
        <v>1282</v>
      </c>
      <c r="B309" s="20" t="s">
        <v>1279</v>
      </c>
      <c r="C309" s="20" t="s">
        <v>1278</v>
      </c>
      <c r="D309" s="19" t="s">
        <v>174</v>
      </c>
      <c r="E309" s="19" t="s">
        <v>201</v>
      </c>
      <c r="F309" s="19">
        <v>0.29759999999999998</v>
      </c>
      <c r="G309" s="19" t="s">
        <v>1281</v>
      </c>
      <c r="H309" s="19" t="s">
        <v>26</v>
      </c>
    </row>
    <row r="310" spans="1:8" x14ac:dyDescent="0.35">
      <c r="A310" s="19" t="s">
        <v>244</v>
      </c>
      <c r="B310" s="20" t="s">
        <v>239</v>
      </c>
      <c r="C310" s="20" t="s">
        <v>239</v>
      </c>
      <c r="D310" s="19" t="s">
        <v>174</v>
      </c>
      <c r="E310" s="19" t="s">
        <v>241</v>
      </c>
      <c r="F310" s="19">
        <v>0.39710000000000001</v>
      </c>
      <c r="G310" s="19" t="s">
        <v>242</v>
      </c>
      <c r="H310" s="19" t="s">
        <v>243</v>
      </c>
    </row>
    <row r="311" spans="1:8" x14ac:dyDescent="0.35">
      <c r="A311" s="19" t="s">
        <v>443</v>
      </c>
      <c r="B311" s="20" t="s">
        <v>441</v>
      </c>
      <c r="C311" s="20" t="s">
        <v>440</v>
      </c>
      <c r="D311" s="19" t="s">
        <v>21</v>
      </c>
      <c r="E311" s="19" t="s">
        <v>442</v>
      </c>
      <c r="F311" s="19">
        <v>1</v>
      </c>
      <c r="G311" s="19"/>
      <c r="H311" s="19"/>
    </row>
    <row r="312" spans="1:8" ht="84" x14ac:dyDescent="0.35">
      <c r="A312" s="19" t="s">
        <v>3811</v>
      </c>
      <c r="B312" s="20" t="s">
        <v>3810</v>
      </c>
      <c r="C312" s="20" t="s">
        <v>3809</v>
      </c>
      <c r="D312" s="19"/>
      <c r="E312" s="19"/>
      <c r="F312" s="19"/>
      <c r="G312" s="19"/>
      <c r="H312" s="19"/>
    </row>
    <row r="313" spans="1:8" ht="98" x14ac:dyDescent="0.35">
      <c r="A313" s="19" t="s">
        <v>411</v>
      </c>
      <c r="B313" s="20" t="s">
        <v>409</v>
      </c>
      <c r="C313" s="20" t="s">
        <v>408</v>
      </c>
      <c r="D313" s="19"/>
      <c r="E313" s="19"/>
      <c r="F313" s="19"/>
      <c r="G313" s="19"/>
      <c r="H313" s="19"/>
    </row>
    <row r="314" spans="1:8" ht="42" x14ac:dyDescent="0.35">
      <c r="A314" s="19" t="s">
        <v>1585</v>
      </c>
      <c r="B314" s="20" t="s">
        <v>1583</v>
      </c>
      <c r="C314" s="20" t="s">
        <v>1583</v>
      </c>
      <c r="D314" s="19" t="s">
        <v>174</v>
      </c>
      <c r="E314" s="19" t="s">
        <v>248</v>
      </c>
      <c r="F314" s="19">
        <v>0.27189999999999998</v>
      </c>
      <c r="G314" s="19"/>
      <c r="H314" s="19"/>
    </row>
    <row r="315" spans="1:8" ht="56" x14ac:dyDescent="0.35">
      <c r="A315" s="19" t="s">
        <v>4207</v>
      </c>
      <c r="B315" s="20" t="s">
        <v>4206</v>
      </c>
      <c r="C315" s="20" t="s">
        <v>4206</v>
      </c>
      <c r="D315" s="19"/>
      <c r="E315" s="19"/>
      <c r="F315" s="19"/>
      <c r="G315" s="19"/>
      <c r="H315" s="19"/>
    </row>
    <row r="316" spans="1:8" ht="84" x14ac:dyDescent="0.35">
      <c r="A316" s="19" t="s">
        <v>1142</v>
      </c>
      <c r="B316" s="20" t="s">
        <v>1139</v>
      </c>
      <c r="C316" s="20" t="s">
        <v>1138</v>
      </c>
      <c r="D316" s="19" t="s">
        <v>115</v>
      </c>
      <c r="E316" s="19" t="s">
        <v>1141</v>
      </c>
      <c r="F316" s="19">
        <v>0.6</v>
      </c>
      <c r="G316" s="19"/>
      <c r="H316" s="19"/>
    </row>
    <row r="317" spans="1:8" x14ac:dyDescent="0.35">
      <c r="A317" s="19" t="s">
        <v>4435</v>
      </c>
      <c r="B317" s="20"/>
      <c r="C317" s="20"/>
      <c r="D317" s="19"/>
      <c r="E317" s="19"/>
      <c r="F317" s="19"/>
      <c r="G317" s="19"/>
      <c r="H317" s="19"/>
    </row>
    <row r="318" spans="1:8" ht="42" x14ac:dyDescent="0.35">
      <c r="A318" s="19" t="s">
        <v>383</v>
      </c>
      <c r="B318" s="20" t="s">
        <v>381</v>
      </c>
      <c r="C318" s="20" t="s">
        <v>381</v>
      </c>
      <c r="D318" s="19"/>
      <c r="E318" s="19"/>
      <c r="F318" s="19"/>
      <c r="G318" s="19"/>
      <c r="H318" s="19"/>
    </row>
    <row r="319" spans="1:8" ht="28" x14ac:dyDescent="0.35">
      <c r="A319" s="19" t="s">
        <v>2105</v>
      </c>
      <c r="B319" s="20" t="s">
        <v>2103</v>
      </c>
      <c r="C319" s="20" t="s">
        <v>2102</v>
      </c>
      <c r="D319" s="19" t="s">
        <v>174</v>
      </c>
      <c r="E319" s="19" t="s">
        <v>1302</v>
      </c>
      <c r="F319" s="19">
        <v>0.218</v>
      </c>
      <c r="G319" s="19"/>
      <c r="H319" s="19"/>
    </row>
    <row r="320" spans="1:8" ht="70" x14ac:dyDescent="0.35">
      <c r="A320" s="19" t="s">
        <v>3807</v>
      </c>
      <c r="B320" s="20" t="s">
        <v>3805</v>
      </c>
      <c r="C320" s="20" t="s">
        <v>3804</v>
      </c>
      <c r="D320" s="19"/>
      <c r="E320" s="19"/>
      <c r="F320" s="19"/>
      <c r="G320" s="19"/>
      <c r="H320" s="19"/>
    </row>
    <row r="321" spans="1:8" ht="28" x14ac:dyDescent="0.35">
      <c r="A321" s="19" t="s">
        <v>3820</v>
      </c>
      <c r="B321" s="20" t="s">
        <v>3819</v>
      </c>
      <c r="C321" s="20" t="s">
        <v>3818</v>
      </c>
      <c r="D321" s="19"/>
      <c r="E321" s="19"/>
      <c r="F321" s="19"/>
      <c r="G321" s="19"/>
      <c r="H321" s="19"/>
    </row>
    <row r="322" spans="1:8" ht="28" x14ac:dyDescent="0.35">
      <c r="A322" s="19" t="s">
        <v>975</v>
      </c>
      <c r="B322" s="20" t="s">
        <v>974</v>
      </c>
      <c r="C322" s="20" t="s">
        <v>974</v>
      </c>
      <c r="D322" s="19" t="s">
        <v>4</v>
      </c>
      <c r="E322" s="19" t="s">
        <v>67</v>
      </c>
      <c r="F322" s="19">
        <v>0.8</v>
      </c>
      <c r="G322" s="19"/>
      <c r="H322" s="19"/>
    </row>
    <row r="323" spans="1:8" ht="28" x14ac:dyDescent="0.35">
      <c r="A323" s="19" t="s">
        <v>214</v>
      </c>
      <c r="B323" s="20" t="s">
        <v>210</v>
      </c>
      <c r="C323" s="20" t="s">
        <v>210</v>
      </c>
      <c r="D323" s="19" t="s">
        <v>174</v>
      </c>
      <c r="E323" s="19" t="s">
        <v>212</v>
      </c>
      <c r="F323" s="19">
        <v>0.2432</v>
      </c>
      <c r="G323" s="19" t="s">
        <v>213</v>
      </c>
      <c r="H323" s="19"/>
    </row>
    <row r="324" spans="1:8" ht="28" x14ac:dyDescent="0.35">
      <c r="A324" s="19" t="s">
        <v>4436</v>
      </c>
      <c r="B324" s="20" t="s">
        <v>739</v>
      </c>
      <c r="C324" s="20" t="s">
        <v>738</v>
      </c>
      <c r="D324" s="19" t="s">
        <v>4</v>
      </c>
      <c r="E324" s="19" t="s">
        <v>67</v>
      </c>
      <c r="F324" s="19">
        <v>0.8</v>
      </c>
      <c r="G324" s="19"/>
      <c r="H324" s="19"/>
    </row>
    <row r="325" spans="1:8" ht="28" x14ac:dyDescent="0.35">
      <c r="A325" s="19" t="s">
        <v>4081</v>
      </c>
      <c r="B325" s="20" t="s">
        <v>4080</v>
      </c>
      <c r="C325" s="20" t="s">
        <v>4079</v>
      </c>
      <c r="D325" s="19"/>
      <c r="E325" s="19"/>
      <c r="F325" s="19"/>
      <c r="G325" s="19"/>
      <c r="H325" s="19"/>
    </row>
    <row r="326" spans="1:8" x14ac:dyDescent="0.35">
      <c r="A326" s="19" t="s">
        <v>1715</v>
      </c>
      <c r="B326" s="20" t="s">
        <v>1711</v>
      </c>
      <c r="C326" s="20" t="s">
        <v>1467</v>
      </c>
      <c r="D326" s="19" t="s">
        <v>174</v>
      </c>
      <c r="E326" s="19" t="s">
        <v>1712</v>
      </c>
      <c r="F326" s="19">
        <v>0.25819999999999999</v>
      </c>
      <c r="G326" s="19" t="s">
        <v>1713</v>
      </c>
      <c r="H326" s="19" t="s">
        <v>1714</v>
      </c>
    </row>
    <row r="327" spans="1:8" x14ac:dyDescent="0.35">
      <c r="A327" s="19" t="s">
        <v>4437</v>
      </c>
      <c r="B327" s="20" t="s">
        <v>4438</v>
      </c>
      <c r="C327" s="20" t="s">
        <v>1846</v>
      </c>
      <c r="D327" s="19" t="s">
        <v>174</v>
      </c>
      <c r="E327" s="19" t="s">
        <v>1691</v>
      </c>
      <c r="F327" s="19">
        <v>0.24249999999999999</v>
      </c>
      <c r="G327" s="19"/>
      <c r="H327" s="19"/>
    </row>
    <row r="328" spans="1:8" x14ac:dyDescent="0.35">
      <c r="A328" s="19" t="s">
        <v>3176</v>
      </c>
      <c r="B328" s="20" t="s">
        <v>3173</v>
      </c>
      <c r="C328" s="20" t="s">
        <v>4439</v>
      </c>
      <c r="D328" s="19" t="s">
        <v>174</v>
      </c>
      <c r="E328" s="19" t="s">
        <v>2455</v>
      </c>
      <c r="F328" s="19">
        <v>0.30280000000000001</v>
      </c>
      <c r="G328" s="19" t="s">
        <v>342</v>
      </c>
      <c r="H328" s="19" t="s">
        <v>3175</v>
      </c>
    </row>
    <row r="329" spans="1:8" x14ac:dyDescent="0.35">
      <c r="A329" s="19" t="s">
        <v>4440</v>
      </c>
      <c r="B329" s="20" t="s">
        <v>4441</v>
      </c>
      <c r="C329" s="20" t="s">
        <v>1467</v>
      </c>
      <c r="D329" s="19" t="s">
        <v>174</v>
      </c>
      <c r="E329" s="19" t="s">
        <v>1712</v>
      </c>
      <c r="F329" s="19">
        <v>0.25819999999999999</v>
      </c>
      <c r="G329" s="19" t="s">
        <v>1713</v>
      </c>
      <c r="H329" s="19" t="s">
        <v>1714</v>
      </c>
    </row>
    <row r="330" spans="1:8" x14ac:dyDescent="0.35">
      <c r="A330" s="19" t="s">
        <v>4442</v>
      </c>
      <c r="B330" s="20" t="s">
        <v>4443</v>
      </c>
      <c r="C330" s="20" t="s">
        <v>4413</v>
      </c>
      <c r="D330" s="19" t="s">
        <v>21</v>
      </c>
      <c r="E330" s="19" t="s">
        <v>495</v>
      </c>
      <c r="F330" s="19">
        <v>1</v>
      </c>
      <c r="G330" s="19" t="s">
        <v>3670</v>
      </c>
      <c r="H330" s="19" t="s">
        <v>3540</v>
      </c>
    </row>
    <row r="331" spans="1:8" x14ac:dyDescent="0.35">
      <c r="A331" s="19" t="s">
        <v>4444</v>
      </c>
      <c r="B331" s="20" t="s">
        <v>569</v>
      </c>
      <c r="C331" s="20" t="s">
        <v>105</v>
      </c>
      <c r="D331" s="19" t="s">
        <v>21</v>
      </c>
      <c r="E331" s="19" t="s">
        <v>106</v>
      </c>
      <c r="F331" s="19">
        <v>1</v>
      </c>
      <c r="G331" s="19"/>
      <c r="H331" s="19"/>
    </row>
    <row r="332" spans="1:8" x14ac:dyDescent="0.35">
      <c r="A332" s="19" t="s">
        <v>4445</v>
      </c>
      <c r="B332" s="20" t="s">
        <v>1711</v>
      </c>
      <c r="C332" s="20" t="s">
        <v>1467</v>
      </c>
      <c r="D332" s="19" t="s">
        <v>174</v>
      </c>
      <c r="E332" s="19" t="s">
        <v>1712</v>
      </c>
      <c r="F332" s="19">
        <v>0.25819999999999999</v>
      </c>
      <c r="G332" s="19" t="s">
        <v>1713</v>
      </c>
      <c r="H332" s="19" t="s">
        <v>1714</v>
      </c>
    </row>
    <row r="333" spans="1:8" x14ac:dyDescent="0.35">
      <c r="A333" s="19" t="s">
        <v>1471</v>
      </c>
      <c r="B333" s="20" t="s">
        <v>1466</v>
      </c>
      <c r="C333" s="20" t="s">
        <v>1466</v>
      </c>
      <c r="D333" s="19" t="s">
        <v>174</v>
      </c>
      <c r="E333" s="19" t="s">
        <v>1468</v>
      </c>
      <c r="F333" s="19">
        <v>0.2802</v>
      </c>
      <c r="G333" s="19" t="s">
        <v>1469</v>
      </c>
      <c r="H333" s="19" t="s">
        <v>1470</v>
      </c>
    </row>
    <row r="334" spans="1:8" x14ac:dyDescent="0.35">
      <c r="A334" s="19" t="s">
        <v>1660</v>
      </c>
      <c r="B334" s="20" t="s">
        <v>1656</v>
      </c>
      <c r="C334" s="20" t="s">
        <v>1655</v>
      </c>
      <c r="D334" s="19" t="s">
        <v>174</v>
      </c>
      <c r="E334" s="19" t="s">
        <v>1658</v>
      </c>
      <c r="F334" s="19">
        <v>0.26629999999999998</v>
      </c>
      <c r="G334" s="19" t="s">
        <v>1659</v>
      </c>
      <c r="H334" s="19" t="s">
        <v>1122</v>
      </c>
    </row>
    <row r="335" spans="1:8" x14ac:dyDescent="0.35">
      <c r="A335" s="19" t="s">
        <v>29</v>
      </c>
      <c r="B335" s="20" t="s">
        <v>27</v>
      </c>
      <c r="C335" s="20" t="s">
        <v>26</v>
      </c>
      <c r="D335" s="19" t="s">
        <v>21</v>
      </c>
      <c r="E335" s="19" t="s">
        <v>26</v>
      </c>
      <c r="F335" s="19">
        <v>0.8</v>
      </c>
      <c r="G335" s="19" t="s">
        <v>28</v>
      </c>
      <c r="H335" s="19"/>
    </row>
    <row r="336" spans="1:8" x14ac:dyDescent="0.35">
      <c r="A336" s="19" t="s">
        <v>4446</v>
      </c>
      <c r="B336" s="20"/>
      <c r="C336" s="20"/>
      <c r="D336" s="19"/>
      <c r="E336" s="19"/>
      <c r="F336" s="19"/>
      <c r="G336" s="19"/>
      <c r="H336" s="19"/>
    </row>
    <row r="337" spans="1:8" x14ac:dyDescent="0.35">
      <c r="A337" s="19" t="s">
        <v>4447</v>
      </c>
      <c r="B337" s="20"/>
      <c r="C337" s="20"/>
      <c r="D337" s="19"/>
      <c r="E337" s="19"/>
      <c r="F337" s="19"/>
      <c r="G337" s="19"/>
      <c r="H337" s="19"/>
    </row>
    <row r="338" spans="1:8" x14ac:dyDescent="0.35">
      <c r="A338" s="19" t="s">
        <v>4448</v>
      </c>
      <c r="B338" s="20" t="s">
        <v>4449</v>
      </c>
      <c r="C338" s="20"/>
      <c r="D338" s="19"/>
      <c r="E338" s="19"/>
      <c r="F338" s="19"/>
      <c r="G338" s="19"/>
      <c r="H338" s="19"/>
    </row>
    <row r="339" spans="1:8" ht="42" x14ac:dyDescent="0.35">
      <c r="A339" s="19" t="s">
        <v>2163</v>
      </c>
      <c r="B339" s="20" t="s">
        <v>2160</v>
      </c>
      <c r="C339" s="20" t="s">
        <v>2159</v>
      </c>
      <c r="D339" s="19" t="s">
        <v>174</v>
      </c>
      <c r="E339" s="19" t="s">
        <v>2162</v>
      </c>
      <c r="F339" s="19">
        <v>0.2145</v>
      </c>
      <c r="G339" s="19"/>
      <c r="H339" s="19"/>
    </row>
    <row r="340" spans="1:8" x14ac:dyDescent="0.35">
      <c r="A340" s="19" t="s">
        <v>3497</v>
      </c>
      <c r="B340" s="20" t="s">
        <v>3496</v>
      </c>
      <c r="C340" s="20" t="s">
        <v>3445</v>
      </c>
      <c r="D340" s="19" t="s">
        <v>174</v>
      </c>
      <c r="E340" s="19" t="s">
        <v>1522</v>
      </c>
      <c r="F340" s="19">
        <v>0.43390000000000001</v>
      </c>
      <c r="G340" s="19" t="s">
        <v>1523</v>
      </c>
      <c r="H340" s="19" t="s">
        <v>942</v>
      </c>
    </row>
    <row r="341" spans="1:8" ht="28" x14ac:dyDescent="0.35">
      <c r="A341" s="19" t="s">
        <v>2294</v>
      </c>
      <c r="B341" s="20" t="s">
        <v>2291</v>
      </c>
      <c r="C341" s="20" t="s">
        <v>2290</v>
      </c>
      <c r="D341" s="19" t="s">
        <v>174</v>
      </c>
      <c r="E341" s="19" t="s">
        <v>2292</v>
      </c>
      <c r="F341" s="19">
        <v>0.4</v>
      </c>
      <c r="G341" s="19" t="s">
        <v>2293</v>
      </c>
      <c r="H341" s="19" t="s">
        <v>1330</v>
      </c>
    </row>
    <row r="342" spans="1:8" ht="28" x14ac:dyDescent="0.35">
      <c r="A342" s="19" t="s">
        <v>4230</v>
      </c>
      <c r="B342" s="20" t="s">
        <v>4229</v>
      </c>
      <c r="C342" s="20" t="s">
        <v>4228</v>
      </c>
      <c r="D342" s="19"/>
      <c r="E342" s="19"/>
      <c r="F342" s="19"/>
      <c r="G342" s="19"/>
      <c r="H342" s="19"/>
    </row>
    <row r="343" spans="1:8" x14ac:dyDescent="0.35">
      <c r="A343" s="19" t="s">
        <v>805</v>
      </c>
      <c r="B343" s="20" t="s">
        <v>804</v>
      </c>
      <c r="C343" s="20" t="s">
        <v>803</v>
      </c>
      <c r="D343" s="19" t="s">
        <v>4</v>
      </c>
      <c r="E343" s="19" t="s">
        <v>67</v>
      </c>
      <c r="F343" s="19">
        <v>0.8</v>
      </c>
      <c r="G343" s="19"/>
      <c r="H343" s="19"/>
    </row>
    <row r="344" spans="1:8" ht="28" x14ac:dyDescent="0.35">
      <c r="A344" s="19" t="s">
        <v>3757</v>
      </c>
      <c r="B344" s="20" t="s">
        <v>3756</v>
      </c>
      <c r="C344" s="20" t="s">
        <v>3755</v>
      </c>
      <c r="D344" s="19"/>
      <c r="E344" s="19"/>
      <c r="F344" s="19"/>
      <c r="G344" s="19"/>
      <c r="H344" s="19"/>
    </row>
    <row r="345" spans="1:8" x14ac:dyDescent="0.35">
      <c r="A345" s="19" t="s">
        <v>4450</v>
      </c>
      <c r="B345" s="20"/>
      <c r="C345" s="20"/>
      <c r="D345" s="19"/>
      <c r="E345" s="19"/>
      <c r="F345" s="19"/>
      <c r="G345" s="19"/>
      <c r="H345" s="19"/>
    </row>
    <row r="346" spans="1:8" x14ac:dyDescent="0.35">
      <c r="A346" s="19" t="s">
        <v>2761</v>
      </c>
      <c r="B346" s="20" t="s">
        <v>2759</v>
      </c>
      <c r="C346" s="20" t="s">
        <v>2759</v>
      </c>
      <c r="D346" s="19" t="s">
        <v>174</v>
      </c>
      <c r="E346" s="19" t="s">
        <v>1331</v>
      </c>
      <c r="F346" s="19">
        <v>0.34949999999999998</v>
      </c>
      <c r="G346" s="19" t="s">
        <v>2760</v>
      </c>
      <c r="H346" s="19" t="s">
        <v>1434</v>
      </c>
    </row>
    <row r="347" spans="1:8" ht="56" x14ac:dyDescent="0.35">
      <c r="A347" s="19" t="s">
        <v>813</v>
      </c>
      <c r="B347" s="20" t="s">
        <v>812</v>
      </c>
      <c r="C347" s="20" t="s">
        <v>811</v>
      </c>
      <c r="D347" s="19" t="s">
        <v>4</v>
      </c>
      <c r="E347" s="19" t="s">
        <v>67</v>
      </c>
      <c r="F347" s="19">
        <v>0.8</v>
      </c>
      <c r="G347" s="19"/>
      <c r="H347" s="19"/>
    </row>
    <row r="348" spans="1:8" x14ac:dyDescent="0.35">
      <c r="A348" s="19" t="s">
        <v>3360</v>
      </c>
      <c r="B348" s="20" t="s">
        <v>3358</v>
      </c>
      <c r="C348" s="20" t="s">
        <v>1751</v>
      </c>
      <c r="D348" s="19" t="s">
        <v>174</v>
      </c>
      <c r="E348" s="19" t="s">
        <v>1752</v>
      </c>
      <c r="F348" s="19">
        <v>0.45579999999999998</v>
      </c>
      <c r="G348" s="19" t="s">
        <v>2579</v>
      </c>
      <c r="H348" s="19" t="s">
        <v>3359</v>
      </c>
    </row>
    <row r="349" spans="1:8" x14ac:dyDescent="0.35">
      <c r="A349" s="19" t="s">
        <v>4451</v>
      </c>
      <c r="B349" s="20" t="s">
        <v>4452</v>
      </c>
      <c r="C349" s="20" t="s">
        <v>3461</v>
      </c>
      <c r="D349" s="19" t="s">
        <v>174</v>
      </c>
      <c r="E349" s="19" t="s">
        <v>3463</v>
      </c>
      <c r="F349" s="19">
        <v>0.43909999999999999</v>
      </c>
      <c r="G349" s="19" t="s">
        <v>3464</v>
      </c>
      <c r="H349" s="19" t="s">
        <v>3465</v>
      </c>
    </row>
    <row r="350" spans="1:8" x14ac:dyDescent="0.35">
      <c r="A350" s="19" t="s">
        <v>4453</v>
      </c>
      <c r="B350" s="20" t="s">
        <v>3696</v>
      </c>
      <c r="C350" s="20" t="s">
        <v>3696</v>
      </c>
      <c r="D350" s="19" t="s">
        <v>174</v>
      </c>
      <c r="E350" s="19" t="s">
        <v>3697</v>
      </c>
      <c r="F350" s="19">
        <v>0.40570000000000001</v>
      </c>
      <c r="G350" s="19" t="s">
        <v>1768</v>
      </c>
      <c r="H350" s="19" t="s">
        <v>3698</v>
      </c>
    </row>
    <row r="351" spans="1:8" x14ac:dyDescent="0.35">
      <c r="A351" s="19" t="s">
        <v>2522</v>
      </c>
      <c r="B351" s="20" t="s">
        <v>2519</v>
      </c>
      <c r="C351" s="20" t="s">
        <v>2518</v>
      </c>
      <c r="D351" s="19" t="s">
        <v>174</v>
      </c>
      <c r="E351" s="19" t="s">
        <v>1434</v>
      </c>
      <c r="F351" s="19">
        <v>0.37880000000000003</v>
      </c>
      <c r="G351" s="19" t="s">
        <v>2520</v>
      </c>
      <c r="H351" s="19" t="s">
        <v>2521</v>
      </c>
    </row>
    <row r="352" spans="1:8" x14ac:dyDescent="0.35">
      <c r="A352" s="19" t="s">
        <v>4454</v>
      </c>
      <c r="B352" s="20" t="s">
        <v>4455</v>
      </c>
      <c r="C352" s="20" t="s">
        <v>2496</v>
      </c>
      <c r="D352" s="19" t="s">
        <v>174</v>
      </c>
      <c r="E352" s="19" t="s">
        <v>1434</v>
      </c>
      <c r="F352" s="19">
        <v>0.38290000000000002</v>
      </c>
      <c r="G352" s="19"/>
      <c r="H352" s="19"/>
    </row>
    <row r="353" spans="1:8" x14ac:dyDescent="0.35">
      <c r="A353" s="19" t="s">
        <v>1276</v>
      </c>
      <c r="B353" s="20" t="s">
        <v>1274</v>
      </c>
      <c r="C353" s="20" t="s">
        <v>1273</v>
      </c>
      <c r="D353" s="19" t="s">
        <v>174</v>
      </c>
      <c r="E353" s="19" t="s">
        <v>176</v>
      </c>
      <c r="F353" s="19">
        <v>0.29820000000000002</v>
      </c>
      <c r="G353" s="19" t="s">
        <v>1275</v>
      </c>
      <c r="H353" s="19"/>
    </row>
    <row r="354" spans="1:8" ht="42" x14ac:dyDescent="0.35">
      <c r="A354" s="19" t="s">
        <v>3772</v>
      </c>
      <c r="B354" s="20" t="s">
        <v>3771</v>
      </c>
      <c r="C354" s="20" t="s">
        <v>3770</v>
      </c>
      <c r="D354" s="19"/>
      <c r="E354" s="19"/>
      <c r="F354" s="19"/>
      <c r="G354" s="19"/>
      <c r="H354" s="19"/>
    </row>
    <row r="355" spans="1:8" x14ac:dyDescent="0.35">
      <c r="A355" s="19" t="s">
        <v>1356</v>
      </c>
      <c r="B355" s="20" t="s">
        <v>1354</v>
      </c>
      <c r="C355" s="20" t="s">
        <v>1354</v>
      </c>
      <c r="D355" s="19" t="s">
        <v>174</v>
      </c>
      <c r="E355" s="19" t="s">
        <v>1317</v>
      </c>
      <c r="F355" s="19">
        <v>0.29310000000000003</v>
      </c>
      <c r="G355" s="19" t="s">
        <v>1316</v>
      </c>
      <c r="H355" s="19" t="s">
        <v>1355</v>
      </c>
    </row>
    <row r="356" spans="1:8" x14ac:dyDescent="0.35">
      <c r="A356" s="19" t="s">
        <v>1318</v>
      </c>
      <c r="B356" s="20" t="s">
        <v>1314</v>
      </c>
      <c r="C356" s="20" t="s">
        <v>1314</v>
      </c>
      <c r="D356" s="19" t="s">
        <v>174</v>
      </c>
      <c r="E356" s="19" t="s">
        <v>1315</v>
      </c>
      <c r="F356" s="19">
        <v>0.29559999999999997</v>
      </c>
      <c r="G356" s="19" t="s">
        <v>1316</v>
      </c>
      <c r="H356" s="19" t="s">
        <v>1317</v>
      </c>
    </row>
    <row r="357" spans="1:8" x14ac:dyDescent="0.35">
      <c r="A357" s="19" t="s">
        <v>4456</v>
      </c>
      <c r="B357" s="20" t="s">
        <v>4457</v>
      </c>
      <c r="C357" s="20"/>
      <c r="D357" s="19"/>
      <c r="E357" s="19"/>
      <c r="F357" s="19"/>
      <c r="G357" s="19"/>
      <c r="H357" s="19"/>
    </row>
    <row r="358" spans="1:8" x14ac:dyDescent="0.35">
      <c r="A358" s="19" t="s">
        <v>4458</v>
      </c>
      <c r="B358" s="20" t="s">
        <v>3526</v>
      </c>
      <c r="C358" s="20" t="s">
        <v>1255</v>
      </c>
      <c r="D358" s="19" t="s">
        <v>174</v>
      </c>
      <c r="E358" s="19" t="s">
        <v>2356</v>
      </c>
      <c r="F358" s="19">
        <v>0.42659999999999998</v>
      </c>
      <c r="G358" s="19" t="s">
        <v>3527</v>
      </c>
      <c r="H358" s="19" t="s">
        <v>3528</v>
      </c>
    </row>
    <row r="359" spans="1:8" x14ac:dyDescent="0.35">
      <c r="A359" s="19" t="s">
        <v>343</v>
      </c>
      <c r="B359" s="20" t="s">
        <v>340</v>
      </c>
      <c r="C359" s="20" t="s">
        <v>339</v>
      </c>
      <c r="D359" s="19" t="s">
        <v>174</v>
      </c>
      <c r="E359" s="19" t="s">
        <v>250</v>
      </c>
      <c r="F359" s="19">
        <v>0.44669999999999999</v>
      </c>
      <c r="G359" s="19" t="s">
        <v>341</v>
      </c>
      <c r="H359" s="19" t="s">
        <v>342</v>
      </c>
    </row>
    <row r="360" spans="1:8" ht="28" x14ac:dyDescent="0.35">
      <c r="A360" s="19" t="s">
        <v>3288</v>
      </c>
      <c r="B360" s="20" t="s">
        <v>3285</v>
      </c>
      <c r="C360" s="20" t="s">
        <v>3284</v>
      </c>
      <c r="D360" s="19" t="s">
        <v>174</v>
      </c>
      <c r="E360" s="19" t="s">
        <v>3286</v>
      </c>
      <c r="F360" s="19">
        <v>0.46350000000000002</v>
      </c>
      <c r="G360" s="19" t="s">
        <v>3287</v>
      </c>
      <c r="H360" s="19" t="s">
        <v>2664</v>
      </c>
    </row>
    <row r="361" spans="1:8" x14ac:dyDescent="0.35">
      <c r="A361" s="19" t="s">
        <v>4459</v>
      </c>
      <c r="B361" s="20" t="s">
        <v>4449</v>
      </c>
      <c r="C361" s="20"/>
      <c r="D361" s="19"/>
      <c r="E361" s="19"/>
      <c r="F361" s="19"/>
      <c r="G361" s="19"/>
      <c r="H361" s="19"/>
    </row>
    <row r="362" spans="1:8" ht="42" x14ac:dyDescent="0.35">
      <c r="A362" s="19" t="s">
        <v>1333</v>
      </c>
      <c r="B362" s="20" t="s">
        <v>1328</v>
      </c>
      <c r="C362" s="20" t="s">
        <v>1327</v>
      </c>
      <c r="D362" s="19" t="s">
        <v>174</v>
      </c>
      <c r="E362" s="19" t="s">
        <v>1330</v>
      </c>
      <c r="F362" s="19">
        <v>0.2949</v>
      </c>
      <c r="G362" s="19" t="s">
        <v>1331</v>
      </c>
      <c r="H362" s="19" t="s">
        <v>1332</v>
      </c>
    </row>
    <row r="363" spans="1:8" ht="28" x14ac:dyDescent="0.35">
      <c r="A363" s="19" t="s">
        <v>4460</v>
      </c>
      <c r="B363" s="20" t="s">
        <v>4461</v>
      </c>
      <c r="C363" s="20" t="s">
        <v>2107</v>
      </c>
      <c r="D363" s="19" t="s">
        <v>174</v>
      </c>
      <c r="E363" s="19" t="s">
        <v>1691</v>
      </c>
      <c r="F363" s="19">
        <v>0.2177</v>
      </c>
      <c r="G363" s="19"/>
      <c r="H363" s="19"/>
    </row>
    <row r="364" spans="1:8" ht="42" x14ac:dyDescent="0.35">
      <c r="A364" s="19" t="s">
        <v>1008</v>
      </c>
      <c r="B364" s="20" t="s">
        <v>1005</v>
      </c>
      <c r="C364" s="20" t="s">
        <v>1004</v>
      </c>
      <c r="D364" s="19" t="s">
        <v>4</v>
      </c>
      <c r="E364" s="19" t="s">
        <v>1007</v>
      </c>
      <c r="F364" s="19">
        <v>0.8</v>
      </c>
      <c r="G364" s="19"/>
      <c r="H364" s="19"/>
    </row>
    <row r="365" spans="1:8" ht="70" x14ac:dyDescent="0.35">
      <c r="A365" s="19" t="s">
        <v>4019</v>
      </c>
      <c r="B365" s="20" t="s">
        <v>4018</v>
      </c>
      <c r="C365" s="20" t="s">
        <v>4017</v>
      </c>
      <c r="D365" s="19"/>
      <c r="E365" s="19"/>
      <c r="F365" s="19"/>
      <c r="G365" s="19"/>
      <c r="H365" s="19"/>
    </row>
    <row r="366" spans="1:8" x14ac:dyDescent="0.35">
      <c r="A366" s="19" t="s">
        <v>4462</v>
      </c>
      <c r="B366" s="20" t="s">
        <v>569</v>
      </c>
      <c r="C366" s="20" t="s">
        <v>105</v>
      </c>
      <c r="D366" s="19" t="s">
        <v>21</v>
      </c>
      <c r="E366" s="19" t="s">
        <v>106</v>
      </c>
      <c r="F366" s="19">
        <v>1</v>
      </c>
      <c r="G366" s="19"/>
      <c r="H366" s="19"/>
    </row>
    <row r="367" spans="1:8" ht="28" x14ac:dyDescent="0.35">
      <c r="A367" s="19" t="s">
        <v>2426</v>
      </c>
      <c r="B367" s="20" t="s">
        <v>2423</v>
      </c>
      <c r="C367" s="20" t="s">
        <v>2422</v>
      </c>
      <c r="D367" s="19" t="s">
        <v>174</v>
      </c>
      <c r="E367" s="19" t="s">
        <v>511</v>
      </c>
      <c r="F367" s="19">
        <v>0.3891</v>
      </c>
      <c r="G367" s="19" t="s">
        <v>2424</v>
      </c>
      <c r="H367" s="19" t="s">
        <v>2425</v>
      </c>
    </row>
    <row r="368" spans="1:8" x14ac:dyDescent="0.35">
      <c r="A368" s="19" t="s">
        <v>3250</v>
      </c>
      <c r="B368" s="20" t="s">
        <v>3249</v>
      </c>
      <c r="C368" s="20" t="s">
        <v>2662</v>
      </c>
      <c r="D368" s="19" t="s">
        <v>174</v>
      </c>
      <c r="E368" s="19" t="s">
        <v>221</v>
      </c>
      <c r="F368" s="19">
        <v>0.47089999999999999</v>
      </c>
      <c r="G368" s="19" t="s">
        <v>220</v>
      </c>
      <c r="H368" s="19" t="s">
        <v>193</v>
      </c>
    </row>
    <row r="369" spans="1:8" x14ac:dyDescent="0.35">
      <c r="A369" s="19" t="s">
        <v>4463</v>
      </c>
      <c r="B369" s="20" t="s">
        <v>569</v>
      </c>
      <c r="C369" s="20" t="s">
        <v>105</v>
      </c>
      <c r="D369" s="19" t="s">
        <v>21</v>
      </c>
      <c r="E369" s="19" t="s">
        <v>106</v>
      </c>
      <c r="F369" s="19">
        <v>1</v>
      </c>
      <c r="G369" s="19"/>
      <c r="H369" s="19"/>
    </row>
    <row r="370" spans="1:8" ht="28" x14ac:dyDescent="0.35">
      <c r="A370" s="19" t="s">
        <v>3846</v>
      </c>
      <c r="B370" s="20" t="s">
        <v>3844</v>
      </c>
      <c r="C370" s="20" t="s">
        <v>3843</v>
      </c>
      <c r="D370" s="19"/>
      <c r="E370" s="19"/>
      <c r="F370" s="19"/>
      <c r="G370" s="19"/>
      <c r="H370" s="19"/>
    </row>
    <row r="371" spans="1:8" x14ac:dyDescent="0.35">
      <c r="A371" s="19" t="s">
        <v>4464</v>
      </c>
      <c r="B371" s="20" t="s">
        <v>4465</v>
      </c>
      <c r="C371" s="20" t="s">
        <v>105</v>
      </c>
      <c r="D371" s="19" t="s">
        <v>21</v>
      </c>
      <c r="E371" s="19" t="s">
        <v>106</v>
      </c>
      <c r="F371" s="19">
        <v>1</v>
      </c>
      <c r="G371" s="19"/>
      <c r="H371" s="19"/>
    </row>
    <row r="372" spans="1:8" x14ac:dyDescent="0.35">
      <c r="A372" s="19" t="s">
        <v>163</v>
      </c>
      <c r="B372" s="20" t="s">
        <v>161</v>
      </c>
      <c r="C372" s="20" t="s">
        <v>160</v>
      </c>
      <c r="D372" s="19" t="s">
        <v>115</v>
      </c>
      <c r="E372" s="19" t="s">
        <v>106</v>
      </c>
      <c r="F372" s="19">
        <v>0.6</v>
      </c>
      <c r="G372" s="19"/>
      <c r="H372" s="19"/>
    </row>
    <row r="373" spans="1:8" ht="28" x14ac:dyDescent="0.35">
      <c r="A373" s="19" t="s">
        <v>4141</v>
      </c>
      <c r="B373" s="20" t="s">
        <v>4139</v>
      </c>
      <c r="C373" s="20" t="s">
        <v>4138</v>
      </c>
      <c r="D373" s="19"/>
      <c r="E373" s="19"/>
      <c r="F373" s="19"/>
      <c r="G373" s="19"/>
      <c r="H373" s="19"/>
    </row>
    <row r="374" spans="1:8" x14ac:dyDescent="0.35">
      <c r="A374" s="19" t="s">
        <v>4466</v>
      </c>
      <c r="B374" s="20" t="s">
        <v>4467</v>
      </c>
      <c r="C374" s="20" t="s">
        <v>67</v>
      </c>
      <c r="D374" s="19" t="s">
        <v>21</v>
      </c>
      <c r="E374" s="19" t="s">
        <v>67</v>
      </c>
      <c r="F374" s="19">
        <v>1</v>
      </c>
      <c r="G374" s="19"/>
      <c r="H374" s="19"/>
    </row>
    <row r="375" spans="1:8" x14ac:dyDescent="0.35">
      <c r="A375" s="19" t="s">
        <v>2725</v>
      </c>
      <c r="B375" s="20" t="s">
        <v>2722</v>
      </c>
      <c r="C375" s="20" t="s">
        <v>2721</v>
      </c>
      <c r="D375" s="19" t="s">
        <v>174</v>
      </c>
      <c r="E375" s="19" t="s">
        <v>2724</v>
      </c>
      <c r="F375" s="19">
        <v>0.35220000000000001</v>
      </c>
      <c r="G375" s="19" t="s">
        <v>267</v>
      </c>
      <c r="H375" s="19"/>
    </row>
    <row r="376" spans="1:8" x14ac:dyDescent="0.35">
      <c r="A376" s="19" t="s">
        <v>2533</v>
      </c>
      <c r="B376" s="20" t="s">
        <v>1650</v>
      </c>
      <c r="C376" s="20" t="s">
        <v>1650</v>
      </c>
      <c r="D376" s="19" t="s">
        <v>174</v>
      </c>
      <c r="E376" s="19" t="s">
        <v>1652</v>
      </c>
      <c r="F376" s="19">
        <v>0.37809999999999999</v>
      </c>
      <c r="G376" s="19" t="s">
        <v>1672</v>
      </c>
      <c r="H376" s="19" t="s">
        <v>2532</v>
      </c>
    </row>
    <row r="377" spans="1:8" x14ac:dyDescent="0.35">
      <c r="A377" s="19" t="s">
        <v>3584</v>
      </c>
      <c r="B377" s="20" t="s">
        <v>3582</v>
      </c>
      <c r="C377" s="20" t="s">
        <v>1894</v>
      </c>
      <c r="D377" s="19" t="s">
        <v>174</v>
      </c>
      <c r="E377" s="19" t="s">
        <v>1672</v>
      </c>
      <c r="F377" s="19">
        <v>0.42</v>
      </c>
      <c r="G377" s="19" t="s">
        <v>1652</v>
      </c>
      <c r="H377" s="19" t="s">
        <v>3583</v>
      </c>
    </row>
    <row r="378" spans="1:8" x14ac:dyDescent="0.35">
      <c r="A378" s="19" t="s">
        <v>1186</v>
      </c>
      <c r="B378" s="20" t="s">
        <v>1185</v>
      </c>
      <c r="C378" s="20" t="s">
        <v>1184</v>
      </c>
      <c r="D378" s="19" t="s">
        <v>115</v>
      </c>
      <c r="E378" s="19" t="s">
        <v>119</v>
      </c>
      <c r="F378" s="19">
        <v>0.6</v>
      </c>
      <c r="G378" s="19"/>
      <c r="H378" s="19"/>
    </row>
    <row r="379" spans="1:8" x14ac:dyDescent="0.35">
      <c r="A379" s="19" t="s">
        <v>4468</v>
      </c>
      <c r="B379" s="20" t="s">
        <v>3696</v>
      </c>
      <c r="C379" s="20" t="s">
        <v>3696</v>
      </c>
      <c r="D379" s="19" t="s">
        <v>174</v>
      </c>
      <c r="E379" s="19" t="s">
        <v>3697</v>
      </c>
      <c r="F379" s="19">
        <v>0.40570000000000001</v>
      </c>
      <c r="G379" s="19" t="s">
        <v>1768</v>
      </c>
      <c r="H379" s="19" t="s">
        <v>3698</v>
      </c>
    </row>
    <row r="380" spans="1:8" x14ac:dyDescent="0.35">
      <c r="A380" s="19" t="s">
        <v>4469</v>
      </c>
      <c r="B380" s="20" t="s">
        <v>3668</v>
      </c>
      <c r="C380" s="20" t="s">
        <v>3667</v>
      </c>
      <c r="D380" s="19" t="s">
        <v>174</v>
      </c>
      <c r="E380" s="19" t="s">
        <v>3670</v>
      </c>
      <c r="F380" s="19">
        <v>0.4103</v>
      </c>
      <c r="G380" s="19" t="s">
        <v>3540</v>
      </c>
      <c r="H380" s="19" t="s">
        <v>3671</v>
      </c>
    </row>
    <row r="381" spans="1:8" x14ac:dyDescent="0.35">
      <c r="A381" s="19" t="s">
        <v>1518</v>
      </c>
      <c r="B381" s="20" t="s">
        <v>1515</v>
      </c>
      <c r="C381" s="20" t="s">
        <v>1514</v>
      </c>
      <c r="D381" s="19" t="s">
        <v>174</v>
      </c>
      <c r="E381" s="19" t="s">
        <v>1315</v>
      </c>
      <c r="F381" s="19">
        <v>0.2762</v>
      </c>
      <c r="G381" s="19" t="s">
        <v>1516</v>
      </c>
      <c r="H381" s="19" t="s">
        <v>1517</v>
      </c>
    </row>
    <row r="382" spans="1:8" ht="42" x14ac:dyDescent="0.35">
      <c r="A382" s="19" t="s">
        <v>809</v>
      </c>
      <c r="B382" s="20" t="s">
        <v>808</v>
      </c>
      <c r="C382" s="20" t="s">
        <v>807</v>
      </c>
      <c r="D382" s="19" t="s">
        <v>4</v>
      </c>
      <c r="E382" s="19" t="s">
        <v>67</v>
      </c>
      <c r="F382" s="19">
        <v>0.8</v>
      </c>
      <c r="G382" s="19"/>
      <c r="H382" s="19"/>
    </row>
    <row r="383" spans="1:8" x14ac:dyDescent="0.35">
      <c r="A383" s="19" t="s">
        <v>1989</v>
      </c>
      <c r="B383" s="20" t="s">
        <v>1987</v>
      </c>
      <c r="C383" s="20" t="s">
        <v>1987</v>
      </c>
      <c r="D383" s="19" t="s">
        <v>174</v>
      </c>
      <c r="E383" s="19" t="s">
        <v>1926</v>
      </c>
      <c r="F383" s="19">
        <v>0.23039999999999999</v>
      </c>
      <c r="G383" s="19"/>
      <c r="H383" s="19"/>
    </row>
    <row r="384" spans="1:8" x14ac:dyDescent="0.35">
      <c r="A384" s="19" t="s">
        <v>2892</v>
      </c>
      <c r="B384" s="20" t="s">
        <v>2890</v>
      </c>
      <c r="C384" s="20" t="s">
        <v>2889</v>
      </c>
      <c r="D384" s="19" t="s">
        <v>174</v>
      </c>
      <c r="E384" s="19" t="s">
        <v>2891</v>
      </c>
      <c r="F384" s="19">
        <v>0.3342</v>
      </c>
      <c r="G384" s="19"/>
      <c r="H384" s="19"/>
    </row>
    <row r="385" spans="1:8" x14ac:dyDescent="0.35">
      <c r="A385" s="19" t="s">
        <v>3748</v>
      </c>
      <c r="B385" s="20" t="s">
        <v>3746</v>
      </c>
      <c r="C385" s="20" t="s">
        <v>3745</v>
      </c>
      <c r="D385" s="19"/>
      <c r="E385" s="19"/>
      <c r="F385" s="19"/>
      <c r="G385" s="19"/>
      <c r="H385" s="19"/>
    </row>
    <row r="386" spans="1:8" x14ac:dyDescent="0.35">
      <c r="A386" s="19" t="s">
        <v>4470</v>
      </c>
      <c r="B386" s="20" t="s">
        <v>3696</v>
      </c>
      <c r="C386" s="20" t="s">
        <v>3696</v>
      </c>
      <c r="D386" s="19" t="s">
        <v>174</v>
      </c>
      <c r="E386" s="19" t="s">
        <v>3697</v>
      </c>
      <c r="F386" s="19">
        <v>0.40570000000000001</v>
      </c>
      <c r="G386" s="19" t="s">
        <v>1768</v>
      </c>
      <c r="H386" s="19" t="s">
        <v>3698</v>
      </c>
    </row>
    <row r="387" spans="1:8" ht="42" x14ac:dyDescent="0.35">
      <c r="A387" s="19" t="s">
        <v>3932</v>
      </c>
      <c r="B387" s="20" t="s">
        <v>3931</v>
      </c>
      <c r="C387" s="20" t="s">
        <v>3930</v>
      </c>
      <c r="D387" s="19"/>
      <c r="E387" s="19"/>
      <c r="F387" s="19"/>
      <c r="G387" s="19"/>
      <c r="H387" s="19"/>
    </row>
    <row r="388" spans="1:8" x14ac:dyDescent="0.35">
      <c r="A388" s="19" t="s">
        <v>3051</v>
      </c>
      <c r="B388" s="20" t="s">
        <v>3048</v>
      </c>
      <c r="C388" s="20" t="s">
        <v>1804</v>
      </c>
      <c r="D388" s="19" t="s">
        <v>174</v>
      </c>
      <c r="E388" s="19" t="s">
        <v>3049</v>
      </c>
      <c r="F388" s="19">
        <v>0.31569999999999998</v>
      </c>
      <c r="G388" s="19" t="s">
        <v>3036</v>
      </c>
      <c r="H388" s="19" t="s">
        <v>3050</v>
      </c>
    </row>
    <row r="389" spans="1:8" ht="28" x14ac:dyDescent="0.35">
      <c r="A389" s="19" t="s">
        <v>1001</v>
      </c>
      <c r="B389" s="20" t="s">
        <v>1000</v>
      </c>
      <c r="C389" s="20" t="s">
        <v>999</v>
      </c>
      <c r="D389" s="19" t="s">
        <v>4</v>
      </c>
      <c r="E389" s="19" t="s">
        <v>36</v>
      </c>
      <c r="F389" s="19">
        <v>0.8</v>
      </c>
      <c r="G389" s="19"/>
      <c r="H389" s="19"/>
    </row>
    <row r="390" spans="1:8" ht="28" x14ac:dyDescent="0.35">
      <c r="A390" s="19" t="s">
        <v>4471</v>
      </c>
      <c r="B390" s="20" t="s">
        <v>1000</v>
      </c>
      <c r="C390" s="20" t="s">
        <v>999</v>
      </c>
      <c r="D390" s="19" t="s">
        <v>4</v>
      </c>
      <c r="E390" s="19" t="s">
        <v>36</v>
      </c>
      <c r="F390" s="19">
        <v>0.8</v>
      </c>
      <c r="G390" s="19"/>
      <c r="H390" s="19"/>
    </row>
    <row r="391" spans="1:8" x14ac:dyDescent="0.35">
      <c r="A391" s="19" t="s">
        <v>4472</v>
      </c>
      <c r="B391" s="20" t="s">
        <v>1369</v>
      </c>
      <c r="C391" s="20" t="s">
        <v>4473</v>
      </c>
      <c r="D391" s="19" t="s">
        <v>21</v>
      </c>
      <c r="E391" s="19" t="s">
        <v>67</v>
      </c>
      <c r="F391" s="19">
        <v>1</v>
      </c>
      <c r="G391" s="19" t="s">
        <v>36</v>
      </c>
      <c r="H391" s="19"/>
    </row>
    <row r="392" spans="1:8" ht="28" x14ac:dyDescent="0.35">
      <c r="A392" s="19" t="s">
        <v>1086</v>
      </c>
      <c r="B392" s="20" t="s">
        <v>1085</v>
      </c>
      <c r="C392" s="20" t="s">
        <v>1084</v>
      </c>
      <c r="D392" s="19" t="s">
        <v>4</v>
      </c>
      <c r="E392" s="19" t="s">
        <v>545</v>
      </c>
      <c r="F392" s="19">
        <v>0.8</v>
      </c>
      <c r="G392" s="19"/>
      <c r="H392" s="19"/>
    </row>
    <row r="393" spans="1:8" x14ac:dyDescent="0.35">
      <c r="A393" s="19" t="s">
        <v>4474</v>
      </c>
      <c r="B393" s="20" t="s">
        <v>4475</v>
      </c>
      <c r="C393" s="20" t="s">
        <v>1694</v>
      </c>
      <c r="D393" s="19" t="s">
        <v>174</v>
      </c>
      <c r="E393" s="19" t="s">
        <v>1697</v>
      </c>
      <c r="F393" s="19">
        <v>0.25940000000000002</v>
      </c>
      <c r="G393" s="19"/>
      <c r="H393" s="19"/>
    </row>
    <row r="394" spans="1:8" x14ac:dyDescent="0.35">
      <c r="A394" s="19" t="s">
        <v>3590</v>
      </c>
      <c r="B394" s="20" t="s">
        <v>3586</v>
      </c>
      <c r="C394" s="20" t="s">
        <v>3586</v>
      </c>
      <c r="D394" s="19" t="s">
        <v>174</v>
      </c>
      <c r="E394" s="19" t="s">
        <v>3587</v>
      </c>
      <c r="F394" s="19">
        <v>0.41930000000000001</v>
      </c>
      <c r="G394" s="19" t="s">
        <v>3588</v>
      </c>
      <c r="H394" s="19" t="s">
        <v>3589</v>
      </c>
    </row>
    <row r="395" spans="1:8" x14ac:dyDescent="0.35">
      <c r="A395" s="19" t="s">
        <v>4476</v>
      </c>
      <c r="B395" s="20"/>
      <c r="C395" s="20"/>
      <c r="D395" s="19"/>
      <c r="E395" s="19"/>
      <c r="F395" s="19"/>
      <c r="G395" s="19"/>
      <c r="H395" s="19"/>
    </row>
    <row r="396" spans="1:8" x14ac:dyDescent="0.35">
      <c r="A396" s="19" t="s">
        <v>4477</v>
      </c>
      <c r="B396" s="20" t="s">
        <v>4478</v>
      </c>
      <c r="C396" s="20" t="s">
        <v>572</v>
      </c>
      <c r="D396" s="19" t="s">
        <v>21</v>
      </c>
      <c r="E396" s="19" t="s">
        <v>106</v>
      </c>
      <c r="F396" s="19">
        <v>1</v>
      </c>
      <c r="G396" s="19"/>
      <c r="H396" s="19"/>
    </row>
    <row r="397" spans="1:8" ht="28" x14ac:dyDescent="0.35">
      <c r="A397" s="19" t="s">
        <v>1692</v>
      </c>
      <c r="B397" s="20" t="s">
        <v>1689</v>
      </c>
      <c r="C397" s="20" t="s">
        <v>1688</v>
      </c>
      <c r="D397" s="19" t="s">
        <v>174</v>
      </c>
      <c r="E397" s="19" t="s">
        <v>1691</v>
      </c>
      <c r="F397" s="19">
        <v>0.26</v>
      </c>
      <c r="G397" s="19"/>
      <c r="H397" s="19"/>
    </row>
    <row r="398" spans="1:8" x14ac:dyDescent="0.35">
      <c r="A398" s="19" t="s">
        <v>4479</v>
      </c>
      <c r="B398" s="20"/>
      <c r="C398" s="20"/>
      <c r="D398" s="19"/>
      <c r="E398" s="19"/>
      <c r="F398" s="19"/>
      <c r="G398" s="19"/>
      <c r="H398" s="19"/>
    </row>
    <row r="399" spans="1:8" x14ac:dyDescent="0.35">
      <c r="A399" s="19" t="s">
        <v>4480</v>
      </c>
      <c r="B399" s="20" t="s">
        <v>3696</v>
      </c>
      <c r="C399" s="20" t="s">
        <v>3696</v>
      </c>
      <c r="D399" s="19" t="s">
        <v>174</v>
      </c>
      <c r="E399" s="19" t="s">
        <v>3697</v>
      </c>
      <c r="F399" s="19">
        <v>0.40570000000000001</v>
      </c>
      <c r="G399" s="19" t="s">
        <v>1768</v>
      </c>
      <c r="H399" s="19" t="s">
        <v>3698</v>
      </c>
    </row>
    <row r="400" spans="1:8" x14ac:dyDescent="0.35">
      <c r="A400" s="19" t="s">
        <v>4481</v>
      </c>
      <c r="B400" s="20" t="s">
        <v>3696</v>
      </c>
      <c r="C400" s="20" t="s">
        <v>3696</v>
      </c>
      <c r="D400" s="19" t="s">
        <v>174</v>
      </c>
      <c r="E400" s="19" t="s">
        <v>3697</v>
      </c>
      <c r="F400" s="19">
        <v>0.40570000000000001</v>
      </c>
      <c r="G400" s="19" t="s">
        <v>1768</v>
      </c>
      <c r="H400" s="19" t="s">
        <v>3698</v>
      </c>
    </row>
    <row r="401" spans="1:8" x14ac:dyDescent="0.35">
      <c r="A401" s="19" t="s">
        <v>480</v>
      </c>
      <c r="B401" s="20" t="s">
        <v>479</v>
      </c>
      <c r="C401" s="20" t="s">
        <v>4482</v>
      </c>
      <c r="D401" s="19" t="s">
        <v>21</v>
      </c>
      <c r="E401" s="19" t="s">
        <v>67</v>
      </c>
      <c r="F401" s="19">
        <v>1</v>
      </c>
      <c r="G401" s="19" t="s">
        <v>36</v>
      </c>
      <c r="H401" s="19"/>
    </row>
    <row r="402" spans="1:8" x14ac:dyDescent="0.35">
      <c r="A402" s="19" t="s">
        <v>4483</v>
      </c>
      <c r="B402" s="20" t="s">
        <v>1627</v>
      </c>
      <c r="C402" s="20" t="s">
        <v>1626</v>
      </c>
      <c r="D402" s="19" t="s">
        <v>174</v>
      </c>
      <c r="E402" s="19" t="s">
        <v>1628</v>
      </c>
      <c r="F402" s="19">
        <v>0.26900000000000002</v>
      </c>
      <c r="G402" s="19" t="s">
        <v>1629</v>
      </c>
      <c r="H402" s="19" t="s">
        <v>1630</v>
      </c>
    </row>
    <row r="403" spans="1:8" x14ac:dyDescent="0.35">
      <c r="A403" s="19" t="s">
        <v>4484</v>
      </c>
      <c r="B403" s="20" t="s">
        <v>4339</v>
      </c>
      <c r="C403" s="20" t="s">
        <v>1626</v>
      </c>
      <c r="D403" s="19" t="s">
        <v>174</v>
      </c>
      <c r="E403" s="19" t="s">
        <v>1628</v>
      </c>
      <c r="F403" s="19">
        <v>0.26900000000000002</v>
      </c>
      <c r="G403" s="19" t="s">
        <v>1629</v>
      </c>
      <c r="H403" s="19" t="s">
        <v>1630</v>
      </c>
    </row>
    <row r="404" spans="1:8" x14ac:dyDescent="0.35">
      <c r="A404" s="19" t="s">
        <v>1459</v>
      </c>
      <c r="B404" s="20" t="s">
        <v>1454</v>
      </c>
      <c r="C404" s="20" t="s">
        <v>1453</v>
      </c>
      <c r="D404" s="19" t="s">
        <v>174</v>
      </c>
      <c r="E404" s="19" t="s">
        <v>1456</v>
      </c>
      <c r="F404" s="19">
        <v>0.28050000000000003</v>
      </c>
      <c r="G404" s="19" t="s">
        <v>1457</v>
      </c>
      <c r="H404" s="19" t="s">
        <v>1458</v>
      </c>
    </row>
    <row r="405" spans="1:8" x14ac:dyDescent="0.35">
      <c r="A405" s="19" t="s">
        <v>1667</v>
      </c>
      <c r="B405" s="20" t="s">
        <v>1663</v>
      </c>
      <c r="C405" s="20" t="s">
        <v>1662</v>
      </c>
      <c r="D405" s="19" t="s">
        <v>174</v>
      </c>
      <c r="E405" s="19" t="s">
        <v>1664</v>
      </c>
      <c r="F405" s="19">
        <v>0.26500000000000001</v>
      </c>
      <c r="G405" s="19" t="s">
        <v>1665</v>
      </c>
      <c r="H405" s="19" t="s">
        <v>1666</v>
      </c>
    </row>
    <row r="406" spans="1:8" x14ac:dyDescent="0.35">
      <c r="A406" s="19" t="s">
        <v>4485</v>
      </c>
      <c r="B406" s="20" t="s">
        <v>499</v>
      </c>
      <c r="C406" s="20" t="s">
        <v>498</v>
      </c>
      <c r="D406" s="19" t="s">
        <v>21</v>
      </c>
      <c r="E406" s="19" t="s">
        <v>498</v>
      </c>
      <c r="F406" s="19">
        <v>1</v>
      </c>
      <c r="G406" s="19"/>
      <c r="H406" s="19"/>
    </row>
    <row r="407" spans="1:8" x14ac:dyDescent="0.35">
      <c r="A407" s="19" t="s">
        <v>4486</v>
      </c>
      <c r="B407" s="20" t="s">
        <v>4487</v>
      </c>
      <c r="C407" s="20" t="s">
        <v>105</v>
      </c>
      <c r="D407" s="19" t="s">
        <v>21</v>
      </c>
      <c r="E407" s="19" t="s">
        <v>106</v>
      </c>
      <c r="F407" s="19">
        <v>1</v>
      </c>
      <c r="G407" s="19"/>
      <c r="H407" s="19"/>
    </row>
    <row r="408" spans="1:8" x14ac:dyDescent="0.35">
      <c r="A408" s="19" t="s">
        <v>4488</v>
      </c>
      <c r="B408" s="20" t="s">
        <v>4489</v>
      </c>
      <c r="C408" s="20"/>
      <c r="D408" s="19"/>
      <c r="E408" s="19"/>
      <c r="F408" s="19"/>
      <c r="G408" s="19"/>
      <c r="H408" s="19"/>
    </row>
    <row r="409" spans="1:8" x14ac:dyDescent="0.35">
      <c r="A409" s="19" t="s">
        <v>2629</v>
      </c>
      <c r="B409" s="20" t="s">
        <v>2624</v>
      </c>
      <c r="C409" s="20" t="s">
        <v>2623</v>
      </c>
      <c r="D409" s="19" t="s">
        <v>174</v>
      </c>
      <c r="E409" s="19" t="s">
        <v>2626</v>
      </c>
      <c r="F409" s="19">
        <v>0.36349999999999999</v>
      </c>
      <c r="G409" s="19" t="s">
        <v>2627</v>
      </c>
      <c r="H409" s="19" t="s">
        <v>2628</v>
      </c>
    </row>
    <row r="410" spans="1:8" ht="28" x14ac:dyDescent="0.35">
      <c r="A410" s="19" t="s">
        <v>1720</v>
      </c>
      <c r="B410" s="20" t="s">
        <v>1717</v>
      </c>
      <c r="C410" s="20" t="s">
        <v>1717</v>
      </c>
      <c r="D410" s="19" t="s">
        <v>174</v>
      </c>
      <c r="E410" s="19" t="s">
        <v>1719</v>
      </c>
      <c r="F410" s="19">
        <v>0.25719999999999998</v>
      </c>
      <c r="G410" s="19"/>
      <c r="H410" s="19"/>
    </row>
    <row r="411" spans="1:8" x14ac:dyDescent="0.35">
      <c r="A411" s="19" t="s">
        <v>4490</v>
      </c>
      <c r="B411" s="20"/>
      <c r="C411" s="20"/>
      <c r="D411" s="19"/>
      <c r="E411" s="19"/>
      <c r="F411" s="19"/>
      <c r="G411" s="19"/>
      <c r="H411" s="19"/>
    </row>
    <row r="412" spans="1:8" x14ac:dyDescent="0.35">
      <c r="A412" s="19" t="s">
        <v>4491</v>
      </c>
      <c r="B412" s="20" t="s">
        <v>479</v>
      </c>
      <c r="C412" s="20" t="s">
        <v>4482</v>
      </c>
      <c r="D412" s="19" t="s">
        <v>21</v>
      </c>
      <c r="E412" s="19" t="s">
        <v>67</v>
      </c>
      <c r="F412" s="19">
        <v>1</v>
      </c>
      <c r="G412" s="19" t="s">
        <v>36</v>
      </c>
      <c r="H412" s="19"/>
    </row>
    <row r="413" spans="1:8" x14ac:dyDescent="0.35">
      <c r="A413" s="19" t="s">
        <v>4492</v>
      </c>
      <c r="B413" s="20" t="s">
        <v>1185</v>
      </c>
      <c r="C413" s="20" t="s">
        <v>1184</v>
      </c>
      <c r="D413" s="19" t="s">
        <v>115</v>
      </c>
      <c r="E413" s="19" t="s">
        <v>119</v>
      </c>
      <c r="F413" s="19">
        <v>0.6</v>
      </c>
      <c r="G413" s="19"/>
      <c r="H413" s="19"/>
    </row>
    <row r="414" spans="1:8" ht="42" x14ac:dyDescent="0.35">
      <c r="A414" s="19" t="s">
        <v>633</v>
      </c>
      <c r="B414" s="20" t="s">
        <v>632</v>
      </c>
      <c r="C414" s="20" t="s">
        <v>631</v>
      </c>
      <c r="D414" s="19" t="s">
        <v>4</v>
      </c>
      <c r="E414" s="19" t="s">
        <v>610</v>
      </c>
      <c r="F414" s="19">
        <v>0.8</v>
      </c>
      <c r="G414" s="19"/>
      <c r="H414" s="19"/>
    </row>
    <row r="415" spans="1:8" x14ac:dyDescent="0.35">
      <c r="A415" s="19" t="s">
        <v>2935</v>
      </c>
      <c r="B415" s="20" t="s">
        <v>2931</v>
      </c>
      <c r="C415" s="20" t="s">
        <v>2930</v>
      </c>
      <c r="D415" s="19" t="s">
        <v>174</v>
      </c>
      <c r="E415" s="19" t="s">
        <v>2932</v>
      </c>
      <c r="F415" s="19">
        <v>0.33329999999999999</v>
      </c>
      <c r="G415" s="19" t="s">
        <v>2933</v>
      </c>
      <c r="H415" s="19" t="s">
        <v>2934</v>
      </c>
    </row>
    <row r="416" spans="1:8" x14ac:dyDescent="0.35">
      <c r="A416" s="19" t="s">
        <v>64</v>
      </c>
      <c r="B416" s="20" t="s">
        <v>63</v>
      </c>
      <c r="C416" s="20" t="s">
        <v>63</v>
      </c>
      <c r="D416" s="19" t="s">
        <v>21</v>
      </c>
      <c r="E416" s="19" t="s">
        <v>63</v>
      </c>
      <c r="F416" s="19">
        <v>1</v>
      </c>
      <c r="G416" s="19"/>
      <c r="H416" s="19"/>
    </row>
    <row r="417" spans="1:8" ht="28" x14ac:dyDescent="0.35">
      <c r="A417" s="19" t="s">
        <v>4195</v>
      </c>
      <c r="B417" s="20" t="s">
        <v>4193</v>
      </c>
      <c r="C417" s="20" t="s">
        <v>4192</v>
      </c>
      <c r="D417" s="19"/>
      <c r="E417" s="19"/>
      <c r="F417" s="19"/>
      <c r="G417" s="19"/>
      <c r="H417" s="19"/>
    </row>
    <row r="418" spans="1:8" x14ac:dyDescent="0.35">
      <c r="A418" s="19" t="s">
        <v>4493</v>
      </c>
      <c r="B418" s="20"/>
      <c r="C418" s="20"/>
      <c r="D418" s="19"/>
      <c r="E418" s="19"/>
      <c r="F418" s="19"/>
      <c r="G418" s="19"/>
      <c r="H418" s="19"/>
    </row>
    <row r="419" spans="1:8" ht="42" x14ac:dyDescent="0.35">
      <c r="A419" s="19" t="s">
        <v>1182</v>
      </c>
      <c r="B419" s="20" t="s">
        <v>1181</v>
      </c>
      <c r="C419" s="20" t="s">
        <v>1180</v>
      </c>
      <c r="D419" s="19" t="s">
        <v>115</v>
      </c>
      <c r="E419" s="19" t="s">
        <v>119</v>
      </c>
      <c r="F419" s="19">
        <v>0.6</v>
      </c>
      <c r="G419" s="19"/>
      <c r="H419" s="19"/>
    </row>
    <row r="420" spans="1:8" ht="28" x14ac:dyDescent="0.35">
      <c r="A420" s="19" t="s">
        <v>2169</v>
      </c>
      <c r="B420" s="20" t="s">
        <v>2166</v>
      </c>
      <c r="C420" s="20" t="s">
        <v>2165</v>
      </c>
      <c r="D420" s="19" t="s">
        <v>174</v>
      </c>
      <c r="E420" s="19" t="s">
        <v>2168</v>
      </c>
      <c r="F420" s="19">
        <v>0.21329999999999999</v>
      </c>
      <c r="G420" s="19"/>
      <c r="H420" s="19"/>
    </row>
    <row r="421" spans="1:8" ht="28" x14ac:dyDescent="0.35">
      <c r="A421" s="19" t="s">
        <v>135</v>
      </c>
      <c r="B421" s="20" t="s">
        <v>134</v>
      </c>
      <c r="C421" s="20" t="s">
        <v>133</v>
      </c>
      <c r="D421" s="19" t="s">
        <v>115</v>
      </c>
      <c r="E421" s="19" t="s">
        <v>119</v>
      </c>
      <c r="F421" s="19">
        <v>0.6</v>
      </c>
      <c r="G421" s="19"/>
      <c r="H421" s="19"/>
    </row>
    <row r="422" spans="1:8" ht="28" x14ac:dyDescent="0.35">
      <c r="A422" s="19" t="s">
        <v>3798</v>
      </c>
      <c r="B422" s="20" t="s">
        <v>3797</v>
      </c>
      <c r="C422" s="20" t="s">
        <v>3796</v>
      </c>
      <c r="D422" s="19"/>
      <c r="E422" s="19"/>
      <c r="F422" s="19"/>
      <c r="G422" s="19"/>
      <c r="H422" s="19"/>
    </row>
    <row r="423" spans="1:8" x14ac:dyDescent="0.35">
      <c r="A423" s="19" t="s">
        <v>2430</v>
      </c>
      <c r="B423" s="20" t="s">
        <v>2428</v>
      </c>
      <c r="C423" s="20" t="s">
        <v>2167</v>
      </c>
      <c r="D423" s="19" t="s">
        <v>174</v>
      </c>
      <c r="E423" s="19" t="s">
        <v>2168</v>
      </c>
      <c r="F423" s="19">
        <v>0.3891</v>
      </c>
      <c r="G423" s="19" t="s">
        <v>470</v>
      </c>
      <c r="H423" s="19" t="s">
        <v>2429</v>
      </c>
    </row>
    <row r="424" spans="1:8" x14ac:dyDescent="0.35">
      <c r="A424" s="19" t="s">
        <v>4494</v>
      </c>
      <c r="B424" s="20" t="s">
        <v>4449</v>
      </c>
      <c r="C424" s="20"/>
      <c r="D424" s="19"/>
      <c r="E424" s="19"/>
      <c r="F424" s="19"/>
      <c r="G424" s="19"/>
      <c r="H424" s="19"/>
    </row>
    <row r="425" spans="1:8" x14ac:dyDescent="0.35">
      <c r="A425" s="19" t="s">
        <v>4495</v>
      </c>
      <c r="B425" s="20"/>
      <c r="C425" s="20"/>
      <c r="D425" s="19"/>
      <c r="E425" s="19"/>
      <c r="F425" s="19"/>
      <c r="G425" s="19"/>
      <c r="H425" s="19"/>
    </row>
    <row r="426" spans="1:8" ht="28" x14ac:dyDescent="0.35">
      <c r="A426" s="19" t="s">
        <v>629</v>
      </c>
      <c r="B426" s="20" t="s">
        <v>628</v>
      </c>
      <c r="C426" s="20" t="s">
        <v>627</v>
      </c>
      <c r="D426" s="19" t="s">
        <v>4</v>
      </c>
      <c r="E426" s="19" t="s">
        <v>610</v>
      </c>
      <c r="F426" s="19">
        <v>0.8</v>
      </c>
      <c r="G426" s="19"/>
      <c r="H426" s="19"/>
    </row>
    <row r="427" spans="1:8" x14ac:dyDescent="0.35">
      <c r="A427" s="19" t="s">
        <v>4496</v>
      </c>
      <c r="B427" s="20"/>
      <c r="C427" s="20"/>
      <c r="D427" s="19"/>
      <c r="E427" s="19"/>
      <c r="F427" s="19"/>
      <c r="G427" s="19"/>
      <c r="H427" s="19"/>
    </row>
    <row r="428" spans="1:8" x14ac:dyDescent="0.35">
      <c r="A428" s="19" t="s">
        <v>4497</v>
      </c>
      <c r="B428" s="20" t="s">
        <v>4498</v>
      </c>
      <c r="C428" s="20" t="s">
        <v>572</v>
      </c>
      <c r="D428" s="19" t="s">
        <v>21</v>
      </c>
      <c r="E428" s="19" t="s">
        <v>106</v>
      </c>
      <c r="F428" s="19">
        <v>1</v>
      </c>
      <c r="G428" s="19"/>
      <c r="H428" s="19"/>
    </row>
    <row r="429" spans="1:8" ht="28" x14ac:dyDescent="0.35">
      <c r="A429" s="19" t="s">
        <v>766</v>
      </c>
      <c r="B429" s="20" t="s">
        <v>765</v>
      </c>
      <c r="C429" s="20" t="s">
        <v>4499</v>
      </c>
      <c r="D429" s="19" t="s">
        <v>4</v>
      </c>
      <c r="E429" s="19" t="s">
        <v>463</v>
      </c>
      <c r="F429" s="19">
        <v>0.8</v>
      </c>
      <c r="G429" s="19" t="s">
        <v>3568</v>
      </c>
      <c r="H429" s="19" t="s">
        <v>3569</v>
      </c>
    </row>
    <row r="430" spans="1:8" ht="28" x14ac:dyDescent="0.35">
      <c r="A430" s="19" t="s">
        <v>4500</v>
      </c>
      <c r="B430" s="20" t="s">
        <v>765</v>
      </c>
      <c r="C430" s="20" t="s">
        <v>4499</v>
      </c>
      <c r="D430" s="19" t="s">
        <v>4</v>
      </c>
      <c r="E430" s="19" t="s">
        <v>463</v>
      </c>
      <c r="F430" s="19">
        <v>0.8</v>
      </c>
      <c r="G430" s="19" t="s">
        <v>3568</v>
      </c>
      <c r="H430" s="19" t="s">
        <v>3569</v>
      </c>
    </row>
    <row r="431" spans="1:8" ht="28" x14ac:dyDescent="0.35">
      <c r="A431" s="19" t="s">
        <v>2009</v>
      </c>
      <c r="B431" s="20" t="s">
        <v>2006</v>
      </c>
      <c r="C431" s="20" t="s">
        <v>2005</v>
      </c>
      <c r="D431" s="19" t="s">
        <v>174</v>
      </c>
      <c r="E431" s="19" t="s">
        <v>2007</v>
      </c>
      <c r="F431" s="19">
        <v>0.22689999999999999</v>
      </c>
      <c r="G431" s="19" t="s">
        <v>355</v>
      </c>
      <c r="H431" s="19" t="s">
        <v>2008</v>
      </c>
    </row>
    <row r="432" spans="1:8" x14ac:dyDescent="0.35">
      <c r="A432" s="19" t="s">
        <v>4501</v>
      </c>
      <c r="B432" s="20" t="s">
        <v>3120</v>
      </c>
      <c r="C432" s="20" t="s">
        <v>3119</v>
      </c>
      <c r="D432" s="19" t="s">
        <v>174</v>
      </c>
      <c r="E432" s="19" t="s">
        <v>273</v>
      </c>
      <c r="F432" s="19">
        <v>0.30759999999999998</v>
      </c>
      <c r="G432" s="19" t="s">
        <v>274</v>
      </c>
      <c r="H432" s="19" t="s">
        <v>272</v>
      </c>
    </row>
    <row r="433" spans="1:8" x14ac:dyDescent="0.35">
      <c r="A433" s="19" t="s">
        <v>2605</v>
      </c>
      <c r="B433" s="20" t="s">
        <v>2601</v>
      </c>
      <c r="C433" s="20" t="s">
        <v>2601</v>
      </c>
      <c r="D433" s="19" t="s">
        <v>174</v>
      </c>
      <c r="E433" s="19" t="s">
        <v>2602</v>
      </c>
      <c r="F433" s="19">
        <v>0.36559999999999998</v>
      </c>
      <c r="G433" s="19" t="s">
        <v>2603</v>
      </c>
      <c r="H433" s="19" t="s">
        <v>2604</v>
      </c>
    </row>
    <row r="434" spans="1:8" x14ac:dyDescent="0.35">
      <c r="A434" s="19" t="s">
        <v>4502</v>
      </c>
      <c r="B434" s="20"/>
      <c r="C434" s="20"/>
      <c r="D434" s="19"/>
      <c r="E434" s="19"/>
      <c r="F434" s="19"/>
      <c r="G434" s="19"/>
      <c r="H434" s="19"/>
    </row>
    <row r="435" spans="1:8" ht="28" x14ac:dyDescent="0.35">
      <c r="A435" s="19" t="s">
        <v>427</v>
      </c>
      <c r="B435" s="20" t="s">
        <v>425</v>
      </c>
      <c r="C435" s="20" t="s">
        <v>4503</v>
      </c>
      <c r="D435" s="19" t="s">
        <v>21</v>
      </c>
      <c r="E435" s="19" t="s">
        <v>516</v>
      </c>
      <c r="F435" s="19">
        <v>0.8</v>
      </c>
      <c r="G435" s="19" t="s">
        <v>424</v>
      </c>
      <c r="H435" s="19" t="s">
        <v>426</v>
      </c>
    </row>
    <row r="436" spans="1:8" ht="42" x14ac:dyDescent="0.35">
      <c r="A436" s="19" t="s">
        <v>1866</v>
      </c>
      <c r="B436" s="20" t="s">
        <v>1865</v>
      </c>
      <c r="C436" s="20" t="s">
        <v>1864</v>
      </c>
      <c r="D436" s="19" t="s">
        <v>174</v>
      </c>
      <c r="E436" s="19" t="s">
        <v>1549</v>
      </c>
      <c r="F436" s="19">
        <v>0.24060000000000001</v>
      </c>
      <c r="G436" s="19"/>
      <c r="H436" s="19"/>
    </row>
    <row r="437" spans="1:8" x14ac:dyDescent="0.35">
      <c r="A437" s="19" t="s">
        <v>4504</v>
      </c>
      <c r="B437" s="20"/>
      <c r="C437" s="20"/>
      <c r="D437" s="19"/>
      <c r="E437" s="19"/>
      <c r="F437" s="19"/>
      <c r="G437" s="19"/>
      <c r="H437" s="19"/>
    </row>
    <row r="438" spans="1:8" x14ac:dyDescent="0.35">
      <c r="A438" s="19" t="s">
        <v>4505</v>
      </c>
      <c r="B438" s="20" t="s">
        <v>4506</v>
      </c>
      <c r="C438" s="20" t="s">
        <v>105</v>
      </c>
      <c r="D438" s="19" t="s">
        <v>21</v>
      </c>
      <c r="E438" s="19" t="s">
        <v>106</v>
      </c>
      <c r="F438" s="19">
        <v>1</v>
      </c>
      <c r="G438" s="19"/>
      <c r="H438" s="19"/>
    </row>
    <row r="439" spans="1:8" ht="28" x14ac:dyDescent="0.35">
      <c r="A439" s="19" t="s">
        <v>3742</v>
      </c>
      <c r="B439" s="20" t="s">
        <v>3740</v>
      </c>
      <c r="C439" s="20" t="s">
        <v>3740</v>
      </c>
      <c r="D439" s="19"/>
      <c r="E439" s="19"/>
      <c r="F439" s="19"/>
      <c r="G439" s="19"/>
      <c r="H439" s="19"/>
    </row>
    <row r="440" spans="1:8" x14ac:dyDescent="0.35">
      <c r="A440" s="19" t="s">
        <v>3776</v>
      </c>
      <c r="B440" s="20" t="s">
        <v>3775</v>
      </c>
      <c r="C440" s="20" t="s">
        <v>3774</v>
      </c>
      <c r="D440" s="19"/>
      <c r="E440" s="19"/>
      <c r="F440" s="19"/>
      <c r="G440" s="19"/>
      <c r="H440" s="19"/>
    </row>
    <row r="441" spans="1:8" ht="28" x14ac:dyDescent="0.35">
      <c r="A441" s="19" t="s">
        <v>58</v>
      </c>
      <c r="B441" s="20" t="s">
        <v>55</v>
      </c>
      <c r="C441" s="20" t="s">
        <v>4507</v>
      </c>
      <c r="D441" s="19" t="s">
        <v>21</v>
      </c>
      <c r="E441" s="19" t="s">
        <v>57</v>
      </c>
      <c r="F441" s="19">
        <v>1</v>
      </c>
      <c r="G441" s="19" t="s">
        <v>3291</v>
      </c>
      <c r="H441" s="19" t="s">
        <v>3292</v>
      </c>
    </row>
    <row r="442" spans="1:8" x14ac:dyDescent="0.35">
      <c r="A442" s="19" t="s">
        <v>517</v>
      </c>
      <c r="B442" s="20" t="s">
        <v>515</v>
      </c>
      <c r="C442" s="20" t="s">
        <v>4508</v>
      </c>
      <c r="D442" s="19" t="s">
        <v>21</v>
      </c>
      <c r="E442" s="19" t="s">
        <v>516</v>
      </c>
      <c r="F442" s="19">
        <v>1</v>
      </c>
      <c r="G442" s="19" t="s">
        <v>1122</v>
      </c>
      <c r="H442" s="19" t="s">
        <v>322</v>
      </c>
    </row>
    <row r="443" spans="1:8" ht="42" x14ac:dyDescent="0.35">
      <c r="A443" s="19" t="s">
        <v>992</v>
      </c>
      <c r="B443" s="20" t="s">
        <v>990</v>
      </c>
      <c r="C443" s="20" t="s">
        <v>989</v>
      </c>
      <c r="D443" s="19" t="s">
        <v>4</v>
      </c>
      <c r="E443" s="19" t="s">
        <v>991</v>
      </c>
      <c r="F443" s="19">
        <v>0.8</v>
      </c>
      <c r="G443" s="19"/>
      <c r="H443" s="19"/>
    </row>
    <row r="444" spans="1:8" ht="42" x14ac:dyDescent="0.35">
      <c r="A444" s="19" t="s">
        <v>1150</v>
      </c>
      <c r="B444" s="20" t="s">
        <v>1149</v>
      </c>
      <c r="C444" s="20" t="s">
        <v>1148</v>
      </c>
      <c r="D444" s="19" t="s">
        <v>115</v>
      </c>
      <c r="E444" s="19" t="s">
        <v>63</v>
      </c>
      <c r="F444" s="19">
        <v>0.6</v>
      </c>
      <c r="G444" s="19"/>
      <c r="H444" s="19"/>
    </row>
    <row r="445" spans="1:8" ht="42" x14ac:dyDescent="0.35">
      <c r="A445" s="19" t="s">
        <v>625</v>
      </c>
      <c r="B445" s="20" t="s">
        <v>624</v>
      </c>
      <c r="C445" s="20" t="s">
        <v>624</v>
      </c>
      <c r="D445" s="19" t="s">
        <v>4</v>
      </c>
      <c r="E445" s="19" t="s">
        <v>610</v>
      </c>
      <c r="F445" s="19">
        <v>0.8</v>
      </c>
      <c r="G445" s="19"/>
      <c r="H445" s="19"/>
    </row>
    <row r="446" spans="1:8" ht="70" x14ac:dyDescent="0.35">
      <c r="A446" s="19" t="s">
        <v>125</v>
      </c>
      <c r="B446" s="20" t="s">
        <v>123</v>
      </c>
      <c r="C446" s="20" t="s">
        <v>122</v>
      </c>
      <c r="D446" s="19" t="s">
        <v>115</v>
      </c>
      <c r="E446" s="19" t="s">
        <v>63</v>
      </c>
      <c r="F446" s="19">
        <v>0.6</v>
      </c>
      <c r="G446" s="19"/>
      <c r="H446" s="19"/>
    </row>
    <row r="447" spans="1:8" x14ac:dyDescent="0.35">
      <c r="A447" s="19" t="s">
        <v>4509</v>
      </c>
      <c r="B447" s="20" t="s">
        <v>4510</v>
      </c>
      <c r="C447" s="20" t="s">
        <v>36</v>
      </c>
      <c r="D447" s="19" t="s">
        <v>21</v>
      </c>
      <c r="E447" s="19" t="s">
        <v>36</v>
      </c>
      <c r="F447" s="19">
        <v>1</v>
      </c>
      <c r="G447" s="19"/>
      <c r="H447" s="19"/>
    </row>
    <row r="448" spans="1:8" x14ac:dyDescent="0.35">
      <c r="A448" s="19" t="s">
        <v>1146</v>
      </c>
      <c r="B448" s="20" t="s">
        <v>1145</v>
      </c>
      <c r="C448" s="20" t="s">
        <v>1144</v>
      </c>
      <c r="D448" s="19" t="s">
        <v>115</v>
      </c>
      <c r="E448" s="19" t="s">
        <v>63</v>
      </c>
      <c r="F448" s="19">
        <v>0.6</v>
      </c>
      <c r="G448" s="19"/>
      <c r="H448" s="19"/>
    </row>
    <row r="449" spans="1:8" x14ac:dyDescent="0.35">
      <c r="A449" s="19" t="s">
        <v>4511</v>
      </c>
      <c r="B449" s="20"/>
      <c r="C449" s="20"/>
      <c r="D449" s="19"/>
      <c r="E449" s="19"/>
      <c r="F449" s="19"/>
      <c r="G449" s="19"/>
      <c r="H449" s="19"/>
    </row>
    <row r="450" spans="1:8" x14ac:dyDescent="0.35">
      <c r="A450" s="19" t="s">
        <v>4512</v>
      </c>
      <c r="B450" s="20"/>
      <c r="C450" s="20"/>
      <c r="D450" s="19"/>
      <c r="E450" s="19"/>
      <c r="F450" s="19"/>
      <c r="G450" s="19"/>
      <c r="H450" s="19"/>
    </row>
    <row r="451" spans="1:8" x14ac:dyDescent="0.35">
      <c r="A451" s="19" t="s">
        <v>4513</v>
      </c>
      <c r="B451" s="20"/>
      <c r="C451" s="20"/>
      <c r="D451" s="19"/>
      <c r="E451" s="19"/>
      <c r="F451" s="19"/>
      <c r="G451" s="19"/>
      <c r="H451" s="19"/>
    </row>
    <row r="452" spans="1:8" ht="42" x14ac:dyDescent="0.35">
      <c r="A452" s="19" t="s">
        <v>48</v>
      </c>
      <c r="B452" s="20" t="s">
        <v>45</v>
      </c>
      <c r="C452" s="20" t="s">
        <v>4514</v>
      </c>
      <c r="D452" s="19" t="s">
        <v>21</v>
      </c>
      <c r="E452" s="19" t="s">
        <v>539</v>
      </c>
      <c r="F452" s="19">
        <v>0.8</v>
      </c>
      <c r="G452" s="19" t="s">
        <v>44</v>
      </c>
      <c r="H452" s="19" t="s">
        <v>47</v>
      </c>
    </row>
    <row r="453" spans="1:8" ht="28" x14ac:dyDescent="0.35">
      <c r="A453" s="19" t="s">
        <v>1985</v>
      </c>
      <c r="B453" s="20" t="s">
        <v>1984</v>
      </c>
      <c r="C453" s="20" t="s">
        <v>4515</v>
      </c>
      <c r="D453" s="19" t="s">
        <v>174</v>
      </c>
      <c r="E453" s="19" t="s">
        <v>3031</v>
      </c>
      <c r="F453" s="19">
        <v>0.31680000000000003</v>
      </c>
      <c r="G453" s="19" t="s">
        <v>3032</v>
      </c>
      <c r="H453" s="19" t="s">
        <v>561</v>
      </c>
    </row>
    <row r="454" spans="1:8" x14ac:dyDescent="0.35">
      <c r="A454" s="19" t="s">
        <v>3356</v>
      </c>
      <c r="B454" s="20" t="s">
        <v>3353</v>
      </c>
      <c r="C454" s="20" t="s">
        <v>3352</v>
      </c>
      <c r="D454" s="19" t="s">
        <v>174</v>
      </c>
      <c r="E454" s="19" t="s">
        <v>1445</v>
      </c>
      <c r="F454" s="19">
        <v>0.45660000000000001</v>
      </c>
      <c r="G454" s="19" t="s">
        <v>355</v>
      </c>
      <c r="H454" s="19" t="s">
        <v>3355</v>
      </c>
    </row>
    <row r="455" spans="1:8" x14ac:dyDescent="0.35">
      <c r="A455" s="19" t="s">
        <v>714</v>
      </c>
      <c r="B455" s="20" t="s">
        <v>713</v>
      </c>
      <c r="C455" s="20" t="s">
        <v>712</v>
      </c>
      <c r="D455" s="19" t="s">
        <v>4</v>
      </c>
      <c r="E455" s="19" t="s">
        <v>451</v>
      </c>
      <c r="F455" s="19">
        <v>0.8</v>
      </c>
      <c r="G455" s="19"/>
      <c r="H455" s="19"/>
    </row>
    <row r="456" spans="1:8" x14ac:dyDescent="0.35">
      <c r="A456" s="19" t="s">
        <v>4516</v>
      </c>
      <c r="B456" s="20"/>
      <c r="C456" s="20"/>
      <c r="D456" s="19"/>
      <c r="E456" s="19"/>
      <c r="F456" s="19"/>
      <c r="G456" s="19"/>
      <c r="H456" s="19"/>
    </row>
    <row r="457" spans="1:8" ht="56" x14ac:dyDescent="0.35">
      <c r="A457" s="19" t="s">
        <v>1016</v>
      </c>
      <c r="B457" s="20" t="s">
        <v>1015</v>
      </c>
      <c r="C457" s="20" t="s">
        <v>1014</v>
      </c>
      <c r="D457" s="19" t="s">
        <v>4</v>
      </c>
      <c r="E457" s="19" t="s">
        <v>451</v>
      </c>
      <c r="F457" s="19">
        <v>0.8</v>
      </c>
      <c r="G457" s="19"/>
      <c r="H457" s="19"/>
    </row>
    <row r="458" spans="1:8" x14ac:dyDescent="0.35">
      <c r="A458" s="19" t="s">
        <v>601</v>
      </c>
      <c r="B458" s="20" t="s">
        <v>600</v>
      </c>
      <c r="C458" s="20" t="s">
        <v>599</v>
      </c>
      <c r="D458" s="19" t="s">
        <v>4</v>
      </c>
      <c r="E458" s="19" t="s">
        <v>548</v>
      </c>
      <c r="F458" s="19">
        <v>0.8</v>
      </c>
      <c r="G458" s="19"/>
      <c r="H458" s="19"/>
    </row>
    <row r="459" spans="1:8" x14ac:dyDescent="0.35">
      <c r="A459" s="19" t="s">
        <v>422</v>
      </c>
      <c r="B459" s="20" t="s">
        <v>418</v>
      </c>
      <c r="C459" s="20" t="s">
        <v>418</v>
      </c>
      <c r="D459" s="19" t="s">
        <v>21</v>
      </c>
      <c r="E459" s="19" t="s">
        <v>421</v>
      </c>
      <c r="F459" s="19">
        <v>1</v>
      </c>
      <c r="G459" s="19"/>
      <c r="H459" s="19"/>
    </row>
    <row r="460" spans="1:8" x14ac:dyDescent="0.35">
      <c r="A460" s="19" t="s">
        <v>337</v>
      </c>
      <c r="B460" s="20" t="s">
        <v>335</v>
      </c>
      <c r="C460" s="20" t="s">
        <v>335</v>
      </c>
      <c r="D460" s="19" t="s">
        <v>174</v>
      </c>
      <c r="E460" s="19" t="s">
        <v>305</v>
      </c>
      <c r="F460" s="19">
        <v>0.44819999999999999</v>
      </c>
      <c r="G460" s="19" t="s">
        <v>72</v>
      </c>
      <c r="H460" s="19" t="s">
        <v>336</v>
      </c>
    </row>
    <row r="461" spans="1:8" x14ac:dyDescent="0.35">
      <c r="A461" s="19" t="s">
        <v>4517</v>
      </c>
      <c r="B461" s="20" t="s">
        <v>4518</v>
      </c>
      <c r="C461" s="20" t="s">
        <v>3457</v>
      </c>
      <c r="D461" s="19" t="s">
        <v>174</v>
      </c>
      <c r="E461" s="19" t="s">
        <v>1963</v>
      </c>
      <c r="F461" s="19">
        <v>0.43980000000000002</v>
      </c>
      <c r="G461" s="19" t="s">
        <v>3458</v>
      </c>
      <c r="H461" s="19" t="s">
        <v>3459</v>
      </c>
    </row>
    <row r="462" spans="1:8" x14ac:dyDescent="0.35">
      <c r="A462" s="19" t="s">
        <v>4519</v>
      </c>
      <c r="B462" s="20"/>
      <c r="C462" s="20"/>
      <c r="D462" s="19"/>
      <c r="E462" s="19"/>
      <c r="F462" s="19"/>
      <c r="G462" s="19"/>
      <c r="H462" s="19"/>
    </row>
    <row r="463" spans="1:8" x14ac:dyDescent="0.35">
      <c r="A463" s="19" t="s">
        <v>4520</v>
      </c>
      <c r="B463" s="20" t="s">
        <v>490</v>
      </c>
      <c r="C463" s="20" t="s">
        <v>490</v>
      </c>
      <c r="D463" s="19" t="s">
        <v>21</v>
      </c>
      <c r="E463" s="19" t="s">
        <v>487</v>
      </c>
      <c r="F463" s="19">
        <v>1</v>
      </c>
      <c r="G463" s="19"/>
      <c r="H463" s="19"/>
    </row>
    <row r="464" spans="1:8" x14ac:dyDescent="0.35">
      <c r="A464" s="19" t="s">
        <v>662</v>
      </c>
      <c r="B464" s="20" t="s">
        <v>661</v>
      </c>
      <c r="C464" s="20" t="s">
        <v>660</v>
      </c>
      <c r="D464" s="19" t="s">
        <v>4</v>
      </c>
      <c r="E464" s="19" t="s">
        <v>63</v>
      </c>
      <c r="F464" s="19">
        <v>0.8</v>
      </c>
      <c r="G464" s="19"/>
      <c r="H464" s="19"/>
    </row>
    <row r="465" spans="1:8" x14ac:dyDescent="0.35">
      <c r="A465" s="19" t="s">
        <v>546</v>
      </c>
      <c r="B465" s="20" t="s">
        <v>543</v>
      </c>
      <c r="C465" s="20" t="s">
        <v>4521</v>
      </c>
      <c r="D465" s="19" t="s">
        <v>21</v>
      </c>
      <c r="E465" s="19" t="s">
        <v>487</v>
      </c>
      <c r="F465" s="19">
        <v>1</v>
      </c>
      <c r="G465" s="19" t="s">
        <v>545</v>
      </c>
      <c r="H465" s="19"/>
    </row>
    <row r="466" spans="1:8" x14ac:dyDescent="0.35">
      <c r="A466" s="19" t="s">
        <v>4522</v>
      </c>
      <c r="B466" s="20" t="s">
        <v>4523</v>
      </c>
      <c r="C466" s="20" t="s">
        <v>490</v>
      </c>
      <c r="D466" s="19" t="s">
        <v>21</v>
      </c>
      <c r="E466" s="19" t="s">
        <v>487</v>
      </c>
      <c r="F466" s="19">
        <v>1</v>
      </c>
      <c r="G466" s="19"/>
      <c r="H466" s="19"/>
    </row>
    <row r="467" spans="1:8" x14ac:dyDescent="0.35">
      <c r="A467" s="19" t="s">
        <v>4524</v>
      </c>
      <c r="B467" s="20" t="s">
        <v>1650</v>
      </c>
      <c r="C467" s="20" t="s">
        <v>1650</v>
      </c>
      <c r="D467" s="19" t="s">
        <v>174</v>
      </c>
      <c r="E467" s="19" t="s">
        <v>1652</v>
      </c>
      <c r="F467" s="19">
        <v>0.37809999999999999</v>
      </c>
      <c r="G467" s="19" t="s">
        <v>1672</v>
      </c>
      <c r="H467" s="19" t="s">
        <v>2532</v>
      </c>
    </row>
    <row r="468" spans="1:8" x14ac:dyDescent="0.35">
      <c r="A468" s="19" t="s">
        <v>3720</v>
      </c>
      <c r="B468" s="20" t="s">
        <v>3717</v>
      </c>
      <c r="C468" s="20" t="s">
        <v>3717</v>
      </c>
      <c r="D468" s="19" t="s">
        <v>174</v>
      </c>
      <c r="E468" s="19" t="s">
        <v>1659</v>
      </c>
      <c r="F468" s="19">
        <v>0.40239999999999998</v>
      </c>
      <c r="G468" s="19" t="s">
        <v>2602</v>
      </c>
      <c r="H468" s="19" t="s">
        <v>3719</v>
      </c>
    </row>
    <row r="469" spans="1:8" x14ac:dyDescent="0.35">
      <c r="A469" s="19" t="s">
        <v>4525</v>
      </c>
      <c r="B469" s="20"/>
      <c r="C469" s="20"/>
      <c r="D469" s="19"/>
      <c r="E469" s="19"/>
      <c r="F469" s="19"/>
      <c r="G469" s="19"/>
      <c r="H469" s="19"/>
    </row>
    <row r="470" spans="1:8" ht="126" x14ac:dyDescent="0.35">
      <c r="A470" s="19" t="s">
        <v>710</v>
      </c>
      <c r="B470" s="20" t="s">
        <v>707</v>
      </c>
      <c r="C470" s="20" t="s">
        <v>706</v>
      </c>
      <c r="D470" s="19" t="s">
        <v>4</v>
      </c>
      <c r="E470" s="19" t="s">
        <v>709</v>
      </c>
      <c r="F470" s="19">
        <v>0.8</v>
      </c>
      <c r="G470" s="19"/>
      <c r="H470" s="19"/>
    </row>
    <row r="471" spans="1:8" x14ac:dyDescent="0.35">
      <c r="A471" s="19" t="s">
        <v>2703</v>
      </c>
      <c r="B471" s="20" t="s">
        <v>2700</v>
      </c>
      <c r="C471" s="20" t="s">
        <v>2699</v>
      </c>
      <c r="D471" s="19" t="s">
        <v>174</v>
      </c>
      <c r="E471" s="19" t="s">
        <v>2701</v>
      </c>
      <c r="F471" s="19">
        <v>0.35389999999999999</v>
      </c>
      <c r="G471" s="19" t="s">
        <v>248</v>
      </c>
      <c r="H471" s="19" t="s">
        <v>2702</v>
      </c>
    </row>
    <row r="472" spans="1:8" x14ac:dyDescent="0.35">
      <c r="A472" s="19" t="s">
        <v>4526</v>
      </c>
      <c r="B472" s="20"/>
      <c r="C472" s="20"/>
      <c r="D472" s="19"/>
      <c r="E472" s="19"/>
      <c r="F472" s="19"/>
      <c r="G472" s="19"/>
      <c r="H472" s="19"/>
    </row>
    <row r="473" spans="1:8" ht="28" x14ac:dyDescent="0.35">
      <c r="A473" s="19" t="s">
        <v>2648</v>
      </c>
      <c r="B473" s="20" t="s">
        <v>2647</v>
      </c>
      <c r="C473" s="20" t="s">
        <v>2647</v>
      </c>
      <c r="D473" s="19" t="s">
        <v>174</v>
      </c>
      <c r="E473" s="19" t="s">
        <v>221</v>
      </c>
      <c r="F473" s="19">
        <v>0.35820000000000002</v>
      </c>
      <c r="G473" s="19" t="s">
        <v>193</v>
      </c>
      <c r="H473" s="19" t="s">
        <v>220</v>
      </c>
    </row>
    <row r="474" spans="1:8" x14ac:dyDescent="0.35">
      <c r="A474" s="19" t="s">
        <v>2357</v>
      </c>
      <c r="B474" s="20" t="s">
        <v>2353</v>
      </c>
      <c r="C474" s="20" t="s">
        <v>2353</v>
      </c>
      <c r="D474" s="19" t="s">
        <v>174</v>
      </c>
      <c r="E474" s="19" t="s">
        <v>2354</v>
      </c>
      <c r="F474" s="19">
        <v>0.39410000000000001</v>
      </c>
      <c r="G474" s="19" t="s">
        <v>2355</v>
      </c>
      <c r="H474" s="19" t="s">
        <v>2356</v>
      </c>
    </row>
    <row r="475" spans="1:8" x14ac:dyDescent="0.35">
      <c r="A475" s="19" t="s">
        <v>3606</v>
      </c>
      <c r="B475" s="20" t="s">
        <v>3605</v>
      </c>
      <c r="C475" s="20" t="s">
        <v>3604</v>
      </c>
      <c r="D475" s="19" t="s">
        <v>174</v>
      </c>
      <c r="E475" s="19" t="s">
        <v>3325</v>
      </c>
      <c r="F475" s="19">
        <v>0.41739999999999999</v>
      </c>
      <c r="G475" s="19" t="s">
        <v>2488</v>
      </c>
      <c r="H475" s="19" t="s">
        <v>299</v>
      </c>
    </row>
    <row r="476" spans="1:8" x14ac:dyDescent="0.35">
      <c r="A476" s="19" t="s">
        <v>1504</v>
      </c>
      <c r="B476" s="20" t="s">
        <v>1499</v>
      </c>
      <c r="C476" s="20" t="s">
        <v>1499</v>
      </c>
      <c r="D476" s="19" t="s">
        <v>174</v>
      </c>
      <c r="E476" s="19" t="s">
        <v>1501</v>
      </c>
      <c r="F476" s="19">
        <v>0.27650000000000002</v>
      </c>
      <c r="G476" s="19" t="s">
        <v>1502</v>
      </c>
      <c r="H476" s="19" t="s">
        <v>1503</v>
      </c>
    </row>
    <row r="477" spans="1:8" ht="42" x14ac:dyDescent="0.35">
      <c r="A477" s="19" t="s">
        <v>2038</v>
      </c>
      <c r="B477" s="20" t="s">
        <v>2035</v>
      </c>
      <c r="C477" s="20" t="s">
        <v>2034</v>
      </c>
      <c r="D477" s="19" t="s">
        <v>174</v>
      </c>
      <c r="E477" s="19" t="s">
        <v>1951</v>
      </c>
      <c r="F477" s="19">
        <v>0.22409999999999999</v>
      </c>
      <c r="G477" s="19" t="s">
        <v>2037</v>
      </c>
      <c r="H477" s="19"/>
    </row>
    <row r="478" spans="1:8" x14ac:dyDescent="0.35">
      <c r="A478" s="19" t="s">
        <v>3648</v>
      </c>
      <c r="B478" s="20" t="s">
        <v>3647</v>
      </c>
      <c r="C478" s="20" t="s">
        <v>3646</v>
      </c>
      <c r="D478" s="19" t="s">
        <v>174</v>
      </c>
      <c r="E478" s="19" t="s">
        <v>362</v>
      </c>
      <c r="F478" s="19">
        <v>0.4128</v>
      </c>
      <c r="G478" s="19" t="s">
        <v>1940</v>
      </c>
      <c r="H478" s="19" t="s">
        <v>220</v>
      </c>
    </row>
    <row r="479" spans="1:8" ht="28" x14ac:dyDescent="0.35">
      <c r="A479" s="19" t="s">
        <v>3084</v>
      </c>
      <c r="B479" s="20" t="s">
        <v>3083</v>
      </c>
      <c r="C479" s="20" t="s">
        <v>3083</v>
      </c>
      <c r="D479" s="19" t="s">
        <v>174</v>
      </c>
      <c r="E479" s="19" t="s">
        <v>221</v>
      </c>
      <c r="F479" s="19">
        <v>0.31230000000000002</v>
      </c>
      <c r="G479" s="19" t="s">
        <v>220</v>
      </c>
      <c r="H479" s="19" t="s">
        <v>362</v>
      </c>
    </row>
    <row r="480" spans="1:8" x14ac:dyDescent="0.35">
      <c r="A480" s="19" t="s">
        <v>2556</v>
      </c>
      <c r="B480" s="20" t="s">
        <v>2555</v>
      </c>
      <c r="C480" s="20" t="s">
        <v>2554</v>
      </c>
      <c r="D480" s="19" t="s">
        <v>174</v>
      </c>
      <c r="E480" s="19" t="s">
        <v>26</v>
      </c>
      <c r="F480" s="19">
        <v>0.37219999999999998</v>
      </c>
      <c r="G480" s="19" t="s">
        <v>201</v>
      </c>
      <c r="H480" s="19" t="s">
        <v>1673</v>
      </c>
    </row>
    <row r="481" spans="1:8" ht="28" x14ac:dyDescent="0.35">
      <c r="A481" s="19" t="s">
        <v>1854</v>
      </c>
      <c r="B481" s="20" t="s">
        <v>1852</v>
      </c>
      <c r="C481" s="20" t="s">
        <v>1851</v>
      </c>
      <c r="D481" s="19" t="s">
        <v>174</v>
      </c>
      <c r="E481" s="19" t="s">
        <v>221</v>
      </c>
      <c r="F481" s="19">
        <v>0.24199999999999999</v>
      </c>
      <c r="G481" s="19"/>
      <c r="H481" s="19"/>
    </row>
    <row r="482" spans="1:8" ht="42" x14ac:dyDescent="0.35">
      <c r="A482" s="19" t="s">
        <v>2227</v>
      </c>
      <c r="B482" s="20" t="s">
        <v>2226</v>
      </c>
      <c r="C482" s="20" t="s">
        <v>2225</v>
      </c>
      <c r="D482" s="19" t="s">
        <v>174</v>
      </c>
      <c r="E482" s="19" t="s">
        <v>221</v>
      </c>
      <c r="F482" s="19">
        <v>0.20780000000000001</v>
      </c>
      <c r="G482" s="19" t="s">
        <v>299</v>
      </c>
      <c r="H482" s="19"/>
    </row>
    <row r="483" spans="1:8" ht="56" x14ac:dyDescent="0.35">
      <c r="A483" s="19" t="s">
        <v>229</v>
      </c>
      <c r="B483" s="20" t="s">
        <v>225</v>
      </c>
      <c r="C483" s="20" t="s">
        <v>4527</v>
      </c>
      <c r="D483" s="19" t="s">
        <v>174</v>
      </c>
      <c r="E483" s="19" t="s">
        <v>2012</v>
      </c>
      <c r="F483" s="19">
        <v>0.2268</v>
      </c>
      <c r="G483" s="19" t="s">
        <v>227</v>
      </c>
      <c r="H483" s="19" t="s">
        <v>1666</v>
      </c>
    </row>
    <row r="484" spans="1:8" ht="56" x14ac:dyDescent="0.35">
      <c r="A484" s="19" t="s">
        <v>859</v>
      </c>
      <c r="B484" s="20" t="s">
        <v>858</v>
      </c>
      <c r="C484" s="20" t="s">
        <v>857</v>
      </c>
      <c r="D484" s="19" t="s">
        <v>4</v>
      </c>
      <c r="E484" s="19" t="s">
        <v>545</v>
      </c>
      <c r="F484" s="19">
        <v>0.8</v>
      </c>
      <c r="G484" s="19"/>
      <c r="H484" s="19"/>
    </row>
    <row r="485" spans="1:8" ht="28" x14ac:dyDescent="0.35">
      <c r="A485" s="19" t="s">
        <v>4203</v>
      </c>
      <c r="B485" s="20" t="s">
        <v>4202</v>
      </c>
      <c r="C485" s="20" t="s">
        <v>4201</v>
      </c>
      <c r="D485" s="19"/>
      <c r="E485" s="19"/>
      <c r="F485" s="19"/>
      <c r="G485" s="19"/>
      <c r="H485" s="19"/>
    </row>
    <row r="486" spans="1:8" ht="28" x14ac:dyDescent="0.35">
      <c r="A486" s="19" t="s">
        <v>4528</v>
      </c>
      <c r="B486" s="20" t="s">
        <v>4202</v>
      </c>
      <c r="C486" s="20" t="s">
        <v>4201</v>
      </c>
      <c r="D486" s="19"/>
      <c r="E486" s="19"/>
      <c r="F486" s="19"/>
      <c r="G486" s="19"/>
      <c r="H486" s="19"/>
    </row>
    <row r="487" spans="1:8" x14ac:dyDescent="0.35">
      <c r="A487" s="19" t="s">
        <v>563</v>
      </c>
      <c r="B487" s="20" t="s">
        <v>560</v>
      </c>
      <c r="C487" s="20" t="s">
        <v>560</v>
      </c>
      <c r="D487" s="19" t="s">
        <v>21</v>
      </c>
      <c r="E487" s="19" t="s">
        <v>562</v>
      </c>
      <c r="F487" s="19">
        <v>1</v>
      </c>
      <c r="G487" s="19"/>
      <c r="H487" s="19"/>
    </row>
    <row r="488" spans="1:8" x14ac:dyDescent="0.35">
      <c r="A488" s="19" t="s">
        <v>4529</v>
      </c>
      <c r="B488" s="20"/>
      <c r="C488" s="20"/>
      <c r="D488" s="19"/>
      <c r="E488" s="19"/>
      <c r="F488" s="19"/>
      <c r="G488" s="19"/>
      <c r="H488" s="19"/>
    </row>
    <row r="489" spans="1:8" ht="42" x14ac:dyDescent="0.35">
      <c r="A489" s="19" t="s">
        <v>2231</v>
      </c>
      <c r="B489" s="20" t="s">
        <v>2230</v>
      </c>
      <c r="C489" s="20" t="s">
        <v>4530</v>
      </c>
      <c r="D489" s="19" t="s">
        <v>174</v>
      </c>
      <c r="E489" s="19" t="s">
        <v>3507</v>
      </c>
      <c r="F489" s="19">
        <v>0.42899999999999999</v>
      </c>
      <c r="G489" s="19" t="s">
        <v>2454</v>
      </c>
      <c r="H489" s="19" t="s">
        <v>2455</v>
      </c>
    </row>
    <row r="490" spans="1:8" x14ac:dyDescent="0.35">
      <c r="A490" s="19" t="s">
        <v>549</v>
      </c>
      <c r="B490" s="20" t="s">
        <v>548</v>
      </c>
      <c r="C490" s="20" t="s">
        <v>548</v>
      </c>
      <c r="D490" s="19" t="s">
        <v>21</v>
      </c>
      <c r="E490" s="19" t="s">
        <v>548</v>
      </c>
      <c r="F490" s="19">
        <v>1</v>
      </c>
      <c r="G490" s="19"/>
      <c r="H490" s="19"/>
    </row>
    <row r="491" spans="1:8" ht="28" x14ac:dyDescent="0.35">
      <c r="A491" s="19" t="s">
        <v>1240</v>
      </c>
      <c r="B491" s="20" t="s">
        <v>1239</v>
      </c>
      <c r="C491" s="20" t="s">
        <v>1239</v>
      </c>
      <c r="D491" s="19" t="s">
        <v>115</v>
      </c>
      <c r="E491" s="19" t="s">
        <v>130</v>
      </c>
      <c r="F491" s="19">
        <v>0.6</v>
      </c>
      <c r="G491" s="19"/>
      <c r="H491" s="19"/>
    </row>
    <row r="492" spans="1:8" x14ac:dyDescent="0.35">
      <c r="A492" s="19" t="s">
        <v>131</v>
      </c>
      <c r="B492" s="20" t="s">
        <v>128</v>
      </c>
      <c r="C492" s="20" t="s">
        <v>127</v>
      </c>
      <c r="D492" s="19" t="s">
        <v>115</v>
      </c>
      <c r="E492" s="19" t="s">
        <v>130</v>
      </c>
      <c r="F492" s="19">
        <v>0.6</v>
      </c>
      <c r="G492" s="19"/>
      <c r="H492" s="19"/>
    </row>
    <row r="493" spans="1:8" x14ac:dyDescent="0.35">
      <c r="A493" s="19" t="s">
        <v>4531</v>
      </c>
      <c r="B493" s="20" t="s">
        <v>128</v>
      </c>
      <c r="C493" s="20" t="s">
        <v>127</v>
      </c>
      <c r="D493" s="19" t="s">
        <v>115</v>
      </c>
      <c r="E493" s="19" t="s">
        <v>130</v>
      </c>
      <c r="F493" s="19">
        <v>0.6</v>
      </c>
      <c r="G493" s="19"/>
      <c r="H493" s="19"/>
    </row>
    <row r="494" spans="1:8" x14ac:dyDescent="0.35">
      <c r="A494" s="19" t="s">
        <v>189</v>
      </c>
      <c r="B494" s="20" t="s">
        <v>185</v>
      </c>
      <c r="C494" s="20" t="s">
        <v>184</v>
      </c>
      <c r="D494" s="19" t="s">
        <v>174</v>
      </c>
      <c r="E494" s="19" t="s">
        <v>186</v>
      </c>
      <c r="F494" s="19">
        <v>0.2853</v>
      </c>
      <c r="G494" s="19" t="s">
        <v>187</v>
      </c>
      <c r="H494" s="19" t="s">
        <v>188</v>
      </c>
    </row>
    <row r="495" spans="1:8" ht="42" x14ac:dyDescent="0.35">
      <c r="A495" s="19" t="s">
        <v>4085</v>
      </c>
      <c r="B495" s="20" t="s">
        <v>4084</v>
      </c>
      <c r="C495" s="20" t="s">
        <v>4083</v>
      </c>
      <c r="D495" s="19"/>
      <c r="E495" s="19"/>
      <c r="F495" s="19"/>
      <c r="G495" s="19"/>
      <c r="H495" s="19"/>
    </row>
    <row r="496" spans="1:8" x14ac:dyDescent="0.35">
      <c r="A496" s="19" t="s">
        <v>3200</v>
      </c>
      <c r="B496" s="20" t="s">
        <v>3198</v>
      </c>
      <c r="C496" s="20" t="s">
        <v>3197</v>
      </c>
      <c r="D496" s="19" t="s">
        <v>174</v>
      </c>
      <c r="E496" s="19" t="s">
        <v>565</v>
      </c>
      <c r="F496" s="19">
        <v>0.48849999999999999</v>
      </c>
      <c r="G496" s="19" t="s">
        <v>2741</v>
      </c>
      <c r="H496" s="19" t="s">
        <v>3199</v>
      </c>
    </row>
    <row r="497" spans="1:8" x14ac:dyDescent="0.35">
      <c r="A497" s="19" t="s">
        <v>2326</v>
      </c>
      <c r="B497" s="20" t="s">
        <v>2321</v>
      </c>
      <c r="C497" s="20" t="s">
        <v>2320</v>
      </c>
      <c r="D497" s="19" t="s">
        <v>174</v>
      </c>
      <c r="E497" s="19" t="s">
        <v>2323</v>
      </c>
      <c r="F497" s="19">
        <v>0.39710000000000001</v>
      </c>
      <c r="G497" s="19" t="s">
        <v>2324</v>
      </c>
      <c r="H497" s="19" t="s">
        <v>2325</v>
      </c>
    </row>
    <row r="498" spans="1:8" x14ac:dyDescent="0.35">
      <c r="A498" s="19" t="s">
        <v>3897</v>
      </c>
      <c r="B498" s="20" t="s">
        <v>3896</v>
      </c>
      <c r="C498" s="20" t="s">
        <v>3896</v>
      </c>
      <c r="D498" s="19"/>
      <c r="E498" s="19"/>
      <c r="F498" s="19"/>
      <c r="G498" s="19"/>
      <c r="H498" s="19"/>
    </row>
    <row r="499" spans="1:8" x14ac:dyDescent="0.35">
      <c r="A499" s="19" t="s">
        <v>2972</v>
      </c>
      <c r="B499" s="20" t="s">
        <v>2967</v>
      </c>
      <c r="C499" s="20" t="s">
        <v>2966</v>
      </c>
      <c r="D499" s="19" t="s">
        <v>174</v>
      </c>
      <c r="E499" s="19" t="s">
        <v>2969</v>
      </c>
      <c r="F499" s="19">
        <v>0.3261</v>
      </c>
      <c r="G499" s="19" t="s">
        <v>2970</v>
      </c>
      <c r="H499" s="19" t="s">
        <v>2971</v>
      </c>
    </row>
    <row r="500" spans="1:8" ht="28" x14ac:dyDescent="0.35">
      <c r="A500" s="19" t="s">
        <v>776</v>
      </c>
      <c r="B500" s="20" t="s">
        <v>775</v>
      </c>
      <c r="C500" s="20" t="s">
        <v>775</v>
      </c>
      <c r="D500" s="19" t="s">
        <v>4</v>
      </c>
      <c r="E500" s="19" t="s">
        <v>67</v>
      </c>
      <c r="F500" s="19">
        <v>0.8</v>
      </c>
      <c r="G500" s="19"/>
      <c r="H500" s="19"/>
    </row>
    <row r="501" spans="1:8" x14ac:dyDescent="0.35">
      <c r="A501" s="19" t="s">
        <v>903</v>
      </c>
      <c r="B501" s="20" t="s">
        <v>900</v>
      </c>
      <c r="C501" s="20" t="s">
        <v>900</v>
      </c>
      <c r="D501" s="19" t="s">
        <v>4</v>
      </c>
      <c r="E501" s="19" t="s">
        <v>902</v>
      </c>
      <c r="F501" s="19">
        <v>0.8</v>
      </c>
      <c r="G501" s="19"/>
      <c r="H501" s="19"/>
    </row>
    <row r="502" spans="1:8" x14ac:dyDescent="0.35">
      <c r="A502" s="19" t="s">
        <v>1531</v>
      </c>
      <c r="B502" s="20" t="s">
        <v>1527</v>
      </c>
      <c r="C502" s="20" t="s">
        <v>1526</v>
      </c>
      <c r="D502" s="19" t="s">
        <v>174</v>
      </c>
      <c r="E502" s="19" t="s">
        <v>1529</v>
      </c>
      <c r="F502" s="19">
        <v>0.27529999999999999</v>
      </c>
      <c r="G502" s="19" t="s">
        <v>1530</v>
      </c>
      <c r="H502" s="19"/>
    </row>
    <row r="503" spans="1:8" ht="28" x14ac:dyDescent="0.35">
      <c r="A503" s="19" t="s">
        <v>4185</v>
      </c>
      <c r="B503" s="20" t="s">
        <v>4184</v>
      </c>
      <c r="C503" s="20" t="s">
        <v>4532</v>
      </c>
      <c r="D503" s="19" t="s">
        <v>21</v>
      </c>
      <c r="E503" s="19" t="s">
        <v>106</v>
      </c>
      <c r="F503" s="19">
        <v>1</v>
      </c>
      <c r="G503" s="19"/>
      <c r="H503" s="19"/>
    </row>
    <row r="504" spans="1:8" x14ac:dyDescent="0.35">
      <c r="A504" s="19" t="s">
        <v>2616</v>
      </c>
      <c r="B504" s="20" t="s">
        <v>2613</v>
      </c>
      <c r="C504" s="20" t="s">
        <v>4533</v>
      </c>
      <c r="D504" s="19" t="s">
        <v>174</v>
      </c>
      <c r="E504" s="19" t="s">
        <v>3598</v>
      </c>
      <c r="F504" s="19">
        <v>0.41839999999999999</v>
      </c>
      <c r="G504" s="19" t="s">
        <v>448</v>
      </c>
      <c r="H504" s="19" t="s">
        <v>3599</v>
      </c>
    </row>
    <row r="505" spans="1:8" x14ac:dyDescent="0.35">
      <c r="A505" s="19" t="s">
        <v>3730</v>
      </c>
      <c r="B505" s="20" t="s">
        <v>3729</v>
      </c>
      <c r="C505" s="20" t="s">
        <v>3728</v>
      </c>
      <c r="D505" s="19"/>
      <c r="E505" s="19"/>
      <c r="F505" s="19"/>
      <c r="G505" s="19"/>
      <c r="H505" s="19"/>
    </row>
    <row r="506" spans="1:8" x14ac:dyDescent="0.35">
      <c r="A506" s="19" t="s">
        <v>579</v>
      </c>
      <c r="B506" s="20" t="s">
        <v>577</v>
      </c>
      <c r="C506" s="20" t="s">
        <v>576</v>
      </c>
      <c r="D506" s="19" t="s">
        <v>21</v>
      </c>
      <c r="E506" s="19" t="s">
        <v>578</v>
      </c>
      <c r="F506" s="19">
        <v>1</v>
      </c>
      <c r="G506" s="19"/>
      <c r="H506" s="19"/>
    </row>
    <row r="507" spans="1:8" x14ac:dyDescent="0.35">
      <c r="A507" s="19" t="s">
        <v>952</v>
      </c>
      <c r="B507" s="20" t="s">
        <v>951</v>
      </c>
      <c r="C507" s="20" t="s">
        <v>950</v>
      </c>
      <c r="D507" s="19" t="s">
        <v>4</v>
      </c>
      <c r="E507" s="19" t="s">
        <v>112</v>
      </c>
      <c r="F507" s="19">
        <v>0.8</v>
      </c>
      <c r="G507" s="19"/>
      <c r="H507" s="19"/>
    </row>
    <row r="508" spans="1:8" x14ac:dyDescent="0.35">
      <c r="A508" s="19" t="s">
        <v>4534</v>
      </c>
      <c r="B508" s="20" t="s">
        <v>1473</v>
      </c>
      <c r="C508" s="20" t="s">
        <v>1473</v>
      </c>
      <c r="D508" s="19" t="s">
        <v>174</v>
      </c>
      <c r="E508" s="19" t="s">
        <v>1476</v>
      </c>
      <c r="F508" s="19">
        <v>0.27950000000000003</v>
      </c>
      <c r="G508" s="19" t="s">
        <v>1477</v>
      </c>
      <c r="H508" s="19" t="s">
        <v>1478</v>
      </c>
    </row>
    <row r="509" spans="1:8" x14ac:dyDescent="0.35">
      <c r="A509" s="19" t="s">
        <v>1779</v>
      </c>
      <c r="B509" s="20" t="s">
        <v>1774</v>
      </c>
      <c r="C509" s="20" t="s">
        <v>1774</v>
      </c>
      <c r="D509" s="19" t="s">
        <v>174</v>
      </c>
      <c r="E509" s="19" t="s">
        <v>1776</v>
      </c>
      <c r="F509" s="19">
        <v>0.25019999999999998</v>
      </c>
      <c r="G509" s="19" t="s">
        <v>1777</v>
      </c>
      <c r="H509" s="19" t="s">
        <v>1778</v>
      </c>
    </row>
    <row r="510" spans="1:8" ht="42" x14ac:dyDescent="0.35">
      <c r="A510" s="19" t="s">
        <v>2088</v>
      </c>
      <c r="B510" s="20" t="s">
        <v>2084</v>
      </c>
      <c r="C510" s="20" t="s">
        <v>2083</v>
      </c>
      <c r="D510" s="19" t="s">
        <v>174</v>
      </c>
      <c r="E510" s="19" t="s">
        <v>2086</v>
      </c>
      <c r="F510" s="19">
        <v>0.21929999999999999</v>
      </c>
      <c r="G510" s="19" t="s">
        <v>1311</v>
      </c>
      <c r="H510" s="19" t="s">
        <v>2087</v>
      </c>
    </row>
    <row r="511" spans="1:8" x14ac:dyDescent="0.35">
      <c r="A511" s="19" t="s">
        <v>2076</v>
      </c>
      <c r="B511" s="20" t="s">
        <v>2074</v>
      </c>
      <c r="C511" s="20" t="s">
        <v>2073</v>
      </c>
      <c r="D511" s="19" t="s">
        <v>174</v>
      </c>
      <c r="E511" s="19" t="s">
        <v>1778</v>
      </c>
      <c r="F511" s="19">
        <v>0.22020000000000001</v>
      </c>
      <c r="G511" s="19" t="s">
        <v>2075</v>
      </c>
      <c r="H511" s="19"/>
    </row>
    <row r="512" spans="1:8" x14ac:dyDescent="0.35">
      <c r="A512" s="19" t="s">
        <v>4535</v>
      </c>
      <c r="B512" s="20"/>
      <c r="C512" s="20"/>
      <c r="D512" s="19"/>
      <c r="E512" s="19"/>
      <c r="F512" s="19"/>
      <c r="G512" s="19"/>
      <c r="H512" s="19"/>
    </row>
    <row r="513" spans="1:8" x14ac:dyDescent="0.35">
      <c r="A513" s="19" t="s">
        <v>3715</v>
      </c>
      <c r="B513" s="20" t="s">
        <v>3714</v>
      </c>
      <c r="C513" s="20" t="s">
        <v>3713</v>
      </c>
      <c r="D513" s="19" t="s">
        <v>174</v>
      </c>
      <c r="E513" s="19" t="s">
        <v>349</v>
      </c>
      <c r="F513" s="19">
        <v>0.40339999999999998</v>
      </c>
      <c r="G513" s="19" t="s">
        <v>347</v>
      </c>
      <c r="H513" s="19" t="s">
        <v>2900</v>
      </c>
    </row>
    <row r="514" spans="1:8" x14ac:dyDescent="0.35">
      <c r="A514" s="19" t="s">
        <v>1378</v>
      </c>
      <c r="B514" s="20" t="s">
        <v>1373</v>
      </c>
      <c r="C514" s="20" t="s">
        <v>1372</v>
      </c>
      <c r="D514" s="19" t="s">
        <v>174</v>
      </c>
      <c r="E514" s="19" t="s">
        <v>1375</v>
      </c>
      <c r="F514" s="19">
        <v>0.29170000000000001</v>
      </c>
      <c r="G514" s="19" t="s">
        <v>1376</v>
      </c>
      <c r="H514" s="19" t="s">
        <v>1377</v>
      </c>
    </row>
    <row r="515" spans="1:8" x14ac:dyDescent="0.35">
      <c r="A515" s="19" t="s">
        <v>434</v>
      </c>
      <c r="B515" s="20" t="s">
        <v>433</v>
      </c>
      <c r="C515" s="20" t="s">
        <v>432</v>
      </c>
      <c r="D515" s="19" t="s">
        <v>21</v>
      </c>
      <c r="E515" s="19" t="s">
        <v>432</v>
      </c>
      <c r="F515" s="19">
        <v>1</v>
      </c>
      <c r="G515" s="19"/>
      <c r="H515" s="19"/>
    </row>
    <row r="516" spans="1:8" x14ac:dyDescent="0.35">
      <c r="A516" s="19" t="s">
        <v>1325</v>
      </c>
      <c r="B516" s="20" t="s">
        <v>1321</v>
      </c>
      <c r="C516" s="20" t="s">
        <v>1320</v>
      </c>
      <c r="D516" s="19" t="s">
        <v>174</v>
      </c>
      <c r="E516" s="19" t="s">
        <v>1323</v>
      </c>
      <c r="F516" s="19">
        <v>0.29480000000000001</v>
      </c>
      <c r="G516" s="19" t="s">
        <v>424</v>
      </c>
      <c r="H516" s="19" t="s">
        <v>1324</v>
      </c>
    </row>
    <row r="517" spans="1:8" x14ac:dyDescent="0.35">
      <c r="A517" s="19" t="s">
        <v>2575</v>
      </c>
      <c r="B517" s="20" t="s">
        <v>2573</v>
      </c>
      <c r="C517" s="20" t="s">
        <v>2573</v>
      </c>
      <c r="D517" s="19" t="s">
        <v>174</v>
      </c>
      <c r="E517" s="19" t="s">
        <v>1428</v>
      </c>
      <c r="F517" s="19">
        <v>0.36870000000000003</v>
      </c>
      <c r="G517" s="19" t="s">
        <v>1427</v>
      </c>
      <c r="H517" s="19" t="s">
        <v>2574</v>
      </c>
    </row>
    <row r="518" spans="1:8" x14ac:dyDescent="0.35">
      <c r="A518" s="19" t="s">
        <v>4536</v>
      </c>
      <c r="B518" s="20"/>
      <c r="C518" s="20"/>
      <c r="D518" s="19"/>
      <c r="E518" s="19"/>
      <c r="F518" s="19"/>
      <c r="G518" s="19"/>
      <c r="H518" s="19"/>
    </row>
    <row r="519" spans="1:8" x14ac:dyDescent="0.35">
      <c r="A519" s="19" t="s">
        <v>535</v>
      </c>
      <c r="B519" s="20" t="s">
        <v>534</v>
      </c>
      <c r="C519" s="20" t="s">
        <v>533</v>
      </c>
      <c r="D519" s="19" t="s">
        <v>21</v>
      </c>
      <c r="E519" s="19" t="s">
        <v>112</v>
      </c>
      <c r="F519" s="19">
        <v>1</v>
      </c>
      <c r="G519" s="19"/>
      <c r="H519" s="19"/>
    </row>
    <row r="520" spans="1:8" x14ac:dyDescent="0.35">
      <c r="A520" s="19" t="s">
        <v>4537</v>
      </c>
      <c r="B520" s="20" t="s">
        <v>2573</v>
      </c>
      <c r="C520" s="20" t="s">
        <v>2573</v>
      </c>
      <c r="D520" s="19" t="s">
        <v>174</v>
      </c>
      <c r="E520" s="19" t="s">
        <v>1428</v>
      </c>
      <c r="F520" s="19">
        <v>0.36870000000000003</v>
      </c>
      <c r="G520" s="19" t="s">
        <v>1427</v>
      </c>
      <c r="H520" s="19" t="s">
        <v>2574</v>
      </c>
    </row>
    <row r="521" spans="1:8" x14ac:dyDescent="0.35">
      <c r="A521" s="19" t="s">
        <v>4164</v>
      </c>
      <c r="B521" s="20" t="s">
        <v>4162</v>
      </c>
      <c r="C521" s="20" t="s">
        <v>4162</v>
      </c>
      <c r="D521" s="19"/>
      <c r="E521" s="19"/>
      <c r="F521" s="19"/>
      <c r="G521" s="19"/>
      <c r="H521" s="19"/>
    </row>
    <row r="522" spans="1:8" x14ac:dyDescent="0.35">
      <c r="A522" s="19" t="s">
        <v>4538</v>
      </c>
      <c r="B522" s="20"/>
      <c r="C522" s="20"/>
      <c r="D522" s="19"/>
      <c r="E522" s="19"/>
      <c r="F522" s="19"/>
      <c r="G522" s="19"/>
      <c r="H522" s="19"/>
    </row>
    <row r="523" spans="1:8" x14ac:dyDescent="0.35">
      <c r="A523" s="19" t="s">
        <v>350</v>
      </c>
      <c r="B523" s="20" t="s">
        <v>346</v>
      </c>
      <c r="C523" s="20" t="s">
        <v>345</v>
      </c>
      <c r="D523" s="19" t="s">
        <v>174</v>
      </c>
      <c r="E523" s="19" t="s">
        <v>347</v>
      </c>
      <c r="F523" s="19">
        <v>0.44369999999999998</v>
      </c>
      <c r="G523" s="19" t="s">
        <v>348</v>
      </c>
      <c r="H523" s="19" t="s">
        <v>349</v>
      </c>
    </row>
    <row r="524" spans="1:8" x14ac:dyDescent="0.35">
      <c r="A524" s="19" t="s">
        <v>4539</v>
      </c>
      <c r="B524" s="20" t="s">
        <v>4540</v>
      </c>
      <c r="C524" s="20"/>
      <c r="D524" s="19"/>
      <c r="E524" s="19"/>
      <c r="F524" s="19"/>
      <c r="G524" s="19"/>
      <c r="H524" s="19"/>
    </row>
    <row r="525" spans="1:8" ht="28" x14ac:dyDescent="0.35">
      <c r="A525" s="19" t="s">
        <v>416</v>
      </c>
      <c r="B525" s="20" t="s">
        <v>415</v>
      </c>
      <c r="C525" s="20" t="s">
        <v>4541</v>
      </c>
      <c r="D525" s="19" t="s">
        <v>21</v>
      </c>
      <c r="E525" s="19" t="s">
        <v>424</v>
      </c>
      <c r="F525" s="19">
        <v>0.8</v>
      </c>
      <c r="G525" s="19" t="s">
        <v>426</v>
      </c>
      <c r="H525" s="19" t="s">
        <v>95</v>
      </c>
    </row>
    <row r="526" spans="1:8" x14ac:dyDescent="0.35">
      <c r="A526" s="19" t="s">
        <v>4542</v>
      </c>
      <c r="B526" s="20" t="s">
        <v>2073</v>
      </c>
      <c r="C526" s="20" t="s">
        <v>2073</v>
      </c>
      <c r="D526" s="19" t="s">
        <v>174</v>
      </c>
      <c r="E526" s="19" t="s">
        <v>1778</v>
      </c>
      <c r="F526" s="19">
        <v>0.22020000000000001</v>
      </c>
      <c r="G526" s="19" t="s">
        <v>2075</v>
      </c>
      <c r="H526" s="19"/>
    </row>
    <row r="527" spans="1:8" x14ac:dyDescent="0.35">
      <c r="A527" s="19" t="s">
        <v>855</v>
      </c>
      <c r="B527" s="20" t="s">
        <v>854</v>
      </c>
      <c r="C527" s="20" t="s">
        <v>853</v>
      </c>
      <c r="D527" s="19" t="s">
        <v>4</v>
      </c>
      <c r="E527" s="19" t="s">
        <v>487</v>
      </c>
      <c r="F527" s="19">
        <v>0.8</v>
      </c>
      <c r="G527" s="19"/>
      <c r="H527" s="19"/>
    </row>
    <row r="528" spans="1:8" x14ac:dyDescent="0.35">
      <c r="A528" s="19" t="s">
        <v>4543</v>
      </c>
      <c r="B528" s="20" t="s">
        <v>4544</v>
      </c>
      <c r="C528" s="20" t="s">
        <v>63</v>
      </c>
      <c r="D528" s="19" t="s">
        <v>21</v>
      </c>
      <c r="E528" s="19" t="s">
        <v>63</v>
      </c>
      <c r="F528" s="19">
        <v>1</v>
      </c>
      <c r="G528" s="19"/>
      <c r="H528" s="19"/>
    </row>
    <row r="529" spans="1:8" x14ac:dyDescent="0.35">
      <c r="A529" s="19" t="s">
        <v>4545</v>
      </c>
      <c r="B529" s="20" t="s">
        <v>4546</v>
      </c>
      <c r="C529" s="20" t="s">
        <v>4118</v>
      </c>
      <c r="D529" s="19"/>
      <c r="E529" s="19"/>
      <c r="F529" s="19"/>
      <c r="G529" s="19"/>
      <c r="H529" s="19"/>
    </row>
    <row r="530" spans="1:8" ht="42" x14ac:dyDescent="0.35">
      <c r="A530" s="19" t="s">
        <v>1072</v>
      </c>
      <c r="B530" s="20" t="s">
        <v>1071</v>
      </c>
      <c r="C530" s="20" t="s">
        <v>1070</v>
      </c>
      <c r="D530" s="19" t="s">
        <v>4</v>
      </c>
      <c r="E530" s="19" t="s">
        <v>583</v>
      </c>
      <c r="F530" s="19">
        <v>0.8</v>
      </c>
      <c r="G530" s="19"/>
      <c r="H530" s="19"/>
    </row>
    <row r="531" spans="1:8" x14ac:dyDescent="0.35">
      <c r="A531" s="19" t="s">
        <v>2142</v>
      </c>
      <c r="B531" s="20" t="s">
        <v>2140</v>
      </c>
      <c r="C531" s="20" t="s">
        <v>2140</v>
      </c>
      <c r="D531" s="19" t="s">
        <v>174</v>
      </c>
      <c r="E531" s="19" t="s">
        <v>95</v>
      </c>
      <c r="F531" s="19">
        <v>0.216</v>
      </c>
      <c r="G531" s="19"/>
      <c r="H531" s="19"/>
    </row>
    <row r="532" spans="1:8" x14ac:dyDescent="0.35">
      <c r="A532" s="19" t="s">
        <v>258</v>
      </c>
      <c r="B532" s="20" t="s">
        <v>254</v>
      </c>
      <c r="C532" s="20" t="s">
        <v>253</v>
      </c>
      <c r="D532" s="19" t="s">
        <v>174</v>
      </c>
      <c r="E532" s="19" t="s">
        <v>255</v>
      </c>
      <c r="F532" s="19">
        <v>0.3639</v>
      </c>
      <c r="G532" s="19" t="s">
        <v>256</v>
      </c>
      <c r="H532" s="19" t="s">
        <v>257</v>
      </c>
    </row>
    <row r="533" spans="1:8" ht="42" x14ac:dyDescent="0.35">
      <c r="A533" s="19" t="s">
        <v>1257</v>
      </c>
      <c r="B533" s="20" t="s">
        <v>1254</v>
      </c>
      <c r="C533" s="20" t="s">
        <v>4547</v>
      </c>
      <c r="D533" s="19" t="s">
        <v>174</v>
      </c>
      <c r="E533" s="19" t="s">
        <v>1256</v>
      </c>
      <c r="F533" s="19">
        <v>0.29949999999999999</v>
      </c>
      <c r="G533" s="19" t="s">
        <v>1476</v>
      </c>
      <c r="H533" s="19" t="s">
        <v>1477</v>
      </c>
    </row>
    <row r="534" spans="1:8" ht="28" x14ac:dyDescent="0.35">
      <c r="A534" s="19" t="s">
        <v>2711</v>
      </c>
      <c r="B534" s="20" t="s">
        <v>2706</v>
      </c>
      <c r="C534" s="20" t="s">
        <v>2705</v>
      </c>
      <c r="D534" s="19" t="s">
        <v>174</v>
      </c>
      <c r="E534" s="19" t="s">
        <v>2708</v>
      </c>
      <c r="F534" s="19">
        <v>0.35249999999999998</v>
      </c>
      <c r="G534" s="19" t="s">
        <v>2709</v>
      </c>
      <c r="H534" s="19" t="s">
        <v>2710</v>
      </c>
    </row>
    <row r="535" spans="1:8" x14ac:dyDescent="0.35">
      <c r="A535" s="19" t="s">
        <v>567</v>
      </c>
      <c r="B535" s="20" t="s">
        <v>566</v>
      </c>
      <c r="C535" s="20" t="s">
        <v>565</v>
      </c>
      <c r="D535" s="19" t="s">
        <v>21</v>
      </c>
      <c r="E535" s="19" t="s">
        <v>565</v>
      </c>
      <c r="F535" s="19">
        <v>1</v>
      </c>
      <c r="G535" s="19"/>
      <c r="H535" s="19"/>
    </row>
    <row r="536" spans="1:8" ht="42" x14ac:dyDescent="0.35">
      <c r="A536" s="19" t="s">
        <v>2377</v>
      </c>
      <c r="B536" s="20" t="s">
        <v>2373</v>
      </c>
      <c r="C536" s="20" t="s">
        <v>4548</v>
      </c>
      <c r="D536" s="19" t="s">
        <v>174</v>
      </c>
      <c r="E536" s="19" t="s">
        <v>2374</v>
      </c>
      <c r="F536" s="19">
        <v>0.39150000000000001</v>
      </c>
      <c r="G536" s="19" t="s">
        <v>2375</v>
      </c>
      <c r="H536" s="19" t="s">
        <v>2376</v>
      </c>
    </row>
    <row r="537" spans="1:8" ht="28" x14ac:dyDescent="0.35">
      <c r="A537" s="19" t="s">
        <v>1833</v>
      </c>
      <c r="B537" s="20" t="s">
        <v>1828</v>
      </c>
      <c r="C537" s="20" t="s">
        <v>1827</v>
      </c>
      <c r="D537" s="19" t="s">
        <v>174</v>
      </c>
      <c r="E537" s="19" t="s">
        <v>1830</v>
      </c>
      <c r="F537" s="19">
        <v>0.24460000000000001</v>
      </c>
      <c r="G537" s="19" t="s">
        <v>1831</v>
      </c>
      <c r="H537" s="19" t="s">
        <v>1832</v>
      </c>
    </row>
    <row r="538" spans="1:8" ht="56" x14ac:dyDescent="0.35">
      <c r="A538" s="19" t="s">
        <v>1800</v>
      </c>
      <c r="B538" s="20" t="s">
        <v>1797</v>
      </c>
      <c r="C538" s="20" t="s">
        <v>1796</v>
      </c>
      <c r="D538" s="19" t="s">
        <v>174</v>
      </c>
      <c r="E538" s="19" t="s">
        <v>1799</v>
      </c>
      <c r="F538" s="19">
        <v>0.24779999999999999</v>
      </c>
      <c r="G538" s="19" t="s">
        <v>1309</v>
      </c>
      <c r="H538" s="19"/>
    </row>
    <row r="539" spans="1:8" x14ac:dyDescent="0.35">
      <c r="A539" s="19" t="s">
        <v>4549</v>
      </c>
      <c r="B539" s="20" t="s">
        <v>67</v>
      </c>
      <c r="C539" s="20" t="s">
        <v>67</v>
      </c>
      <c r="D539" s="19" t="s">
        <v>21</v>
      </c>
      <c r="E539" s="19" t="s">
        <v>67</v>
      </c>
      <c r="F539" s="19">
        <v>1</v>
      </c>
      <c r="G539" s="19"/>
      <c r="H539" s="19"/>
    </row>
    <row r="540" spans="1:8" x14ac:dyDescent="0.35">
      <c r="A540" s="19" t="s">
        <v>4550</v>
      </c>
      <c r="B540" s="20" t="s">
        <v>67</v>
      </c>
      <c r="C540" s="20" t="s">
        <v>67</v>
      </c>
      <c r="D540" s="19" t="s">
        <v>21</v>
      </c>
      <c r="E540" s="19" t="s">
        <v>67</v>
      </c>
      <c r="F540" s="19">
        <v>1</v>
      </c>
      <c r="G540" s="19"/>
      <c r="H540" s="19"/>
    </row>
    <row r="541" spans="1:8" x14ac:dyDescent="0.35">
      <c r="A541" s="19" t="s">
        <v>4551</v>
      </c>
      <c r="B541" s="20" t="s">
        <v>4552</v>
      </c>
      <c r="C541" s="20" t="s">
        <v>320</v>
      </c>
      <c r="D541" s="19" t="s">
        <v>174</v>
      </c>
      <c r="E541" s="19" t="s">
        <v>322</v>
      </c>
      <c r="F541" s="19">
        <v>0.45369999999999999</v>
      </c>
      <c r="G541" s="19" t="s">
        <v>323</v>
      </c>
      <c r="H541" s="19" t="s">
        <v>324</v>
      </c>
    </row>
    <row r="542" spans="1:8" x14ac:dyDescent="0.35">
      <c r="A542" s="19" t="s">
        <v>4553</v>
      </c>
      <c r="B542" s="20" t="s">
        <v>3668</v>
      </c>
      <c r="C542" s="20" t="s">
        <v>3667</v>
      </c>
      <c r="D542" s="19" t="s">
        <v>174</v>
      </c>
      <c r="E542" s="19" t="s">
        <v>3670</v>
      </c>
      <c r="F542" s="19">
        <v>0.4103</v>
      </c>
      <c r="G542" s="19" t="s">
        <v>3540</v>
      </c>
      <c r="H542" s="19" t="s">
        <v>3671</v>
      </c>
    </row>
    <row r="543" spans="1:8" x14ac:dyDescent="0.35">
      <c r="A543" s="19" t="s">
        <v>3936</v>
      </c>
      <c r="B543" s="20" t="s">
        <v>3935</v>
      </c>
      <c r="C543" s="20" t="s">
        <v>3934</v>
      </c>
      <c r="D543" s="19"/>
      <c r="E543" s="19"/>
      <c r="F543" s="19"/>
      <c r="G543" s="19"/>
      <c r="H543" s="19"/>
    </row>
    <row r="544" spans="1:8" ht="56" x14ac:dyDescent="0.35">
      <c r="A544" s="19" t="s">
        <v>2494</v>
      </c>
      <c r="B544" s="20" t="s">
        <v>2492</v>
      </c>
      <c r="C544" s="20" t="s">
        <v>2491</v>
      </c>
      <c r="D544" s="19" t="s">
        <v>174</v>
      </c>
      <c r="E544" s="19" t="s">
        <v>1549</v>
      </c>
      <c r="F544" s="19">
        <v>0.38340000000000002</v>
      </c>
      <c r="G544" s="19" t="s">
        <v>448</v>
      </c>
      <c r="H544" s="19" t="s">
        <v>2493</v>
      </c>
    </row>
    <row r="545" spans="1:8" ht="28" x14ac:dyDescent="0.35">
      <c r="A545" s="19" t="s">
        <v>1089</v>
      </c>
      <c r="B545" s="20" t="s">
        <v>1088</v>
      </c>
      <c r="C545" s="20" t="s">
        <v>1088</v>
      </c>
      <c r="D545" s="19" t="s">
        <v>4</v>
      </c>
      <c r="E545" s="19" t="s">
        <v>1081</v>
      </c>
      <c r="F545" s="19">
        <v>0.8</v>
      </c>
      <c r="G545" s="19"/>
      <c r="H545" s="19"/>
    </row>
    <row r="546" spans="1:8" ht="28" x14ac:dyDescent="0.35">
      <c r="A546" s="19" t="s">
        <v>2640</v>
      </c>
      <c r="B546" s="20" t="s">
        <v>2637</v>
      </c>
      <c r="C546" s="20" t="s">
        <v>4554</v>
      </c>
      <c r="D546" s="19" t="s">
        <v>174</v>
      </c>
      <c r="E546" s="19" t="s">
        <v>3636</v>
      </c>
      <c r="F546" s="19">
        <v>0.41499999999999998</v>
      </c>
      <c r="G546" s="19" t="s">
        <v>2470</v>
      </c>
      <c r="H546" s="19" t="s">
        <v>3637</v>
      </c>
    </row>
    <row r="547" spans="1:8" ht="28" x14ac:dyDescent="0.35">
      <c r="A547" s="19" t="s">
        <v>168</v>
      </c>
      <c r="B547" s="20" t="s">
        <v>166</v>
      </c>
      <c r="C547" s="20" t="s">
        <v>165</v>
      </c>
      <c r="D547" s="19" t="s">
        <v>115</v>
      </c>
      <c r="E547" s="19" t="s">
        <v>106</v>
      </c>
      <c r="F547" s="19">
        <v>0.6</v>
      </c>
      <c r="G547" s="19"/>
      <c r="H547" s="19"/>
    </row>
    <row r="548" spans="1:8" x14ac:dyDescent="0.35">
      <c r="A548" s="19" t="s">
        <v>4555</v>
      </c>
      <c r="B548" s="20" t="s">
        <v>63</v>
      </c>
      <c r="C548" s="20" t="s">
        <v>63</v>
      </c>
      <c r="D548" s="19" t="s">
        <v>21</v>
      </c>
      <c r="E548" s="19" t="s">
        <v>63</v>
      </c>
      <c r="F548" s="19">
        <v>1</v>
      </c>
      <c r="G548" s="19"/>
      <c r="H548" s="19"/>
    </row>
    <row r="549" spans="1:8" x14ac:dyDescent="0.35">
      <c r="A549" s="19" t="s">
        <v>4556</v>
      </c>
      <c r="B549" s="20" t="s">
        <v>4425</v>
      </c>
      <c r="C549" s="20" t="s">
        <v>67</v>
      </c>
      <c r="D549" s="19" t="s">
        <v>21</v>
      </c>
      <c r="E549" s="19" t="s">
        <v>67</v>
      </c>
      <c r="F549" s="19">
        <v>1</v>
      </c>
      <c r="G549" s="19"/>
      <c r="H549" s="19"/>
    </row>
    <row r="550" spans="1:8" x14ac:dyDescent="0.35">
      <c r="A550" s="19" t="s">
        <v>3403</v>
      </c>
      <c r="B550" s="20" t="s">
        <v>3401</v>
      </c>
      <c r="C550" s="20" t="s">
        <v>3400</v>
      </c>
      <c r="D550" s="19" t="s">
        <v>174</v>
      </c>
      <c r="E550" s="19" t="s">
        <v>1579</v>
      </c>
      <c r="F550" s="19">
        <v>0.44740000000000002</v>
      </c>
      <c r="G550" s="19" t="s">
        <v>3402</v>
      </c>
      <c r="H550" s="19" t="s">
        <v>3226</v>
      </c>
    </row>
    <row r="551" spans="1:8" ht="28" x14ac:dyDescent="0.35">
      <c r="A551" s="19" t="s">
        <v>650</v>
      </c>
      <c r="B551" s="20" t="s">
        <v>649</v>
      </c>
      <c r="C551" s="20" t="s">
        <v>4557</v>
      </c>
      <c r="D551" s="19" t="s">
        <v>4</v>
      </c>
      <c r="E551" s="19" t="s">
        <v>424</v>
      </c>
      <c r="F551" s="19">
        <v>0.64</v>
      </c>
      <c r="G551" s="19" t="s">
        <v>426</v>
      </c>
      <c r="H551" s="19" t="s">
        <v>1122</v>
      </c>
    </row>
    <row r="552" spans="1:8" x14ac:dyDescent="0.35">
      <c r="A552" s="19" t="s">
        <v>4558</v>
      </c>
      <c r="B552" s="20"/>
      <c r="C552" s="20"/>
      <c r="D552" s="19"/>
      <c r="E552" s="19"/>
      <c r="F552" s="19"/>
      <c r="G552" s="19"/>
      <c r="H552" s="19"/>
    </row>
    <row r="553" spans="1:8" x14ac:dyDescent="0.35">
      <c r="A553" s="19" t="s">
        <v>4559</v>
      </c>
      <c r="B553" s="20"/>
      <c r="C553" s="20"/>
      <c r="D553" s="19"/>
      <c r="E553" s="19"/>
      <c r="F553" s="19"/>
      <c r="G553" s="19"/>
      <c r="H553" s="19"/>
    </row>
    <row r="554" spans="1:8" x14ac:dyDescent="0.35">
      <c r="A554" s="19" t="s">
        <v>2599</v>
      </c>
      <c r="B554" s="20" t="s">
        <v>2594</v>
      </c>
      <c r="C554" s="20" t="s">
        <v>2593</v>
      </c>
      <c r="D554" s="19" t="s">
        <v>174</v>
      </c>
      <c r="E554" s="19" t="s">
        <v>2596</v>
      </c>
      <c r="F554" s="19">
        <v>0.3659</v>
      </c>
      <c r="G554" s="19" t="s">
        <v>2597</v>
      </c>
      <c r="H554" s="19" t="s">
        <v>2598</v>
      </c>
    </row>
    <row r="555" spans="1:8" x14ac:dyDescent="0.35">
      <c r="A555" s="19" t="s">
        <v>2186</v>
      </c>
      <c r="B555" s="20" t="s">
        <v>2183</v>
      </c>
      <c r="C555" s="20" t="s">
        <v>2182</v>
      </c>
      <c r="D555" s="19" t="s">
        <v>174</v>
      </c>
      <c r="E555" s="19" t="s">
        <v>2185</v>
      </c>
      <c r="F555" s="19">
        <v>0.21290000000000001</v>
      </c>
      <c r="G555" s="19"/>
      <c r="H555" s="19"/>
    </row>
    <row r="556" spans="1:8" ht="126" x14ac:dyDescent="0.35">
      <c r="A556" s="19" t="s">
        <v>147</v>
      </c>
      <c r="B556" s="20" t="s">
        <v>143</v>
      </c>
      <c r="C556" s="20" t="s">
        <v>142</v>
      </c>
      <c r="D556" s="19" t="s">
        <v>115</v>
      </c>
      <c r="E556" s="19" t="s">
        <v>146</v>
      </c>
      <c r="F556" s="19">
        <v>0.6</v>
      </c>
      <c r="G556" s="19"/>
      <c r="H556" s="19"/>
    </row>
    <row r="557" spans="1:8" ht="28" x14ac:dyDescent="0.35">
      <c r="A557" s="19" t="s">
        <v>3518</v>
      </c>
      <c r="B557" s="20" t="s">
        <v>3517</v>
      </c>
      <c r="C557" s="20" t="s">
        <v>3516</v>
      </c>
      <c r="D557" s="19" t="s">
        <v>174</v>
      </c>
      <c r="E557" s="19" t="s">
        <v>220</v>
      </c>
      <c r="F557" s="19">
        <v>0.4289</v>
      </c>
      <c r="G557" s="19" t="s">
        <v>67</v>
      </c>
      <c r="H557" s="19" t="s">
        <v>3500</v>
      </c>
    </row>
    <row r="558" spans="1:8" x14ac:dyDescent="0.35">
      <c r="A558" s="19" t="s">
        <v>4560</v>
      </c>
      <c r="B558" s="20" t="s">
        <v>4561</v>
      </c>
      <c r="C558" s="20" t="s">
        <v>3516</v>
      </c>
      <c r="D558" s="19" t="s">
        <v>174</v>
      </c>
      <c r="E558" s="19" t="s">
        <v>220</v>
      </c>
      <c r="F558" s="19">
        <v>0.4289</v>
      </c>
      <c r="G558" s="19" t="s">
        <v>67</v>
      </c>
      <c r="H558" s="19" t="s">
        <v>3500</v>
      </c>
    </row>
    <row r="559" spans="1:8" ht="28" x14ac:dyDescent="0.35">
      <c r="A559" s="19" t="s">
        <v>639</v>
      </c>
      <c r="B559" s="20" t="s">
        <v>638</v>
      </c>
      <c r="C559" s="20" t="s">
        <v>638</v>
      </c>
      <c r="D559" s="19" t="s">
        <v>4</v>
      </c>
      <c r="E559" s="19" t="s">
        <v>516</v>
      </c>
      <c r="F559" s="19">
        <v>0.8</v>
      </c>
      <c r="G559" s="19"/>
      <c r="H559" s="19"/>
    </row>
    <row r="560" spans="1:8" x14ac:dyDescent="0.35">
      <c r="A560" s="19" t="s">
        <v>4562</v>
      </c>
      <c r="B560" s="20" t="s">
        <v>2722</v>
      </c>
      <c r="C560" s="20" t="s">
        <v>2721</v>
      </c>
      <c r="D560" s="19" t="s">
        <v>174</v>
      </c>
      <c r="E560" s="19" t="s">
        <v>2724</v>
      </c>
      <c r="F560" s="19">
        <v>0.35220000000000001</v>
      </c>
      <c r="G560" s="19" t="s">
        <v>267</v>
      </c>
      <c r="H560" s="19"/>
    </row>
    <row r="561" spans="1:8" x14ac:dyDescent="0.35">
      <c r="A561" s="19" t="s">
        <v>1790</v>
      </c>
      <c r="B561" s="20" t="s">
        <v>1788</v>
      </c>
      <c r="C561" s="20" t="s">
        <v>1787</v>
      </c>
      <c r="D561" s="19" t="s">
        <v>174</v>
      </c>
      <c r="E561" s="19" t="s">
        <v>1789</v>
      </c>
      <c r="F561" s="19">
        <v>0.24840000000000001</v>
      </c>
      <c r="G561" s="19" t="s">
        <v>299</v>
      </c>
      <c r="H561" s="19" t="s">
        <v>1490</v>
      </c>
    </row>
    <row r="562" spans="1:8" ht="28" x14ac:dyDescent="0.35">
      <c r="A562" s="19" t="s">
        <v>4108</v>
      </c>
      <c r="B562" s="20" t="s">
        <v>4107</v>
      </c>
      <c r="C562" s="20" t="s">
        <v>4106</v>
      </c>
      <c r="D562" s="19"/>
      <c r="E562" s="19"/>
      <c r="F562" s="19"/>
      <c r="G562" s="19"/>
      <c r="H562" s="19"/>
    </row>
    <row r="563" spans="1:8" x14ac:dyDescent="0.35">
      <c r="A563" s="19" t="s">
        <v>4563</v>
      </c>
      <c r="B563" s="20" t="s">
        <v>4564</v>
      </c>
      <c r="C563" s="20" t="s">
        <v>555</v>
      </c>
      <c r="D563" s="19" t="s">
        <v>21</v>
      </c>
      <c r="E563" s="19" t="s">
        <v>36</v>
      </c>
      <c r="F563" s="19">
        <v>1</v>
      </c>
      <c r="G563" s="19"/>
      <c r="H563" s="19"/>
    </row>
    <row r="564" spans="1:8" x14ac:dyDescent="0.35">
      <c r="A564" s="19" t="s">
        <v>4565</v>
      </c>
      <c r="B564" s="20" t="s">
        <v>3582</v>
      </c>
      <c r="C564" s="20" t="s">
        <v>1894</v>
      </c>
      <c r="D564" s="19" t="s">
        <v>174</v>
      </c>
      <c r="E564" s="19" t="s">
        <v>1672</v>
      </c>
      <c r="F564" s="19">
        <v>0.42</v>
      </c>
      <c r="G564" s="19" t="s">
        <v>1652</v>
      </c>
      <c r="H564" s="19" t="s">
        <v>3583</v>
      </c>
    </row>
    <row r="565" spans="1:8" ht="28" x14ac:dyDescent="0.35">
      <c r="A565" s="19" t="s">
        <v>1747</v>
      </c>
      <c r="B565" s="20" t="s">
        <v>1744</v>
      </c>
      <c r="C565" s="20" t="s">
        <v>1743</v>
      </c>
      <c r="D565" s="19" t="s">
        <v>174</v>
      </c>
      <c r="E565" s="19" t="s">
        <v>1746</v>
      </c>
      <c r="F565" s="19">
        <v>0.25409999999999999</v>
      </c>
      <c r="G565" s="19"/>
      <c r="H565" s="19"/>
    </row>
    <row r="566" spans="1:8" x14ac:dyDescent="0.35">
      <c r="A566" s="19" t="s">
        <v>4566</v>
      </c>
      <c r="B566" s="20" t="s">
        <v>4567</v>
      </c>
      <c r="C566" s="20" t="s">
        <v>1894</v>
      </c>
      <c r="D566" s="19" t="s">
        <v>174</v>
      </c>
      <c r="E566" s="19" t="s">
        <v>1672</v>
      </c>
      <c r="F566" s="19">
        <v>0.42</v>
      </c>
      <c r="G566" s="19" t="s">
        <v>1652</v>
      </c>
      <c r="H566" s="19" t="s">
        <v>3583</v>
      </c>
    </row>
    <row r="567" spans="1:8" ht="28" x14ac:dyDescent="0.35">
      <c r="A567" s="19" t="s">
        <v>3959</v>
      </c>
      <c r="B567" s="20" t="s">
        <v>3958</v>
      </c>
      <c r="C567" s="20" t="s">
        <v>3957</v>
      </c>
      <c r="D567" s="19"/>
      <c r="E567" s="19"/>
      <c r="F567" s="19"/>
      <c r="G567" s="19"/>
      <c r="H567" s="19"/>
    </row>
    <row r="568" spans="1:8" x14ac:dyDescent="0.35">
      <c r="A568" s="19" t="s">
        <v>3103</v>
      </c>
      <c r="B568" s="20" t="s">
        <v>3101</v>
      </c>
      <c r="C568" s="20" t="s">
        <v>3101</v>
      </c>
      <c r="D568" s="19" t="s">
        <v>174</v>
      </c>
      <c r="E568" s="19" t="s">
        <v>1823</v>
      </c>
      <c r="F568" s="19">
        <v>0.30880000000000002</v>
      </c>
      <c r="G568" s="19" t="s">
        <v>2921</v>
      </c>
      <c r="H568" s="19" t="s">
        <v>3102</v>
      </c>
    </row>
    <row r="569" spans="1:8" x14ac:dyDescent="0.35">
      <c r="A569" s="19" t="s">
        <v>1844</v>
      </c>
      <c r="B569" s="20" t="s">
        <v>1842</v>
      </c>
      <c r="C569" s="20" t="s">
        <v>1639</v>
      </c>
      <c r="D569" s="19" t="s">
        <v>174</v>
      </c>
      <c r="E569" s="19" t="s">
        <v>1843</v>
      </c>
      <c r="F569" s="19">
        <v>0.2427</v>
      </c>
      <c r="G569" s="19"/>
      <c r="H569" s="19"/>
    </row>
    <row r="570" spans="1:8" x14ac:dyDescent="0.35">
      <c r="A570" s="19" t="s">
        <v>4568</v>
      </c>
      <c r="B570" s="20"/>
      <c r="C570" s="20"/>
      <c r="D570" s="19"/>
      <c r="E570" s="19"/>
      <c r="F570" s="19"/>
      <c r="G570" s="19"/>
      <c r="H570" s="19"/>
    </row>
    <row r="571" spans="1:8" x14ac:dyDescent="0.35">
      <c r="A571" s="19" t="s">
        <v>1642</v>
      </c>
      <c r="B571" s="20" t="s">
        <v>1638</v>
      </c>
      <c r="C571" s="20" t="s">
        <v>1637</v>
      </c>
      <c r="D571" s="19" t="s">
        <v>174</v>
      </c>
      <c r="E571" s="19" t="s">
        <v>1640</v>
      </c>
      <c r="F571" s="19">
        <v>0.26729999999999998</v>
      </c>
      <c r="G571" s="19" t="s">
        <v>1641</v>
      </c>
      <c r="H571" s="19" t="s">
        <v>194</v>
      </c>
    </row>
    <row r="572" spans="1:8" ht="28" x14ac:dyDescent="0.35">
      <c r="A572" s="19" t="s">
        <v>2645</v>
      </c>
      <c r="B572" s="20" t="s">
        <v>2643</v>
      </c>
      <c r="C572" s="20" t="s">
        <v>2642</v>
      </c>
      <c r="D572" s="19" t="s">
        <v>174</v>
      </c>
      <c r="E572" s="19" t="s">
        <v>1899</v>
      </c>
      <c r="F572" s="19">
        <v>0.35920000000000002</v>
      </c>
      <c r="G572" s="19" t="s">
        <v>1759</v>
      </c>
      <c r="H572" s="19" t="s">
        <v>2644</v>
      </c>
    </row>
    <row r="573" spans="1:8" x14ac:dyDescent="0.35">
      <c r="A573" s="19" t="s">
        <v>4092</v>
      </c>
      <c r="B573" s="20" t="s">
        <v>4091</v>
      </c>
      <c r="C573" s="20" t="s">
        <v>4091</v>
      </c>
      <c r="D573" s="19"/>
      <c r="E573" s="19"/>
      <c r="F573" s="19"/>
      <c r="G573" s="19"/>
      <c r="H573" s="19"/>
    </row>
    <row r="574" spans="1:8" x14ac:dyDescent="0.35">
      <c r="A574" s="19" t="s">
        <v>4569</v>
      </c>
      <c r="B574" s="20" t="s">
        <v>4570</v>
      </c>
      <c r="C574" s="20" t="s">
        <v>2248</v>
      </c>
      <c r="D574" s="19" t="s">
        <v>174</v>
      </c>
      <c r="E574" s="19" t="s">
        <v>2249</v>
      </c>
      <c r="F574" s="19">
        <v>0.2049</v>
      </c>
      <c r="G574" s="19"/>
      <c r="H574" s="19"/>
    </row>
    <row r="575" spans="1:8" x14ac:dyDescent="0.35">
      <c r="A575" s="19" t="s">
        <v>4571</v>
      </c>
      <c r="B575" s="20"/>
      <c r="C575" s="20"/>
      <c r="D575" s="19"/>
      <c r="E575" s="19"/>
      <c r="F575" s="19"/>
      <c r="G575" s="19"/>
      <c r="H575" s="19"/>
    </row>
    <row r="576" spans="1:8" x14ac:dyDescent="0.35">
      <c r="A576" s="19" t="s">
        <v>1554</v>
      </c>
      <c r="B576" s="20" t="s">
        <v>1553</v>
      </c>
      <c r="C576" s="20" t="s">
        <v>1553</v>
      </c>
      <c r="D576" s="19" t="s">
        <v>174</v>
      </c>
      <c r="E576" s="19" t="s">
        <v>1402</v>
      </c>
      <c r="F576" s="19">
        <v>0.27429999999999999</v>
      </c>
      <c r="G576" s="19" t="s">
        <v>1415</v>
      </c>
      <c r="H576" s="19" t="s">
        <v>235</v>
      </c>
    </row>
    <row r="577" spans="1:8" x14ac:dyDescent="0.35">
      <c r="A577" s="19" t="s">
        <v>2544</v>
      </c>
      <c r="B577" s="20" t="s">
        <v>2541</v>
      </c>
      <c r="C577" s="20" t="s">
        <v>2540</v>
      </c>
      <c r="D577" s="19" t="s">
        <v>174</v>
      </c>
      <c r="E577" s="19" t="s">
        <v>1544</v>
      </c>
      <c r="F577" s="19">
        <v>0.37730000000000002</v>
      </c>
      <c r="G577" s="19" t="s">
        <v>2542</v>
      </c>
      <c r="H577" s="19" t="s">
        <v>2543</v>
      </c>
    </row>
    <row r="578" spans="1:8" x14ac:dyDescent="0.35">
      <c r="A578" s="19" t="s">
        <v>1825</v>
      </c>
      <c r="B578" s="20" t="s">
        <v>1822</v>
      </c>
      <c r="C578" s="20" t="s">
        <v>1821</v>
      </c>
      <c r="D578" s="19" t="s">
        <v>174</v>
      </c>
      <c r="E578" s="19" t="s">
        <v>1823</v>
      </c>
      <c r="F578" s="19">
        <v>0.24479999999999999</v>
      </c>
      <c r="G578" s="19" t="s">
        <v>1824</v>
      </c>
      <c r="H578" s="19"/>
    </row>
    <row r="579" spans="1:8" x14ac:dyDescent="0.35">
      <c r="A579" s="19" t="s">
        <v>4572</v>
      </c>
      <c r="B579" s="20" t="s">
        <v>1822</v>
      </c>
      <c r="C579" s="20" t="s">
        <v>1821</v>
      </c>
      <c r="D579" s="19" t="s">
        <v>174</v>
      </c>
      <c r="E579" s="19" t="s">
        <v>1823</v>
      </c>
      <c r="F579" s="19">
        <v>0.24479999999999999</v>
      </c>
      <c r="G579" s="19" t="s">
        <v>1824</v>
      </c>
      <c r="H579" s="19"/>
    </row>
    <row r="580" spans="1:8" x14ac:dyDescent="0.35">
      <c r="A580" s="19" t="s">
        <v>4573</v>
      </c>
      <c r="B580" s="20" t="s">
        <v>4574</v>
      </c>
      <c r="C580" s="20" t="s">
        <v>260</v>
      </c>
      <c r="D580" s="19" t="s">
        <v>174</v>
      </c>
      <c r="E580" s="19" t="s">
        <v>262</v>
      </c>
      <c r="F580" s="19">
        <v>0.36049999999999999</v>
      </c>
      <c r="G580" s="19"/>
      <c r="H580" s="19"/>
    </row>
    <row r="581" spans="1:8" x14ac:dyDescent="0.35">
      <c r="A581" s="19" t="s">
        <v>2922</v>
      </c>
      <c r="B581" s="20" t="s">
        <v>2919</v>
      </c>
      <c r="C581" s="20" t="s">
        <v>2918</v>
      </c>
      <c r="D581" s="19" t="s">
        <v>174</v>
      </c>
      <c r="E581" s="19" t="s">
        <v>1823</v>
      </c>
      <c r="F581" s="19">
        <v>0.33289999999999997</v>
      </c>
      <c r="G581" s="19" t="s">
        <v>2920</v>
      </c>
      <c r="H581" s="19" t="s">
        <v>2921</v>
      </c>
    </row>
    <row r="582" spans="1:8" x14ac:dyDescent="0.35">
      <c r="A582" s="19" t="s">
        <v>2440</v>
      </c>
      <c r="B582" s="20" t="s">
        <v>2438</v>
      </c>
      <c r="C582" s="20" t="s">
        <v>2437</v>
      </c>
      <c r="D582" s="19" t="s">
        <v>174</v>
      </c>
      <c r="E582" s="19" t="s">
        <v>1549</v>
      </c>
      <c r="F582" s="19">
        <v>0.3876</v>
      </c>
      <c r="G582" s="19" t="s">
        <v>2439</v>
      </c>
      <c r="H582" s="19" t="s">
        <v>450</v>
      </c>
    </row>
    <row r="583" spans="1:8" ht="28" x14ac:dyDescent="0.35">
      <c r="A583" s="19" t="s">
        <v>4575</v>
      </c>
      <c r="B583" s="20" t="s">
        <v>4576</v>
      </c>
      <c r="C583" s="20" t="s">
        <v>1473</v>
      </c>
      <c r="D583" s="19" t="s">
        <v>174</v>
      </c>
      <c r="E583" s="19" t="s">
        <v>1476</v>
      </c>
      <c r="F583" s="19">
        <v>0.27950000000000003</v>
      </c>
      <c r="G583" s="19" t="s">
        <v>1477</v>
      </c>
      <c r="H583" s="19" t="s">
        <v>1478</v>
      </c>
    </row>
    <row r="584" spans="1:8" x14ac:dyDescent="0.35">
      <c r="A584" s="19" t="s">
        <v>4073</v>
      </c>
      <c r="B584" s="20" t="s">
        <v>4072</v>
      </c>
      <c r="C584" s="20" t="s">
        <v>4071</v>
      </c>
      <c r="D584" s="19"/>
      <c r="E584" s="19"/>
      <c r="F584" s="19"/>
      <c r="G584" s="19"/>
      <c r="H584" s="19"/>
    </row>
    <row r="585" spans="1:8" ht="28" x14ac:dyDescent="0.35">
      <c r="A585" s="19" t="s">
        <v>452</v>
      </c>
      <c r="B585" s="20" t="s">
        <v>449</v>
      </c>
      <c r="C585" s="20" t="s">
        <v>448</v>
      </c>
      <c r="D585" s="19" t="s">
        <v>21</v>
      </c>
      <c r="E585" s="19" t="s">
        <v>451</v>
      </c>
      <c r="F585" s="19">
        <v>1</v>
      </c>
      <c r="G585" s="19"/>
      <c r="H585" s="19"/>
    </row>
    <row r="586" spans="1:8" x14ac:dyDescent="0.35">
      <c r="A586" s="19" t="s">
        <v>4577</v>
      </c>
      <c r="B586" s="20" t="s">
        <v>321</v>
      </c>
      <c r="C586" s="20" t="s">
        <v>320</v>
      </c>
      <c r="D586" s="19" t="s">
        <v>174</v>
      </c>
      <c r="E586" s="19" t="s">
        <v>322</v>
      </c>
      <c r="F586" s="19">
        <v>0.45369999999999999</v>
      </c>
      <c r="G586" s="19" t="s">
        <v>323</v>
      </c>
      <c r="H586" s="19" t="s">
        <v>324</v>
      </c>
    </row>
    <row r="587" spans="1:8" x14ac:dyDescent="0.35">
      <c r="A587" s="19" t="s">
        <v>4578</v>
      </c>
      <c r="B587" s="20" t="s">
        <v>2438</v>
      </c>
      <c r="C587" s="20" t="s">
        <v>2437</v>
      </c>
      <c r="D587" s="19" t="s">
        <v>174</v>
      </c>
      <c r="E587" s="19" t="s">
        <v>1549</v>
      </c>
      <c r="F587" s="19">
        <v>0.3876</v>
      </c>
      <c r="G587" s="19" t="s">
        <v>2439</v>
      </c>
      <c r="H587" s="19" t="s">
        <v>450</v>
      </c>
    </row>
    <row r="588" spans="1:8" x14ac:dyDescent="0.35">
      <c r="A588" s="19" t="s">
        <v>4579</v>
      </c>
      <c r="B588" s="20" t="s">
        <v>4580</v>
      </c>
      <c r="C588" s="20" t="s">
        <v>67</v>
      </c>
      <c r="D588" s="19" t="s">
        <v>21</v>
      </c>
      <c r="E588" s="19" t="s">
        <v>67</v>
      </c>
      <c r="F588" s="19">
        <v>1</v>
      </c>
      <c r="G588" s="19"/>
      <c r="H588" s="19"/>
    </row>
    <row r="589" spans="1:8" x14ac:dyDescent="0.35">
      <c r="A589" s="19" t="s">
        <v>2659</v>
      </c>
      <c r="B589" s="20" t="s">
        <v>2656</v>
      </c>
      <c r="C589" s="20" t="s">
        <v>2655</v>
      </c>
      <c r="D589" s="19" t="s">
        <v>174</v>
      </c>
      <c r="E589" s="19" t="s">
        <v>1957</v>
      </c>
      <c r="F589" s="19">
        <v>0.35799999999999998</v>
      </c>
      <c r="G589" s="19" t="s">
        <v>2657</v>
      </c>
      <c r="H589" s="19" t="s">
        <v>2658</v>
      </c>
    </row>
    <row r="590" spans="1:8" ht="28" x14ac:dyDescent="0.35">
      <c r="A590" s="19" t="s">
        <v>3046</v>
      </c>
      <c r="B590" s="20" t="s">
        <v>3043</v>
      </c>
      <c r="C590" s="20" t="s">
        <v>3043</v>
      </c>
      <c r="D590" s="19" t="s">
        <v>174</v>
      </c>
      <c r="E590" s="19" t="s">
        <v>3044</v>
      </c>
      <c r="F590" s="19">
        <v>0.31590000000000001</v>
      </c>
      <c r="G590" s="19" t="s">
        <v>175</v>
      </c>
      <c r="H590" s="19" t="s">
        <v>3045</v>
      </c>
    </row>
    <row r="591" spans="1:8" ht="28" x14ac:dyDescent="0.35">
      <c r="A591" s="19" t="s">
        <v>693</v>
      </c>
      <c r="B591" s="20" t="s">
        <v>692</v>
      </c>
      <c r="C591" s="20" t="s">
        <v>692</v>
      </c>
      <c r="D591" s="19" t="s">
        <v>4</v>
      </c>
      <c r="E591" s="19" t="s">
        <v>516</v>
      </c>
      <c r="F591" s="19">
        <v>0.8</v>
      </c>
      <c r="G591" s="19"/>
      <c r="H591" s="19"/>
    </row>
    <row r="592" spans="1:8" ht="70" x14ac:dyDescent="0.35">
      <c r="A592" s="19" t="s">
        <v>4211</v>
      </c>
      <c r="B592" s="20" t="s">
        <v>4210</v>
      </c>
      <c r="C592" s="20" t="s">
        <v>4210</v>
      </c>
      <c r="D592" s="19"/>
      <c r="E592" s="19"/>
      <c r="F592" s="19"/>
      <c r="G592" s="19"/>
      <c r="H592" s="19"/>
    </row>
    <row r="593" spans="1:8" ht="28" x14ac:dyDescent="0.35">
      <c r="A593" s="19" t="s">
        <v>4144</v>
      </c>
      <c r="B593" s="20" t="s">
        <v>4143</v>
      </c>
      <c r="C593" s="20" t="s">
        <v>4143</v>
      </c>
      <c r="D593" s="19"/>
      <c r="E593" s="19"/>
      <c r="F593" s="19"/>
      <c r="G593" s="19"/>
      <c r="H593" s="19"/>
    </row>
    <row r="594" spans="1:8" x14ac:dyDescent="0.35">
      <c r="A594" s="19" t="s">
        <v>4581</v>
      </c>
      <c r="B594" s="20"/>
      <c r="C594" s="20"/>
      <c r="D594" s="19"/>
      <c r="E594" s="19"/>
      <c r="F594" s="19"/>
      <c r="G594" s="19"/>
      <c r="H594" s="19"/>
    </row>
    <row r="595" spans="1:8" x14ac:dyDescent="0.35">
      <c r="A595" s="19" t="s">
        <v>3235</v>
      </c>
      <c r="B595" s="20" t="s">
        <v>3233</v>
      </c>
      <c r="C595" s="20" t="s">
        <v>3232</v>
      </c>
      <c r="D595" s="19" t="s">
        <v>174</v>
      </c>
      <c r="E595" s="19" t="s">
        <v>1926</v>
      </c>
      <c r="F595" s="19">
        <v>0.47489999999999999</v>
      </c>
      <c r="G595" s="19" t="s">
        <v>3234</v>
      </c>
      <c r="H595" s="19" t="s">
        <v>1837</v>
      </c>
    </row>
    <row r="596" spans="1:8" x14ac:dyDescent="0.35">
      <c r="A596" s="19" t="s">
        <v>3255</v>
      </c>
      <c r="B596" s="20" t="s">
        <v>3253</v>
      </c>
      <c r="C596" s="20" t="s">
        <v>3252</v>
      </c>
      <c r="D596" s="19" t="s">
        <v>174</v>
      </c>
      <c r="E596" s="19" t="s">
        <v>1832</v>
      </c>
      <c r="F596" s="19">
        <v>0.47</v>
      </c>
      <c r="G596" s="19" t="s">
        <v>1330</v>
      </c>
      <c r="H596" s="19" t="s">
        <v>3254</v>
      </c>
    </row>
    <row r="597" spans="1:8" ht="42" x14ac:dyDescent="0.35">
      <c r="A597" s="19" t="s">
        <v>801</v>
      </c>
      <c r="B597" s="20" t="s">
        <v>800</v>
      </c>
      <c r="C597" s="20" t="s">
        <v>799</v>
      </c>
      <c r="D597" s="19" t="s">
        <v>4</v>
      </c>
      <c r="E597" s="19" t="s">
        <v>67</v>
      </c>
      <c r="F597" s="19">
        <v>0.8</v>
      </c>
      <c r="G597" s="19"/>
      <c r="H597" s="19"/>
    </row>
    <row r="598" spans="1:8" ht="42" x14ac:dyDescent="0.35">
      <c r="A598" s="19" t="s">
        <v>4582</v>
      </c>
      <c r="B598" s="20" t="s">
        <v>4583</v>
      </c>
      <c r="C598" s="20" t="s">
        <v>738</v>
      </c>
      <c r="D598" s="19" t="s">
        <v>4</v>
      </c>
      <c r="E598" s="19" t="s">
        <v>67</v>
      </c>
      <c r="F598" s="19">
        <v>0.8</v>
      </c>
      <c r="G598" s="19"/>
      <c r="H598" s="19"/>
    </row>
    <row r="599" spans="1:8" ht="28" x14ac:dyDescent="0.35">
      <c r="A599" s="19" t="s">
        <v>2866</v>
      </c>
      <c r="B599" s="20" t="s">
        <v>2864</v>
      </c>
      <c r="C599" s="20" t="s">
        <v>1475</v>
      </c>
      <c r="D599" s="19" t="s">
        <v>174</v>
      </c>
      <c r="E599" s="19" t="s">
        <v>1476</v>
      </c>
      <c r="F599" s="19">
        <v>0.33779999999999999</v>
      </c>
      <c r="G599" s="19" t="s">
        <v>2865</v>
      </c>
      <c r="H599" s="19" t="s">
        <v>1477</v>
      </c>
    </row>
    <row r="600" spans="1:8" x14ac:dyDescent="0.35">
      <c r="A600" s="19" t="s">
        <v>4584</v>
      </c>
      <c r="B600" s="20" t="s">
        <v>4585</v>
      </c>
      <c r="C600" s="20"/>
      <c r="D600" s="19"/>
      <c r="E600" s="19"/>
      <c r="F600" s="19"/>
      <c r="G600" s="19"/>
      <c r="H600" s="19"/>
    </row>
    <row r="601" spans="1:8" ht="42" x14ac:dyDescent="0.35">
      <c r="A601" s="19" t="s">
        <v>615</v>
      </c>
      <c r="B601" s="20" t="s">
        <v>614</v>
      </c>
      <c r="C601" s="20" t="s">
        <v>613</v>
      </c>
      <c r="D601" s="19" t="s">
        <v>4</v>
      </c>
      <c r="E601" s="19" t="s">
        <v>562</v>
      </c>
      <c r="F601" s="19">
        <v>0.8</v>
      </c>
      <c r="G601" s="19"/>
      <c r="H601" s="19"/>
    </row>
    <row r="602" spans="1:8" x14ac:dyDescent="0.35">
      <c r="A602" s="19" t="s">
        <v>101</v>
      </c>
      <c r="B602" s="20" t="s">
        <v>100</v>
      </c>
      <c r="C602" s="20" t="s">
        <v>99</v>
      </c>
      <c r="D602" s="19" t="s">
        <v>4</v>
      </c>
      <c r="E602" s="19" t="s">
        <v>28</v>
      </c>
      <c r="F602" s="19">
        <v>0.64</v>
      </c>
      <c r="G602" s="19" t="s">
        <v>26</v>
      </c>
      <c r="H602" s="19"/>
    </row>
    <row r="603" spans="1:8" x14ac:dyDescent="0.35">
      <c r="A603" s="19" t="s">
        <v>1012</v>
      </c>
      <c r="B603" s="20" t="s">
        <v>1011</v>
      </c>
      <c r="C603" s="20" t="s">
        <v>1010</v>
      </c>
      <c r="D603" s="19" t="s">
        <v>4</v>
      </c>
      <c r="E603" s="19" t="s">
        <v>562</v>
      </c>
      <c r="F603" s="19">
        <v>0.8</v>
      </c>
      <c r="G603" s="19"/>
      <c r="H603" s="19"/>
    </row>
    <row r="604" spans="1:8" x14ac:dyDescent="0.35">
      <c r="A604" s="19" t="s">
        <v>4586</v>
      </c>
      <c r="B604" s="20" t="s">
        <v>1011</v>
      </c>
      <c r="C604" s="20" t="s">
        <v>1010</v>
      </c>
      <c r="D604" s="19" t="s">
        <v>4</v>
      </c>
      <c r="E604" s="19" t="s">
        <v>562</v>
      </c>
      <c r="F604" s="19">
        <v>0.8</v>
      </c>
      <c r="G604" s="19"/>
      <c r="H604" s="19"/>
    </row>
    <row r="605" spans="1:8" ht="28" x14ac:dyDescent="0.35">
      <c r="A605" s="19" t="s">
        <v>4242</v>
      </c>
      <c r="B605" s="20" t="s">
        <v>4241</v>
      </c>
      <c r="C605" s="20" t="s">
        <v>4240</v>
      </c>
      <c r="D605" s="19"/>
      <c r="E605" s="19"/>
      <c r="F605" s="19"/>
      <c r="G605" s="19"/>
      <c r="H605" s="19"/>
    </row>
    <row r="606" spans="1:8" ht="56" x14ac:dyDescent="0.35">
      <c r="A606" s="19" t="s">
        <v>4226</v>
      </c>
      <c r="B606" s="20" t="s">
        <v>4225</v>
      </c>
      <c r="C606" s="20" t="s">
        <v>4224</v>
      </c>
      <c r="D606" s="19"/>
      <c r="E606" s="19"/>
      <c r="F606" s="19"/>
      <c r="G606" s="19"/>
      <c r="H606" s="19"/>
    </row>
    <row r="607" spans="1:8" x14ac:dyDescent="0.35">
      <c r="A607" s="19" t="s">
        <v>4587</v>
      </c>
      <c r="B607" s="20" t="s">
        <v>1663</v>
      </c>
      <c r="C607" s="20" t="s">
        <v>1662</v>
      </c>
      <c r="D607" s="19" t="s">
        <v>174</v>
      </c>
      <c r="E607" s="19" t="s">
        <v>1664</v>
      </c>
      <c r="F607" s="19">
        <v>0.26500000000000001</v>
      </c>
      <c r="G607" s="19" t="s">
        <v>1665</v>
      </c>
      <c r="H607" s="19" t="s">
        <v>1666</v>
      </c>
    </row>
    <row r="608" spans="1:8" ht="42" x14ac:dyDescent="0.35">
      <c r="A608" s="19" t="s">
        <v>863</v>
      </c>
      <c r="B608" s="20" t="s">
        <v>861</v>
      </c>
      <c r="C608" s="20" t="s">
        <v>861</v>
      </c>
      <c r="D608" s="19" t="s">
        <v>4</v>
      </c>
      <c r="E608" s="19" t="s">
        <v>862</v>
      </c>
      <c r="F608" s="19">
        <v>0.64</v>
      </c>
      <c r="G608" s="19" t="s">
        <v>112</v>
      </c>
      <c r="H608" s="19"/>
    </row>
    <row r="609" spans="1:8" x14ac:dyDescent="0.35">
      <c r="A609" s="19" t="s">
        <v>4588</v>
      </c>
      <c r="B609" s="20"/>
      <c r="C609" s="20"/>
      <c r="D609" s="19"/>
      <c r="E609" s="19"/>
      <c r="F609" s="19"/>
      <c r="G609" s="19"/>
      <c r="H609" s="19"/>
    </row>
    <row r="610" spans="1:8" x14ac:dyDescent="0.35">
      <c r="A610" s="19" t="s">
        <v>1762</v>
      </c>
      <c r="B610" s="20" t="s">
        <v>1757</v>
      </c>
      <c r="C610" s="20" t="s">
        <v>1756</v>
      </c>
      <c r="D610" s="19" t="s">
        <v>174</v>
      </c>
      <c r="E610" s="19" t="s">
        <v>1759</v>
      </c>
      <c r="F610" s="19">
        <v>0.25309999999999999</v>
      </c>
      <c r="G610" s="19" t="s">
        <v>1760</v>
      </c>
      <c r="H610" s="19" t="s">
        <v>1761</v>
      </c>
    </row>
    <row r="611" spans="1:8" x14ac:dyDescent="0.35">
      <c r="A611" s="19" t="s">
        <v>4589</v>
      </c>
      <c r="B611" s="20" t="s">
        <v>4590</v>
      </c>
      <c r="C611" s="20" t="s">
        <v>1804</v>
      </c>
      <c r="D611" s="19" t="s">
        <v>174</v>
      </c>
      <c r="E611" s="19" t="s">
        <v>3049</v>
      </c>
      <c r="F611" s="19">
        <v>0.31569999999999998</v>
      </c>
      <c r="G611" s="19" t="s">
        <v>3036</v>
      </c>
      <c r="H611" s="19" t="s">
        <v>3050</v>
      </c>
    </row>
    <row r="612" spans="1:8" x14ac:dyDescent="0.35">
      <c r="A612" s="19" t="s">
        <v>4591</v>
      </c>
      <c r="B612" s="20" t="s">
        <v>4443</v>
      </c>
      <c r="C612" s="20" t="s">
        <v>4413</v>
      </c>
      <c r="D612" s="19" t="s">
        <v>21</v>
      </c>
      <c r="E612" s="19" t="s">
        <v>495</v>
      </c>
      <c r="F612" s="19">
        <v>1</v>
      </c>
      <c r="G612" s="19" t="s">
        <v>3670</v>
      </c>
      <c r="H612" s="19" t="s">
        <v>3540</v>
      </c>
    </row>
    <row r="613" spans="1:8" x14ac:dyDescent="0.35">
      <c r="A613" s="19" t="s">
        <v>4592</v>
      </c>
      <c r="B613" s="20" t="s">
        <v>4590</v>
      </c>
      <c r="C613" s="20" t="s">
        <v>1804</v>
      </c>
      <c r="D613" s="19" t="s">
        <v>174</v>
      </c>
      <c r="E613" s="19" t="s">
        <v>3049</v>
      </c>
      <c r="F613" s="19">
        <v>0.31569999999999998</v>
      </c>
      <c r="G613" s="19" t="s">
        <v>3036</v>
      </c>
      <c r="H613" s="19" t="s">
        <v>3050</v>
      </c>
    </row>
    <row r="614" spans="1:8" x14ac:dyDescent="0.35">
      <c r="A614" s="19" t="s">
        <v>2833</v>
      </c>
      <c r="B614" s="20" t="s">
        <v>2830</v>
      </c>
      <c r="C614" s="20" t="s">
        <v>2829</v>
      </c>
      <c r="D614" s="19" t="s">
        <v>174</v>
      </c>
      <c r="E614" s="19" t="s">
        <v>561</v>
      </c>
      <c r="F614" s="19">
        <v>0.34129999999999999</v>
      </c>
      <c r="G614" s="19" t="s">
        <v>2831</v>
      </c>
      <c r="H614" s="19" t="s">
        <v>2832</v>
      </c>
    </row>
    <row r="615" spans="1:8" x14ac:dyDescent="0.35">
      <c r="A615" s="19" t="s">
        <v>4593</v>
      </c>
      <c r="B615" s="20" t="s">
        <v>3233</v>
      </c>
      <c r="C615" s="20" t="s">
        <v>3232</v>
      </c>
      <c r="D615" s="19" t="s">
        <v>174</v>
      </c>
      <c r="E615" s="19" t="s">
        <v>1926</v>
      </c>
      <c r="F615" s="19">
        <v>0.47489999999999999</v>
      </c>
      <c r="G615" s="19" t="s">
        <v>3234</v>
      </c>
      <c r="H615" s="19" t="s">
        <v>1837</v>
      </c>
    </row>
    <row r="616" spans="1:8" x14ac:dyDescent="0.35">
      <c r="A616" s="19" t="s">
        <v>4594</v>
      </c>
      <c r="B616" s="20" t="s">
        <v>1847</v>
      </c>
      <c r="C616" s="20" t="s">
        <v>1846</v>
      </c>
      <c r="D616" s="19" t="s">
        <v>174</v>
      </c>
      <c r="E616" s="19" t="s">
        <v>1691</v>
      </c>
      <c r="F616" s="19">
        <v>0.24249999999999999</v>
      </c>
      <c r="G616" s="19"/>
      <c r="H616" s="19"/>
    </row>
    <row r="617" spans="1:8" ht="42" x14ac:dyDescent="0.35">
      <c r="A617" s="19" t="s">
        <v>829</v>
      </c>
      <c r="B617" s="20" t="s">
        <v>828</v>
      </c>
      <c r="C617" s="20" t="s">
        <v>827</v>
      </c>
      <c r="D617" s="19" t="s">
        <v>4</v>
      </c>
      <c r="E617" s="19" t="s">
        <v>67</v>
      </c>
      <c r="F617" s="19">
        <v>0.8</v>
      </c>
      <c r="G617" s="19"/>
      <c r="H617" s="19"/>
    </row>
    <row r="618" spans="1:8" ht="56" x14ac:dyDescent="0.35">
      <c r="A618" s="19" t="s">
        <v>3611</v>
      </c>
      <c r="B618" s="20" t="s">
        <v>3609</v>
      </c>
      <c r="C618" s="20" t="s">
        <v>3608</v>
      </c>
      <c r="D618" s="19" t="s">
        <v>174</v>
      </c>
      <c r="E618" s="19" t="s">
        <v>581</v>
      </c>
      <c r="F618" s="19">
        <v>0.41710000000000003</v>
      </c>
      <c r="G618" s="19" t="s">
        <v>3610</v>
      </c>
      <c r="H618" s="19" t="s">
        <v>221</v>
      </c>
    </row>
    <row r="619" spans="1:8" x14ac:dyDescent="0.35">
      <c r="A619" s="19" t="s">
        <v>4595</v>
      </c>
      <c r="B619" s="20" t="s">
        <v>3516</v>
      </c>
      <c r="C619" s="20" t="s">
        <v>3516</v>
      </c>
      <c r="D619" s="19" t="s">
        <v>174</v>
      </c>
      <c r="E619" s="19" t="s">
        <v>220</v>
      </c>
      <c r="F619" s="19">
        <v>0.4289</v>
      </c>
      <c r="G619" s="19" t="s">
        <v>67</v>
      </c>
      <c r="H619" s="19" t="s">
        <v>3500</v>
      </c>
    </row>
    <row r="620" spans="1:8" ht="28" x14ac:dyDescent="0.35">
      <c r="A620" s="19" t="s">
        <v>3726</v>
      </c>
      <c r="B620" s="20" t="s">
        <v>3722</v>
      </c>
      <c r="C620" s="20" t="s">
        <v>3722</v>
      </c>
      <c r="D620" s="19" t="s">
        <v>174</v>
      </c>
      <c r="E620" s="19" t="s">
        <v>3724</v>
      </c>
      <c r="F620" s="19">
        <v>0.40050000000000002</v>
      </c>
      <c r="G620" s="19" t="s">
        <v>3725</v>
      </c>
      <c r="H620" s="19" t="s">
        <v>1414</v>
      </c>
    </row>
    <row r="621" spans="1:8" x14ac:dyDescent="0.35">
      <c r="A621" s="19" t="s">
        <v>3217</v>
      </c>
      <c r="B621" s="20" t="s">
        <v>3216</v>
      </c>
      <c r="C621" s="20" t="s">
        <v>3215</v>
      </c>
      <c r="D621" s="19" t="s">
        <v>174</v>
      </c>
      <c r="E621" s="19" t="s">
        <v>362</v>
      </c>
      <c r="F621" s="19">
        <v>0.4773</v>
      </c>
      <c r="G621" s="19" t="s">
        <v>1940</v>
      </c>
      <c r="H621" s="19" t="s">
        <v>220</v>
      </c>
    </row>
    <row r="622" spans="1:8" x14ac:dyDescent="0.35">
      <c r="A622" s="19" t="s">
        <v>584</v>
      </c>
      <c r="B622" s="20" t="s">
        <v>581</v>
      </c>
      <c r="C622" s="20" t="s">
        <v>581</v>
      </c>
      <c r="D622" s="19" t="s">
        <v>21</v>
      </c>
      <c r="E622" s="19" t="s">
        <v>583</v>
      </c>
      <c r="F622" s="19">
        <v>1</v>
      </c>
      <c r="G622" s="19"/>
      <c r="H622" s="19"/>
    </row>
    <row r="623" spans="1:8" ht="42" x14ac:dyDescent="0.35">
      <c r="A623" s="19" t="s">
        <v>4065</v>
      </c>
      <c r="B623" s="20" t="s">
        <v>4064</v>
      </c>
      <c r="C623" s="20" t="s">
        <v>4063</v>
      </c>
      <c r="D623" s="19"/>
      <c r="E623" s="19"/>
      <c r="F623" s="19"/>
      <c r="G623" s="19"/>
      <c r="H623" s="19"/>
    </row>
    <row r="624" spans="1:8" x14ac:dyDescent="0.35">
      <c r="A624" s="19" t="s">
        <v>4596</v>
      </c>
      <c r="B624" s="20" t="s">
        <v>4597</v>
      </c>
      <c r="C624" s="20" t="s">
        <v>2353</v>
      </c>
      <c r="D624" s="19" t="s">
        <v>174</v>
      </c>
      <c r="E624" s="19" t="s">
        <v>2354</v>
      </c>
      <c r="F624" s="19">
        <v>0.39410000000000001</v>
      </c>
      <c r="G624" s="19" t="s">
        <v>2355</v>
      </c>
      <c r="H624" s="19" t="s">
        <v>2356</v>
      </c>
    </row>
    <row r="625" spans="1:8" x14ac:dyDescent="0.35">
      <c r="A625" s="19" t="s">
        <v>3690</v>
      </c>
      <c r="B625" s="20" t="s">
        <v>3688</v>
      </c>
      <c r="C625" s="20" t="s">
        <v>3687</v>
      </c>
      <c r="D625" s="19" t="s">
        <v>174</v>
      </c>
      <c r="E625" s="19" t="s">
        <v>3491</v>
      </c>
      <c r="F625" s="19">
        <v>0.40789999999999998</v>
      </c>
      <c r="G625" s="19" t="s">
        <v>3492</v>
      </c>
      <c r="H625" s="19" t="s">
        <v>3689</v>
      </c>
    </row>
    <row r="626" spans="1:8" x14ac:dyDescent="0.35">
      <c r="A626" s="19" t="s">
        <v>4598</v>
      </c>
      <c r="B626" s="20"/>
      <c r="C626" s="20"/>
      <c r="D626" s="19"/>
      <c r="E626" s="19"/>
      <c r="F626" s="19"/>
      <c r="G626" s="19"/>
      <c r="H626" s="19"/>
    </row>
    <row r="627" spans="1:8" x14ac:dyDescent="0.35">
      <c r="A627" s="19" t="s">
        <v>4599</v>
      </c>
      <c r="B627" s="20" t="s">
        <v>4443</v>
      </c>
      <c r="C627" s="20" t="s">
        <v>4413</v>
      </c>
      <c r="D627" s="19" t="s">
        <v>21</v>
      </c>
      <c r="E627" s="19" t="s">
        <v>495</v>
      </c>
      <c r="F627" s="19">
        <v>1</v>
      </c>
      <c r="G627" s="19" t="s">
        <v>3670</v>
      </c>
      <c r="H627" s="19" t="s">
        <v>3540</v>
      </c>
    </row>
    <row r="628" spans="1:8" ht="42" x14ac:dyDescent="0.35">
      <c r="A628" s="19" t="s">
        <v>636</v>
      </c>
      <c r="B628" s="20" t="s">
        <v>635</v>
      </c>
      <c r="C628" s="20" t="s">
        <v>635</v>
      </c>
      <c r="D628" s="19" t="s">
        <v>4</v>
      </c>
      <c r="E628" s="19" t="s">
        <v>67</v>
      </c>
      <c r="F628" s="19">
        <v>0.8</v>
      </c>
      <c r="G628" s="19"/>
      <c r="H628" s="19"/>
    </row>
    <row r="629" spans="1:8" x14ac:dyDescent="0.35">
      <c r="A629" s="19" t="s">
        <v>2719</v>
      </c>
      <c r="B629" s="20" t="s">
        <v>2714</v>
      </c>
      <c r="C629" s="20" t="s">
        <v>2713</v>
      </c>
      <c r="D629" s="19" t="s">
        <v>174</v>
      </c>
      <c r="E629" s="19" t="s">
        <v>2716</v>
      </c>
      <c r="F629" s="19">
        <v>0.35239999999999999</v>
      </c>
      <c r="G629" s="19" t="s">
        <v>2717</v>
      </c>
      <c r="H629" s="19" t="s">
        <v>2718</v>
      </c>
    </row>
    <row r="630" spans="1:8" x14ac:dyDescent="0.35">
      <c r="A630" s="19" t="s">
        <v>2306</v>
      </c>
      <c r="B630" s="20" t="s">
        <v>2304</v>
      </c>
      <c r="C630" s="20" t="s">
        <v>2303</v>
      </c>
      <c r="D630" s="19" t="s">
        <v>174</v>
      </c>
      <c r="E630" s="19" t="s">
        <v>1331</v>
      </c>
      <c r="F630" s="19">
        <v>0.39889999999999998</v>
      </c>
      <c r="G630" s="19" t="s">
        <v>2305</v>
      </c>
      <c r="H630" s="19" t="s">
        <v>1622</v>
      </c>
    </row>
    <row r="631" spans="1:8" x14ac:dyDescent="0.35">
      <c r="A631" s="19" t="s">
        <v>2399</v>
      </c>
      <c r="B631" s="20" t="s">
        <v>2396</v>
      </c>
      <c r="C631" s="20" t="s">
        <v>2395</v>
      </c>
      <c r="D631" s="19" t="s">
        <v>174</v>
      </c>
      <c r="E631" s="19" t="s">
        <v>2397</v>
      </c>
      <c r="F631" s="19">
        <v>0.38979999999999998</v>
      </c>
      <c r="G631" s="19" t="s">
        <v>2356</v>
      </c>
      <c r="H631" s="19" t="s">
        <v>2398</v>
      </c>
    </row>
    <row r="632" spans="1:8" x14ac:dyDescent="0.35">
      <c r="A632" s="19" t="s">
        <v>4600</v>
      </c>
      <c r="B632" s="20" t="s">
        <v>4601</v>
      </c>
      <c r="C632" s="20" t="s">
        <v>270</v>
      </c>
      <c r="D632" s="19" t="s">
        <v>174</v>
      </c>
      <c r="E632" s="19" t="s">
        <v>272</v>
      </c>
      <c r="F632" s="19">
        <v>0.35449999999999998</v>
      </c>
      <c r="G632" s="19" t="s">
        <v>273</v>
      </c>
      <c r="H632" s="19" t="s">
        <v>274</v>
      </c>
    </row>
    <row r="633" spans="1:8" x14ac:dyDescent="0.35">
      <c r="A633" s="19" t="s">
        <v>1998</v>
      </c>
      <c r="B633" s="20" t="s">
        <v>1997</v>
      </c>
      <c r="C633" s="20" t="s">
        <v>1997</v>
      </c>
      <c r="D633" s="19" t="s">
        <v>174</v>
      </c>
      <c r="E633" s="19" t="s">
        <v>1402</v>
      </c>
      <c r="F633" s="19">
        <v>0.22939999999999999</v>
      </c>
      <c r="G633" s="19" t="s">
        <v>1622</v>
      </c>
      <c r="H633" s="19"/>
    </row>
    <row r="634" spans="1:8" ht="42" x14ac:dyDescent="0.35">
      <c r="A634" s="19" t="s">
        <v>4069</v>
      </c>
      <c r="B634" s="20" t="s">
        <v>4068</v>
      </c>
      <c r="C634" s="20" t="s">
        <v>4067</v>
      </c>
      <c r="D634" s="19"/>
      <c r="E634" s="19"/>
      <c r="F634" s="19"/>
      <c r="G634" s="19"/>
      <c r="H634" s="19"/>
    </row>
    <row r="635" spans="1:8" ht="28" x14ac:dyDescent="0.35">
      <c r="A635" s="19" t="s">
        <v>3765</v>
      </c>
      <c r="B635" s="20" t="s">
        <v>3764</v>
      </c>
      <c r="C635" s="20" t="s">
        <v>3763</v>
      </c>
      <c r="D635" s="19"/>
      <c r="E635" s="19"/>
      <c r="F635" s="19"/>
      <c r="G635" s="19"/>
      <c r="H635" s="19"/>
    </row>
    <row r="636" spans="1:8" x14ac:dyDescent="0.35">
      <c r="A636" s="19" t="s">
        <v>1995</v>
      </c>
      <c r="B636" s="20" t="s">
        <v>1994</v>
      </c>
      <c r="C636" s="20" t="s">
        <v>1994</v>
      </c>
      <c r="D636" s="19" t="s">
        <v>174</v>
      </c>
      <c r="E636" s="19" t="s">
        <v>1402</v>
      </c>
      <c r="F636" s="19">
        <v>0.22919999999999999</v>
      </c>
      <c r="G636" s="19"/>
      <c r="H636" s="19"/>
    </row>
    <row r="637" spans="1:8" x14ac:dyDescent="0.35">
      <c r="A637" s="19" t="s">
        <v>476</v>
      </c>
      <c r="B637" s="20" t="s">
        <v>475</v>
      </c>
      <c r="C637" s="20" t="s">
        <v>475</v>
      </c>
      <c r="D637" s="19" t="s">
        <v>21</v>
      </c>
      <c r="E637" s="19" t="s">
        <v>72</v>
      </c>
      <c r="F637" s="19">
        <v>1</v>
      </c>
      <c r="G637" s="19"/>
      <c r="H637" s="19"/>
    </row>
    <row r="638" spans="1:8" x14ac:dyDescent="0.35">
      <c r="A638" s="19" t="s">
        <v>3166</v>
      </c>
      <c r="B638" s="20" t="s">
        <v>3162</v>
      </c>
      <c r="C638" s="20" t="s">
        <v>3162</v>
      </c>
      <c r="D638" s="19" t="s">
        <v>174</v>
      </c>
      <c r="E638" s="19" t="s">
        <v>3164</v>
      </c>
      <c r="F638" s="19">
        <v>0.30430000000000001</v>
      </c>
      <c r="G638" s="19" t="s">
        <v>212</v>
      </c>
      <c r="H638" s="19" t="s">
        <v>3165</v>
      </c>
    </row>
    <row r="639" spans="1:8" x14ac:dyDescent="0.35">
      <c r="A639" s="19" t="s">
        <v>3281</v>
      </c>
      <c r="B639" s="20" t="s">
        <v>3279</v>
      </c>
      <c r="C639" s="20" t="s">
        <v>3278</v>
      </c>
      <c r="D639" s="19" t="s">
        <v>174</v>
      </c>
      <c r="E639" s="19" t="s">
        <v>2879</v>
      </c>
      <c r="F639" s="19">
        <v>0.46450000000000002</v>
      </c>
      <c r="G639" s="19" t="s">
        <v>331</v>
      </c>
      <c r="H639" s="19" t="s">
        <v>3280</v>
      </c>
    </row>
    <row r="640" spans="1:8" x14ac:dyDescent="0.35">
      <c r="A640" s="19" t="s">
        <v>4602</v>
      </c>
      <c r="B640" s="20"/>
      <c r="C640" s="20"/>
      <c r="D640" s="19"/>
      <c r="E640" s="19"/>
      <c r="F640" s="19"/>
      <c r="G640" s="19"/>
      <c r="H640" s="19"/>
    </row>
    <row r="641" spans="1:8" ht="28" x14ac:dyDescent="0.35">
      <c r="A641" s="19" t="s">
        <v>2882</v>
      </c>
      <c r="B641" s="20" t="s">
        <v>2878</v>
      </c>
      <c r="C641" s="20" t="s">
        <v>2878</v>
      </c>
      <c r="D641" s="19" t="s">
        <v>174</v>
      </c>
      <c r="E641" s="19" t="s">
        <v>2879</v>
      </c>
      <c r="F641" s="19">
        <v>0.33600000000000002</v>
      </c>
      <c r="G641" s="19" t="s">
        <v>2880</v>
      </c>
      <c r="H641" s="19" t="s">
        <v>2881</v>
      </c>
    </row>
    <row r="642" spans="1:8" x14ac:dyDescent="0.35">
      <c r="A642" s="19" t="s">
        <v>4603</v>
      </c>
      <c r="B642" s="20" t="s">
        <v>27</v>
      </c>
      <c r="C642" s="20" t="s">
        <v>26</v>
      </c>
      <c r="D642" s="19" t="s">
        <v>21</v>
      </c>
      <c r="E642" s="19" t="s">
        <v>26</v>
      </c>
      <c r="F642" s="19">
        <v>0.8</v>
      </c>
      <c r="G642" s="19" t="s">
        <v>28</v>
      </c>
      <c r="H642" s="19"/>
    </row>
    <row r="643" spans="1:8" x14ac:dyDescent="0.35">
      <c r="A643" s="19" t="s">
        <v>3347</v>
      </c>
      <c r="B643" s="20" t="s">
        <v>3345</v>
      </c>
      <c r="C643" s="20" t="s">
        <v>3344</v>
      </c>
      <c r="D643" s="19" t="s">
        <v>174</v>
      </c>
      <c r="E643" s="19" t="s">
        <v>322</v>
      </c>
      <c r="F643" s="19">
        <v>0.45760000000000001</v>
      </c>
      <c r="G643" s="19" t="s">
        <v>323</v>
      </c>
      <c r="H643" s="19" t="s">
        <v>3346</v>
      </c>
    </row>
    <row r="644" spans="1:8" ht="28" x14ac:dyDescent="0.35">
      <c r="A644" s="19" t="s">
        <v>1741</v>
      </c>
      <c r="B644" s="20" t="s">
        <v>1740</v>
      </c>
      <c r="C644" s="20" t="s">
        <v>1740</v>
      </c>
      <c r="D644" s="19" t="s">
        <v>174</v>
      </c>
      <c r="E644" s="19" t="s">
        <v>1331</v>
      </c>
      <c r="F644" s="19">
        <v>0.25430000000000003</v>
      </c>
      <c r="G644" s="19"/>
      <c r="H644" s="19"/>
    </row>
    <row r="645" spans="1:8" x14ac:dyDescent="0.35">
      <c r="A645" s="19" t="s">
        <v>2450</v>
      </c>
      <c r="B645" s="20" t="s">
        <v>2446</v>
      </c>
      <c r="C645" s="20" t="s">
        <v>232</v>
      </c>
      <c r="D645" s="19" t="s">
        <v>174</v>
      </c>
      <c r="E645" s="19" t="s">
        <v>2447</v>
      </c>
      <c r="F645" s="19">
        <v>0.38700000000000001</v>
      </c>
      <c r="G645" s="19" t="s">
        <v>2448</v>
      </c>
      <c r="H645" s="19" t="s">
        <v>2449</v>
      </c>
    </row>
    <row r="646" spans="1:8" x14ac:dyDescent="0.35">
      <c r="A646" s="19" t="s">
        <v>4604</v>
      </c>
      <c r="B646" s="20"/>
      <c r="C646" s="20"/>
      <c r="D646" s="19"/>
      <c r="E646" s="19"/>
      <c r="F646" s="19"/>
      <c r="G646" s="19"/>
      <c r="H646" s="19"/>
    </row>
    <row r="647" spans="1:8" ht="28" x14ac:dyDescent="0.35">
      <c r="A647" s="19" t="s">
        <v>4605</v>
      </c>
      <c r="B647" s="20" t="s">
        <v>4606</v>
      </c>
      <c r="C647" s="20" t="s">
        <v>1475</v>
      </c>
      <c r="D647" s="19" t="s">
        <v>174</v>
      </c>
      <c r="E647" s="19" t="s">
        <v>1476</v>
      </c>
      <c r="F647" s="19">
        <v>0.33779999999999999</v>
      </c>
      <c r="G647" s="19" t="s">
        <v>2865</v>
      </c>
      <c r="H647" s="19" t="s">
        <v>1477</v>
      </c>
    </row>
    <row r="648" spans="1:8" x14ac:dyDescent="0.35">
      <c r="A648" s="19" t="s">
        <v>4607</v>
      </c>
      <c r="B648" s="20" t="s">
        <v>4608</v>
      </c>
      <c r="C648" s="20" t="s">
        <v>1553</v>
      </c>
      <c r="D648" s="19" t="s">
        <v>174</v>
      </c>
      <c r="E648" s="19" t="s">
        <v>1402</v>
      </c>
      <c r="F648" s="19">
        <v>0.27429999999999999</v>
      </c>
      <c r="G648" s="19" t="s">
        <v>1415</v>
      </c>
      <c r="H648" s="19" t="s">
        <v>235</v>
      </c>
    </row>
    <row r="649" spans="1:8" x14ac:dyDescent="0.35">
      <c r="A649" s="19" t="s">
        <v>4609</v>
      </c>
      <c r="B649" s="20" t="s">
        <v>2097</v>
      </c>
      <c r="C649" s="20" t="s">
        <v>2097</v>
      </c>
      <c r="D649" s="19" t="s">
        <v>174</v>
      </c>
      <c r="E649" s="19" t="s">
        <v>2099</v>
      </c>
      <c r="F649" s="19">
        <v>0.21840000000000001</v>
      </c>
      <c r="G649" s="19"/>
      <c r="H649" s="19"/>
    </row>
    <row r="650" spans="1:8" x14ac:dyDescent="0.35">
      <c r="A650" s="19" t="s">
        <v>236</v>
      </c>
      <c r="B650" s="20" t="s">
        <v>231</v>
      </c>
      <c r="C650" s="20" t="s">
        <v>231</v>
      </c>
      <c r="D650" s="19" t="s">
        <v>174</v>
      </c>
      <c r="E650" s="19" t="s">
        <v>233</v>
      </c>
      <c r="F650" s="19">
        <v>0.22059999999999999</v>
      </c>
      <c r="G650" s="19" t="s">
        <v>234</v>
      </c>
      <c r="H650" s="19" t="s">
        <v>235</v>
      </c>
    </row>
    <row r="651" spans="1:8" x14ac:dyDescent="0.35">
      <c r="A651" s="19" t="s">
        <v>3574</v>
      </c>
      <c r="B651" s="20" t="s">
        <v>3572</v>
      </c>
      <c r="C651" s="20" t="s">
        <v>3571</v>
      </c>
      <c r="D651" s="19" t="s">
        <v>174</v>
      </c>
      <c r="E651" s="19" t="s">
        <v>2879</v>
      </c>
      <c r="F651" s="19">
        <v>0.42099999999999999</v>
      </c>
      <c r="G651" s="19" t="s">
        <v>3573</v>
      </c>
      <c r="H651" s="19" t="s">
        <v>1634</v>
      </c>
    </row>
    <row r="652" spans="1:8" x14ac:dyDescent="0.35">
      <c r="A652" s="19" t="s">
        <v>4610</v>
      </c>
      <c r="B652" s="20"/>
      <c r="C652" s="20"/>
      <c r="D652" s="19"/>
      <c r="E652" s="19"/>
      <c r="F652" s="19"/>
      <c r="G652" s="19"/>
      <c r="H652" s="19"/>
    </row>
    <row r="653" spans="1:8" x14ac:dyDescent="0.35">
      <c r="A653" s="19" t="s">
        <v>4611</v>
      </c>
      <c r="B653" s="20" t="s">
        <v>4612</v>
      </c>
      <c r="C653" s="20" t="s">
        <v>1553</v>
      </c>
      <c r="D653" s="19" t="s">
        <v>174</v>
      </c>
      <c r="E653" s="19" t="s">
        <v>1402</v>
      </c>
      <c r="F653" s="19">
        <v>0.27429999999999999</v>
      </c>
      <c r="G653" s="19" t="s">
        <v>1415</v>
      </c>
      <c r="H653" s="19" t="s">
        <v>235</v>
      </c>
    </row>
    <row r="654" spans="1:8" x14ac:dyDescent="0.35">
      <c r="A654" s="19" t="s">
        <v>4613</v>
      </c>
      <c r="B654" s="20" t="s">
        <v>27</v>
      </c>
      <c r="C654" s="20" t="s">
        <v>26</v>
      </c>
      <c r="D654" s="19" t="s">
        <v>21</v>
      </c>
      <c r="E654" s="19" t="s">
        <v>26</v>
      </c>
      <c r="F654" s="19">
        <v>0.8</v>
      </c>
      <c r="G654" s="19" t="s">
        <v>28</v>
      </c>
      <c r="H654" s="19"/>
    </row>
    <row r="655" spans="1:8" x14ac:dyDescent="0.35">
      <c r="A655" s="19" t="s">
        <v>4614</v>
      </c>
      <c r="B655" s="20" t="s">
        <v>4615</v>
      </c>
      <c r="C655" s="20" t="s">
        <v>493</v>
      </c>
      <c r="D655" s="19" t="s">
        <v>21</v>
      </c>
      <c r="E655" s="19" t="s">
        <v>495</v>
      </c>
      <c r="F655" s="19">
        <v>1</v>
      </c>
      <c r="G655" s="19"/>
      <c r="H655" s="19"/>
    </row>
    <row r="656" spans="1:8" x14ac:dyDescent="0.35">
      <c r="A656" s="19" t="s">
        <v>4616</v>
      </c>
      <c r="B656" s="20" t="s">
        <v>4617</v>
      </c>
      <c r="C656" s="20" t="s">
        <v>2328</v>
      </c>
      <c r="D656" s="19" t="s">
        <v>174</v>
      </c>
      <c r="E656" s="19" t="s">
        <v>2330</v>
      </c>
      <c r="F656" s="19">
        <v>0.39639999999999997</v>
      </c>
      <c r="G656" s="19" t="s">
        <v>2331</v>
      </c>
      <c r="H656" s="19" t="s">
        <v>2332</v>
      </c>
    </row>
    <row r="657" spans="1:8" x14ac:dyDescent="0.35">
      <c r="A657" s="19" t="s">
        <v>2904</v>
      </c>
      <c r="B657" s="20" t="s">
        <v>2902</v>
      </c>
      <c r="C657" s="20" t="s">
        <v>2901</v>
      </c>
      <c r="D657" s="19" t="s">
        <v>174</v>
      </c>
      <c r="E657" s="19" t="s">
        <v>1248</v>
      </c>
      <c r="F657" s="19">
        <v>0.33400000000000002</v>
      </c>
      <c r="G657" s="19" t="s">
        <v>1332</v>
      </c>
      <c r="H657" s="19" t="s">
        <v>2903</v>
      </c>
    </row>
    <row r="658" spans="1:8" ht="28" x14ac:dyDescent="0.35">
      <c r="A658" s="19" t="s">
        <v>398</v>
      </c>
      <c r="B658" s="20" t="s">
        <v>396</v>
      </c>
      <c r="C658" s="20" t="s">
        <v>395</v>
      </c>
      <c r="D658" s="19"/>
      <c r="E658" s="19"/>
      <c r="F658" s="19"/>
      <c r="G658" s="19"/>
      <c r="H658" s="19"/>
    </row>
    <row r="659" spans="1:8" ht="28" x14ac:dyDescent="0.35">
      <c r="A659" s="19" t="s">
        <v>890</v>
      </c>
      <c r="B659" s="20" t="s">
        <v>889</v>
      </c>
      <c r="C659" s="20" t="s">
        <v>889</v>
      </c>
      <c r="D659" s="19" t="s">
        <v>4</v>
      </c>
      <c r="E659" s="19" t="s">
        <v>424</v>
      </c>
      <c r="F659" s="19">
        <v>0.64</v>
      </c>
      <c r="G659" s="19" t="s">
        <v>426</v>
      </c>
      <c r="H659" s="19"/>
    </row>
    <row r="660" spans="1:8" x14ac:dyDescent="0.35">
      <c r="A660" s="19" t="s">
        <v>2591</v>
      </c>
      <c r="B660" s="20" t="s">
        <v>2589</v>
      </c>
      <c r="C660" s="20" t="s">
        <v>2588</v>
      </c>
      <c r="D660" s="19" t="s">
        <v>174</v>
      </c>
      <c r="E660" s="19" t="s">
        <v>2403</v>
      </c>
      <c r="F660" s="19">
        <v>0.36620000000000003</v>
      </c>
      <c r="G660" s="19" t="s">
        <v>2590</v>
      </c>
      <c r="H660" s="19" t="s">
        <v>1737</v>
      </c>
    </row>
    <row r="661" spans="1:8" x14ac:dyDescent="0.35">
      <c r="A661" s="19" t="s">
        <v>4618</v>
      </c>
      <c r="B661" s="20" t="s">
        <v>4619</v>
      </c>
      <c r="C661" s="20"/>
      <c r="D661" s="19"/>
      <c r="E661" s="19"/>
      <c r="F661" s="19"/>
      <c r="G661" s="19"/>
      <c r="H661" s="19"/>
    </row>
    <row r="662" spans="1:8" x14ac:dyDescent="0.35">
      <c r="A662" s="19" t="s">
        <v>4620</v>
      </c>
      <c r="B662" s="20" t="s">
        <v>2588</v>
      </c>
      <c r="C662" s="20" t="s">
        <v>2588</v>
      </c>
      <c r="D662" s="19" t="s">
        <v>174</v>
      </c>
      <c r="E662" s="19" t="s">
        <v>2403</v>
      </c>
      <c r="F662" s="19">
        <v>0.36620000000000003</v>
      </c>
      <c r="G662" s="19" t="s">
        <v>2590</v>
      </c>
      <c r="H662" s="19" t="s">
        <v>1737</v>
      </c>
    </row>
    <row r="663" spans="1:8" x14ac:dyDescent="0.35">
      <c r="A663" s="19" t="s">
        <v>1524</v>
      </c>
      <c r="B663" s="20" t="s">
        <v>1520</v>
      </c>
      <c r="C663" s="20" t="s">
        <v>1520</v>
      </c>
      <c r="D663" s="19" t="s">
        <v>174</v>
      </c>
      <c r="E663" s="19" t="s">
        <v>1522</v>
      </c>
      <c r="F663" s="19">
        <v>0.27579999999999999</v>
      </c>
      <c r="G663" s="19" t="s">
        <v>1523</v>
      </c>
      <c r="H663" s="19" t="s">
        <v>1369</v>
      </c>
    </row>
    <row r="664" spans="1:8" x14ac:dyDescent="0.35">
      <c r="A664" s="19" t="s">
        <v>4621</v>
      </c>
      <c r="B664" s="20" t="s">
        <v>4622</v>
      </c>
      <c r="C664" s="20"/>
      <c r="D664" s="19"/>
      <c r="E664" s="19"/>
      <c r="F664" s="19"/>
      <c r="G664" s="19"/>
      <c r="H664" s="19"/>
    </row>
    <row r="665" spans="1:8" ht="28" x14ac:dyDescent="0.35">
      <c r="A665" s="19" t="s">
        <v>773</v>
      </c>
      <c r="B665" s="20" t="s">
        <v>772</v>
      </c>
      <c r="C665" s="20" t="s">
        <v>771</v>
      </c>
      <c r="D665" s="19" t="s">
        <v>4</v>
      </c>
      <c r="E665" s="19" t="s">
        <v>451</v>
      </c>
      <c r="F665" s="19">
        <v>0.8</v>
      </c>
      <c r="G665" s="19"/>
      <c r="H665" s="19"/>
    </row>
    <row r="666" spans="1:8" ht="28" x14ac:dyDescent="0.35">
      <c r="A666" s="19" t="s">
        <v>2018</v>
      </c>
      <c r="B666" s="20" t="s">
        <v>2015</v>
      </c>
      <c r="C666" s="20" t="s">
        <v>2014</v>
      </c>
      <c r="D666" s="19" t="s">
        <v>174</v>
      </c>
      <c r="E666" s="19" t="s">
        <v>2016</v>
      </c>
      <c r="F666" s="19">
        <v>0.22600000000000001</v>
      </c>
      <c r="G666" s="19" t="s">
        <v>2017</v>
      </c>
      <c r="H666" s="19" t="s">
        <v>1309</v>
      </c>
    </row>
    <row r="667" spans="1:8" x14ac:dyDescent="0.35">
      <c r="A667" s="19" t="s">
        <v>4623</v>
      </c>
      <c r="B667" s="20" t="s">
        <v>3668</v>
      </c>
      <c r="C667" s="20" t="s">
        <v>3667</v>
      </c>
      <c r="D667" s="19" t="s">
        <v>174</v>
      </c>
      <c r="E667" s="19" t="s">
        <v>3670</v>
      </c>
      <c r="F667" s="19">
        <v>0.4103</v>
      </c>
      <c r="G667" s="19" t="s">
        <v>3540</v>
      </c>
      <c r="H667" s="19" t="s">
        <v>3671</v>
      </c>
    </row>
    <row r="668" spans="1:8" x14ac:dyDescent="0.35">
      <c r="A668" s="19" t="s">
        <v>4624</v>
      </c>
      <c r="B668" s="20" t="s">
        <v>271</v>
      </c>
      <c r="C668" s="20" t="s">
        <v>270</v>
      </c>
      <c r="D668" s="19" t="s">
        <v>174</v>
      </c>
      <c r="E668" s="19" t="s">
        <v>272</v>
      </c>
      <c r="F668" s="19">
        <v>0.35449999999999998</v>
      </c>
      <c r="G668" s="19" t="s">
        <v>273</v>
      </c>
      <c r="H668" s="19" t="s">
        <v>274</v>
      </c>
    </row>
    <row r="669" spans="1:8" x14ac:dyDescent="0.35">
      <c r="A669" s="19" t="s">
        <v>2405</v>
      </c>
      <c r="B669" s="20" t="s">
        <v>2402</v>
      </c>
      <c r="C669" s="20" t="s">
        <v>2401</v>
      </c>
      <c r="D669" s="19" t="s">
        <v>174</v>
      </c>
      <c r="E669" s="19" t="s">
        <v>2403</v>
      </c>
      <c r="F669" s="19">
        <v>0.38979999999999998</v>
      </c>
      <c r="G669" s="19" t="s">
        <v>1737</v>
      </c>
      <c r="H669" s="19" t="s">
        <v>2404</v>
      </c>
    </row>
    <row r="670" spans="1:8" x14ac:dyDescent="0.35">
      <c r="A670" s="19" t="s">
        <v>4625</v>
      </c>
      <c r="B670" s="20" t="s">
        <v>4287</v>
      </c>
      <c r="C670" s="20"/>
      <c r="D670" s="19"/>
      <c r="E670" s="19"/>
      <c r="F670" s="19"/>
      <c r="G670" s="19"/>
      <c r="H670" s="19"/>
    </row>
    <row r="671" spans="1:8" x14ac:dyDescent="0.35">
      <c r="A671" s="19" t="s">
        <v>4626</v>
      </c>
      <c r="B671" s="20"/>
      <c r="C671" s="20"/>
      <c r="D671" s="19"/>
      <c r="E671" s="19"/>
      <c r="F671" s="19"/>
      <c r="G671" s="19"/>
      <c r="H671" s="19"/>
    </row>
    <row r="672" spans="1:8" x14ac:dyDescent="0.35">
      <c r="A672" s="19" t="s">
        <v>2791</v>
      </c>
      <c r="B672" s="20" t="s">
        <v>2786</v>
      </c>
      <c r="C672" s="20" t="s">
        <v>2785</v>
      </c>
      <c r="D672" s="19" t="s">
        <v>174</v>
      </c>
      <c r="E672" s="19" t="s">
        <v>2788</v>
      </c>
      <c r="F672" s="19">
        <v>0.34539999999999998</v>
      </c>
      <c r="G672" s="19" t="s">
        <v>2789</v>
      </c>
      <c r="H672" s="19" t="s">
        <v>2790</v>
      </c>
    </row>
    <row r="673" spans="1:8" x14ac:dyDescent="0.35">
      <c r="A673" s="19" t="s">
        <v>1028</v>
      </c>
      <c r="B673" s="20" t="s">
        <v>1027</v>
      </c>
      <c r="C673" s="20" t="s">
        <v>1026</v>
      </c>
      <c r="D673" s="19" t="s">
        <v>4</v>
      </c>
      <c r="E673" s="19" t="s">
        <v>451</v>
      </c>
      <c r="F673" s="19">
        <v>0.8</v>
      </c>
      <c r="G673" s="19"/>
      <c r="H673" s="19"/>
    </row>
    <row r="674" spans="1:8" x14ac:dyDescent="0.35">
      <c r="A674" s="19" t="s">
        <v>4627</v>
      </c>
      <c r="B674" s="20"/>
      <c r="C674" s="20"/>
      <c r="D674" s="19"/>
      <c r="E674" s="19"/>
      <c r="F674" s="19"/>
      <c r="G674" s="19"/>
      <c r="H674" s="19"/>
    </row>
    <row r="675" spans="1:8" x14ac:dyDescent="0.35">
      <c r="A675" s="19" t="s">
        <v>4628</v>
      </c>
      <c r="B675" s="20" t="s">
        <v>4287</v>
      </c>
      <c r="C675" s="20"/>
      <c r="D675" s="19"/>
      <c r="E675" s="19"/>
      <c r="F675" s="19"/>
      <c r="G675" s="19"/>
      <c r="H675" s="19"/>
    </row>
    <row r="676" spans="1:8" x14ac:dyDescent="0.35">
      <c r="A676" s="19" t="s">
        <v>4629</v>
      </c>
      <c r="B676" s="20"/>
      <c r="C676" s="20"/>
      <c r="D676" s="19"/>
      <c r="E676" s="19"/>
      <c r="F676" s="19"/>
      <c r="G676" s="19"/>
      <c r="H676" s="19"/>
    </row>
    <row r="677" spans="1:8" ht="42" x14ac:dyDescent="0.35">
      <c r="A677" s="19" t="s">
        <v>732</v>
      </c>
      <c r="B677" s="20" t="s">
        <v>731</v>
      </c>
      <c r="C677" s="20" t="s">
        <v>730</v>
      </c>
      <c r="D677" s="19" t="s">
        <v>4</v>
      </c>
      <c r="E677" s="19" t="s">
        <v>36</v>
      </c>
      <c r="F677" s="19">
        <v>0.8</v>
      </c>
      <c r="G677" s="19"/>
      <c r="H677" s="19"/>
    </row>
    <row r="678" spans="1:8" x14ac:dyDescent="0.35">
      <c r="A678" s="19" t="s">
        <v>1512</v>
      </c>
      <c r="B678" s="20" t="s">
        <v>1507</v>
      </c>
      <c r="C678" s="20" t="s">
        <v>1506</v>
      </c>
      <c r="D678" s="19" t="s">
        <v>174</v>
      </c>
      <c r="E678" s="19" t="s">
        <v>1509</v>
      </c>
      <c r="F678" s="19">
        <v>0.27650000000000002</v>
      </c>
      <c r="G678" s="19" t="s">
        <v>1510</v>
      </c>
      <c r="H678" s="19" t="s">
        <v>1511</v>
      </c>
    </row>
    <row r="679" spans="1:8" x14ac:dyDescent="0.35">
      <c r="A679" s="19" t="s">
        <v>3269</v>
      </c>
      <c r="B679" s="20" t="s">
        <v>3267</v>
      </c>
      <c r="C679" s="20" t="s">
        <v>3266</v>
      </c>
      <c r="D679" s="19" t="s">
        <v>174</v>
      </c>
      <c r="E679" s="19" t="s">
        <v>3268</v>
      </c>
      <c r="F679" s="19">
        <v>0.46700000000000003</v>
      </c>
      <c r="G679" s="19" t="s">
        <v>312</v>
      </c>
      <c r="H679" s="19" t="s">
        <v>272</v>
      </c>
    </row>
    <row r="680" spans="1:8" x14ac:dyDescent="0.35">
      <c r="A680" s="19" t="s">
        <v>793</v>
      </c>
      <c r="B680" s="20" t="s">
        <v>792</v>
      </c>
      <c r="C680" s="20" t="s">
        <v>791</v>
      </c>
      <c r="D680" s="19" t="s">
        <v>4</v>
      </c>
      <c r="E680" s="19" t="s">
        <v>67</v>
      </c>
      <c r="F680" s="19">
        <v>0.8</v>
      </c>
      <c r="G680" s="19"/>
      <c r="H680" s="19"/>
    </row>
    <row r="681" spans="1:8" x14ac:dyDescent="0.35">
      <c r="A681" s="19" t="s">
        <v>4630</v>
      </c>
      <c r="B681" s="20" t="s">
        <v>4631</v>
      </c>
      <c r="C681" s="20" t="s">
        <v>67</v>
      </c>
      <c r="D681" s="19" t="s">
        <v>21</v>
      </c>
      <c r="E681" s="19" t="s">
        <v>67</v>
      </c>
      <c r="F681" s="19">
        <v>1</v>
      </c>
      <c r="G681" s="19"/>
      <c r="H681" s="19"/>
    </row>
    <row r="682" spans="1:8" x14ac:dyDescent="0.35">
      <c r="A682" s="19" t="s">
        <v>4632</v>
      </c>
      <c r="B682" s="20"/>
      <c r="C682" s="20"/>
      <c r="D682" s="19"/>
      <c r="E682" s="19"/>
      <c r="F682" s="19"/>
      <c r="G682" s="19"/>
      <c r="H682" s="19"/>
    </row>
    <row r="683" spans="1:8" ht="28" x14ac:dyDescent="0.35">
      <c r="A683" s="19" t="s">
        <v>769</v>
      </c>
      <c r="B683" s="20" t="s">
        <v>768</v>
      </c>
      <c r="C683" s="20" t="s">
        <v>768</v>
      </c>
      <c r="D683" s="19" t="s">
        <v>4</v>
      </c>
      <c r="E683" s="19" t="s">
        <v>463</v>
      </c>
      <c r="F683" s="19">
        <v>0.8</v>
      </c>
      <c r="G683" s="19"/>
      <c r="H683" s="19"/>
    </row>
    <row r="684" spans="1:8" x14ac:dyDescent="0.35">
      <c r="A684" s="19" t="s">
        <v>4633</v>
      </c>
      <c r="B684" s="20" t="s">
        <v>4634</v>
      </c>
      <c r="C684" s="20"/>
      <c r="D684" s="19"/>
      <c r="E684" s="19"/>
      <c r="F684" s="19"/>
      <c r="G684" s="19"/>
      <c r="H684" s="19"/>
    </row>
    <row r="685" spans="1:8" x14ac:dyDescent="0.35">
      <c r="A685" s="19" t="s">
        <v>4635</v>
      </c>
      <c r="B685" s="20" t="s">
        <v>4636</v>
      </c>
      <c r="C685" s="20" t="s">
        <v>376</v>
      </c>
      <c r="D685" s="19"/>
      <c r="E685" s="19"/>
      <c r="F685" s="19"/>
      <c r="G685" s="19"/>
      <c r="H685" s="19"/>
    </row>
    <row r="686" spans="1:8" ht="28" x14ac:dyDescent="0.35">
      <c r="A686" s="19" t="s">
        <v>2022</v>
      </c>
      <c r="B686" s="20" t="s">
        <v>2020</v>
      </c>
      <c r="C686" s="20" t="s">
        <v>2020</v>
      </c>
      <c r="D686" s="19" t="s">
        <v>174</v>
      </c>
      <c r="E686" s="19" t="s">
        <v>2021</v>
      </c>
      <c r="F686" s="19">
        <v>0.22509999999999999</v>
      </c>
      <c r="G686" s="19"/>
      <c r="H686" s="19"/>
    </row>
    <row r="687" spans="1:8" ht="70" x14ac:dyDescent="0.35">
      <c r="A687" s="19" t="s">
        <v>2274</v>
      </c>
      <c r="B687" s="20" t="s">
        <v>2271</v>
      </c>
      <c r="C687" s="20" t="s">
        <v>2270</v>
      </c>
      <c r="D687" s="19" t="s">
        <v>174</v>
      </c>
      <c r="E687" s="19" t="s">
        <v>2273</v>
      </c>
      <c r="F687" s="19">
        <v>0.20180000000000001</v>
      </c>
      <c r="G687" s="19"/>
      <c r="H687" s="19"/>
    </row>
    <row r="688" spans="1:8" x14ac:dyDescent="0.35">
      <c r="A688" s="19" t="s">
        <v>4637</v>
      </c>
      <c r="B688" s="20" t="s">
        <v>792</v>
      </c>
      <c r="C688" s="20" t="s">
        <v>791</v>
      </c>
      <c r="D688" s="19" t="s">
        <v>4</v>
      </c>
      <c r="E688" s="19" t="s">
        <v>67</v>
      </c>
      <c r="F688" s="19">
        <v>0.8</v>
      </c>
      <c r="G688" s="19"/>
      <c r="H688" s="19"/>
    </row>
    <row r="689" spans="1:8" x14ac:dyDescent="0.35">
      <c r="A689" s="19" t="s">
        <v>3488</v>
      </c>
      <c r="B689" s="20" t="s">
        <v>3486</v>
      </c>
      <c r="C689" s="20" t="s">
        <v>3485</v>
      </c>
      <c r="D689" s="19" t="s">
        <v>174</v>
      </c>
      <c r="E689" s="19" t="s">
        <v>3487</v>
      </c>
      <c r="F689" s="19">
        <v>0.43580000000000002</v>
      </c>
      <c r="G689" s="19" t="s">
        <v>3254</v>
      </c>
      <c r="H689" s="19" t="s">
        <v>1102</v>
      </c>
    </row>
    <row r="690" spans="1:8" x14ac:dyDescent="0.35">
      <c r="A690" s="19" t="s">
        <v>4638</v>
      </c>
      <c r="B690" s="20" t="s">
        <v>1650</v>
      </c>
      <c r="C690" s="20" t="s">
        <v>1650</v>
      </c>
      <c r="D690" s="19" t="s">
        <v>174</v>
      </c>
      <c r="E690" s="19" t="s">
        <v>1652</v>
      </c>
      <c r="F690" s="19">
        <v>0.37809999999999999</v>
      </c>
      <c r="G690" s="19" t="s">
        <v>1672</v>
      </c>
      <c r="H690" s="19" t="s">
        <v>2532</v>
      </c>
    </row>
    <row r="691" spans="1:8" x14ac:dyDescent="0.35">
      <c r="A691" s="19" t="s">
        <v>4639</v>
      </c>
      <c r="B691" s="20" t="s">
        <v>4640</v>
      </c>
      <c r="C691" s="20" t="s">
        <v>1650</v>
      </c>
      <c r="D691" s="19" t="s">
        <v>174</v>
      </c>
      <c r="E691" s="19" t="s">
        <v>1652</v>
      </c>
      <c r="F691" s="19">
        <v>0.37809999999999999</v>
      </c>
      <c r="G691" s="19" t="s">
        <v>1672</v>
      </c>
      <c r="H691" s="19" t="s">
        <v>2532</v>
      </c>
    </row>
    <row r="692" spans="1:8" x14ac:dyDescent="0.35">
      <c r="A692" s="19" t="s">
        <v>4641</v>
      </c>
      <c r="B692" s="20" t="s">
        <v>1507</v>
      </c>
      <c r="C692" s="20" t="s">
        <v>1506</v>
      </c>
      <c r="D692" s="19" t="s">
        <v>174</v>
      </c>
      <c r="E692" s="19" t="s">
        <v>1509</v>
      </c>
      <c r="F692" s="19">
        <v>0.27650000000000002</v>
      </c>
      <c r="G692" s="19" t="s">
        <v>1510</v>
      </c>
      <c r="H692" s="19" t="s">
        <v>1511</v>
      </c>
    </row>
    <row r="693" spans="1:8" x14ac:dyDescent="0.35">
      <c r="A693" s="19" t="s">
        <v>4642</v>
      </c>
      <c r="B693" s="20" t="s">
        <v>1553</v>
      </c>
      <c r="C693" s="20" t="s">
        <v>1553</v>
      </c>
      <c r="D693" s="19" t="s">
        <v>174</v>
      </c>
      <c r="E693" s="19" t="s">
        <v>1402</v>
      </c>
      <c r="F693" s="19">
        <v>0.27429999999999999</v>
      </c>
      <c r="G693" s="19" t="s">
        <v>1415</v>
      </c>
      <c r="H693" s="19" t="s">
        <v>235</v>
      </c>
    </row>
    <row r="694" spans="1:8" x14ac:dyDescent="0.35">
      <c r="A694" s="19" t="s">
        <v>1497</v>
      </c>
      <c r="B694" s="20" t="s">
        <v>1493</v>
      </c>
      <c r="C694" s="20" t="s">
        <v>1493</v>
      </c>
      <c r="D694" s="19" t="s">
        <v>174</v>
      </c>
      <c r="E694" s="19" t="s">
        <v>1494</v>
      </c>
      <c r="F694" s="19">
        <v>0.27710000000000001</v>
      </c>
      <c r="G694" s="19" t="s">
        <v>1495</v>
      </c>
      <c r="H694" s="19" t="s">
        <v>1496</v>
      </c>
    </row>
    <row r="695" spans="1:8" x14ac:dyDescent="0.35">
      <c r="A695" s="19" t="s">
        <v>895</v>
      </c>
      <c r="B695" s="20" t="s">
        <v>893</v>
      </c>
      <c r="C695" s="20" t="s">
        <v>892</v>
      </c>
      <c r="D695" s="19" t="s">
        <v>4</v>
      </c>
      <c r="E695" s="19" t="s">
        <v>894</v>
      </c>
      <c r="F695" s="19">
        <v>0.8</v>
      </c>
      <c r="G695" s="19"/>
      <c r="H695" s="19"/>
    </row>
    <row r="696" spans="1:8" x14ac:dyDescent="0.35">
      <c r="A696" s="19" t="s">
        <v>4643</v>
      </c>
      <c r="B696" s="20" t="s">
        <v>4644</v>
      </c>
      <c r="C696" s="20" t="s">
        <v>1514</v>
      </c>
      <c r="D696" s="19" t="s">
        <v>174</v>
      </c>
      <c r="E696" s="19" t="s">
        <v>1315</v>
      </c>
      <c r="F696" s="19">
        <v>0.2762</v>
      </c>
      <c r="G696" s="19" t="s">
        <v>1516</v>
      </c>
      <c r="H696" s="19" t="s">
        <v>1517</v>
      </c>
    </row>
    <row r="697" spans="1:8" x14ac:dyDescent="0.35">
      <c r="A697" s="19" t="s">
        <v>4645</v>
      </c>
      <c r="B697" s="20" t="s">
        <v>4644</v>
      </c>
      <c r="C697" s="20" t="s">
        <v>1514</v>
      </c>
      <c r="D697" s="19" t="s">
        <v>174</v>
      </c>
      <c r="E697" s="19" t="s">
        <v>1315</v>
      </c>
      <c r="F697" s="19">
        <v>0.2762</v>
      </c>
      <c r="G697" s="19" t="s">
        <v>1516</v>
      </c>
      <c r="H697" s="19" t="s">
        <v>1517</v>
      </c>
    </row>
    <row r="698" spans="1:8" x14ac:dyDescent="0.35">
      <c r="A698" s="19" t="s">
        <v>4646</v>
      </c>
      <c r="B698" s="20"/>
      <c r="C698" s="20"/>
      <c r="D698" s="19"/>
      <c r="E698" s="19"/>
      <c r="F698" s="19"/>
      <c r="G698" s="19"/>
      <c r="H698" s="19"/>
    </row>
    <row r="699" spans="1:8" x14ac:dyDescent="0.35">
      <c r="A699" s="19" t="s">
        <v>4647</v>
      </c>
      <c r="B699" s="20" t="s">
        <v>1507</v>
      </c>
      <c r="C699" s="20" t="s">
        <v>1506</v>
      </c>
      <c r="D699" s="19" t="s">
        <v>174</v>
      </c>
      <c r="E699" s="19" t="s">
        <v>1509</v>
      </c>
      <c r="F699" s="19">
        <v>0.27650000000000002</v>
      </c>
      <c r="G699" s="19" t="s">
        <v>1510</v>
      </c>
      <c r="H699" s="19" t="s">
        <v>1511</v>
      </c>
    </row>
    <row r="700" spans="1:8" x14ac:dyDescent="0.35">
      <c r="A700" s="19" t="s">
        <v>4152</v>
      </c>
      <c r="B700" s="20" t="s">
        <v>4151</v>
      </c>
      <c r="C700" s="20" t="s">
        <v>4150</v>
      </c>
      <c r="D700" s="19"/>
      <c r="E700" s="19"/>
      <c r="F700" s="19"/>
      <c r="G700" s="19"/>
      <c r="H700" s="19"/>
    </row>
    <row r="701" spans="1:8" ht="28" x14ac:dyDescent="0.35">
      <c r="A701" s="19" t="s">
        <v>3881</v>
      </c>
      <c r="B701" s="20" t="s">
        <v>3879</v>
      </c>
      <c r="C701" s="20" t="s">
        <v>3878</v>
      </c>
      <c r="D701" s="19"/>
      <c r="E701" s="19"/>
      <c r="F701" s="19"/>
      <c r="G701" s="19"/>
      <c r="H701" s="19"/>
    </row>
    <row r="702" spans="1:8" x14ac:dyDescent="0.35">
      <c r="A702" s="19" t="s">
        <v>2685</v>
      </c>
      <c r="B702" s="20" t="s">
        <v>2683</v>
      </c>
      <c r="C702" s="20" t="s">
        <v>2683</v>
      </c>
      <c r="D702" s="19" t="s">
        <v>174</v>
      </c>
      <c r="E702" s="19" t="s">
        <v>470</v>
      </c>
      <c r="F702" s="19">
        <v>0.35539999999999999</v>
      </c>
      <c r="G702" s="19"/>
      <c r="H702" s="19"/>
    </row>
    <row r="703" spans="1:8" x14ac:dyDescent="0.35">
      <c r="A703" s="19" t="s">
        <v>1908</v>
      </c>
      <c r="B703" s="20" t="s">
        <v>1904</v>
      </c>
      <c r="C703" s="20" t="s">
        <v>1903</v>
      </c>
      <c r="D703" s="19" t="s">
        <v>174</v>
      </c>
      <c r="E703" s="19" t="s">
        <v>1248</v>
      </c>
      <c r="F703" s="19">
        <v>0.23880000000000001</v>
      </c>
      <c r="G703" s="19" t="s">
        <v>1906</v>
      </c>
      <c r="H703" s="19" t="s">
        <v>1907</v>
      </c>
    </row>
    <row r="704" spans="1:8" ht="28" x14ac:dyDescent="0.35">
      <c r="A704" s="19" t="s">
        <v>4089</v>
      </c>
      <c r="B704" s="20" t="s">
        <v>4088</v>
      </c>
      <c r="C704" s="20" t="s">
        <v>4087</v>
      </c>
      <c r="D704" s="19"/>
      <c r="E704" s="19"/>
      <c r="F704" s="19"/>
      <c r="G704" s="19"/>
      <c r="H704" s="19"/>
    </row>
    <row r="705" spans="1:8" x14ac:dyDescent="0.35">
      <c r="A705" s="19" t="s">
        <v>4648</v>
      </c>
      <c r="B705" s="20" t="s">
        <v>2248</v>
      </c>
      <c r="C705" s="20" t="s">
        <v>2248</v>
      </c>
      <c r="D705" s="19" t="s">
        <v>174</v>
      </c>
      <c r="E705" s="19" t="s">
        <v>2249</v>
      </c>
      <c r="F705" s="19">
        <v>0.2049</v>
      </c>
      <c r="G705" s="19"/>
      <c r="H705" s="19"/>
    </row>
    <row r="706" spans="1:8" x14ac:dyDescent="0.35">
      <c r="A706" s="19" t="s">
        <v>2783</v>
      </c>
      <c r="B706" s="20" t="s">
        <v>2779</v>
      </c>
      <c r="C706" s="20" t="s">
        <v>2779</v>
      </c>
      <c r="D706" s="19" t="s">
        <v>174</v>
      </c>
      <c r="E706" s="19" t="s">
        <v>2780</v>
      </c>
      <c r="F706" s="19">
        <v>0.34589999999999999</v>
      </c>
      <c r="G706" s="19" t="s">
        <v>2781</v>
      </c>
      <c r="H706" s="19" t="s">
        <v>2782</v>
      </c>
    </row>
    <row r="707" spans="1:8" ht="126" x14ac:dyDescent="0.35">
      <c r="A707" s="19" t="s">
        <v>3781</v>
      </c>
      <c r="B707" s="20" t="s">
        <v>3779</v>
      </c>
      <c r="C707" s="20" t="s">
        <v>3778</v>
      </c>
      <c r="D707" s="19"/>
      <c r="E707" s="19"/>
      <c r="F707" s="19"/>
      <c r="G707" s="19"/>
      <c r="H707" s="19"/>
    </row>
    <row r="708" spans="1:8" x14ac:dyDescent="0.35">
      <c r="A708" s="19" t="s">
        <v>3863</v>
      </c>
      <c r="B708" s="20" t="s">
        <v>3861</v>
      </c>
      <c r="C708" s="20" t="s">
        <v>3861</v>
      </c>
      <c r="D708" s="19"/>
      <c r="E708" s="19"/>
      <c r="F708" s="19"/>
      <c r="G708" s="19"/>
      <c r="H708" s="19"/>
    </row>
    <row r="709" spans="1:8" ht="28" x14ac:dyDescent="0.35">
      <c r="A709" s="19" t="s">
        <v>677</v>
      </c>
      <c r="B709" s="20" t="s">
        <v>676</v>
      </c>
      <c r="C709" s="20" t="s">
        <v>675</v>
      </c>
      <c r="D709" s="19" t="s">
        <v>4</v>
      </c>
      <c r="E709" s="19" t="s">
        <v>451</v>
      </c>
      <c r="F709" s="19">
        <v>0.8</v>
      </c>
      <c r="G709" s="19"/>
      <c r="H709" s="19"/>
    </row>
    <row r="710" spans="1:8" ht="56" x14ac:dyDescent="0.35">
      <c r="A710" s="19" t="s">
        <v>3392</v>
      </c>
      <c r="B710" s="20" t="s">
        <v>3390</v>
      </c>
      <c r="C710" s="20" t="s">
        <v>3389</v>
      </c>
      <c r="D710" s="19" t="s">
        <v>174</v>
      </c>
      <c r="E710" s="19" t="s">
        <v>3221</v>
      </c>
      <c r="F710" s="19">
        <v>0.45029999999999998</v>
      </c>
      <c r="G710" s="19" t="s">
        <v>450</v>
      </c>
      <c r="H710" s="19" t="s">
        <v>3391</v>
      </c>
    </row>
    <row r="711" spans="1:8" ht="28" x14ac:dyDescent="0.35">
      <c r="A711" s="19" t="s">
        <v>3514</v>
      </c>
      <c r="B711" s="20" t="s">
        <v>3510</v>
      </c>
      <c r="C711" s="20" t="s">
        <v>3509</v>
      </c>
      <c r="D711" s="19" t="s">
        <v>174</v>
      </c>
      <c r="E711" s="19" t="s">
        <v>3221</v>
      </c>
      <c r="F711" s="19">
        <v>0.42880000000000001</v>
      </c>
      <c r="G711" s="19" t="s">
        <v>3512</v>
      </c>
      <c r="H711" s="19" t="s">
        <v>3513</v>
      </c>
    </row>
    <row r="712" spans="1:8" x14ac:dyDescent="0.35">
      <c r="A712" s="19" t="s">
        <v>4649</v>
      </c>
      <c r="B712" s="20"/>
      <c r="C712" s="20"/>
      <c r="D712" s="19"/>
      <c r="E712" s="19"/>
      <c r="F712" s="19"/>
      <c r="G712" s="19"/>
      <c r="H712" s="19"/>
    </row>
    <row r="713" spans="1:8" ht="28" x14ac:dyDescent="0.35">
      <c r="A713" s="19" t="s">
        <v>1769</v>
      </c>
      <c r="B713" s="20" t="s">
        <v>1765</v>
      </c>
      <c r="C713" s="20" t="s">
        <v>1764</v>
      </c>
      <c r="D713" s="19" t="s">
        <v>174</v>
      </c>
      <c r="E713" s="19" t="s">
        <v>1767</v>
      </c>
      <c r="F713" s="19">
        <v>0.25259999999999999</v>
      </c>
      <c r="G713" s="19" t="s">
        <v>1768</v>
      </c>
      <c r="H713" s="19"/>
    </row>
    <row r="714" spans="1:8" ht="28" x14ac:dyDescent="0.35">
      <c r="A714" s="19" t="s">
        <v>736</v>
      </c>
      <c r="B714" s="20" t="s">
        <v>735</v>
      </c>
      <c r="C714" s="20" t="s">
        <v>734</v>
      </c>
      <c r="D714" s="19" t="s">
        <v>4</v>
      </c>
      <c r="E714" s="19" t="s">
        <v>495</v>
      </c>
      <c r="F714" s="19">
        <v>0.8</v>
      </c>
      <c r="G714" s="19"/>
      <c r="H714" s="19"/>
    </row>
    <row r="715" spans="1:8" x14ac:dyDescent="0.35">
      <c r="A715" s="19" t="s">
        <v>4650</v>
      </c>
      <c r="B715" s="20" t="s">
        <v>4404</v>
      </c>
      <c r="C715" s="20"/>
      <c r="D715" s="19"/>
      <c r="E715" s="19"/>
      <c r="F715" s="19"/>
      <c r="G715" s="19"/>
      <c r="H715" s="19"/>
    </row>
    <row r="716" spans="1:8" x14ac:dyDescent="0.35">
      <c r="A716" s="19" t="s">
        <v>588</v>
      </c>
      <c r="B716" s="20" t="s">
        <v>587</v>
      </c>
      <c r="C716" s="20" t="s">
        <v>586</v>
      </c>
      <c r="D716" s="19" t="s">
        <v>21</v>
      </c>
      <c r="E716" s="19" t="s">
        <v>112</v>
      </c>
      <c r="F716" s="19">
        <v>1</v>
      </c>
      <c r="G716" s="19"/>
      <c r="H716" s="19"/>
    </row>
    <row r="717" spans="1:8" x14ac:dyDescent="0.35">
      <c r="A717" s="19" t="s">
        <v>4651</v>
      </c>
      <c r="B717" s="20" t="s">
        <v>4601</v>
      </c>
      <c r="C717" s="20" t="s">
        <v>270</v>
      </c>
      <c r="D717" s="19" t="s">
        <v>174</v>
      </c>
      <c r="E717" s="19" t="s">
        <v>272</v>
      </c>
      <c r="F717" s="19">
        <v>0.35449999999999998</v>
      </c>
      <c r="G717" s="19" t="s">
        <v>273</v>
      </c>
      <c r="H717" s="19" t="s">
        <v>274</v>
      </c>
    </row>
    <row r="718" spans="1:8" x14ac:dyDescent="0.35">
      <c r="A718" s="19" t="s">
        <v>4652</v>
      </c>
      <c r="B718" s="20"/>
      <c r="C718" s="20"/>
      <c r="D718" s="19"/>
      <c r="E718" s="19"/>
      <c r="F718" s="19"/>
      <c r="G718" s="19"/>
      <c r="H718" s="19"/>
    </row>
    <row r="719" spans="1:8" ht="42" x14ac:dyDescent="0.35">
      <c r="A719" s="19" t="s">
        <v>3685</v>
      </c>
      <c r="B719" s="20" t="s">
        <v>3680</v>
      </c>
      <c r="C719" s="20" t="s">
        <v>4653</v>
      </c>
      <c r="D719" s="19" t="s">
        <v>174</v>
      </c>
      <c r="E719" s="19" t="s">
        <v>3682</v>
      </c>
      <c r="F719" s="19">
        <v>0.40789999999999998</v>
      </c>
      <c r="G719" s="19" t="s">
        <v>3683</v>
      </c>
      <c r="H719" s="19" t="s">
        <v>3684</v>
      </c>
    </row>
    <row r="720" spans="1:8" ht="28" x14ac:dyDescent="0.35">
      <c r="A720" s="19" t="s">
        <v>113</v>
      </c>
      <c r="B720" s="20" t="s">
        <v>110</v>
      </c>
      <c r="C720" s="20" t="s">
        <v>109</v>
      </c>
      <c r="D720" s="19" t="s">
        <v>4</v>
      </c>
      <c r="E720" s="19" t="s">
        <v>112</v>
      </c>
      <c r="F720" s="19">
        <v>0.8</v>
      </c>
      <c r="G720" s="19"/>
      <c r="H720" s="19"/>
    </row>
    <row r="721" spans="1:8" x14ac:dyDescent="0.35">
      <c r="A721" s="19" t="s">
        <v>3924</v>
      </c>
      <c r="B721" s="20" t="s">
        <v>3923</v>
      </c>
      <c r="C721" s="20" t="s">
        <v>3922</v>
      </c>
      <c r="D721" s="19"/>
      <c r="E721" s="19"/>
      <c r="F721" s="19"/>
      <c r="G721" s="19"/>
      <c r="H721" s="19"/>
    </row>
    <row r="722" spans="1:8" x14ac:dyDescent="0.35">
      <c r="A722" s="19" t="s">
        <v>642</v>
      </c>
      <c r="B722" s="20" t="s">
        <v>641</v>
      </c>
      <c r="C722" s="20" t="s">
        <v>641</v>
      </c>
      <c r="D722" s="19" t="s">
        <v>4</v>
      </c>
      <c r="E722" s="19" t="s">
        <v>72</v>
      </c>
      <c r="F722" s="19">
        <v>0.8</v>
      </c>
      <c r="G722" s="19"/>
      <c r="H722" s="19"/>
    </row>
    <row r="723" spans="1:8" x14ac:dyDescent="0.35">
      <c r="A723" s="19" t="s">
        <v>4654</v>
      </c>
      <c r="B723" s="20" t="s">
        <v>641</v>
      </c>
      <c r="C723" s="20" t="s">
        <v>641</v>
      </c>
      <c r="D723" s="19" t="s">
        <v>4</v>
      </c>
      <c r="E723" s="19" t="s">
        <v>72</v>
      </c>
      <c r="F723" s="19">
        <v>0.8</v>
      </c>
      <c r="G723" s="19"/>
      <c r="H723" s="19"/>
    </row>
    <row r="724" spans="1:8" x14ac:dyDescent="0.35">
      <c r="A724" s="19" t="s">
        <v>4655</v>
      </c>
      <c r="B724" s="20" t="s">
        <v>641</v>
      </c>
      <c r="C724" s="20" t="s">
        <v>641</v>
      </c>
      <c r="D724" s="19" t="s">
        <v>4</v>
      </c>
      <c r="E724" s="19" t="s">
        <v>72</v>
      </c>
      <c r="F724" s="19">
        <v>0.8</v>
      </c>
      <c r="G724" s="19"/>
      <c r="H724" s="19"/>
    </row>
    <row r="725" spans="1:8" x14ac:dyDescent="0.35">
      <c r="A725" s="19" t="s">
        <v>3132</v>
      </c>
      <c r="B725" s="20" t="s">
        <v>3130</v>
      </c>
      <c r="C725" s="20" t="s">
        <v>419</v>
      </c>
      <c r="D725" s="19" t="s">
        <v>174</v>
      </c>
      <c r="E725" s="19" t="s">
        <v>3131</v>
      </c>
      <c r="F725" s="19">
        <v>0.307</v>
      </c>
      <c r="G725" s="19" t="s">
        <v>305</v>
      </c>
      <c r="H725" s="19" t="s">
        <v>72</v>
      </c>
    </row>
    <row r="726" spans="1:8" ht="28" x14ac:dyDescent="0.35">
      <c r="A726" s="19" t="s">
        <v>2964</v>
      </c>
      <c r="B726" s="20" t="s">
        <v>2961</v>
      </c>
      <c r="C726" s="20" t="s">
        <v>2960</v>
      </c>
      <c r="D726" s="19" t="s">
        <v>174</v>
      </c>
      <c r="E726" s="19" t="s">
        <v>2921</v>
      </c>
      <c r="F726" s="19">
        <v>0.32679999999999998</v>
      </c>
      <c r="G726" s="19" t="s">
        <v>2962</v>
      </c>
      <c r="H726" s="19" t="s">
        <v>2963</v>
      </c>
    </row>
    <row r="727" spans="1:8" x14ac:dyDescent="0.35">
      <c r="A727" s="19" t="s">
        <v>4656</v>
      </c>
      <c r="B727" s="20" t="s">
        <v>4287</v>
      </c>
      <c r="C727" s="20"/>
      <c r="D727" s="19"/>
      <c r="E727" s="19"/>
      <c r="F727" s="19"/>
      <c r="G727" s="19"/>
      <c r="H727" s="19"/>
    </row>
    <row r="728" spans="1:8" x14ac:dyDescent="0.35">
      <c r="A728" s="19" t="s">
        <v>2559</v>
      </c>
      <c r="B728" s="20" t="s">
        <v>2558</v>
      </c>
      <c r="C728" s="20" t="s">
        <v>2558</v>
      </c>
      <c r="D728" s="19" t="s">
        <v>174</v>
      </c>
      <c r="E728" s="19" t="s">
        <v>533</v>
      </c>
      <c r="F728" s="19">
        <v>0.37119999999999997</v>
      </c>
      <c r="G728" s="19" t="s">
        <v>1396</v>
      </c>
      <c r="H728" s="19" t="s">
        <v>1397</v>
      </c>
    </row>
    <row r="729" spans="1:8" x14ac:dyDescent="0.35">
      <c r="A729" s="19" t="s">
        <v>4657</v>
      </c>
      <c r="B729" s="20" t="s">
        <v>641</v>
      </c>
      <c r="C729" s="20" t="s">
        <v>641</v>
      </c>
      <c r="D729" s="19" t="s">
        <v>4</v>
      </c>
      <c r="E729" s="19" t="s">
        <v>72</v>
      </c>
      <c r="F729" s="19">
        <v>0.8</v>
      </c>
      <c r="G729" s="19"/>
      <c r="H729" s="19"/>
    </row>
    <row r="730" spans="1:8" x14ac:dyDescent="0.35">
      <c r="A730" s="19" t="s">
        <v>4658</v>
      </c>
      <c r="B730" s="20" t="s">
        <v>641</v>
      </c>
      <c r="C730" s="20" t="s">
        <v>641</v>
      </c>
      <c r="D730" s="19" t="s">
        <v>4</v>
      </c>
      <c r="E730" s="19" t="s">
        <v>72</v>
      </c>
      <c r="F730" s="19">
        <v>0.8</v>
      </c>
      <c r="G730" s="19"/>
      <c r="H730" s="19"/>
    </row>
    <row r="731" spans="1:8" x14ac:dyDescent="0.35">
      <c r="A731" s="19" t="s">
        <v>4659</v>
      </c>
      <c r="B731" s="20" t="s">
        <v>641</v>
      </c>
      <c r="C731" s="20" t="s">
        <v>641</v>
      </c>
      <c r="D731" s="19" t="s">
        <v>4</v>
      </c>
      <c r="E731" s="19" t="s">
        <v>72</v>
      </c>
      <c r="F731" s="19">
        <v>0.8</v>
      </c>
      <c r="G731" s="19"/>
      <c r="H731" s="19"/>
    </row>
    <row r="732" spans="1:8" ht="42" x14ac:dyDescent="0.35">
      <c r="A732" s="19" t="s">
        <v>1174</v>
      </c>
      <c r="B732" s="20" t="s">
        <v>1172</v>
      </c>
      <c r="C732" s="20" t="s">
        <v>1171</v>
      </c>
      <c r="D732" s="19" t="s">
        <v>115</v>
      </c>
      <c r="E732" s="19" t="s">
        <v>119</v>
      </c>
      <c r="F732" s="19">
        <v>0.6</v>
      </c>
      <c r="G732" s="19"/>
      <c r="H732" s="19"/>
    </row>
    <row r="733" spans="1:8" x14ac:dyDescent="0.35">
      <c r="A733" s="19" t="s">
        <v>3204</v>
      </c>
      <c r="B733" s="20" t="s">
        <v>3203</v>
      </c>
      <c r="C733" s="20" t="s">
        <v>3202</v>
      </c>
      <c r="D733" s="19" t="s">
        <v>174</v>
      </c>
      <c r="E733" s="19" t="s">
        <v>26</v>
      </c>
      <c r="F733" s="19">
        <v>0.48149999999999998</v>
      </c>
      <c r="G733" s="19" t="s">
        <v>201</v>
      </c>
      <c r="H733" s="19" t="s">
        <v>1673</v>
      </c>
    </row>
    <row r="734" spans="1:8" x14ac:dyDescent="0.35">
      <c r="A734" s="19" t="s">
        <v>4660</v>
      </c>
      <c r="B734" s="20"/>
      <c r="C734" s="20"/>
      <c r="D734" s="19"/>
      <c r="E734" s="19"/>
      <c r="F734" s="19"/>
      <c r="G734" s="19"/>
      <c r="H734" s="19"/>
    </row>
    <row r="735" spans="1:8" x14ac:dyDescent="0.35">
      <c r="A735" s="19" t="s">
        <v>2858</v>
      </c>
      <c r="B735" s="20" t="s">
        <v>2856</v>
      </c>
      <c r="C735" s="20" t="s">
        <v>1621</v>
      </c>
      <c r="D735" s="19" t="s">
        <v>174</v>
      </c>
      <c r="E735" s="19" t="s">
        <v>2857</v>
      </c>
      <c r="F735" s="19">
        <v>0.3392</v>
      </c>
      <c r="G735" s="19" t="s">
        <v>722</v>
      </c>
      <c r="H735" s="19"/>
    </row>
    <row r="736" spans="1:8" x14ac:dyDescent="0.35">
      <c r="A736" s="19" t="s">
        <v>938</v>
      </c>
      <c r="B736" s="20" t="s">
        <v>937</v>
      </c>
      <c r="C736" s="20" t="s">
        <v>936</v>
      </c>
      <c r="D736" s="19" t="s">
        <v>4</v>
      </c>
      <c r="E736" s="19" t="s">
        <v>526</v>
      </c>
      <c r="F736" s="19">
        <v>0.8</v>
      </c>
      <c r="G736" s="19"/>
      <c r="H736" s="19"/>
    </row>
    <row r="737" spans="1:8" x14ac:dyDescent="0.35">
      <c r="A737" s="19" t="s">
        <v>4661</v>
      </c>
      <c r="B737" s="20" t="s">
        <v>4662</v>
      </c>
      <c r="C737" s="20" t="s">
        <v>641</v>
      </c>
      <c r="D737" s="19" t="s">
        <v>4</v>
      </c>
      <c r="E737" s="19" t="s">
        <v>72</v>
      </c>
      <c r="F737" s="19">
        <v>0.8</v>
      </c>
      <c r="G737" s="19"/>
      <c r="H737" s="19"/>
    </row>
    <row r="738" spans="1:8" x14ac:dyDescent="0.35">
      <c r="A738" s="19" t="s">
        <v>2803</v>
      </c>
      <c r="B738" s="20" t="s">
        <v>2799</v>
      </c>
      <c r="C738" s="20" t="s">
        <v>2798</v>
      </c>
      <c r="D738" s="19" t="s">
        <v>174</v>
      </c>
      <c r="E738" s="19" t="s">
        <v>2800</v>
      </c>
      <c r="F738" s="19">
        <v>0.34429999999999999</v>
      </c>
      <c r="G738" s="19" t="s">
        <v>2801</v>
      </c>
      <c r="H738" s="19" t="s">
        <v>2802</v>
      </c>
    </row>
    <row r="739" spans="1:8" x14ac:dyDescent="0.35">
      <c r="A739" s="19" t="s">
        <v>4663</v>
      </c>
      <c r="B739" s="20" t="s">
        <v>475</v>
      </c>
      <c r="C739" s="20" t="s">
        <v>475</v>
      </c>
      <c r="D739" s="19" t="s">
        <v>21</v>
      </c>
      <c r="E739" s="19" t="s">
        <v>72</v>
      </c>
      <c r="F739" s="19">
        <v>1</v>
      </c>
      <c r="G739" s="19"/>
      <c r="H739" s="19"/>
    </row>
    <row r="740" spans="1:8" x14ac:dyDescent="0.35">
      <c r="A740" s="19" t="s">
        <v>3629</v>
      </c>
      <c r="B740" s="20" t="s">
        <v>3626</v>
      </c>
      <c r="C740" s="20" t="s">
        <v>3626</v>
      </c>
      <c r="D740" s="19" t="s">
        <v>174</v>
      </c>
      <c r="E740" s="19" t="s">
        <v>3627</v>
      </c>
      <c r="F740" s="19">
        <v>0.41539999999999999</v>
      </c>
      <c r="G740" s="19" t="s">
        <v>3628</v>
      </c>
      <c r="H740" s="19" t="s">
        <v>2891</v>
      </c>
    </row>
    <row r="741" spans="1:8" x14ac:dyDescent="0.35">
      <c r="A741" s="19" t="s">
        <v>4664</v>
      </c>
      <c r="B741" s="20"/>
      <c r="C741" s="20"/>
      <c r="D741" s="19"/>
      <c r="E741" s="19"/>
      <c r="F741" s="19"/>
      <c r="G741" s="19"/>
      <c r="H741" s="19"/>
    </row>
    <row r="742" spans="1:8" x14ac:dyDescent="0.35">
      <c r="A742" s="19" t="s">
        <v>3694</v>
      </c>
      <c r="B742" s="20" t="s">
        <v>3693</v>
      </c>
      <c r="C742" s="20" t="s">
        <v>3692</v>
      </c>
      <c r="D742" s="19" t="s">
        <v>174</v>
      </c>
      <c r="E742" s="19" t="s">
        <v>3491</v>
      </c>
      <c r="F742" s="19">
        <v>0.40749999999999997</v>
      </c>
      <c r="G742" s="19" t="s">
        <v>3492</v>
      </c>
      <c r="H742" s="19" t="s">
        <v>2455</v>
      </c>
    </row>
    <row r="743" spans="1:8" x14ac:dyDescent="0.35">
      <c r="A743" s="19" t="s">
        <v>4665</v>
      </c>
      <c r="B743" s="20" t="s">
        <v>4666</v>
      </c>
      <c r="C743" s="20"/>
      <c r="D743" s="19"/>
      <c r="E743" s="19"/>
      <c r="F743" s="19"/>
      <c r="G743" s="19"/>
      <c r="H743" s="19"/>
    </row>
    <row r="744" spans="1:8" x14ac:dyDescent="0.35">
      <c r="A744" s="19" t="s">
        <v>4667</v>
      </c>
      <c r="B744" s="20" t="s">
        <v>4668</v>
      </c>
      <c r="C744" s="20"/>
      <c r="D744" s="19"/>
      <c r="E744" s="19"/>
      <c r="F744" s="19"/>
      <c r="G744" s="19"/>
      <c r="H744" s="19"/>
    </row>
    <row r="745" spans="1:8" ht="28" x14ac:dyDescent="0.35">
      <c r="A745" s="19" t="s">
        <v>840</v>
      </c>
      <c r="B745" s="20" t="s">
        <v>839</v>
      </c>
      <c r="C745" s="20" t="s">
        <v>838</v>
      </c>
      <c r="D745" s="19" t="s">
        <v>4</v>
      </c>
      <c r="E745" s="19" t="s">
        <v>67</v>
      </c>
      <c r="F745" s="19">
        <v>0.8</v>
      </c>
      <c r="G745" s="19"/>
      <c r="H745" s="19"/>
    </row>
    <row r="746" spans="1:8" x14ac:dyDescent="0.35">
      <c r="A746" s="19" t="s">
        <v>318</v>
      </c>
      <c r="B746" s="20" t="s">
        <v>316</v>
      </c>
      <c r="C746" s="20" t="s">
        <v>315</v>
      </c>
      <c r="D746" s="19" t="s">
        <v>174</v>
      </c>
      <c r="E746" s="19" t="s">
        <v>72</v>
      </c>
      <c r="F746" s="19">
        <v>0.45960000000000001</v>
      </c>
      <c r="G746" s="19" t="s">
        <v>306</v>
      </c>
      <c r="H746" s="19" t="s">
        <v>317</v>
      </c>
    </row>
    <row r="747" spans="1:8" x14ac:dyDescent="0.35">
      <c r="A747" s="19" t="s">
        <v>4669</v>
      </c>
      <c r="B747" s="20" t="s">
        <v>316</v>
      </c>
      <c r="C747" s="20" t="s">
        <v>315</v>
      </c>
      <c r="D747" s="19" t="s">
        <v>174</v>
      </c>
      <c r="E747" s="19" t="s">
        <v>72</v>
      </c>
      <c r="F747" s="19">
        <v>0.45960000000000001</v>
      </c>
      <c r="G747" s="19" t="s">
        <v>306</v>
      </c>
      <c r="H747" s="19" t="s">
        <v>317</v>
      </c>
    </row>
    <row r="748" spans="1:8" x14ac:dyDescent="0.35">
      <c r="A748" s="19" t="s">
        <v>4670</v>
      </c>
      <c r="B748" s="20" t="s">
        <v>316</v>
      </c>
      <c r="C748" s="20" t="s">
        <v>315</v>
      </c>
      <c r="D748" s="19" t="s">
        <v>174</v>
      </c>
      <c r="E748" s="19" t="s">
        <v>72</v>
      </c>
      <c r="F748" s="19">
        <v>0.45960000000000001</v>
      </c>
      <c r="G748" s="19" t="s">
        <v>306</v>
      </c>
      <c r="H748" s="19" t="s">
        <v>317</v>
      </c>
    </row>
    <row r="749" spans="1:8" x14ac:dyDescent="0.35">
      <c r="A749" s="19" t="s">
        <v>4671</v>
      </c>
      <c r="B749" s="20" t="s">
        <v>3120</v>
      </c>
      <c r="C749" s="20" t="s">
        <v>3119</v>
      </c>
      <c r="D749" s="19" t="s">
        <v>174</v>
      </c>
      <c r="E749" s="19" t="s">
        <v>273</v>
      </c>
      <c r="F749" s="19">
        <v>0.30759999999999998</v>
      </c>
      <c r="G749" s="19" t="s">
        <v>274</v>
      </c>
      <c r="H749" s="19" t="s">
        <v>272</v>
      </c>
    </row>
    <row r="750" spans="1:8" x14ac:dyDescent="0.35">
      <c r="A750" s="19" t="s">
        <v>4672</v>
      </c>
      <c r="B750" s="20" t="s">
        <v>3120</v>
      </c>
      <c r="C750" s="20" t="s">
        <v>3119</v>
      </c>
      <c r="D750" s="19" t="s">
        <v>174</v>
      </c>
      <c r="E750" s="19" t="s">
        <v>273</v>
      </c>
      <c r="F750" s="19">
        <v>0.30759999999999998</v>
      </c>
      <c r="G750" s="19" t="s">
        <v>274</v>
      </c>
      <c r="H750" s="19" t="s">
        <v>272</v>
      </c>
    </row>
    <row r="751" spans="1:8" ht="28" x14ac:dyDescent="0.35">
      <c r="A751" s="19" t="s">
        <v>3975</v>
      </c>
      <c r="B751" s="20" t="s">
        <v>3974</v>
      </c>
      <c r="C751" s="20" t="s">
        <v>3973</v>
      </c>
      <c r="D751" s="19"/>
      <c r="E751" s="19"/>
      <c r="F751" s="19"/>
      <c r="G751" s="19"/>
      <c r="H751" s="19"/>
    </row>
    <row r="752" spans="1:8" x14ac:dyDescent="0.35">
      <c r="A752" s="19" t="s">
        <v>2538</v>
      </c>
      <c r="B752" s="20" t="s">
        <v>2536</v>
      </c>
      <c r="C752" s="20" t="s">
        <v>2535</v>
      </c>
      <c r="D752" s="19" t="s">
        <v>174</v>
      </c>
      <c r="E752" s="19" t="s">
        <v>1806</v>
      </c>
      <c r="F752" s="19">
        <v>0.3775</v>
      </c>
      <c r="G752" s="19" t="s">
        <v>2537</v>
      </c>
      <c r="H752" s="19" t="s">
        <v>2514</v>
      </c>
    </row>
    <row r="753" spans="1:8" x14ac:dyDescent="0.35">
      <c r="A753" s="19" t="s">
        <v>464</v>
      </c>
      <c r="B753" s="20" t="s">
        <v>462</v>
      </c>
      <c r="C753" s="20" t="s">
        <v>461</v>
      </c>
      <c r="D753" s="19" t="s">
        <v>21</v>
      </c>
      <c r="E753" s="19" t="s">
        <v>463</v>
      </c>
      <c r="F753" s="19">
        <v>1</v>
      </c>
      <c r="G753" s="19"/>
      <c r="H753" s="19"/>
    </row>
    <row r="754" spans="1:8" x14ac:dyDescent="0.35">
      <c r="A754" s="19" t="s">
        <v>4673</v>
      </c>
      <c r="B754" s="20" t="s">
        <v>63</v>
      </c>
      <c r="C754" s="20" t="s">
        <v>63</v>
      </c>
      <c r="D754" s="19" t="s">
        <v>21</v>
      </c>
      <c r="E754" s="19" t="s">
        <v>63</v>
      </c>
      <c r="F754" s="19">
        <v>1</v>
      </c>
      <c r="G754" s="19"/>
      <c r="H754" s="19"/>
    </row>
    <row r="755" spans="1:8" x14ac:dyDescent="0.35">
      <c r="A755" s="19" t="s">
        <v>4674</v>
      </c>
      <c r="B755" s="20" t="s">
        <v>4675</v>
      </c>
      <c r="C755" s="20" t="s">
        <v>63</v>
      </c>
      <c r="D755" s="19" t="s">
        <v>21</v>
      </c>
      <c r="E755" s="19" t="s">
        <v>63</v>
      </c>
      <c r="F755" s="19">
        <v>1</v>
      </c>
      <c r="G755" s="19"/>
      <c r="H755" s="19"/>
    </row>
    <row r="756" spans="1:8" ht="70" x14ac:dyDescent="0.35">
      <c r="A756" s="19" t="s">
        <v>3802</v>
      </c>
      <c r="B756" s="20" t="s">
        <v>3801</v>
      </c>
      <c r="C756" s="20" t="s">
        <v>3800</v>
      </c>
      <c r="D756" s="19"/>
      <c r="E756" s="19"/>
      <c r="F756" s="19"/>
      <c r="G756" s="19"/>
      <c r="H756" s="19"/>
    </row>
    <row r="757" spans="1:8" x14ac:dyDescent="0.35">
      <c r="A757" s="19" t="s">
        <v>1097</v>
      </c>
      <c r="B757" s="20" t="s">
        <v>1096</v>
      </c>
      <c r="C757" s="20" t="s">
        <v>1095</v>
      </c>
      <c r="D757" s="19" t="s">
        <v>4</v>
      </c>
      <c r="E757" s="19" t="s">
        <v>907</v>
      </c>
      <c r="F757" s="19">
        <v>0.8</v>
      </c>
      <c r="G757" s="19"/>
      <c r="H757" s="19"/>
    </row>
    <row r="758" spans="1:8" x14ac:dyDescent="0.35">
      <c r="A758" s="19" t="s">
        <v>4676</v>
      </c>
      <c r="B758" s="20"/>
      <c r="C758" s="20"/>
      <c r="D758" s="19"/>
      <c r="E758" s="19"/>
      <c r="F758" s="19"/>
      <c r="G758" s="19"/>
      <c r="H758" s="19"/>
    </row>
    <row r="759" spans="1:8" ht="126" x14ac:dyDescent="0.35">
      <c r="A759" s="19" t="s">
        <v>4234</v>
      </c>
      <c r="B759" s="20" t="s">
        <v>4233</v>
      </c>
      <c r="C759" s="20" t="s">
        <v>4232</v>
      </c>
      <c r="D759" s="19"/>
      <c r="E759" s="19"/>
      <c r="F759" s="19"/>
      <c r="G759" s="19"/>
      <c r="H759" s="19"/>
    </row>
    <row r="760" spans="1:8" x14ac:dyDescent="0.35">
      <c r="A760" s="19" t="s">
        <v>1154</v>
      </c>
      <c r="B760" s="20" t="s">
        <v>1153</v>
      </c>
      <c r="C760" s="20" t="s">
        <v>1152</v>
      </c>
      <c r="D760" s="19" t="s">
        <v>115</v>
      </c>
      <c r="E760" s="19" t="s">
        <v>63</v>
      </c>
      <c r="F760" s="19">
        <v>0.6</v>
      </c>
      <c r="G760" s="19"/>
      <c r="H760" s="19"/>
    </row>
    <row r="761" spans="1:8" x14ac:dyDescent="0.35">
      <c r="A761" s="19" t="s">
        <v>4677</v>
      </c>
      <c r="B761" s="20" t="s">
        <v>4675</v>
      </c>
      <c r="C761" s="20" t="s">
        <v>63</v>
      </c>
      <c r="D761" s="19" t="s">
        <v>21</v>
      </c>
      <c r="E761" s="19" t="s">
        <v>63</v>
      </c>
      <c r="F761" s="19">
        <v>1</v>
      </c>
      <c r="G761" s="19"/>
      <c r="H761" s="19"/>
    </row>
    <row r="762" spans="1:8" ht="28" x14ac:dyDescent="0.35">
      <c r="A762" s="19" t="s">
        <v>3985</v>
      </c>
      <c r="B762" s="20" t="s">
        <v>3984</v>
      </c>
      <c r="C762" s="20" t="s">
        <v>3984</v>
      </c>
      <c r="D762" s="19"/>
      <c r="E762" s="19"/>
      <c r="F762" s="19"/>
      <c r="G762" s="19"/>
      <c r="H762" s="19"/>
    </row>
    <row r="763" spans="1:8" x14ac:dyDescent="0.35">
      <c r="A763" s="19" t="s">
        <v>4678</v>
      </c>
      <c r="B763" s="20" t="s">
        <v>4679</v>
      </c>
      <c r="C763" s="20" t="s">
        <v>63</v>
      </c>
      <c r="D763" s="19" t="s">
        <v>21</v>
      </c>
      <c r="E763" s="19" t="s">
        <v>63</v>
      </c>
      <c r="F763" s="19">
        <v>1</v>
      </c>
      <c r="G763" s="19"/>
      <c r="H763" s="19"/>
    </row>
    <row r="764" spans="1:8" x14ac:dyDescent="0.35">
      <c r="A764" s="19" t="s">
        <v>4680</v>
      </c>
      <c r="B764" s="20" t="s">
        <v>4679</v>
      </c>
      <c r="C764" s="20" t="s">
        <v>63</v>
      </c>
      <c r="D764" s="19" t="s">
        <v>21</v>
      </c>
      <c r="E764" s="19" t="s">
        <v>63</v>
      </c>
      <c r="F764" s="19">
        <v>1</v>
      </c>
      <c r="G764" s="19"/>
      <c r="H764" s="19"/>
    </row>
    <row r="765" spans="1:8" ht="28" x14ac:dyDescent="0.35">
      <c r="A765" s="19" t="s">
        <v>3907</v>
      </c>
      <c r="B765" s="20" t="s">
        <v>3905</v>
      </c>
      <c r="C765" s="20" t="s">
        <v>3904</v>
      </c>
      <c r="D765" s="19"/>
      <c r="E765" s="19"/>
      <c r="F765" s="19"/>
      <c r="G765" s="19"/>
      <c r="H765" s="19"/>
    </row>
    <row r="766" spans="1:8" x14ac:dyDescent="0.35">
      <c r="A766" s="19" t="s">
        <v>4681</v>
      </c>
      <c r="B766" s="20" t="s">
        <v>67</v>
      </c>
      <c r="C766" s="20" t="s">
        <v>67</v>
      </c>
      <c r="D766" s="19" t="s">
        <v>21</v>
      </c>
      <c r="E766" s="19" t="s">
        <v>67</v>
      </c>
      <c r="F766" s="19">
        <v>1</v>
      </c>
      <c r="G766" s="19"/>
      <c r="H766" s="19"/>
    </row>
    <row r="767" spans="1:8" ht="56" x14ac:dyDescent="0.35">
      <c r="A767" s="19" t="s">
        <v>374</v>
      </c>
      <c r="B767" s="20" t="s">
        <v>372</v>
      </c>
      <c r="C767" s="20" t="s">
        <v>4682</v>
      </c>
      <c r="D767" s="19" t="s">
        <v>21</v>
      </c>
      <c r="E767" s="19" t="s">
        <v>458</v>
      </c>
      <c r="F767" s="19">
        <v>1</v>
      </c>
      <c r="G767" s="19" t="s">
        <v>2915</v>
      </c>
      <c r="H767" s="19" t="s">
        <v>1658</v>
      </c>
    </row>
    <row r="768" spans="1:8" x14ac:dyDescent="0.35">
      <c r="A768" s="19" t="s">
        <v>908</v>
      </c>
      <c r="B768" s="20" t="s">
        <v>905</v>
      </c>
      <c r="C768" s="20" t="s">
        <v>905</v>
      </c>
      <c r="D768" s="19" t="s">
        <v>4</v>
      </c>
      <c r="E768" s="19" t="s">
        <v>907</v>
      </c>
      <c r="F768" s="19">
        <v>0.8</v>
      </c>
      <c r="G768" s="19"/>
      <c r="H768" s="19"/>
    </row>
    <row r="769" spans="1:8" ht="28" x14ac:dyDescent="0.35">
      <c r="A769" s="19" t="s">
        <v>887</v>
      </c>
      <c r="B769" s="20" t="s">
        <v>884</v>
      </c>
      <c r="C769" s="20" t="s">
        <v>883</v>
      </c>
      <c r="D769" s="19" t="s">
        <v>4</v>
      </c>
      <c r="E769" s="19" t="s">
        <v>886</v>
      </c>
      <c r="F769" s="19">
        <v>0.8</v>
      </c>
      <c r="G769" s="19"/>
      <c r="H769" s="19"/>
    </row>
    <row r="770" spans="1:8" ht="84" x14ac:dyDescent="0.35">
      <c r="A770" s="19" t="s">
        <v>154</v>
      </c>
      <c r="B770" s="20" t="s">
        <v>150</v>
      </c>
      <c r="C770" s="20" t="s">
        <v>149</v>
      </c>
      <c r="D770" s="19" t="s">
        <v>115</v>
      </c>
      <c r="E770" s="19" t="s">
        <v>153</v>
      </c>
      <c r="F770" s="19">
        <v>0.6</v>
      </c>
      <c r="G770" s="19"/>
      <c r="H770" s="19"/>
    </row>
    <row r="771" spans="1:8" x14ac:dyDescent="0.35">
      <c r="A771" s="19" t="s">
        <v>4683</v>
      </c>
      <c r="B771" s="20" t="s">
        <v>4684</v>
      </c>
      <c r="C771" s="20" t="s">
        <v>352</v>
      </c>
      <c r="D771" s="19" t="s">
        <v>174</v>
      </c>
      <c r="E771" s="19" t="s">
        <v>354</v>
      </c>
      <c r="F771" s="19">
        <v>0.43280000000000002</v>
      </c>
      <c r="G771" s="19" t="s">
        <v>355</v>
      </c>
      <c r="H771" s="19" t="s">
        <v>356</v>
      </c>
    </row>
    <row r="772" spans="1:8" x14ac:dyDescent="0.35">
      <c r="A772" s="19" t="s">
        <v>4685</v>
      </c>
      <c r="B772" s="20" t="s">
        <v>63</v>
      </c>
      <c r="C772" s="20" t="s">
        <v>63</v>
      </c>
      <c r="D772" s="19" t="s">
        <v>21</v>
      </c>
      <c r="E772" s="19" t="s">
        <v>63</v>
      </c>
      <c r="F772" s="19">
        <v>1</v>
      </c>
      <c r="G772" s="19"/>
      <c r="H772" s="19"/>
    </row>
    <row r="773" spans="1:8" x14ac:dyDescent="0.35">
      <c r="A773" s="19" t="s">
        <v>4686</v>
      </c>
      <c r="B773" s="20" t="s">
        <v>4687</v>
      </c>
      <c r="C773" s="20" t="s">
        <v>63</v>
      </c>
      <c r="D773" s="19" t="s">
        <v>21</v>
      </c>
      <c r="E773" s="19" t="s">
        <v>63</v>
      </c>
      <c r="F773" s="19">
        <v>1</v>
      </c>
      <c r="G773" s="19"/>
      <c r="H773" s="19"/>
    </row>
    <row r="774" spans="1:8" x14ac:dyDescent="0.35">
      <c r="A774" s="19" t="s">
        <v>2263</v>
      </c>
      <c r="B774" s="20" t="s">
        <v>2259</v>
      </c>
      <c r="C774" s="20" t="s">
        <v>2258</v>
      </c>
      <c r="D774" s="19" t="s">
        <v>174</v>
      </c>
      <c r="E774" s="19" t="s">
        <v>2260</v>
      </c>
      <c r="F774" s="19">
        <v>0.2046</v>
      </c>
      <c r="G774" s="19" t="s">
        <v>2261</v>
      </c>
      <c r="H774" s="19" t="s">
        <v>2262</v>
      </c>
    </row>
    <row r="775" spans="1:8" x14ac:dyDescent="0.35">
      <c r="A775" s="19" t="s">
        <v>4688</v>
      </c>
      <c r="B775" s="20" t="s">
        <v>4449</v>
      </c>
      <c r="C775" s="20"/>
      <c r="D775" s="19"/>
      <c r="E775" s="19"/>
      <c r="F775" s="19"/>
      <c r="G775" s="19"/>
      <c r="H775" s="19"/>
    </row>
    <row r="776" spans="1:8" ht="28" x14ac:dyDescent="0.35">
      <c r="A776" s="19" t="s">
        <v>1491</v>
      </c>
      <c r="B776" s="20" t="s">
        <v>1487</v>
      </c>
      <c r="C776" s="20" t="s">
        <v>1486</v>
      </c>
      <c r="D776" s="19" t="s">
        <v>174</v>
      </c>
      <c r="E776" s="19" t="s">
        <v>299</v>
      </c>
      <c r="F776" s="19">
        <v>0.27810000000000001</v>
      </c>
      <c r="G776" s="19" t="s">
        <v>1489</v>
      </c>
      <c r="H776" s="19" t="s">
        <v>1490</v>
      </c>
    </row>
    <row r="777" spans="1:8" x14ac:dyDescent="0.35">
      <c r="A777" s="19" t="s">
        <v>2940</v>
      </c>
      <c r="B777" s="20" t="s">
        <v>2938</v>
      </c>
      <c r="C777" s="20" t="s">
        <v>2937</v>
      </c>
      <c r="D777" s="19" t="s">
        <v>174</v>
      </c>
      <c r="E777" s="19" t="s">
        <v>299</v>
      </c>
      <c r="F777" s="19">
        <v>0.3327</v>
      </c>
      <c r="G777" s="19" t="s">
        <v>1789</v>
      </c>
      <c r="H777" s="19" t="s">
        <v>1490</v>
      </c>
    </row>
    <row r="778" spans="1:8" x14ac:dyDescent="0.35">
      <c r="A778" s="19" t="s">
        <v>120</v>
      </c>
      <c r="B778" s="20" t="s">
        <v>117</v>
      </c>
      <c r="C778" s="20" t="s">
        <v>116</v>
      </c>
      <c r="D778" s="19" t="s">
        <v>115</v>
      </c>
      <c r="E778" s="19" t="s">
        <v>119</v>
      </c>
      <c r="F778" s="19">
        <v>0.6</v>
      </c>
      <c r="G778" s="19"/>
      <c r="H778" s="19"/>
    </row>
    <row r="779" spans="1:8" x14ac:dyDescent="0.35">
      <c r="A779" s="19" t="s">
        <v>1794</v>
      </c>
      <c r="B779" s="20" t="s">
        <v>1792</v>
      </c>
      <c r="C779" s="20" t="s">
        <v>1792</v>
      </c>
      <c r="D779" s="19" t="s">
        <v>174</v>
      </c>
      <c r="E779" s="19" t="s">
        <v>1793</v>
      </c>
      <c r="F779" s="19">
        <v>0.248</v>
      </c>
      <c r="G779" s="19"/>
      <c r="H779" s="19"/>
    </row>
    <row r="780" spans="1:8" x14ac:dyDescent="0.35">
      <c r="A780" s="19" t="s">
        <v>2564</v>
      </c>
      <c r="B780" s="20" t="s">
        <v>2561</v>
      </c>
      <c r="C780" s="20" t="s">
        <v>2561</v>
      </c>
      <c r="D780" s="19" t="s">
        <v>174</v>
      </c>
      <c r="E780" s="19" t="s">
        <v>2562</v>
      </c>
      <c r="F780" s="19">
        <v>0.37069999999999997</v>
      </c>
      <c r="G780" s="19" t="s">
        <v>330</v>
      </c>
      <c r="H780" s="19" t="s">
        <v>2563</v>
      </c>
    </row>
    <row r="781" spans="1:8" x14ac:dyDescent="0.35">
      <c r="A781" s="19" t="s">
        <v>4689</v>
      </c>
      <c r="B781" s="20"/>
      <c r="C781" s="20"/>
      <c r="D781" s="19"/>
      <c r="E781" s="19"/>
      <c r="F781" s="19"/>
      <c r="G781" s="19"/>
      <c r="H781" s="19"/>
    </row>
    <row r="782" spans="1:8" ht="42" x14ac:dyDescent="0.35">
      <c r="A782" s="19" t="s">
        <v>1125</v>
      </c>
      <c r="B782" s="20" t="s">
        <v>1124</v>
      </c>
      <c r="C782" s="20" t="s">
        <v>1123</v>
      </c>
      <c r="D782" s="19" t="s">
        <v>115</v>
      </c>
      <c r="E782" s="19" t="s">
        <v>130</v>
      </c>
      <c r="F782" s="19">
        <v>0.6</v>
      </c>
      <c r="G782" s="19"/>
      <c r="H782" s="19"/>
    </row>
    <row r="783" spans="1:8" x14ac:dyDescent="0.35">
      <c r="A783" s="19" t="s">
        <v>1217</v>
      </c>
      <c r="B783" s="20" t="s">
        <v>1216</v>
      </c>
      <c r="C783" s="20" t="s">
        <v>129</v>
      </c>
      <c r="D783" s="19" t="s">
        <v>115</v>
      </c>
      <c r="E783" s="19" t="s">
        <v>130</v>
      </c>
      <c r="F783" s="19">
        <v>0.6</v>
      </c>
      <c r="G783" s="19"/>
      <c r="H783" s="19"/>
    </row>
    <row r="784" spans="1:8" x14ac:dyDescent="0.35">
      <c r="A784" s="19" t="s">
        <v>4690</v>
      </c>
      <c r="B784" s="20" t="s">
        <v>4691</v>
      </c>
      <c r="C784" s="20"/>
      <c r="D784" s="19"/>
      <c r="E784" s="19"/>
      <c r="F784" s="19"/>
      <c r="G784" s="19"/>
      <c r="H784" s="19"/>
    </row>
    <row r="785" spans="1:8" x14ac:dyDescent="0.35">
      <c r="A785" s="19" t="s">
        <v>4692</v>
      </c>
      <c r="B785" s="20" t="s">
        <v>4693</v>
      </c>
      <c r="C785" s="20"/>
      <c r="D785" s="19"/>
      <c r="E785" s="19"/>
      <c r="F785" s="19"/>
      <c r="G785" s="19"/>
      <c r="H785" s="19"/>
    </row>
    <row r="786" spans="1:8" ht="28" x14ac:dyDescent="0.35">
      <c r="A786" s="19" t="s">
        <v>158</v>
      </c>
      <c r="B786" s="20" t="s">
        <v>157</v>
      </c>
      <c r="C786" s="20" t="s">
        <v>4694</v>
      </c>
      <c r="D786" s="19" t="s">
        <v>115</v>
      </c>
      <c r="E786" s="19" t="s">
        <v>130</v>
      </c>
      <c r="F786" s="19">
        <v>0.6</v>
      </c>
      <c r="G786" s="19" t="s">
        <v>2991</v>
      </c>
      <c r="H786" s="19" t="s">
        <v>2992</v>
      </c>
    </row>
    <row r="787" spans="1:8" x14ac:dyDescent="0.35">
      <c r="A787" s="19" t="s">
        <v>2484</v>
      </c>
      <c r="B787" s="20" t="s">
        <v>2480</v>
      </c>
      <c r="C787" s="20" t="s">
        <v>2479</v>
      </c>
      <c r="D787" s="19" t="s">
        <v>174</v>
      </c>
      <c r="E787" s="19" t="s">
        <v>2482</v>
      </c>
      <c r="F787" s="19">
        <v>0.3836</v>
      </c>
      <c r="G787" s="19" t="s">
        <v>2483</v>
      </c>
      <c r="H787" s="19" t="s">
        <v>1427</v>
      </c>
    </row>
    <row r="788" spans="1:8" x14ac:dyDescent="0.35">
      <c r="A788" s="19" t="s">
        <v>1430</v>
      </c>
      <c r="B788" s="20" t="s">
        <v>1425</v>
      </c>
      <c r="C788" s="20" t="s">
        <v>1424</v>
      </c>
      <c r="D788" s="19" t="s">
        <v>174</v>
      </c>
      <c r="E788" s="19" t="s">
        <v>1427</v>
      </c>
      <c r="F788" s="19">
        <v>0.28470000000000001</v>
      </c>
      <c r="G788" s="19" t="s">
        <v>1428</v>
      </c>
      <c r="H788" s="19" t="s">
        <v>1429</v>
      </c>
    </row>
    <row r="789" spans="1:8" x14ac:dyDescent="0.35">
      <c r="A789" s="19" t="s">
        <v>4037</v>
      </c>
      <c r="B789" s="20" t="s">
        <v>4035</v>
      </c>
      <c r="C789" s="20" t="s">
        <v>4035</v>
      </c>
      <c r="D789" s="19"/>
      <c r="E789" s="19"/>
      <c r="F789" s="19"/>
      <c r="G789" s="19"/>
      <c r="H789" s="19"/>
    </row>
    <row r="790" spans="1:8" ht="182" x14ac:dyDescent="0.35">
      <c r="A790" s="19" t="s">
        <v>1296</v>
      </c>
      <c r="B790" s="20" t="s">
        <v>1293</v>
      </c>
      <c r="C790" s="20" t="s">
        <v>4695</v>
      </c>
      <c r="D790" s="19" t="s">
        <v>174</v>
      </c>
      <c r="E790" s="19" t="s">
        <v>3500</v>
      </c>
      <c r="F790" s="19">
        <v>0.4325</v>
      </c>
      <c r="G790" s="19" t="s">
        <v>220</v>
      </c>
      <c r="H790" s="19" t="s">
        <v>3501</v>
      </c>
    </row>
    <row r="791" spans="1:8" x14ac:dyDescent="0.35">
      <c r="A791" s="19" t="s">
        <v>4696</v>
      </c>
      <c r="B791" s="20" t="s">
        <v>4622</v>
      </c>
      <c r="C791" s="20"/>
      <c r="D791" s="19"/>
      <c r="E791" s="19"/>
      <c r="F791" s="19"/>
      <c r="G791" s="19"/>
      <c r="H791" s="19"/>
    </row>
    <row r="792" spans="1:8" x14ac:dyDescent="0.35">
      <c r="A792" s="19" t="s">
        <v>4697</v>
      </c>
      <c r="B792" s="20" t="s">
        <v>4698</v>
      </c>
      <c r="C792" s="20" t="s">
        <v>2662</v>
      </c>
      <c r="D792" s="19" t="s">
        <v>174</v>
      </c>
      <c r="E792" s="19" t="s">
        <v>221</v>
      </c>
      <c r="F792" s="19">
        <v>0.47089999999999999</v>
      </c>
      <c r="G792" s="19" t="s">
        <v>220</v>
      </c>
      <c r="H792" s="19" t="s">
        <v>193</v>
      </c>
    </row>
    <row r="793" spans="1:8" ht="28" x14ac:dyDescent="0.35">
      <c r="A793" s="19" t="s">
        <v>2634</v>
      </c>
      <c r="B793" s="20" t="s">
        <v>2631</v>
      </c>
      <c r="C793" s="20" t="s">
        <v>2631</v>
      </c>
      <c r="D793" s="19" t="s">
        <v>174</v>
      </c>
      <c r="E793" s="19" t="s">
        <v>2632</v>
      </c>
      <c r="F793" s="19">
        <v>0.36099999999999999</v>
      </c>
      <c r="G793" s="19" t="s">
        <v>2633</v>
      </c>
      <c r="H793" s="19" t="s">
        <v>243</v>
      </c>
    </row>
    <row r="794" spans="1:8" ht="56" x14ac:dyDescent="0.35">
      <c r="A794" s="19" t="s">
        <v>92</v>
      </c>
      <c r="B794" s="20" t="s">
        <v>89</v>
      </c>
      <c r="C794" s="20" t="s">
        <v>4699</v>
      </c>
      <c r="D794" s="19" t="s">
        <v>4</v>
      </c>
      <c r="E794" s="19" t="s">
        <v>91</v>
      </c>
      <c r="F794" s="19">
        <v>0.8</v>
      </c>
      <c r="G794" s="19" t="s">
        <v>2409</v>
      </c>
      <c r="H794" s="19" t="s">
        <v>2410</v>
      </c>
    </row>
    <row r="795" spans="1:8" ht="28" x14ac:dyDescent="0.35">
      <c r="A795" s="19" t="s">
        <v>208</v>
      </c>
      <c r="B795" s="20" t="s">
        <v>204</v>
      </c>
      <c r="C795" s="20" t="s">
        <v>204</v>
      </c>
      <c r="D795" s="19" t="s">
        <v>174</v>
      </c>
      <c r="E795" s="19" t="s">
        <v>206</v>
      </c>
      <c r="F795" s="19">
        <v>0.24479999999999999</v>
      </c>
      <c r="G795" s="19" t="s">
        <v>207</v>
      </c>
      <c r="H795" s="19"/>
    </row>
    <row r="796" spans="1:8" ht="42" x14ac:dyDescent="0.35">
      <c r="A796" s="19" t="s">
        <v>1941</v>
      </c>
      <c r="B796" s="20" t="s">
        <v>1938</v>
      </c>
      <c r="C796" s="20" t="s">
        <v>1938</v>
      </c>
      <c r="D796" s="19" t="s">
        <v>174</v>
      </c>
      <c r="E796" s="19" t="s">
        <v>221</v>
      </c>
      <c r="F796" s="19">
        <v>0.23480000000000001</v>
      </c>
      <c r="G796" s="19" t="s">
        <v>362</v>
      </c>
      <c r="H796" s="19" t="s">
        <v>1940</v>
      </c>
    </row>
    <row r="797" spans="1:8" x14ac:dyDescent="0.35">
      <c r="A797" s="19" t="s">
        <v>2815</v>
      </c>
      <c r="B797" s="20" t="s">
        <v>2811</v>
      </c>
      <c r="C797" s="20" t="s">
        <v>2810</v>
      </c>
      <c r="D797" s="19" t="s">
        <v>174</v>
      </c>
      <c r="E797" s="19" t="s">
        <v>2812</v>
      </c>
      <c r="F797" s="19">
        <v>0.34239999999999998</v>
      </c>
      <c r="G797" s="19" t="s">
        <v>2813</v>
      </c>
      <c r="H797" s="19" t="s">
        <v>2814</v>
      </c>
    </row>
    <row r="798" spans="1:8" x14ac:dyDescent="0.35">
      <c r="A798" s="19" t="s">
        <v>4700</v>
      </c>
      <c r="B798" s="20"/>
      <c r="C798" s="20"/>
      <c r="D798" s="19"/>
      <c r="E798" s="19"/>
      <c r="F798" s="19"/>
      <c r="G798" s="19"/>
      <c r="H798" s="19"/>
    </row>
    <row r="799" spans="1:8" ht="42" x14ac:dyDescent="0.35">
      <c r="A799" s="19" t="s">
        <v>1918</v>
      </c>
      <c r="B799" s="20" t="s">
        <v>1915</v>
      </c>
      <c r="C799" s="20" t="s">
        <v>1914</v>
      </c>
      <c r="D799" s="19" t="s">
        <v>174</v>
      </c>
      <c r="E799" s="19" t="s">
        <v>1450</v>
      </c>
      <c r="F799" s="19">
        <v>0.23780000000000001</v>
      </c>
      <c r="G799" s="19" t="s">
        <v>1837</v>
      </c>
      <c r="H799" s="19" t="s">
        <v>1917</v>
      </c>
    </row>
    <row r="800" spans="1:8" ht="28" x14ac:dyDescent="0.35">
      <c r="A800" s="19" t="s">
        <v>2956</v>
      </c>
      <c r="B800" s="20" t="s">
        <v>2951</v>
      </c>
      <c r="C800" s="20" t="s">
        <v>2950</v>
      </c>
      <c r="D800" s="19" t="s">
        <v>174</v>
      </c>
      <c r="E800" s="19" t="s">
        <v>2953</v>
      </c>
      <c r="F800" s="19">
        <v>0.32969999999999999</v>
      </c>
      <c r="G800" s="19" t="s">
        <v>2954</v>
      </c>
      <c r="H800" s="19" t="s">
        <v>2955</v>
      </c>
    </row>
    <row r="801" spans="1:8" ht="28" x14ac:dyDescent="0.35">
      <c r="A801" s="19" t="s">
        <v>843</v>
      </c>
      <c r="B801" s="20" t="s">
        <v>842</v>
      </c>
      <c r="C801" s="20" t="s">
        <v>842</v>
      </c>
      <c r="D801" s="19" t="s">
        <v>4</v>
      </c>
      <c r="E801" s="19" t="s">
        <v>67</v>
      </c>
      <c r="F801" s="19">
        <v>0.8</v>
      </c>
      <c r="G801" s="19"/>
      <c r="H801" s="19"/>
    </row>
    <row r="802" spans="1:8" x14ac:dyDescent="0.35">
      <c r="A802" s="19" t="s">
        <v>4701</v>
      </c>
      <c r="B802" s="20" t="s">
        <v>2811</v>
      </c>
      <c r="C802" s="20" t="s">
        <v>2810</v>
      </c>
      <c r="D802" s="19" t="s">
        <v>174</v>
      </c>
      <c r="E802" s="19" t="s">
        <v>2812</v>
      </c>
      <c r="F802" s="19">
        <v>0.34239999999999998</v>
      </c>
      <c r="G802" s="19" t="s">
        <v>2813</v>
      </c>
      <c r="H802" s="19" t="s">
        <v>2814</v>
      </c>
    </row>
    <row r="803" spans="1:8" x14ac:dyDescent="0.35">
      <c r="A803" s="19" t="s">
        <v>4702</v>
      </c>
      <c r="B803" s="20" t="s">
        <v>4703</v>
      </c>
      <c r="C803" s="20" t="s">
        <v>67</v>
      </c>
      <c r="D803" s="19" t="s">
        <v>21</v>
      </c>
      <c r="E803" s="19" t="s">
        <v>67</v>
      </c>
      <c r="F803" s="19">
        <v>1</v>
      </c>
      <c r="G803" s="19"/>
      <c r="H803" s="19"/>
    </row>
    <row r="804" spans="1:8" x14ac:dyDescent="0.35">
      <c r="A804" s="19" t="s">
        <v>3534</v>
      </c>
      <c r="B804" s="20" t="s">
        <v>3531</v>
      </c>
      <c r="C804" s="20" t="s">
        <v>3024</v>
      </c>
      <c r="D804" s="19" t="s">
        <v>174</v>
      </c>
      <c r="E804" s="19" t="s">
        <v>3532</v>
      </c>
      <c r="F804" s="19">
        <v>0.42670000000000002</v>
      </c>
      <c r="G804" s="19" t="s">
        <v>2933</v>
      </c>
      <c r="H804" s="19" t="s">
        <v>3533</v>
      </c>
    </row>
    <row r="805" spans="1:8" ht="28" x14ac:dyDescent="0.35">
      <c r="A805" s="19" t="s">
        <v>4222</v>
      </c>
      <c r="B805" s="20" t="s">
        <v>4221</v>
      </c>
      <c r="C805" s="20" t="s">
        <v>4221</v>
      </c>
      <c r="D805" s="19"/>
      <c r="E805" s="19"/>
      <c r="F805" s="19"/>
      <c r="G805" s="19"/>
      <c r="H805" s="19"/>
    </row>
    <row r="806" spans="1:8" ht="42" x14ac:dyDescent="0.35">
      <c r="A806" s="19" t="s">
        <v>1738</v>
      </c>
      <c r="B806" s="20" t="s">
        <v>1735</v>
      </c>
      <c r="C806" s="20" t="s">
        <v>1734</v>
      </c>
      <c r="D806" s="19" t="s">
        <v>174</v>
      </c>
      <c r="E806" s="19" t="s">
        <v>1736</v>
      </c>
      <c r="F806" s="19">
        <v>0.25419999999999998</v>
      </c>
      <c r="G806" s="19" t="s">
        <v>1737</v>
      </c>
      <c r="H806" s="19" t="s">
        <v>1445</v>
      </c>
    </row>
    <row r="807" spans="1:8" x14ac:dyDescent="0.35">
      <c r="A807" s="19" t="s">
        <v>948</v>
      </c>
      <c r="B807" s="20" t="s">
        <v>947</v>
      </c>
      <c r="C807" s="20" t="s">
        <v>946</v>
      </c>
      <c r="D807" s="19" t="s">
        <v>4</v>
      </c>
      <c r="E807" s="19" t="s">
        <v>565</v>
      </c>
      <c r="F807" s="19">
        <v>0.8</v>
      </c>
      <c r="G807" s="19"/>
      <c r="H807" s="19"/>
    </row>
    <row r="808" spans="1:8" x14ac:dyDescent="0.35">
      <c r="A808" s="19" t="s">
        <v>2681</v>
      </c>
      <c r="B808" s="20" t="s">
        <v>2679</v>
      </c>
      <c r="C808" s="20" t="s">
        <v>2679</v>
      </c>
      <c r="D808" s="19" t="s">
        <v>174</v>
      </c>
      <c r="E808" s="19" t="s">
        <v>312</v>
      </c>
      <c r="F808" s="19">
        <v>0.35549999999999998</v>
      </c>
      <c r="G808" s="19" t="s">
        <v>1837</v>
      </c>
      <c r="H808" s="19" t="s">
        <v>2680</v>
      </c>
    </row>
    <row r="809" spans="1:8" ht="28" x14ac:dyDescent="0.35">
      <c r="A809" s="19" t="s">
        <v>1613</v>
      </c>
      <c r="B809" s="20" t="s">
        <v>1608</v>
      </c>
      <c r="C809" s="20" t="s">
        <v>1607</v>
      </c>
      <c r="D809" s="19" t="s">
        <v>174</v>
      </c>
      <c r="E809" s="19" t="s">
        <v>1610</v>
      </c>
      <c r="F809" s="19">
        <v>0.2702</v>
      </c>
      <c r="G809" s="19" t="s">
        <v>1611</v>
      </c>
      <c r="H809" s="19" t="s">
        <v>1612</v>
      </c>
    </row>
    <row r="810" spans="1:8" ht="56" x14ac:dyDescent="0.35">
      <c r="A810" s="19" t="s">
        <v>851</v>
      </c>
      <c r="B810" s="20" t="s">
        <v>850</v>
      </c>
      <c r="C810" s="20" t="s">
        <v>849</v>
      </c>
      <c r="D810" s="19" t="s">
        <v>4</v>
      </c>
      <c r="E810" s="19" t="s">
        <v>67</v>
      </c>
      <c r="F810" s="19">
        <v>0.8</v>
      </c>
      <c r="G810" s="19"/>
      <c r="H810" s="19"/>
    </row>
    <row r="811" spans="1:8" x14ac:dyDescent="0.35">
      <c r="A811" s="19" t="s">
        <v>68</v>
      </c>
      <c r="B811" s="20" t="s">
        <v>66</v>
      </c>
      <c r="C811" s="20" t="s">
        <v>66</v>
      </c>
      <c r="D811" s="19" t="s">
        <v>4</v>
      </c>
      <c r="E811" s="19" t="s">
        <v>67</v>
      </c>
      <c r="F811" s="19">
        <v>0.8</v>
      </c>
      <c r="G811" s="19"/>
      <c r="H811" s="19"/>
    </row>
    <row r="812" spans="1:8" x14ac:dyDescent="0.35">
      <c r="A812" s="19" t="s">
        <v>3397</v>
      </c>
      <c r="B812" s="20" t="s">
        <v>3394</v>
      </c>
      <c r="C812" s="20" t="s">
        <v>3394</v>
      </c>
      <c r="D812" s="19" t="s">
        <v>174</v>
      </c>
      <c r="E812" s="19" t="s">
        <v>3019</v>
      </c>
      <c r="F812" s="19">
        <v>0.44979999999999998</v>
      </c>
      <c r="G812" s="19" t="s">
        <v>3395</v>
      </c>
      <c r="H812" s="19" t="s">
        <v>3396</v>
      </c>
    </row>
    <row r="813" spans="1:8" ht="28" x14ac:dyDescent="0.35">
      <c r="A813" s="19" t="s">
        <v>597</v>
      </c>
      <c r="B813" s="20" t="s">
        <v>596</v>
      </c>
      <c r="C813" s="20" t="s">
        <v>595</v>
      </c>
      <c r="D813" s="19" t="s">
        <v>4</v>
      </c>
      <c r="E813" s="19" t="s">
        <v>67</v>
      </c>
      <c r="F813" s="19">
        <v>0.8</v>
      </c>
      <c r="G813" s="19"/>
      <c r="H813" s="19"/>
    </row>
    <row r="814" spans="1:8" x14ac:dyDescent="0.35">
      <c r="A814" s="19" t="s">
        <v>4704</v>
      </c>
      <c r="B814" s="20" t="s">
        <v>3696</v>
      </c>
      <c r="C814" s="20" t="s">
        <v>3696</v>
      </c>
      <c r="D814" s="19" t="s">
        <v>174</v>
      </c>
      <c r="E814" s="19" t="s">
        <v>3697</v>
      </c>
      <c r="F814" s="19">
        <v>0.40570000000000001</v>
      </c>
      <c r="G814" s="19" t="s">
        <v>1768</v>
      </c>
      <c r="H814" s="19" t="s">
        <v>3698</v>
      </c>
    </row>
    <row r="815" spans="1:8" x14ac:dyDescent="0.35">
      <c r="A815" s="19" t="s">
        <v>4705</v>
      </c>
      <c r="B815" s="20" t="s">
        <v>4706</v>
      </c>
      <c r="C815" s="20" t="s">
        <v>67</v>
      </c>
      <c r="D815" s="19" t="s">
        <v>21</v>
      </c>
      <c r="E815" s="19" t="s">
        <v>67</v>
      </c>
      <c r="F815" s="19">
        <v>1</v>
      </c>
      <c r="G815" s="19"/>
      <c r="H815" s="19"/>
    </row>
    <row r="816" spans="1:8" ht="70" x14ac:dyDescent="0.35">
      <c r="A816" s="19" t="s">
        <v>2115</v>
      </c>
      <c r="B816" s="20" t="s">
        <v>2111</v>
      </c>
      <c r="C816" s="20" t="s">
        <v>4707</v>
      </c>
      <c r="D816" s="19" t="s">
        <v>174</v>
      </c>
      <c r="E816" s="19" t="s">
        <v>3350</v>
      </c>
      <c r="F816" s="19">
        <v>0.45629999999999998</v>
      </c>
      <c r="G816" s="19" t="s">
        <v>2120</v>
      </c>
      <c r="H816" s="19" t="s">
        <v>3351</v>
      </c>
    </row>
    <row r="817" spans="1:8" ht="28" x14ac:dyDescent="0.35">
      <c r="A817" s="19" t="s">
        <v>2527</v>
      </c>
      <c r="B817" s="20" t="s">
        <v>2525</v>
      </c>
      <c r="C817" s="20" t="s">
        <v>2524</v>
      </c>
      <c r="D817" s="19" t="s">
        <v>174</v>
      </c>
      <c r="E817" s="19" t="s">
        <v>221</v>
      </c>
      <c r="F817" s="19">
        <v>0.37840000000000001</v>
      </c>
      <c r="G817" s="19" t="s">
        <v>220</v>
      </c>
      <c r="H817" s="19" t="s">
        <v>2459</v>
      </c>
    </row>
    <row r="818" spans="1:8" ht="56" x14ac:dyDescent="0.35">
      <c r="A818" s="19" t="s">
        <v>3183</v>
      </c>
      <c r="B818" s="20" t="s">
        <v>3182</v>
      </c>
      <c r="C818" s="20" t="s">
        <v>3181</v>
      </c>
      <c r="D818" s="19" t="s">
        <v>174</v>
      </c>
      <c r="E818" s="19" t="s">
        <v>299</v>
      </c>
      <c r="F818" s="19">
        <v>0.30059999999999998</v>
      </c>
      <c r="G818" s="19" t="s">
        <v>221</v>
      </c>
      <c r="H818" s="19" t="s">
        <v>193</v>
      </c>
    </row>
    <row r="819" spans="1:8" ht="42" x14ac:dyDescent="0.35">
      <c r="A819" s="19" t="s">
        <v>2288</v>
      </c>
      <c r="B819" s="20" t="s">
        <v>2285</v>
      </c>
      <c r="C819" s="20" t="s">
        <v>2284</v>
      </c>
      <c r="D819" s="19" t="s">
        <v>174</v>
      </c>
      <c r="E819" s="19" t="s">
        <v>2287</v>
      </c>
      <c r="F819" s="19">
        <v>0.20030000000000001</v>
      </c>
      <c r="G819" s="19"/>
      <c r="H819" s="19"/>
    </row>
    <row r="820" spans="1:8" ht="28" x14ac:dyDescent="0.35">
      <c r="A820" s="19" t="s">
        <v>3156</v>
      </c>
      <c r="B820" s="20" t="s">
        <v>3154</v>
      </c>
      <c r="C820" s="20" t="s">
        <v>4708</v>
      </c>
      <c r="D820" s="19" t="s">
        <v>174</v>
      </c>
      <c r="E820" s="19" t="s">
        <v>3194</v>
      </c>
      <c r="F820" s="19">
        <v>0.48880000000000001</v>
      </c>
      <c r="G820" s="19" t="s">
        <v>3195</v>
      </c>
      <c r="H820" s="19" t="s">
        <v>221</v>
      </c>
    </row>
    <row r="821" spans="1:8" ht="182" x14ac:dyDescent="0.35">
      <c r="A821" s="19" t="s">
        <v>1225</v>
      </c>
      <c r="B821" s="20" t="s">
        <v>1220</v>
      </c>
      <c r="C821" s="20" t="s">
        <v>1219</v>
      </c>
      <c r="D821" s="19" t="s">
        <v>115</v>
      </c>
      <c r="E821" s="19" t="s">
        <v>1223</v>
      </c>
      <c r="F821" s="19">
        <v>0.48</v>
      </c>
      <c r="G821" s="19" t="s">
        <v>1224</v>
      </c>
      <c r="H821" s="19"/>
    </row>
    <row r="822" spans="1:8" ht="28" x14ac:dyDescent="0.35">
      <c r="A822" s="19" t="s">
        <v>833</v>
      </c>
      <c r="B822" s="20" t="s">
        <v>832</v>
      </c>
      <c r="C822" s="20" t="s">
        <v>831</v>
      </c>
      <c r="D822" s="19" t="s">
        <v>4</v>
      </c>
      <c r="E822" s="19" t="s">
        <v>67</v>
      </c>
      <c r="F822" s="19">
        <v>0.8</v>
      </c>
      <c r="G822" s="19"/>
      <c r="H822" s="19"/>
    </row>
    <row r="823" spans="1:8" x14ac:dyDescent="0.35">
      <c r="A823" s="19" t="s">
        <v>4709</v>
      </c>
      <c r="B823" s="20" t="s">
        <v>4710</v>
      </c>
      <c r="C823" s="20"/>
      <c r="D823" s="19"/>
      <c r="E823" s="19"/>
      <c r="F823" s="19"/>
      <c r="G823" s="19"/>
      <c r="H823" s="19"/>
    </row>
    <row r="824" spans="1:8" x14ac:dyDescent="0.35">
      <c r="A824" s="19" t="s">
        <v>4711</v>
      </c>
      <c r="B824" s="20" t="s">
        <v>4706</v>
      </c>
      <c r="C824" s="20" t="s">
        <v>67</v>
      </c>
      <c r="D824" s="19" t="s">
        <v>21</v>
      </c>
      <c r="E824" s="19" t="s">
        <v>67</v>
      </c>
      <c r="F824" s="19">
        <v>1</v>
      </c>
      <c r="G824" s="19"/>
      <c r="H824" s="19"/>
    </row>
    <row r="825" spans="1:8" ht="70" x14ac:dyDescent="0.35">
      <c r="A825" s="19" t="s">
        <v>4712</v>
      </c>
      <c r="B825" s="20" t="s">
        <v>2111</v>
      </c>
      <c r="C825" s="20" t="s">
        <v>4707</v>
      </c>
      <c r="D825" s="19" t="s">
        <v>174</v>
      </c>
      <c r="E825" s="19" t="s">
        <v>3350</v>
      </c>
      <c r="F825" s="19">
        <v>0.45629999999999998</v>
      </c>
      <c r="G825" s="19" t="s">
        <v>2120</v>
      </c>
      <c r="H825" s="19" t="s">
        <v>3351</v>
      </c>
    </row>
    <row r="826" spans="1:8" ht="28" x14ac:dyDescent="0.35">
      <c r="A826" s="19" t="s">
        <v>4713</v>
      </c>
      <c r="B826" s="20" t="s">
        <v>2525</v>
      </c>
      <c r="C826" s="20" t="s">
        <v>2524</v>
      </c>
      <c r="D826" s="19" t="s">
        <v>174</v>
      </c>
      <c r="E826" s="19" t="s">
        <v>221</v>
      </c>
      <c r="F826" s="19">
        <v>0.37840000000000001</v>
      </c>
      <c r="G826" s="19" t="s">
        <v>220</v>
      </c>
      <c r="H826" s="19" t="s">
        <v>2459</v>
      </c>
    </row>
    <row r="827" spans="1:8" ht="42" x14ac:dyDescent="0.35">
      <c r="A827" s="19" t="s">
        <v>300</v>
      </c>
      <c r="B827" s="20" t="s">
        <v>297</v>
      </c>
      <c r="C827" s="20" t="s">
        <v>296</v>
      </c>
      <c r="D827" s="19" t="s">
        <v>174</v>
      </c>
      <c r="E827" s="19" t="s">
        <v>299</v>
      </c>
      <c r="F827" s="19">
        <v>0.30230000000000001</v>
      </c>
      <c r="G827" s="19" t="s">
        <v>221</v>
      </c>
      <c r="H827" s="19" t="s">
        <v>193</v>
      </c>
    </row>
    <row r="828" spans="1:8" x14ac:dyDescent="0.35">
      <c r="A828" s="19" t="s">
        <v>363</v>
      </c>
      <c r="B828" s="20" t="s">
        <v>360</v>
      </c>
      <c r="C828" s="20" t="s">
        <v>359</v>
      </c>
      <c r="D828" s="19" t="s">
        <v>174</v>
      </c>
      <c r="E828" s="19" t="s">
        <v>221</v>
      </c>
      <c r="F828" s="19">
        <v>0.41120000000000001</v>
      </c>
      <c r="G828" s="19" t="s">
        <v>220</v>
      </c>
      <c r="H828" s="19" t="s">
        <v>362</v>
      </c>
    </row>
    <row r="829" spans="1:8" ht="28" x14ac:dyDescent="0.35">
      <c r="A829" s="19" t="s">
        <v>4714</v>
      </c>
      <c r="B829" s="20" t="s">
        <v>3154</v>
      </c>
      <c r="C829" s="20" t="s">
        <v>4708</v>
      </c>
      <c r="D829" s="19" t="s">
        <v>174</v>
      </c>
      <c r="E829" s="19" t="s">
        <v>3194</v>
      </c>
      <c r="F829" s="19">
        <v>0.48880000000000001</v>
      </c>
      <c r="G829" s="19" t="s">
        <v>3195</v>
      </c>
      <c r="H829" s="19" t="s">
        <v>221</v>
      </c>
    </row>
    <row r="830" spans="1:8" ht="168" x14ac:dyDescent="0.35">
      <c r="A830" s="19" t="s">
        <v>1229</v>
      </c>
      <c r="B830" s="20" t="s">
        <v>1228</v>
      </c>
      <c r="C830" s="20" t="s">
        <v>1227</v>
      </c>
      <c r="D830" s="19" t="s">
        <v>115</v>
      </c>
      <c r="E830" s="19" t="s">
        <v>1223</v>
      </c>
      <c r="F830" s="19">
        <v>0.48</v>
      </c>
      <c r="G830" s="19" t="s">
        <v>1224</v>
      </c>
      <c r="H830" s="19"/>
    </row>
    <row r="831" spans="1:8" x14ac:dyDescent="0.35">
      <c r="A831" s="19" t="s">
        <v>4715</v>
      </c>
      <c r="B831" s="20" t="s">
        <v>4706</v>
      </c>
      <c r="C831" s="20" t="s">
        <v>67</v>
      </c>
      <c r="D831" s="19" t="s">
        <v>21</v>
      </c>
      <c r="E831" s="19" t="s">
        <v>67</v>
      </c>
      <c r="F831" s="19">
        <v>1</v>
      </c>
      <c r="G831" s="19"/>
      <c r="H831" s="19"/>
    </row>
    <row r="832" spans="1:8" x14ac:dyDescent="0.35">
      <c r="A832" s="19" t="s">
        <v>4716</v>
      </c>
      <c r="B832" s="20" t="s">
        <v>4717</v>
      </c>
      <c r="C832" s="20" t="s">
        <v>67</v>
      </c>
      <c r="D832" s="19" t="s">
        <v>21</v>
      </c>
      <c r="E832" s="19" t="s">
        <v>67</v>
      </c>
      <c r="F832" s="19">
        <v>1</v>
      </c>
      <c r="G832" s="19"/>
      <c r="H832" s="19"/>
    </row>
    <row r="833" spans="1:8" ht="28" x14ac:dyDescent="0.35">
      <c r="A833" s="19" t="s">
        <v>4718</v>
      </c>
      <c r="B833" s="20" t="s">
        <v>832</v>
      </c>
      <c r="C833" s="20" t="s">
        <v>831</v>
      </c>
      <c r="D833" s="19" t="s">
        <v>4</v>
      </c>
      <c r="E833" s="19" t="s">
        <v>67</v>
      </c>
      <c r="F833" s="19">
        <v>0.8</v>
      </c>
      <c r="G833" s="19"/>
      <c r="H833" s="19"/>
    </row>
    <row r="834" spans="1:8" x14ac:dyDescent="0.35">
      <c r="A834" s="19" t="s">
        <v>4719</v>
      </c>
      <c r="B834" s="20" t="s">
        <v>4703</v>
      </c>
      <c r="C834" s="20" t="s">
        <v>67</v>
      </c>
      <c r="D834" s="19" t="s">
        <v>21</v>
      </c>
      <c r="E834" s="19" t="s">
        <v>67</v>
      </c>
      <c r="F834" s="19">
        <v>1</v>
      </c>
      <c r="G834" s="19"/>
      <c r="H834" s="19"/>
    </row>
    <row r="835" spans="1:8" x14ac:dyDescent="0.35">
      <c r="A835" s="19" t="s">
        <v>4720</v>
      </c>
      <c r="B835" s="20" t="s">
        <v>4721</v>
      </c>
      <c r="C835" s="20" t="s">
        <v>67</v>
      </c>
      <c r="D835" s="19" t="s">
        <v>21</v>
      </c>
      <c r="E835" s="19" t="s">
        <v>67</v>
      </c>
      <c r="F835" s="19">
        <v>1</v>
      </c>
      <c r="G835" s="19"/>
      <c r="H835" s="19"/>
    </row>
    <row r="836" spans="1:8" x14ac:dyDescent="0.35">
      <c r="A836" s="19" t="s">
        <v>4722</v>
      </c>
      <c r="B836" s="20" t="s">
        <v>1553</v>
      </c>
      <c r="C836" s="20" t="s">
        <v>1553</v>
      </c>
      <c r="D836" s="19" t="s">
        <v>174</v>
      </c>
      <c r="E836" s="19" t="s">
        <v>1402</v>
      </c>
      <c r="F836" s="19">
        <v>0.27429999999999999</v>
      </c>
      <c r="G836" s="19" t="s">
        <v>1415</v>
      </c>
      <c r="H836" s="19" t="s">
        <v>235</v>
      </c>
    </row>
    <row r="837" spans="1:8" ht="28" x14ac:dyDescent="0.35">
      <c r="A837" s="19" t="s">
        <v>3711</v>
      </c>
      <c r="B837" s="20" t="s">
        <v>3710</v>
      </c>
      <c r="C837" s="20" t="s">
        <v>3709</v>
      </c>
      <c r="D837" s="19" t="s">
        <v>174</v>
      </c>
      <c r="E837" s="19" t="s">
        <v>3268</v>
      </c>
      <c r="F837" s="19">
        <v>0.40450000000000003</v>
      </c>
      <c r="G837" s="19" t="s">
        <v>3094</v>
      </c>
      <c r="H837" s="19" t="s">
        <v>2488</v>
      </c>
    </row>
    <row r="838" spans="1:8" x14ac:dyDescent="0.35">
      <c r="A838" s="19" t="s">
        <v>4723</v>
      </c>
      <c r="B838" s="20"/>
      <c r="C838" s="20"/>
      <c r="D838" s="19"/>
      <c r="E838" s="19"/>
      <c r="F838" s="19"/>
      <c r="G838" s="19"/>
      <c r="H838" s="19"/>
    </row>
    <row r="839" spans="1:8" x14ac:dyDescent="0.35">
      <c r="A839" s="19" t="s">
        <v>3365</v>
      </c>
      <c r="B839" s="20" t="s">
        <v>3362</v>
      </c>
      <c r="C839" s="20" t="s">
        <v>3362</v>
      </c>
      <c r="D839" s="19" t="s">
        <v>174</v>
      </c>
      <c r="E839" s="19" t="s">
        <v>3363</v>
      </c>
      <c r="F839" s="19">
        <v>0.45550000000000002</v>
      </c>
      <c r="G839" s="19" t="s">
        <v>1522</v>
      </c>
      <c r="H839" s="19" t="s">
        <v>3364</v>
      </c>
    </row>
    <row r="840" spans="1:8" ht="28" x14ac:dyDescent="0.35">
      <c r="A840" s="19" t="s">
        <v>1024</v>
      </c>
      <c r="B840" s="20" t="s">
        <v>1023</v>
      </c>
      <c r="C840" s="20" t="s">
        <v>4724</v>
      </c>
      <c r="D840" s="19" t="s">
        <v>4</v>
      </c>
      <c r="E840" s="19" t="s">
        <v>67</v>
      </c>
      <c r="F840" s="19">
        <v>0.8</v>
      </c>
      <c r="G840" s="19" t="s">
        <v>221</v>
      </c>
      <c r="H840" s="19" t="s">
        <v>220</v>
      </c>
    </row>
    <row r="841" spans="1:8" x14ac:dyDescent="0.35">
      <c r="A841" s="19" t="s">
        <v>912</v>
      </c>
      <c r="B841" s="20" t="s">
        <v>911</v>
      </c>
      <c r="C841" s="20" t="s">
        <v>910</v>
      </c>
      <c r="D841" s="19" t="s">
        <v>4</v>
      </c>
      <c r="E841" s="19" t="s">
        <v>876</v>
      </c>
      <c r="F841" s="19">
        <v>0.8</v>
      </c>
      <c r="G841" s="19"/>
      <c r="H841" s="19"/>
    </row>
    <row r="842" spans="1:8" ht="28" x14ac:dyDescent="0.35">
      <c r="A842" s="19" t="s">
        <v>2381</v>
      </c>
      <c r="B842" s="20" t="s">
        <v>2380</v>
      </c>
      <c r="C842" s="20" t="s">
        <v>2379</v>
      </c>
      <c r="D842" s="19" t="s">
        <v>174</v>
      </c>
      <c r="E842" s="19" t="s">
        <v>221</v>
      </c>
      <c r="F842" s="19">
        <v>0.39029999999999998</v>
      </c>
      <c r="G842" s="19" t="s">
        <v>220</v>
      </c>
      <c r="H842" s="19" t="s">
        <v>362</v>
      </c>
    </row>
    <row r="843" spans="1:8" x14ac:dyDescent="0.35">
      <c r="A843" s="19" t="s">
        <v>4725</v>
      </c>
      <c r="B843" s="20" t="s">
        <v>947</v>
      </c>
      <c r="C843" s="20" t="s">
        <v>946</v>
      </c>
      <c r="D843" s="19" t="s">
        <v>4</v>
      </c>
      <c r="E843" s="19" t="s">
        <v>565</v>
      </c>
      <c r="F843" s="19">
        <v>0.8</v>
      </c>
      <c r="G843" s="19"/>
      <c r="H843" s="19"/>
    </row>
    <row r="844" spans="1:8" x14ac:dyDescent="0.35">
      <c r="A844" s="19" t="s">
        <v>4726</v>
      </c>
      <c r="B844" s="20"/>
      <c r="C844" s="20"/>
      <c r="D844" s="19"/>
      <c r="E844" s="19"/>
      <c r="F844" s="19"/>
      <c r="G844" s="19"/>
      <c r="H844" s="19"/>
    </row>
    <row r="845" spans="1:8" ht="28" x14ac:dyDescent="0.35">
      <c r="A845" s="19" t="s">
        <v>195</v>
      </c>
      <c r="B845" s="20" t="s">
        <v>190</v>
      </c>
      <c r="C845" s="20" t="s">
        <v>190</v>
      </c>
      <c r="D845" s="19" t="s">
        <v>174</v>
      </c>
      <c r="E845" s="19" t="s">
        <v>192</v>
      </c>
      <c r="F845" s="19">
        <v>0.26500000000000001</v>
      </c>
      <c r="G845" s="19" t="s">
        <v>193</v>
      </c>
      <c r="H845" s="19" t="s">
        <v>194</v>
      </c>
    </row>
    <row r="846" spans="1:8" ht="28" x14ac:dyDescent="0.35">
      <c r="A846" s="19" t="s">
        <v>1385</v>
      </c>
      <c r="B846" s="20" t="s">
        <v>1380</v>
      </c>
      <c r="C846" s="20" t="s">
        <v>1380</v>
      </c>
      <c r="D846" s="19" t="s">
        <v>174</v>
      </c>
      <c r="E846" s="19" t="s">
        <v>1382</v>
      </c>
      <c r="F846" s="19">
        <v>0.29170000000000001</v>
      </c>
      <c r="G846" s="19" t="s">
        <v>1383</v>
      </c>
      <c r="H846" s="19" t="s">
        <v>1384</v>
      </c>
    </row>
    <row r="847" spans="1:8" x14ac:dyDescent="0.35">
      <c r="A847" s="19" t="s">
        <v>3448</v>
      </c>
      <c r="B847" s="20" t="s">
        <v>3444</v>
      </c>
      <c r="C847" s="20" t="s">
        <v>3443</v>
      </c>
      <c r="D847" s="19" t="s">
        <v>174</v>
      </c>
      <c r="E847" s="19" t="s">
        <v>3446</v>
      </c>
      <c r="F847" s="19">
        <v>0.44169999999999998</v>
      </c>
      <c r="G847" s="19" t="s">
        <v>1881</v>
      </c>
      <c r="H847" s="19" t="s">
        <v>3447</v>
      </c>
    </row>
    <row r="848" spans="1:8" ht="28" x14ac:dyDescent="0.35">
      <c r="A848" s="19" t="s">
        <v>1772</v>
      </c>
      <c r="B848" s="20" t="s">
        <v>1771</v>
      </c>
      <c r="C848" s="20" t="s">
        <v>1771</v>
      </c>
      <c r="D848" s="19" t="s">
        <v>174</v>
      </c>
      <c r="E848" s="19" t="s">
        <v>220</v>
      </c>
      <c r="F848" s="19">
        <v>0.25209999999999999</v>
      </c>
      <c r="G848" s="19" t="s">
        <v>221</v>
      </c>
      <c r="H848" s="19" t="s">
        <v>193</v>
      </c>
    </row>
    <row r="849" spans="1:8" x14ac:dyDescent="0.35">
      <c r="A849" s="19" t="s">
        <v>4727</v>
      </c>
      <c r="B849" s="20" t="s">
        <v>2662</v>
      </c>
      <c r="C849" s="20" t="s">
        <v>2662</v>
      </c>
      <c r="D849" s="19" t="s">
        <v>174</v>
      </c>
      <c r="E849" s="19" t="s">
        <v>221</v>
      </c>
      <c r="F849" s="19">
        <v>0.47089999999999999</v>
      </c>
      <c r="G849" s="19" t="s">
        <v>220</v>
      </c>
      <c r="H849" s="19" t="s">
        <v>193</v>
      </c>
    </row>
    <row r="850" spans="1:8" x14ac:dyDescent="0.35">
      <c r="A850" s="19" t="s">
        <v>4728</v>
      </c>
      <c r="B850" s="20" t="s">
        <v>4729</v>
      </c>
      <c r="C850" s="20"/>
      <c r="D850" s="19"/>
      <c r="E850" s="19"/>
      <c r="F850" s="19"/>
      <c r="G850" s="19"/>
      <c r="H850" s="19"/>
    </row>
    <row r="851" spans="1:8" x14ac:dyDescent="0.35">
      <c r="A851" s="19" t="s">
        <v>3260</v>
      </c>
      <c r="B851" s="20" t="s">
        <v>3258</v>
      </c>
      <c r="C851" s="20" t="s">
        <v>3257</v>
      </c>
      <c r="D851" s="19" t="s">
        <v>174</v>
      </c>
      <c r="E851" s="19" t="s">
        <v>242</v>
      </c>
      <c r="F851" s="19">
        <v>0.46729999999999999</v>
      </c>
      <c r="G851" s="19" t="s">
        <v>241</v>
      </c>
      <c r="H851" s="19" t="s">
        <v>3259</v>
      </c>
    </row>
    <row r="852" spans="1:8" x14ac:dyDescent="0.35">
      <c r="A852" s="19" t="s">
        <v>4730</v>
      </c>
      <c r="B852" s="20" t="s">
        <v>2662</v>
      </c>
      <c r="C852" s="20" t="s">
        <v>2662</v>
      </c>
      <c r="D852" s="19" t="s">
        <v>174</v>
      </c>
      <c r="E852" s="19" t="s">
        <v>221</v>
      </c>
      <c r="F852" s="19">
        <v>0.47089999999999999</v>
      </c>
      <c r="G852" s="19" t="s">
        <v>220</v>
      </c>
      <c r="H852" s="19" t="s">
        <v>193</v>
      </c>
    </row>
    <row r="853" spans="1:8" ht="28" x14ac:dyDescent="0.35">
      <c r="A853" s="19" t="s">
        <v>3151</v>
      </c>
      <c r="B853" s="20" t="s">
        <v>3148</v>
      </c>
      <c r="C853" s="20" t="s">
        <v>3147</v>
      </c>
      <c r="D853" s="19" t="s">
        <v>174</v>
      </c>
      <c r="E853" s="19" t="s">
        <v>3150</v>
      </c>
      <c r="F853" s="19">
        <v>0.30470000000000003</v>
      </c>
      <c r="G853" s="19" t="s">
        <v>2632</v>
      </c>
      <c r="H853" s="19" t="s">
        <v>242</v>
      </c>
    </row>
    <row r="854" spans="1:8" ht="28" x14ac:dyDescent="0.35">
      <c r="A854" s="19" t="s">
        <v>4731</v>
      </c>
      <c r="B854" s="20" t="s">
        <v>4732</v>
      </c>
      <c r="C854" s="20"/>
      <c r="D854" s="19"/>
      <c r="E854" s="19"/>
      <c r="F854" s="19"/>
      <c r="G854" s="19"/>
      <c r="H854" s="19"/>
    </row>
    <row r="855" spans="1:8" x14ac:dyDescent="0.35">
      <c r="A855" s="19" t="s">
        <v>836</v>
      </c>
      <c r="B855" s="20" t="s">
        <v>835</v>
      </c>
      <c r="C855" s="20" t="s">
        <v>835</v>
      </c>
      <c r="D855" s="19" t="s">
        <v>4</v>
      </c>
      <c r="E855" s="19" t="s">
        <v>67</v>
      </c>
      <c r="F855" s="19">
        <v>0.8</v>
      </c>
      <c r="G855" s="19"/>
      <c r="H855" s="19"/>
    </row>
    <row r="856" spans="1:8" ht="56" x14ac:dyDescent="0.35">
      <c r="A856" s="19" t="s">
        <v>3099</v>
      </c>
      <c r="B856" s="20" t="s">
        <v>3098</v>
      </c>
      <c r="C856" s="20" t="s">
        <v>3097</v>
      </c>
      <c r="D856" s="19" t="s">
        <v>174</v>
      </c>
      <c r="E856" s="19" t="s">
        <v>299</v>
      </c>
      <c r="F856" s="19">
        <v>0.31080000000000002</v>
      </c>
      <c r="G856" s="19" t="s">
        <v>221</v>
      </c>
      <c r="H856" s="19" t="s">
        <v>220</v>
      </c>
    </row>
    <row r="857" spans="1:8" x14ac:dyDescent="0.35">
      <c r="A857" s="19" t="s">
        <v>4733</v>
      </c>
      <c r="B857" s="20" t="s">
        <v>4734</v>
      </c>
      <c r="C857" s="20" t="s">
        <v>3516</v>
      </c>
      <c r="D857" s="19" t="s">
        <v>174</v>
      </c>
      <c r="E857" s="19" t="s">
        <v>220</v>
      </c>
      <c r="F857" s="19">
        <v>0.4289</v>
      </c>
      <c r="G857" s="19" t="s">
        <v>67</v>
      </c>
      <c r="H857" s="19" t="s">
        <v>3500</v>
      </c>
    </row>
    <row r="858" spans="1:8" x14ac:dyDescent="0.35">
      <c r="A858" s="19" t="s">
        <v>4735</v>
      </c>
      <c r="B858" s="20"/>
      <c r="C858" s="20"/>
      <c r="D858" s="19"/>
      <c r="E858" s="19"/>
      <c r="F858" s="19"/>
      <c r="G858" s="19"/>
      <c r="H858" s="19"/>
    </row>
    <row r="859" spans="1:8" x14ac:dyDescent="0.35">
      <c r="A859" s="19" t="s">
        <v>4736</v>
      </c>
      <c r="B859" s="20" t="s">
        <v>3249</v>
      </c>
      <c r="C859" s="20" t="s">
        <v>2662</v>
      </c>
      <c r="D859" s="19" t="s">
        <v>174</v>
      </c>
      <c r="E859" s="19" t="s">
        <v>221</v>
      </c>
      <c r="F859" s="19">
        <v>0.47089999999999999</v>
      </c>
      <c r="G859" s="19" t="s">
        <v>220</v>
      </c>
      <c r="H859" s="19" t="s">
        <v>193</v>
      </c>
    </row>
    <row r="860" spans="1:8" x14ac:dyDescent="0.35">
      <c r="A860" s="19" t="s">
        <v>527</v>
      </c>
      <c r="B860" s="20" t="s">
        <v>525</v>
      </c>
      <c r="C860" s="20" t="s">
        <v>524</v>
      </c>
      <c r="D860" s="19" t="s">
        <v>21</v>
      </c>
      <c r="E860" s="19" t="s">
        <v>526</v>
      </c>
      <c r="F860" s="19">
        <v>1</v>
      </c>
      <c r="G860" s="19"/>
      <c r="H860" s="19"/>
    </row>
    <row r="861" spans="1:8" ht="28" x14ac:dyDescent="0.35">
      <c r="A861" s="19" t="s">
        <v>2489</v>
      </c>
      <c r="B861" s="20" t="s">
        <v>2487</v>
      </c>
      <c r="C861" s="20" t="s">
        <v>2486</v>
      </c>
      <c r="D861" s="19" t="s">
        <v>174</v>
      </c>
      <c r="E861" s="19" t="s">
        <v>299</v>
      </c>
      <c r="F861" s="19">
        <v>0.38369999999999999</v>
      </c>
      <c r="G861" s="19" t="s">
        <v>2488</v>
      </c>
      <c r="H861" s="19" t="s">
        <v>220</v>
      </c>
    </row>
    <row r="862" spans="1:8" x14ac:dyDescent="0.35">
      <c r="A862" s="19" t="s">
        <v>3306</v>
      </c>
      <c r="B862" s="20" t="s">
        <v>3305</v>
      </c>
      <c r="C862" s="20" t="s">
        <v>3304</v>
      </c>
      <c r="D862" s="19" t="s">
        <v>174</v>
      </c>
      <c r="E862" s="19" t="s">
        <v>299</v>
      </c>
      <c r="F862" s="19">
        <v>0.46300000000000002</v>
      </c>
      <c r="G862" s="19" t="s">
        <v>221</v>
      </c>
      <c r="H862" s="19" t="s">
        <v>362</v>
      </c>
    </row>
    <row r="863" spans="1:8" ht="70" x14ac:dyDescent="0.35">
      <c r="A863" s="19" t="s">
        <v>4199</v>
      </c>
      <c r="B863" s="20" t="s">
        <v>4198</v>
      </c>
      <c r="C863" s="20" t="s">
        <v>4197</v>
      </c>
      <c r="D863" s="19"/>
      <c r="E863" s="19"/>
      <c r="F863" s="19"/>
      <c r="G863" s="19"/>
      <c r="H863" s="19"/>
    </row>
    <row r="864" spans="1:8" x14ac:dyDescent="0.35">
      <c r="A864" s="19" t="s">
        <v>4737</v>
      </c>
      <c r="B864" s="20" t="s">
        <v>3249</v>
      </c>
      <c r="C864" s="20" t="s">
        <v>2662</v>
      </c>
      <c r="D864" s="19" t="s">
        <v>174</v>
      </c>
      <c r="E864" s="19" t="s">
        <v>221</v>
      </c>
      <c r="F864" s="19">
        <v>0.47089999999999999</v>
      </c>
      <c r="G864" s="19" t="s">
        <v>220</v>
      </c>
      <c r="H864" s="19" t="s">
        <v>193</v>
      </c>
    </row>
    <row r="865" spans="1:8" x14ac:dyDescent="0.35">
      <c r="A865" s="19" t="s">
        <v>934</v>
      </c>
      <c r="B865" s="20" t="s">
        <v>933</v>
      </c>
      <c r="C865" s="20" t="s">
        <v>932</v>
      </c>
      <c r="D865" s="19" t="s">
        <v>4</v>
      </c>
      <c r="E865" s="19" t="s">
        <v>526</v>
      </c>
      <c r="F865" s="19">
        <v>0.8</v>
      </c>
      <c r="G865" s="19"/>
      <c r="H865" s="19"/>
    </row>
    <row r="866" spans="1:8" ht="28" x14ac:dyDescent="0.35">
      <c r="A866" s="19" t="s">
        <v>4738</v>
      </c>
      <c r="B866" s="20" t="s">
        <v>2487</v>
      </c>
      <c r="C866" s="20" t="s">
        <v>2486</v>
      </c>
      <c r="D866" s="19" t="s">
        <v>174</v>
      </c>
      <c r="E866" s="19" t="s">
        <v>299</v>
      </c>
      <c r="F866" s="19">
        <v>0.38369999999999999</v>
      </c>
      <c r="G866" s="19" t="s">
        <v>2488</v>
      </c>
      <c r="H866" s="19" t="s">
        <v>220</v>
      </c>
    </row>
    <row r="867" spans="1:8" ht="42" x14ac:dyDescent="0.35">
      <c r="A867" s="19" t="s">
        <v>4005</v>
      </c>
      <c r="B867" s="20" t="s">
        <v>4004</v>
      </c>
      <c r="C867" s="20" t="s">
        <v>4003</v>
      </c>
      <c r="D867" s="19"/>
      <c r="E867" s="19"/>
      <c r="F867" s="19"/>
      <c r="G867" s="19"/>
      <c r="H867" s="19"/>
    </row>
    <row r="868" spans="1:8" x14ac:dyDescent="0.35">
      <c r="A868" s="19" t="s">
        <v>4739</v>
      </c>
      <c r="B868" s="20" t="s">
        <v>4740</v>
      </c>
      <c r="C868" s="20" t="s">
        <v>3202</v>
      </c>
      <c r="D868" s="19" t="s">
        <v>174</v>
      </c>
      <c r="E868" s="19" t="s">
        <v>26</v>
      </c>
      <c r="F868" s="19">
        <v>0.48149999999999998</v>
      </c>
      <c r="G868" s="19" t="s">
        <v>201</v>
      </c>
      <c r="H868" s="19" t="s">
        <v>1673</v>
      </c>
    </row>
    <row r="869" spans="1:8" ht="42" x14ac:dyDescent="0.35">
      <c r="A869" s="19" t="s">
        <v>956</v>
      </c>
      <c r="B869" s="20" t="s">
        <v>955</v>
      </c>
      <c r="C869" s="20" t="s">
        <v>954</v>
      </c>
      <c r="D869" s="19" t="s">
        <v>4</v>
      </c>
      <c r="E869" s="19" t="s">
        <v>106</v>
      </c>
      <c r="F869" s="19">
        <v>0.8</v>
      </c>
      <c r="G869" s="19"/>
      <c r="H869" s="19"/>
    </row>
    <row r="870" spans="1:8" x14ac:dyDescent="0.35">
      <c r="A870" s="19" t="s">
        <v>4741</v>
      </c>
      <c r="B870" s="20" t="s">
        <v>2561</v>
      </c>
      <c r="C870" s="20" t="s">
        <v>2561</v>
      </c>
      <c r="D870" s="19" t="s">
        <v>174</v>
      </c>
      <c r="E870" s="19" t="s">
        <v>2562</v>
      </c>
      <c r="F870" s="19">
        <v>0.37069999999999997</v>
      </c>
      <c r="G870" s="19" t="s">
        <v>330</v>
      </c>
      <c r="H870" s="19" t="s">
        <v>2563</v>
      </c>
    </row>
    <row r="871" spans="1:8" ht="28" x14ac:dyDescent="0.35">
      <c r="A871" s="19" t="s">
        <v>4742</v>
      </c>
      <c r="B871" s="20" t="s">
        <v>1387</v>
      </c>
      <c r="C871" s="20" t="s">
        <v>1387</v>
      </c>
      <c r="D871" s="19" t="s">
        <v>174</v>
      </c>
      <c r="E871" s="19" t="s">
        <v>1388</v>
      </c>
      <c r="F871" s="19">
        <v>0.29049999999999998</v>
      </c>
      <c r="G871" s="19" t="s">
        <v>1389</v>
      </c>
      <c r="H871" s="19" t="s">
        <v>1390</v>
      </c>
    </row>
    <row r="872" spans="1:8" ht="28" x14ac:dyDescent="0.35">
      <c r="A872" s="19" t="s">
        <v>1812</v>
      </c>
      <c r="B872" s="20" t="s">
        <v>1811</v>
      </c>
      <c r="C872" s="20" t="s">
        <v>1810</v>
      </c>
      <c r="D872" s="19" t="s">
        <v>174</v>
      </c>
      <c r="E872" s="19" t="s">
        <v>1652</v>
      </c>
      <c r="F872" s="19">
        <v>0.24729999999999999</v>
      </c>
      <c r="G872" s="19" t="s">
        <v>299</v>
      </c>
      <c r="H872" s="19" t="s">
        <v>1789</v>
      </c>
    </row>
    <row r="873" spans="1:8" x14ac:dyDescent="0.35">
      <c r="A873" s="19" t="s">
        <v>4743</v>
      </c>
      <c r="B873" s="20" t="s">
        <v>4744</v>
      </c>
      <c r="C873" s="20" t="s">
        <v>3178</v>
      </c>
      <c r="D873" s="19" t="s">
        <v>174</v>
      </c>
      <c r="E873" s="19" t="s">
        <v>2448</v>
      </c>
      <c r="F873" s="19">
        <v>0.30249999999999999</v>
      </c>
      <c r="G873" s="19" t="s">
        <v>1397</v>
      </c>
      <c r="H873" s="19" t="s">
        <v>2196</v>
      </c>
    </row>
    <row r="874" spans="1:8" x14ac:dyDescent="0.35">
      <c r="A874" s="19" t="s">
        <v>4745</v>
      </c>
      <c r="B874" s="20"/>
      <c r="C874" s="20"/>
      <c r="D874" s="19"/>
      <c r="E874" s="19"/>
      <c r="F874" s="19"/>
      <c r="G874" s="19"/>
      <c r="H874" s="19"/>
    </row>
    <row r="875" spans="1:8" x14ac:dyDescent="0.35">
      <c r="A875" s="19" t="s">
        <v>4746</v>
      </c>
      <c r="B875" s="20" t="s">
        <v>4747</v>
      </c>
      <c r="C875" s="20"/>
      <c r="D875" s="19"/>
      <c r="E875" s="19"/>
      <c r="F875" s="19"/>
      <c r="G875" s="19"/>
      <c r="H875" s="19"/>
    </row>
    <row r="876" spans="1:8" ht="28" x14ac:dyDescent="0.35">
      <c r="A876" s="19" t="s">
        <v>4748</v>
      </c>
      <c r="B876" s="20" t="s">
        <v>1387</v>
      </c>
      <c r="C876" s="20" t="s">
        <v>1387</v>
      </c>
      <c r="D876" s="19" t="s">
        <v>174</v>
      </c>
      <c r="E876" s="19" t="s">
        <v>1388</v>
      </c>
      <c r="F876" s="19">
        <v>0.29049999999999998</v>
      </c>
      <c r="G876" s="19" t="s">
        <v>1389</v>
      </c>
      <c r="H876" s="19" t="s">
        <v>1390</v>
      </c>
    </row>
    <row r="877" spans="1:8" ht="28" x14ac:dyDescent="0.35">
      <c r="A877" s="19" t="s">
        <v>4749</v>
      </c>
      <c r="B877" s="20" t="s">
        <v>1387</v>
      </c>
      <c r="C877" s="20" t="s">
        <v>1387</v>
      </c>
      <c r="D877" s="19" t="s">
        <v>174</v>
      </c>
      <c r="E877" s="19" t="s">
        <v>1388</v>
      </c>
      <c r="F877" s="19">
        <v>0.29049999999999998</v>
      </c>
      <c r="G877" s="19" t="s">
        <v>1389</v>
      </c>
      <c r="H877" s="19" t="s">
        <v>1390</v>
      </c>
    </row>
    <row r="878" spans="1:8" x14ac:dyDescent="0.35">
      <c r="A878" s="19" t="s">
        <v>4750</v>
      </c>
      <c r="B878" s="20"/>
      <c r="C878" s="20"/>
      <c r="D878" s="19"/>
      <c r="E878" s="19"/>
      <c r="F878" s="19"/>
      <c r="G878" s="19"/>
      <c r="H878" s="19"/>
    </row>
    <row r="879" spans="1:8" x14ac:dyDescent="0.35">
      <c r="A879" s="19" t="s">
        <v>4751</v>
      </c>
      <c r="B879" s="20" t="s">
        <v>2662</v>
      </c>
      <c r="C879" s="20" t="s">
        <v>2662</v>
      </c>
      <c r="D879" s="19" t="s">
        <v>174</v>
      </c>
      <c r="E879" s="19" t="s">
        <v>221</v>
      </c>
      <c r="F879" s="19">
        <v>0.47089999999999999</v>
      </c>
      <c r="G879" s="19" t="s">
        <v>220</v>
      </c>
      <c r="H879" s="19" t="s">
        <v>193</v>
      </c>
    </row>
    <row r="880" spans="1:8" x14ac:dyDescent="0.35">
      <c r="A880" s="19" t="s">
        <v>4752</v>
      </c>
      <c r="B880" s="20" t="s">
        <v>4619</v>
      </c>
      <c r="C880" s="20"/>
      <c r="D880" s="19"/>
      <c r="E880" s="19"/>
      <c r="F880" s="19"/>
      <c r="G880" s="19"/>
      <c r="H880" s="19"/>
    </row>
    <row r="881" spans="1:8" x14ac:dyDescent="0.35">
      <c r="A881" s="19" t="s">
        <v>4753</v>
      </c>
      <c r="B881" s="20" t="s">
        <v>2662</v>
      </c>
      <c r="C881" s="20" t="s">
        <v>2662</v>
      </c>
      <c r="D881" s="19" t="s">
        <v>174</v>
      </c>
      <c r="E881" s="19" t="s">
        <v>221</v>
      </c>
      <c r="F881" s="19">
        <v>0.47089999999999999</v>
      </c>
      <c r="G881" s="19" t="s">
        <v>220</v>
      </c>
      <c r="H881" s="19" t="s">
        <v>193</v>
      </c>
    </row>
    <row r="882" spans="1:8" ht="70" x14ac:dyDescent="0.35">
      <c r="A882" s="19" t="s">
        <v>1108</v>
      </c>
      <c r="B882" s="20" t="s">
        <v>1107</v>
      </c>
      <c r="C882" s="20" t="s">
        <v>1107</v>
      </c>
      <c r="D882" s="19" t="s">
        <v>4</v>
      </c>
      <c r="E882" s="19" t="s">
        <v>57</v>
      </c>
      <c r="F882" s="19">
        <v>0.8</v>
      </c>
      <c r="G882" s="19"/>
      <c r="H882" s="19"/>
    </row>
    <row r="883" spans="1:8" x14ac:dyDescent="0.35">
      <c r="A883" s="19" t="s">
        <v>4754</v>
      </c>
      <c r="B883" s="20" t="s">
        <v>4755</v>
      </c>
      <c r="C883" s="20" t="s">
        <v>2810</v>
      </c>
      <c r="D883" s="19" t="s">
        <v>174</v>
      </c>
      <c r="E883" s="19" t="s">
        <v>2812</v>
      </c>
      <c r="F883" s="19">
        <v>0.34239999999999998</v>
      </c>
      <c r="G883" s="19" t="s">
        <v>2813</v>
      </c>
      <c r="H883" s="19" t="s">
        <v>2814</v>
      </c>
    </row>
    <row r="884" spans="1:8" x14ac:dyDescent="0.35">
      <c r="A884" s="19" t="s">
        <v>531</v>
      </c>
      <c r="B884" s="20" t="s">
        <v>530</v>
      </c>
      <c r="C884" s="20" t="s">
        <v>529</v>
      </c>
      <c r="D884" s="19" t="s">
        <v>21</v>
      </c>
      <c r="E884" s="19" t="s">
        <v>526</v>
      </c>
      <c r="F884" s="19">
        <v>1</v>
      </c>
      <c r="G884" s="19"/>
      <c r="H884" s="19"/>
    </row>
    <row r="885" spans="1:8" x14ac:dyDescent="0.35">
      <c r="A885" s="19" t="s">
        <v>4756</v>
      </c>
      <c r="B885" s="20" t="s">
        <v>4757</v>
      </c>
      <c r="C885" s="20" t="s">
        <v>576</v>
      </c>
      <c r="D885" s="19" t="s">
        <v>21</v>
      </c>
      <c r="E885" s="19" t="s">
        <v>578</v>
      </c>
      <c r="F885" s="19">
        <v>1</v>
      </c>
      <c r="G885" s="19"/>
      <c r="H885" s="19"/>
    </row>
    <row r="886" spans="1:8" x14ac:dyDescent="0.35">
      <c r="A886" s="19" t="s">
        <v>4758</v>
      </c>
      <c r="B886" s="20" t="s">
        <v>4759</v>
      </c>
      <c r="C886" s="20" t="s">
        <v>105</v>
      </c>
      <c r="D886" s="19" t="s">
        <v>21</v>
      </c>
      <c r="E886" s="19" t="s">
        <v>106</v>
      </c>
      <c r="F886" s="19">
        <v>1</v>
      </c>
      <c r="G886" s="19"/>
      <c r="H886" s="19"/>
    </row>
    <row r="887" spans="1:8" x14ac:dyDescent="0.35">
      <c r="A887" s="19" t="s">
        <v>4760</v>
      </c>
      <c r="B887" s="20"/>
      <c r="C887" s="20"/>
      <c r="D887" s="19"/>
      <c r="E887" s="19"/>
      <c r="F887" s="19"/>
      <c r="G887" s="19"/>
      <c r="H887" s="19"/>
    </row>
    <row r="888" spans="1:8" x14ac:dyDescent="0.35">
      <c r="A888" s="19" t="s">
        <v>4761</v>
      </c>
      <c r="B888" s="20" t="s">
        <v>4762</v>
      </c>
      <c r="C888" s="20" t="s">
        <v>576</v>
      </c>
      <c r="D888" s="19" t="s">
        <v>21</v>
      </c>
      <c r="E888" s="19" t="s">
        <v>578</v>
      </c>
      <c r="F888" s="19">
        <v>1</v>
      </c>
      <c r="G888" s="19"/>
      <c r="H888" s="19"/>
    </row>
    <row r="889" spans="1:8" x14ac:dyDescent="0.35">
      <c r="A889" s="19" t="s">
        <v>2621</v>
      </c>
      <c r="B889" s="20" t="s">
        <v>2618</v>
      </c>
      <c r="C889" s="20" t="s">
        <v>2618</v>
      </c>
      <c r="D889" s="19" t="s">
        <v>174</v>
      </c>
      <c r="E889" s="19" t="s">
        <v>2065</v>
      </c>
      <c r="F889" s="19">
        <v>0.36380000000000001</v>
      </c>
      <c r="G889" s="19" t="s">
        <v>2619</v>
      </c>
      <c r="H889" s="19" t="s">
        <v>2620</v>
      </c>
    </row>
    <row r="890" spans="1:8" x14ac:dyDescent="0.35">
      <c r="A890" s="19" t="s">
        <v>2996</v>
      </c>
      <c r="B890" s="20" t="s">
        <v>2994</v>
      </c>
      <c r="C890" s="20" t="s">
        <v>1595</v>
      </c>
      <c r="D890" s="19" t="s">
        <v>174</v>
      </c>
      <c r="E890" s="19" t="s">
        <v>2065</v>
      </c>
      <c r="F890" s="19">
        <v>0.32369999999999999</v>
      </c>
      <c r="G890" s="19" t="s">
        <v>2875</v>
      </c>
      <c r="H890" s="19" t="s">
        <v>2995</v>
      </c>
    </row>
    <row r="891" spans="1:8" x14ac:dyDescent="0.35">
      <c r="A891" s="19" t="s">
        <v>1591</v>
      </c>
      <c r="B891" s="20" t="s">
        <v>1588</v>
      </c>
      <c r="C891" s="20" t="s">
        <v>1587</v>
      </c>
      <c r="D891" s="19" t="s">
        <v>174</v>
      </c>
      <c r="E891" s="19" t="s">
        <v>1589</v>
      </c>
      <c r="F891" s="19">
        <v>0.27150000000000002</v>
      </c>
      <c r="G891" s="19" t="s">
        <v>1590</v>
      </c>
      <c r="H891" s="19" t="s">
        <v>299</v>
      </c>
    </row>
    <row r="892" spans="1:8" x14ac:dyDescent="0.35">
      <c r="A892" s="19" t="s">
        <v>4763</v>
      </c>
      <c r="B892" s="20" t="s">
        <v>4764</v>
      </c>
      <c r="C892" s="20" t="s">
        <v>197</v>
      </c>
      <c r="D892" s="19" t="s">
        <v>174</v>
      </c>
      <c r="E892" s="19" t="s">
        <v>199</v>
      </c>
      <c r="F892" s="19">
        <v>0.25700000000000001</v>
      </c>
      <c r="G892" s="19" t="s">
        <v>200</v>
      </c>
      <c r="H892" s="19" t="s">
        <v>201</v>
      </c>
    </row>
    <row r="893" spans="1:8" ht="28" x14ac:dyDescent="0.35">
      <c r="A893" s="19" t="s">
        <v>107</v>
      </c>
      <c r="B893" s="20" t="s">
        <v>104</v>
      </c>
      <c r="C893" s="20" t="s">
        <v>103</v>
      </c>
      <c r="D893" s="19" t="s">
        <v>4</v>
      </c>
      <c r="E893" s="19" t="s">
        <v>106</v>
      </c>
      <c r="F893" s="19">
        <v>0.8</v>
      </c>
      <c r="G893" s="19"/>
      <c r="H893" s="19"/>
    </row>
    <row r="894" spans="1:8" ht="28" x14ac:dyDescent="0.35">
      <c r="A894" s="19" t="s">
        <v>704</v>
      </c>
      <c r="B894" s="20" t="s">
        <v>703</v>
      </c>
      <c r="C894" s="20" t="s">
        <v>703</v>
      </c>
      <c r="D894" s="19" t="s">
        <v>4</v>
      </c>
      <c r="E894" s="19" t="s">
        <v>106</v>
      </c>
      <c r="F894" s="19">
        <v>0.8</v>
      </c>
      <c r="G894" s="19"/>
      <c r="H894" s="19"/>
    </row>
    <row r="895" spans="1:8" ht="56" x14ac:dyDescent="0.35">
      <c r="A895" s="19" t="s">
        <v>77</v>
      </c>
      <c r="B895" s="20" t="s">
        <v>75</v>
      </c>
      <c r="C895" s="20" t="s">
        <v>75</v>
      </c>
      <c r="D895" s="19" t="s">
        <v>4</v>
      </c>
      <c r="E895" s="19" t="s">
        <v>76</v>
      </c>
      <c r="F895" s="19">
        <v>0.8</v>
      </c>
      <c r="G895" s="19"/>
      <c r="H895" s="19"/>
    </row>
    <row r="896" spans="1:8" ht="28" x14ac:dyDescent="0.35">
      <c r="A896" s="19" t="s">
        <v>2318</v>
      </c>
      <c r="B896" s="20" t="s">
        <v>2314</v>
      </c>
      <c r="C896" s="20" t="s">
        <v>2313</v>
      </c>
      <c r="D896" s="19" t="s">
        <v>174</v>
      </c>
      <c r="E896" s="19" t="s">
        <v>2315</v>
      </c>
      <c r="F896" s="19">
        <v>0.39839999999999998</v>
      </c>
      <c r="G896" s="19" t="s">
        <v>2316</v>
      </c>
      <c r="H896" s="19" t="s">
        <v>2317</v>
      </c>
    </row>
    <row r="897" spans="1:8" x14ac:dyDescent="0.35">
      <c r="A897" s="19" t="s">
        <v>4765</v>
      </c>
      <c r="B897" s="20" t="s">
        <v>2313</v>
      </c>
      <c r="C897" s="20" t="s">
        <v>2313</v>
      </c>
      <c r="D897" s="19" t="s">
        <v>174</v>
      </c>
      <c r="E897" s="19" t="s">
        <v>2315</v>
      </c>
      <c r="F897" s="19">
        <v>0.39839999999999998</v>
      </c>
      <c r="G897" s="19" t="s">
        <v>2316</v>
      </c>
      <c r="H897" s="19" t="s">
        <v>2317</v>
      </c>
    </row>
    <row r="898" spans="1:8" x14ac:dyDescent="0.35">
      <c r="A898" s="19" t="s">
        <v>4766</v>
      </c>
      <c r="B898" s="20" t="s">
        <v>2313</v>
      </c>
      <c r="C898" s="20" t="s">
        <v>2313</v>
      </c>
      <c r="D898" s="19" t="s">
        <v>174</v>
      </c>
      <c r="E898" s="19" t="s">
        <v>2315</v>
      </c>
      <c r="F898" s="19">
        <v>0.39839999999999998</v>
      </c>
      <c r="G898" s="19" t="s">
        <v>2316</v>
      </c>
      <c r="H898" s="19" t="s">
        <v>2317</v>
      </c>
    </row>
    <row r="899" spans="1:8" ht="28" x14ac:dyDescent="0.35">
      <c r="A899" s="19" t="s">
        <v>522</v>
      </c>
      <c r="B899" s="20" t="s">
        <v>520</v>
      </c>
      <c r="C899" s="20" t="s">
        <v>4767</v>
      </c>
      <c r="D899" s="19" t="s">
        <v>21</v>
      </c>
      <c r="E899" s="19" t="s">
        <v>521</v>
      </c>
      <c r="F899" s="19">
        <v>1</v>
      </c>
      <c r="G899" s="19" t="s">
        <v>3601</v>
      </c>
      <c r="H899" s="19" t="s">
        <v>3602</v>
      </c>
    </row>
    <row r="900" spans="1:8" x14ac:dyDescent="0.35">
      <c r="A900" s="19" t="s">
        <v>4768</v>
      </c>
      <c r="B900" s="20" t="s">
        <v>4449</v>
      </c>
      <c r="C900" s="20"/>
      <c r="D900" s="19"/>
      <c r="E900" s="19"/>
      <c r="F900" s="19"/>
      <c r="G900" s="19"/>
      <c r="H900" s="19"/>
    </row>
    <row r="901" spans="1:8" ht="42" x14ac:dyDescent="0.35">
      <c r="A901" s="19" t="s">
        <v>4053</v>
      </c>
      <c r="B901" s="20" t="s">
        <v>4052</v>
      </c>
      <c r="C901" s="20" t="s">
        <v>4051</v>
      </c>
      <c r="D901" s="19"/>
      <c r="E901" s="19"/>
      <c r="F901" s="19"/>
      <c r="G901" s="19"/>
      <c r="H901" s="19"/>
    </row>
    <row r="902" spans="1:8" x14ac:dyDescent="0.35">
      <c r="A902" s="19" t="s">
        <v>4769</v>
      </c>
      <c r="B902" s="20" t="s">
        <v>4770</v>
      </c>
      <c r="C902" s="20" t="s">
        <v>3516</v>
      </c>
      <c r="D902" s="19" t="s">
        <v>174</v>
      </c>
      <c r="E902" s="19" t="s">
        <v>220</v>
      </c>
      <c r="F902" s="19">
        <v>0.4289</v>
      </c>
      <c r="G902" s="19" t="s">
        <v>67</v>
      </c>
      <c r="H902" s="19" t="s">
        <v>3500</v>
      </c>
    </row>
    <row r="903" spans="1:8" ht="70" x14ac:dyDescent="0.35">
      <c r="A903" s="19" t="s">
        <v>4049</v>
      </c>
      <c r="B903" s="20" t="s">
        <v>4048</v>
      </c>
      <c r="C903" s="20" t="s">
        <v>4047</v>
      </c>
      <c r="D903" s="19"/>
      <c r="E903" s="19"/>
      <c r="F903" s="19"/>
      <c r="G903" s="19"/>
      <c r="H903" s="19"/>
    </row>
    <row r="904" spans="1:8" x14ac:dyDescent="0.35">
      <c r="A904" s="19" t="s">
        <v>4771</v>
      </c>
      <c r="B904" s="20" t="s">
        <v>4772</v>
      </c>
      <c r="C904" s="20" t="s">
        <v>3516</v>
      </c>
      <c r="D904" s="19" t="s">
        <v>174</v>
      </c>
      <c r="E904" s="19" t="s">
        <v>220</v>
      </c>
      <c r="F904" s="19">
        <v>0.4289</v>
      </c>
      <c r="G904" s="19" t="s">
        <v>67</v>
      </c>
      <c r="H904" s="19" t="s">
        <v>3500</v>
      </c>
    </row>
    <row r="905" spans="1:8" x14ac:dyDescent="0.35">
      <c r="A905" s="19" t="s">
        <v>1947</v>
      </c>
      <c r="B905" s="20" t="s">
        <v>1943</v>
      </c>
      <c r="C905" s="20" t="s">
        <v>205</v>
      </c>
      <c r="D905" s="19" t="s">
        <v>174</v>
      </c>
      <c r="E905" s="19" t="s">
        <v>1944</v>
      </c>
      <c r="F905" s="19">
        <v>0.23499999999999999</v>
      </c>
      <c r="G905" s="19" t="s">
        <v>1945</v>
      </c>
      <c r="H905" s="19" t="s">
        <v>1946</v>
      </c>
    </row>
    <row r="906" spans="1:8" x14ac:dyDescent="0.35">
      <c r="A906" s="19" t="s">
        <v>4773</v>
      </c>
      <c r="B906" s="20" t="s">
        <v>4774</v>
      </c>
      <c r="C906" s="20" t="s">
        <v>205</v>
      </c>
      <c r="D906" s="19" t="s">
        <v>174</v>
      </c>
      <c r="E906" s="19" t="s">
        <v>1944</v>
      </c>
      <c r="F906" s="19">
        <v>0.23499999999999999</v>
      </c>
      <c r="G906" s="19" t="s">
        <v>1945</v>
      </c>
      <c r="H906" s="19" t="s">
        <v>1946</v>
      </c>
    </row>
    <row r="907" spans="1:8" x14ac:dyDescent="0.35">
      <c r="A907" s="19" t="s">
        <v>4775</v>
      </c>
      <c r="B907" s="20" t="s">
        <v>4776</v>
      </c>
      <c r="C907" s="20" t="s">
        <v>572</v>
      </c>
      <c r="D907" s="19" t="s">
        <v>21</v>
      </c>
      <c r="E907" s="19" t="s">
        <v>106</v>
      </c>
      <c r="F907" s="19">
        <v>1</v>
      </c>
      <c r="G907" s="19"/>
      <c r="H907" s="19"/>
    </row>
    <row r="908" spans="1:8" x14ac:dyDescent="0.35">
      <c r="A908" s="19" t="s">
        <v>4777</v>
      </c>
      <c r="B908" s="20"/>
      <c r="C908" s="20"/>
      <c r="D908" s="19"/>
      <c r="E908" s="19"/>
      <c r="F908" s="19"/>
      <c r="G908" s="19"/>
      <c r="H908" s="19"/>
    </row>
    <row r="909" spans="1:8" ht="28" x14ac:dyDescent="0.35">
      <c r="A909" s="19" t="s">
        <v>4778</v>
      </c>
      <c r="B909" s="20" t="s">
        <v>1387</v>
      </c>
      <c r="C909" s="20" t="s">
        <v>1387</v>
      </c>
      <c r="D909" s="19" t="s">
        <v>174</v>
      </c>
      <c r="E909" s="19" t="s">
        <v>1388</v>
      </c>
      <c r="F909" s="19">
        <v>0.29049999999999998</v>
      </c>
      <c r="G909" s="19" t="s">
        <v>1389</v>
      </c>
      <c r="H909" s="19" t="s">
        <v>1390</v>
      </c>
    </row>
    <row r="910" spans="1:8" x14ac:dyDescent="0.35">
      <c r="A910" s="19" t="s">
        <v>4779</v>
      </c>
      <c r="B910" s="20" t="s">
        <v>3178</v>
      </c>
      <c r="C910" s="20" t="s">
        <v>3178</v>
      </c>
      <c r="D910" s="19" t="s">
        <v>174</v>
      </c>
      <c r="E910" s="19" t="s">
        <v>2448</v>
      </c>
      <c r="F910" s="19">
        <v>0.30249999999999999</v>
      </c>
      <c r="G910" s="19" t="s">
        <v>1397</v>
      </c>
      <c r="H910" s="19" t="s">
        <v>2196</v>
      </c>
    </row>
    <row r="911" spans="1:8" x14ac:dyDescent="0.35">
      <c r="A911" s="19" t="s">
        <v>4780</v>
      </c>
      <c r="B911" s="20" t="s">
        <v>4449</v>
      </c>
      <c r="C911" s="20"/>
      <c r="D911" s="19"/>
      <c r="E911" s="19"/>
      <c r="F911" s="19"/>
      <c r="G911" s="19"/>
      <c r="H911" s="19"/>
    </row>
    <row r="912" spans="1:8" x14ac:dyDescent="0.35">
      <c r="A912" s="19" t="s">
        <v>4781</v>
      </c>
      <c r="B912" s="20" t="s">
        <v>4449</v>
      </c>
      <c r="C912" s="20"/>
      <c r="D912" s="19"/>
      <c r="E912" s="19"/>
      <c r="F912" s="19"/>
      <c r="G912" s="19"/>
      <c r="H912" s="19"/>
    </row>
    <row r="913" spans="1:8" x14ac:dyDescent="0.35">
      <c r="A913" s="19" t="s">
        <v>4782</v>
      </c>
      <c r="B913" s="20"/>
      <c r="C913" s="20"/>
      <c r="D913" s="19"/>
      <c r="E913" s="19"/>
      <c r="F913" s="19"/>
      <c r="G913" s="19"/>
      <c r="H913" s="19"/>
    </row>
    <row r="914" spans="1:8" x14ac:dyDescent="0.35">
      <c r="A914" s="19" t="s">
        <v>4783</v>
      </c>
      <c r="B914" s="20" t="s">
        <v>1588</v>
      </c>
      <c r="C914" s="20" t="s">
        <v>1587</v>
      </c>
      <c r="D914" s="19" t="s">
        <v>174</v>
      </c>
      <c r="E914" s="19" t="s">
        <v>1589</v>
      </c>
      <c r="F914" s="19">
        <v>0.27150000000000002</v>
      </c>
      <c r="G914" s="19" t="s">
        <v>1590</v>
      </c>
      <c r="H914" s="19" t="s">
        <v>299</v>
      </c>
    </row>
    <row r="915" spans="1:8" x14ac:dyDescent="0.35">
      <c r="A915" s="19" t="s">
        <v>4784</v>
      </c>
      <c r="B915" s="20" t="s">
        <v>4703</v>
      </c>
      <c r="C915" s="20" t="s">
        <v>67</v>
      </c>
      <c r="D915" s="19" t="s">
        <v>21</v>
      </c>
      <c r="E915" s="19" t="s">
        <v>67</v>
      </c>
      <c r="F915" s="19">
        <v>1</v>
      </c>
      <c r="G915" s="19"/>
      <c r="H915" s="19"/>
    </row>
    <row r="916" spans="1:8" ht="84" x14ac:dyDescent="0.35">
      <c r="A916" s="19" t="s">
        <v>2205</v>
      </c>
      <c r="B916" s="20" t="s">
        <v>2203</v>
      </c>
      <c r="C916" s="20" t="s">
        <v>2202</v>
      </c>
      <c r="D916" s="19" t="s">
        <v>174</v>
      </c>
      <c r="E916" s="19" t="s">
        <v>2204</v>
      </c>
      <c r="F916" s="19">
        <v>0.21240000000000001</v>
      </c>
      <c r="G916" s="19" t="s">
        <v>219</v>
      </c>
      <c r="H916" s="19"/>
    </row>
    <row r="917" spans="1:8" x14ac:dyDescent="0.35">
      <c r="A917" s="19" t="s">
        <v>3330</v>
      </c>
      <c r="B917" s="20" t="s">
        <v>3329</v>
      </c>
      <c r="C917" s="20" t="s">
        <v>3328</v>
      </c>
      <c r="D917" s="19" t="s">
        <v>174</v>
      </c>
      <c r="E917" s="19" t="s">
        <v>1445</v>
      </c>
      <c r="F917" s="19">
        <v>0.45979999999999999</v>
      </c>
      <c r="G917" s="19" t="s">
        <v>1900</v>
      </c>
      <c r="H917" s="19" t="s">
        <v>1549</v>
      </c>
    </row>
    <row r="918" spans="1:8" ht="28" x14ac:dyDescent="0.35">
      <c r="A918" s="19" t="s">
        <v>1169</v>
      </c>
      <c r="B918" s="20" t="s">
        <v>1168</v>
      </c>
      <c r="C918" s="20" t="s">
        <v>1167</v>
      </c>
      <c r="D918" s="19" t="s">
        <v>115</v>
      </c>
      <c r="E918" s="19" t="s">
        <v>1131</v>
      </c>
      <c r="F918" s="19">
        <v>0.6</v>
      </c>
      <c r="G918" s="19"/>
      <c r="H918" s="19"/>
    </row>
    <row r="919" spans="1:8" ht="70" x14ac:dyDescent="0.35">
      <c r="A919" s="19" t="s">
        <v>3997</v>
      </c>
      <c r="B919" s="20" t="s">
        <v>3995</v>
      </c>
      <c r="C919" s="20" t="s">
        <v>3994</v>
      </c>
      <c r="D919" s="19"/>
      <c r="E919" s="19"/>
      <c r="F919" s="19"/>
      <c r="G919" s="19"/>
      <c r="H919" s="19"/>
    </row>
    <row r="920" spans="1:8" x14ac:dyDescent="0.35">
      <c r="A920" s="19" t="s">
        <v>4785</v>
      </c>
      <c r="B920" s="20" t="s">
        <v>1588</v>
      </c>
      <c r="C920" s="20" t="s">
        <v>1587</v>
      </c>
      <c r="D920" s="19" t="s">
        <v>174</v>
      </c>
      <c r="E920" s="19" t="s">
        <v>1589</v>
      </c>
      <c r="F920" s="19">
        <v>0.27150000000000002</v>
      </c>
      <c r="G920" s="19" t="s">
        <v>1590</v>
      </c>
      <c r="H920" s="19" t="s">
        <v>299</v>
      </c>
    </row>
    <row r="921" spans="1:8" ht="28" x14ac:dyDescent="0.35">
      <c r="A921" s="19" t="s">
        <v>1484</v>
      </c>
      <c r="B921" s="20" t="s">
        <v>1482</v>
      </c>
      <c r="C921" s="20" t="s">
        <v>1481</v>
      </c>
      <c r="D921" s="19" t="s">
        <v>174</v>
      </c>
      <c r="E921" s="19" t="s">
        <v>248</v>
      </c>
      <c r="F921" s="19">
        <v>0.27910000000000001</v>
      </c>
      <c r="G921" s="19"/>
      <c r="H921" s="19"/>
    </row>
    <row r="922" spans="1:8" x14ac:dyDescent="0.35">
      <c r="A922" s="19" t="s">
        <v>4786</v>
      </c>
      <c r="B922" s="20" t="s">
        <v>4684</v>
      </c>
      <c r="C922" s="20" t="s">
        <v>352</v>
      </c>
      <c r="D922" s="19" t="s">
        <v>174</v>
      </c>
      <c r="E922" s="19" t="s">
        <v>354</v>
      </c>
      <c r="F922" s="19">
        <v>0.43280000000000002</v>
      </c>
      <c r="G922" s="19" t="s">
        <v>355</v>
      </c>
      <c r="H922" s="19" t="s">
        <v>356</v>
      </c>
    </row>
    <row r="923" spans="1:8" x14ac:dyDescent="0.35">
      <c r="A923" s="19" t="s">
        <v>4787</v>
      </c>
      <c r="B923" s="20" t="s">
        <v>4788</v>
      </c>
      <c r="C923" s="20" t="s">
        <v>424</v>
      </c>
      <c r="D923" s="19" t="s">
        <v>21</v>
      </c>
      <c r="E923" s="19" t="s">
        <v>424</v>
      </c>
      <c r="F923" s="19">
        <v>0.8</v>
      </c>
      <c r="G923" s="19" t="s">
        <v>426</v>
      </c>
      <c r="H923" s="19"/>
    </row>
    <row r="924" spans="1:8" x14ac:dyDescent="0.35">
      <c r="A924" s="19" t="s">
        <v>4789</v>
      </c>
      <c r="B924" s="20" t="s">
        <v>4790</v>
      </c>
      <c r="C924" s="20" t="s">
        <v>1804</v>
      </c>
      <c r="D924" s="19" t="s">
        <v>174</v>
      </c>
      <c r="E924" s="19" t="s">
        <v>3049</v>
      </c>
      <c r="F924" s="19">
        <v>0.31569999999999998</v>
      </c>
      <c r="G924" s="19" t="s">
        <v>3036</v>
      </c>
      <c r="H924" s="19" t="s">
        <v>3050</v>
      </c>
    </row>
    <row r="925" spans="1:8" x14ac:dyDescent="0.35">
      <c r="A925" s="19" t="s">
        <v>4791</v>
      </c>
      <c r="B925" s="20" t="s">
        <v>4449</v>
      </c>
      <c r="C925" s="20"/>
      <c r="D925" s="19"/>
      <c r="E925" s="19"/>
      <c r="F925" s="19"/>
      <c r="G925" s="19"/>
      <c r="H925" s="19"/>
    </row>
    <row r="926" spans="1:8" x14ac:dyDescent="0.35">
      <c r="A926" s="19" t="s">
        <v>3037</v>
      </c>
      <c r="B926" s="20" t="s">
        <v>3035</v>
      </c>
      <c r="C926" s="20" t="s">
        <v>3034</v>
      </c>
      <c r="D926" s="19" t="s">
        <v>174</v>
      </c>
      <c r="E926" s="19" t="s">
        <v>1658</v>
      </c>
      <c r="F926" s="19">
        <v>0.31609999999999999</v>
      </c>
      <c r="G926" s="19" t="s">
        <v>3036</v>
      </c>
      <c r="H926" s="19" t="s">
        <v>1122</v>
      </c>
    </row>
    <row r="927" spans="1:8" x14ac:dyDescent="0.35">
      <c r="A927" s="19" t="s">
        <v>4792</v>
      </c>
      <c r="B927" s="20" t="s">
        <v>4790</v>
      </c>
      <c r="C927" s="20" t="s">
        <v>1804</v>
      </c>
      <c r="D927" s="19" t="s">
        <v>174</v>
      </c>
      <c r="E927" s="19" t="s">
        <v>3049</v>
      </c>
      <c r="F927" s="19">
        <v>0.31569999999999998</v>
      </c>
      <c r="G927" s="19" t="s">
        <v>3036</v>
      </c>
      <c r="H927" s="19" t="s">
        <v>3050</v>
      </c>
    </row>
    <row r="928" spans="1:8" x14ac:dyDescent="0.35">
      <c r="A928" s="19" t="s">
        <v>4793</v>
      </c>
      <c r="B928" s="20" t="s">
        <v>4790</v>
      </c>
      <c r="C928" s="20" t="s">
        <v>1804</v>
      </c>
      <c r="D928" s="19" t="s">
        <v>174</v>
      </c>
      <c r="E928" s="19" t="s">
        <v>3049</v>
      </c>
      <c r="F928" s="19">
        <v>0.31569999999999998</v>
      </c>
      <c r="G928" s="19" t="s">
        <v>3036</v>
      </c>
      <c r="H928" s="19" t="s">
        <v>3050</v>
      </c>
    </row>
    <row r="929" spans="1:8" x14ac:dyDescent="0.35">
      <c r="A929" s="19" t="s">
        <v>4794</v>
      </c>
      <c r="B929" s="20" t="s">
        <v>4795</v>
      </c>
      <c r="C929" s="20" t="s">
        <v>1804</v>
      </c>
      <c r="D929" s="19" t="s">
        <v>174</v>
      </c>
      <c r="E929" s="19" t="s">
        <v>3049</v>
      </c>
      <c r="F929" s="19">
        <v>0.31569999999999998</v>
      </c>
      <c r="G929" s="19" t="s">
        <v>3036</v>
      </c>
      <c r="H929" s="19" t="s">
        <v>3050</v>
      </c>
    </row>
    <row r="930" spans="1:8" x14ac:dyDescent="0.35">
      <c r="A930" s="19" t="s">
        <v>1876</v>
      </c>
      <c r="B930" s="20" t="s">
        <v>1873</v>
      </c>
      <c r="C930" s="20" t="s">
        <v>1872</v>
      </c>
      <c r="D930" s="19" t="s">
        <v>174</v>
      </c>
      <c r="E930" s="19" t="s">
        <v>1874</v>
      </c>
      <c r="F930" s="19">
        <v>0.24030000000000001</v>
      </c>
      <c r="G930" s="19" t="s">
        <v>1875</v>
      </c>
      <c r="H930" s="19"/>
    </row>
    <row r="931" spans="1:8" x14ac:dyDescent="0.35">
      <c r="A931" s="19" t="s">
        <v>4796</v>
      </c>
      <c r="B931" s="20" t="s">
        <v>4797</v>
      </c>
      <c r="C931" s="20"/>
      <c r="D931" s="19"/>
      <c r="E931" s="19"/>
      <c r="F931" s="19"/>
      <c r="G931" s="19"/>
      <c r="H931" s="19"/>
    </row>
    <row r="932" spans="1:8" ht="98" x14ac:dyDescent="0.35">
      <c r="A932" s="19" t="s">
        <v>4112</v>
      </c>
      <c r="B932" s="20" t="s">
        <v>4111</v>
      </c>
      <c r="C932" s="20" t="s">
        <v>4110</v>
      </c>
      <c r="D932" s="19"/>
      <c r="E932" s="19"/>
      <c r="F932" s="19"/>
      <c r="G932" s="19"/>
      <c r="H932" s="19"/>
    </row>
    <row r="933" spans="1:8" ht="42" x14ac:dyDescent="0.35">
      <c r="A933" s="19" t="s">
        <v>2192</v>
      </c>
      <c r="B933" s="20" t="s">
        <v>2189</v>
      </c>
      <c r="C933" s="20" t="s">
        <v>4798</v>
      </c>
      <c r="D933" s="19" t="s">
        <v>174</v>
      </c>
      <c r="E933" s="19" t="s">
        <v>1824</v>
      </c>
      <c r="F933" s="19">
        <v>0.39500000000000002</v>
      </c>
      <c r="G933" s="19" t="s">
        <v>2339</v>
      </c>
      <c r="H933" s="19" t="s">
        <v>2340</v>
      </c>
    </row>
    <row r="934" spans="1:8" ht="28" x14ac:dyDescent="0.35">
      <c r="A934" s="19" t="s">
        <v>2677</v>
      </c>
      <c r="B934" s="20" t="s">
        <v>2674</v>
      </c>
      <c r="C934" s="20" t="s">
        <v>2673</v>
      </c>
      <c r="D934" s="19" t="s">
        <v>174</v>
      </c>
      <c r="E934" s="19" t="s">
        <v>2339</v>
      </c>
      <c r="F934" s="19">
        <v>0.35620000000000002</v>
      </c>
      <c r="G934" s="19" t="s">
        <v>2675</v>
      </c>
      <c r="H934" s="19" t="s">
        <v>2676</v>
      </c>
    </row>
    <row r="935" spans="1:8" ht="154" x14ac:dyDescent="0.35">
      <c r="A935" s="19" t="s">
        <v>3794</v>
      </c>
      <c r="B935" s="20" t="s">
        <v>3793</v>
      </c>
      <c r="C935" s="20" t="s">
        <v>3792</v>
      </c>
      <c r="D935" s="19"/>
      <c r="E935" s="19"/>
      <c r="F935" s="19"/>
      <c r="G935" s="19"/>
      <c r="H935" s="19"/>
    </row>
    <row r="936" spans="1:8" ht="28" x14ac:dyDescent="0.35">
      <c r="A936" s="19" t="s">
        <v>3644</v>
      </c>
      <c r="B936" s="20" t="s">
        <v>3642</v>
      </c>
      <c r="C936" s="20" t="s">
        <v>3641</v>
      </c>
      <c r="D936" s="19" t="s">
        <v>174</v>
      </c>
      <c r="E936" s="19" t="s">
        <v>470</v>
      </c>
      <c r="F936" s="19">
        <v>0.41370000000000001</v>
      </c>
      <c r="G936" s="19" t="s">
        <v>3207</v>
      </c>
      <c r="H936" s="19" t="s">
        <v>3643</v>
      </c>
    </row>
    <row r="937" spans="1:8" x14ac:dyDescent="0.35">
      <c r="A937" s="19" t="s">
        <v>4799</v>
      </c>
      <c r="B937" s="20"/>
      <c r="C937" s="20"/>
      <c r="D937" s="19"/>
      <c r="E937" s="19"/>
      <c r="F937" s="19"/>
      <c r="G937" s="19"/>
      <c r="H937" s="19"/>
    </row>
    <row r="938" spans="1:8" x14ac:dyDescent="0.35">
      <c r="A938" s="19" t="s">
        <v>4800</v>
      </c>
      <c r="B938" s="20" t="s">
        <v>4801</v>
      </c>
      <c r="C938" s="20"/>
      <c r="D938" s="19"/>
      <c r="E938" s="19"/>
      <c r="F938" s="19"/>
      <c r="G938" s="19"/>
      <c r="H938" s="19"/>
    </row>
    <row r="939" spans="1:8" x14ac:dyDescent="0.35">
      <c r="A939" s="19" t="s">
        <v>2697</v>
      </c>
      <c r="B939" s="20" t="s">
        <v>2693</v>
      </c>
      <c r="C939" s="20" t="s">
        <v>2692</v>
      </c>
      <c r="D939" s="19" t="s">
        <v>174</v>
      </c>
      <c r="E939" s="19" t="s">
        <v>2694</v>
      </c>
      <c r="F939" s="19">
        <v>0.3548</v>
      </c>
      <c r="G939" s="19" t="s">
        <v>2695</v>
      </c>
      <c r="H939" s="19" t="s">
        <v>2696</v>
      </c>
    </row>
    <row r="940" spans="1:8" x14ac:dyDescent="0.35">
      <c r="A940" s="19" t="s">
        <v>4802</v>
      </c>
      <c r="B940" s="20" t="s">
        <v>3329</v>
      </c>
      <c r="C940" s="20" t="s">
        <v>3328</v>
      </c>
      <c r="D940" s="19" t="s">
        <v>174</v>
      </c>
      <c r="E940" s="19" t="s">
        <v>1445</v>
      </c>
      <c r="F940" s="19">
        <v>0.45979999999999999</v>
      </c>
      <c r="G940" s="19" t="s">
        <v>1900</v>
      </c>
      <c r="H940" s="19" t="s">
        <v>1549</v>
      </c>
    </row>
    <row r="941" spans="1:8" x14ac:dyDescent="0.35">
      <c r="A941" s="19" t="s">
        <v>4803</v>
      </c>
      <c r="B941" s="20" t="s">
        <v>67</v>
      </c>
      <c r="C941" s="20" t="s">
        <v>67</v>
      </c>
      <c r="D941" s="19" t="s">
        <v>21</v>
      </c>
      <c r="E941" s="19" t="s">
        <v>67</v>
      </c>
      <c r="F941" s="19">
        <v>1</v>
      </c>
      <c r="G941" s="19"/>
      <c r="H941" s="19"/>
    </row>
    <row r="942" spans="1:8" ht="84" x14ac:dyDescent="0.35">
      <c r="A942" s="19" t="s">
        <v>4057</v>
      </c>
      <c r="B942" s="20" t="s">
        <v>4056</v>
      </c>
      <c r="C942" s="20" t="s">
        <v>4055</v>
      </c>
      <c r="D942" s="19"/>
      <c r="E942" s="19"/>
      <c r="F942" s="19"/>
      <c r="G942" s="19"/>
      <c r="H942" s="19"/>
    </row>
    <row r="943" spans="1:8" ht="28" x14ac:dyDescent="0.35">
      <c r="A943" s="19" t="s">
        <v>1538</v>
      </c>
      <c r="B943" s="20" t="s">
        <v>1534</v>
      </c>
      <c r="C943" s="20" t="s">
        <v>4804</v>
      </c>
      <c r="D943" s="19" t="s">
        <v>174</v>
      </c>
      <c r="E943" s="19" t="s">
        <v>1490</v>
      </c>
      <c r="F943" s="19">
        <v>0.27489999999999998</v>
      </c>
      <c r="G943" s="19" t="s">
        <v>1536</v>
      </c>
      <c r="H943" s="19" t="s">
        <v>1922</v>
      </c>
    </row>
    <row r="944" spans="1:8" ht="56" x14ac:dyDescent="0.35">
      <c r="A944" s="19" t="s">
        <v>3137</v>
      </c>
      <c r="B944" s="20" t="s">
        <v>3135</v>
      </c>
      <c r="C944" s="20" t="s">
        <v>3134</v>
      </c>
      <c r="D944" s="19" t="s">
        <v>174</v>
      </c>
      <c r="E944" s="19" t="s">
        <v>2675</v>
      </c>
      <c r="F944" s="19">
        <v>0.307</v>
      </c>
      <c r="G944" s="19" t="s">
        <v>2676</v>
      </c>
      <c r="H944" s="19" t="s">
        <v>3136</v>
      </c>
    </row>
    <row r="945" spans="1:8" ht="28" x14ac:dyDescent="0.35">
      <c r="A945" s="19" t="s">
        <v>4805</v>
      </c>
      <c r="B945" s="20" t="s">
        <v>2525</v>
      </c>
      <c r="C945" s="20" t="s">
        <v>2524</v>
      </c>
      <c r="D945" s="19" t="s">
        <v>174</v>
      </c>
      <c r="E945" s="19" t="s">
        <v>221</v>
      </c>
      <c r="F945" s="19">
        <v>0.37840000000000001</v>
      </c>
      <c r="G945" s="19" t="s">
        <v>220</v>
      </c>
      <c r="H945" s="19" t="s">
        <v>2459</v>
      </c>
    </row>
    <row r="946" spans="1:8" ht="28" x14ac:dyDescent="0.35">
      <c r="A946" s="19" t="s">
        <v>2871</v>
      </c>
      <c r="B946" s="20" t="s">
        <v>2869</v>
      </c>
      <c r="C946" s="20" t="s">
        <v>2868</v>
      </c>
      <c r="D946" s="19" t="s">
        <v>174</v>
      </c>
      <c r="E946" s="19" t="s">
        <v>221</v>
      </c>
      <c r="F946" s="19">
        <v>0.33639999999999998</v>
      </c>
      <c r="G946" s="19" t="s">
        <v>299</v>
      </c>
      <c r="H946" s="19"/>
    </row>
    <row r="947" spans="1:8" ht="28" x14ac:dyDescent="0.35">
      <c r="A947" s="19" t="s">
        <v>847</v>
      </c>
      <c r="B947" s="20" t="s">
        <v>846</v>
      </c>
      <c r="C947" s="20" t="s">
        <v>845</v>
      </c>
      <c r="D947" s="19" t="s">
        <v>4</v>
      </c>
      <c r="E947" s="19" t="s">
        <v>67</v>
      </c>
      <c r="F947" s="19">
        <v>0.8</v>
      </c>
      <c r="G947" s="19"/>
      <c r="H947" s="19"/>
    </row>
    <row r="948" spans="1:8" x14ac:dyDescent="0.35">
      <c r="A948" s="19" t="s">
        <v>4806</v>
      </c>
      <c r="B948" s="20" t="s">
        <v>3329</v>
      </c>
      <c r="C948" s="20" t="s">
        <v>3328</v>
      </c>
      <c r="D948" s="19" t="s">
        <v>174</v>
      </c>
      <c r="E948" s="19" t="s">
        <v>1445</v>
      </c>
      <c r="F948" s="19">
        <v>0.45979999999999999</v>
      </c>
      <c r="G948" s="19" t="s">
        <v>1900</v>
      </c>
      <c r="H948" s="19" t="s">
        <v>1549</v>
      </c>
    </row>
    <row r="949" spans="1:8" x14ac:dyDescent="0.35">
      <c r="A949" s="19" t="s">
        <v>3380</v>
      </c>
      <c r="B949" s="20" t="s">
        <v>3376</v>
      </c>
      <c r="C949" s="20" t="s">
        <v>3376</v>
      </c>
      <c r="D949" s="19" t="s">
        <v>174</v>
      </c>
      <c r="E949" s="19" t="s">
        <v>3377</v>
      </c>
      <c r="F949" s="19">
        <v>0.4516</v>
      </c>
      <c r="G949" s="19" t="s">
        <v>3378</v>
      </c>
      <c r="H949" s="19" t="s">
        <v>3379</v>
      </c>
    </row>
    <row r="950" spans="1:8" x14ac:dyDescent="0.35">
      <c r="A950" s="19" t="s">
        <v>1233</v>
      </c>
      <c r="B950" s="20" t="s">
        <v>1232</v>
      </c>
      <c r="C950" s="20" t="s">
        <v>1231</v>
      </c>
      <c r="D950" s="19" t="s">
        <v>115</v>
      </c>
      <c r="E950" s="19" t="s">
        <v>130</v>
      </c>
      <c r="F950" s="19">
        <v>0.6</v>
      </c>
      <c r="G950" s="19"/>
      <c r="H950" s="19"/>
    </row>
    <row r="951" spans="1:8" ht="28" x14ac:dyDescent="0.35">
      <c r="A951" s="19" t="s">
        <v>2461</v>
      </c>
      <c r="B951" s="20" t="s">
        <v>2458</v>
      </c>
      <c r="C951" s="20" t="s">
        <v>2457</v>
      </c>
      <c r="D951" s="19" t="s">
        <v>174</v>
      </c>
      <c r="E951" s="19" t="s">
        <v>221</v>
      </c>
      <c r="F951" s="19">
        <v>0.38579999999999998</v>
      </c>
      <c r="G951" s="19" t="s">
        <v>2459</v>
      </c>
      <c r="H951" s="19" t="s">
        <v>2460</v>
      </c>
    </row>
    <row r="952" spans="1:8" ht="28" x14ac:dyDescent="0.35">
      <c r="A952" s="19" t="s">
        <v>2988</v>
      </c>
      <c r="B952" s="20" t="s">
        <v>2987</v>
      </c>
      <c r="C952" s="20" t="s">
        <v>2987</v>
      </c>
      <c r="D952" s="19" t="s">
        <v>174</v>
      </c>
      <c r="E952" s="19" t="s">
        <v>221</v>
      </c>
      <c r="F952" s="19">
        <v>0.32500000000000001</v>
      </c>
      <c r="G952" s="19" t="s">
        <v>2459</v>
      </c>
      <c r="H952" s="19"/>
    </row>
    <row r="953" spans="1:8" ht="28" x14ac:dyDescent="0.35">
      <c r="A953" s="19" t="s">
        <v>4807</v>
      </c>
      <c r="B953" s="20" t="s">
        <v>2987</v>
      </c>
      <c r="C953" s="20" t="s">
        <v>2987</v>
      </c>
      <c r="D953" s="19" t="s">
        <v>174</v>
      </c>
      <c r="E953" s="19" t="s">
        <v>221</v>
      </c>
      <c r="F953" s="19">
        <v>0.32500000000000001</v>
      </c>
      <c r="G953" s="19" t="s">
        <v>2459</v>
      </c>
      <c r="H953" s="19"/>
    </row>
    <row r="954" spans="1:8" ht="28" x14ac:dyDescent="0.35">
      <c r="A954" s="19" t="s">
        <v>4808</v>
      </c>
      <c r="B954" s="20" t="s">
        <v>2458</v>
      </c>
      <c r="C954" s="20" t="s">
        <v>2457</v>
      </c>
      <c r="D954" s="19" t="s">
        <v>174</v>
      </c>
      <c r="E954" s="19" t="s">
        <v>221</v>
      </c>
      <c r="F954" s="19">
        <v>0.38579999999999998</v>
      </c>
      <c r="G954" s="19" t="s">
        <v>2459</v>
      </c>
      <c r="H954" s="19" t="s">
        <v>2460</v>
      </c>
    </row>
    <row r="955" spans="1:8" ht="28" x14ac:dyDescent="0.35">
      <c r="A955" s="19" t="s">
        <v>4809</v>
      </c>
      <c r="B955" s="20" t="s">
        <v>2458</v>
      </c>
      <c r="C955" s="20" t="s">
        <v>2457</v>
      </c>
      <c r="D955" s="19" t="s">
        <v>174</v>
      </c>
      <c r="E955" s="19" t="s">
        <v>221</v>
      </c>
      <c r="F955" s="19">
        <v>0.38579999999999998</v>
      </c>
      <c r="G955" s="19" t="s">
        <v>2459</v>
      </c>
      <c r="H955" s="19" t="s">
        <v>2460</v>
      </c>
    </row>
    <row r="956" spans="1:8" x14ac:dyDescent="0.35">
      <c r="A956" s="19" t="s">
        <v>4810</v>
      </c>
      <c r="B956" s="20"/>
      <c r="C956" s="20"/>
      <c r="D956" s="19"/>
      <c r="E956" s="19"/>
      <c r="F956" s="19"/>
      <c r="G956" s="19"/>
      <c r="H956" s="19"/>
    </row>
    <row r="957" spans="1:8" ht="28" x14ac:dyDescent="0.35">
      <c r="A957" s="19" t="s">
        <v>4811</v>
      </c>
      <c r="B957" s="20" t="s">
        <v>4812</v>
      </c>
      <c r="C957" s="20" t="s">
        <v>2457</v>
      </c>
      <c r="D957" s="19" t="s">
        <v>174</v>
      </c>
      <c r="E957" s="19" t="s">
        <v>221</v>
      </c>
      <c r="F957" s="19">
        <v>0.38579999999999998</v>
      </c>
      <c r="G957" s="19" t="s">
        <v>2459</v>
      </c>
      <c r="H957" s="19" t="s">
        <v>2460</v>
      </c>
    </row>
    <row r="958" spans="1:8" ht="42" x14ac:dyDescent="0.35">
      <c r="A958" s="19" t="s">
        <v>918</v>
      </c>
      <c r="B958" s="20" t="s">
        <v>915</v>
      </c>
      <c r="C958" s="20" t="s">
        <v>4813</v>
      </c>
      <c r="D958" s="19" t="s">
        <v>4</v>
      </c>
      <c r="E958" s="19" t="s">
        <v>917</v>
      </c>
      <c r="F958" s="19">
        <v>0.8</v>
      </c>
      <c r="G958" s="19" t="s">
        <v>2065</v>
      </c>
      <c r="H958" s="19" t="s">
        <v>2875</v>
      </c>
    </row>
    <row r="959" spans="1:8" ht="28" x14ac:dyDescent="0.35">
      <c r="A959" s="19" t="s">
        <v>2394</v>
      </c>
      <c r="B959" s="20" t="s">
        <v>2390</v>
      </c>
      <c r="C959" s="20" t="s">
        <v>2389</v>
      </c>
      <c r="D959" s="19" t="s">
        <v>174</v>
      </c>
      <c r="E959" s="19" t="s">
        <v>2391</v>
      </c>
      <c r="F959" s="19">
        <v>0.39</v>
      </c>
      <c r="G959" s="19" t="s">
        <v>2392</v>
      </c>
      <c r="H959" s="19" t="s">
        <v>2393</v>
      </c>
    </row>
    <row r="960" spans="1:8" ht="28" x14ac:dyDescent="0.35">
      <c r="A960" s="19" t="s">
        <v>4814</v>
      </c>
      <c r="B960" s="20" t="s">
        <v>2525</v>
      </c>
      <c r="C960" s="20" t="s">
        <v>2524</v>
      </c>
      <c r="D960" s="19" t="s">
        <v>174</v>
      </c>
      <c r="E960" s="19" t="s">
        <v>221</v>
      </c>
      <c r="F960" s="19">
        <v>0.37840000000000001</v>
      </c>
      <c r="G960" s="19" t="s">
        <v>220</v>
      </c>
      <c r="H960" s="19" t="s">
        <v>2459</v>
      </c>
    </row>
    <row r="961" spans="1:8" x14ac:dyDescent="0.35">
      <c r="A961" s="19" t="s">
        <v>4815</v>
      </c>
      <c r="B961" s="20" t="s">
        <v>4402</v>
      </c>
      <c r="C961" s="20"/>
      <c r="D961" s="19"/>
      <c r="E961" s="19"/>
      <c r="F961" s="19"/>
      <c r="G961" s="19"/>
      <c r="H961" s="19"/>
    </row>
    <row r="962" spans="1:8" ht="84" x14ac:dyDescent="0.35">
      <c r="A962" s="19" t="s">
        <v>1970</v>
      </c>
      <c r="B962" s="20" t="s">
        <v>1968</v>
      </c>
      <c r="C962" s="20" t="s">
        <v>1967</v>
      </c>
      <c r="D962" s="19" t="s">
        <v>174</v>
      </c>
      <c r="E962" s="19" t="s">
        <v>221</v>
      </c>
      <c r="F962" s="19">
        <v>0.23280000000000001</v>
      </c>
      <c r="G962" s="19"/>
      <c r="H962" s="19"/>
    </row>
    <row r="963" spans="1:8" ht="28" x14ac:dyDescent="0.35">
      <c r="A963" s="19" t="s">
        <v>4816</v>
      </c>
      <c r="B963" s="20" t="s">
        <v>4817</v>
      </c>
      <c r="C963" s="20" t="s">
        <v>2457</v>
      </c>
      <c r="D963" s="19" t="s">
        <v>174</v>
      </c>
      <c r="E963" s="19" t="s">
        <v>221</v>
      </c>
      <c r="F963" s="19">
        <v>0.38579999999999998</v>
      </c>
      <c r="G963" s="19" t="s">
        <v>2459</v>
      </c>
      <c r="H963" s="19" t="s">
        <v>2460</v>
      </c>
    </row>
    <row r="964" spans="1:8" x14ac:dyDescent="0.35">
      <c r="A964" s="19" t="s">
        <v>3412</v>
      </c>
      <c r="B964" s="20" t="s">
        <v>1829</v>
      </c>
      <c r="C964" s="20" t="s">
        <v>1829</v>
      </c>
      <c r="D964" s="19" t="s">
        <v>174</v>
      </c>
      <c r="E964" s="19" t="s">
        <v>2273</v>
      </c>
      <c r="F964" s="19">
        <v>0.44690000000000002</v>
      </c>
      <c r="G964" s="19" t="s">
        <v>1832</v>
      </c>
      <c r="H964" s="19" t="s">
        <v>3411</v>
      </c>
    </row>
    <row r="965" spans="1:8" x14ac:dyDescent="0.35">
      <c r="A965" s="19" t="s">
        <v>2471</v>
      </c>
      <c r="B965" s="20" t="s">
        <v>2468</v>
      </c>
      <c r="C965" s="20" t="s">
        <v>2467</v>
      </c>
      <c r="D965" s="19" t="s">
        <v>174</v>
      </c>
      <c r="E965" s="19" t="s">
        <v>2469</v>
      </c>
      <c r="F965" s="19">
        <v>0.38550000000000001</v>
      </c>
      <c r="G965" s="19" t="s">
        <v>274</v>
      </c>
      <c r="H965" s="19" t="s">
        <v>2470</v>
      </c>
    </row>
    <row r="966" spans="1:8" x14ac:dyDescent="0.35">
      <c r="A966" s="19" t="s">
        <v>4818</v>
      </c>
      <c r="B966" s="20"/>
      <c r="C966" s="20"/>
      <c r="D966" s="19"/>
      <c r="E966" s="19"/>
      <c r="F966" s="19"/>
      <c r="G966" s="19"/>
      <c r="H966" s="19"/>
    </row>
    <row r="967" spans="1:8" x14ac:dyDescent="0.35">
      <c r="A967" s="19" t="s">
        <v>4819</v>
      </c>
      <c r="B967" s="20" t="s">
        <v>4820</v>
      </c>
      <c r="C967" s="20"/>
      <c r="D967" s="19"/>
      <c r="E967" s="19"/>
      <c r="F967" s="19"/>
      <c r="G967" s="19"/>
      <c r="H967" s="19"/>
    </row>
    <row r="968" spans="1:8" x14ac:dyDescent="0.35">
      <c r="A968" s="19" t="s">
        <v>4821</v>
      </c>
      <c r="B968" s="20" t="s">
        <v>63</v>
      </c>
      <c r="C968" s="20" t="s">
        <v>63</v>
      </c>
      <c r="D968" s="19" t="s">
        <v>21</v>
      </c>
      <c r="E968" s="19" t="s">
        <v>63</v>
      </c>
      <c r="F968" s="19">
        <v>1</v>
      </c>
      <c r="G968" s="19"/>
      <c r="H968" s="19"/>
    </row>
    <row r="969" spans="1:8" x14ac:dyDescent="0.35">
      <c r="A969" s="19" t="s">
        <v>4822</v>
      </c>
      <c r="B969" s="20"/>
      <c r="C969" s="20"/>
      <c r="D969" s="19"/>
      <c r="E969" s="19"/>
      <c r="F969" s="19"/>
      <c r="G969" s="19"/>
      <c r="H969" s="19"/>
    </row>
    <row r="970" spans="1:8" x14ac:dyDescent="0.35">
      <c r="A970" s="19" t="s">
        <v>4823</v>
      </c>
      <c r="B970" s="20"/>
      <c r="C970" s="20"/>
      <c r="D970" s="19"/>
      <c r="E970" s="19"/>
      <c r="F970" s="19"/>
      <c r="G970" s="19"/>
      <c r="H970" s="19"/>
    </row>
    <row r="971" spans="1:8" x14ac:dyDescent="0.35">
      <c r="A971" s="19" t="s">
        <v>1203</v>
      </c>
      <c r="B971" s="20" t="s">
        <v>1199</v>
      </c>
      <c r="C971" s="20" t="s">
        <v>4824</v>
      </c>
      <c r="D971" s="19" t="s">
        <v>115</v>
      </c>
      <c r="E971" s="19" t="s">
        <v>1202</v>
      </c>
      <c r="F971" s="19">
        <v>0.6</v>
      </c>
      <c r="G971" s="19"/>
      <c r="H971" s="19"/>
    </row>
    <row r="972" spans="1:8" ht="28" x14ac:dyDescent="0.35">
      <c r="A972" s="19" t="s">
        <v>4124</v>
      </c>
      <c r="B972" s="20" t="s">
        <v>4123</v>
      </c>
      <c r="C972" s="20" t="s">
        <v>4122</v>
      </c>
      <c r="D972" s="19"/>
      <c r="E972" s="19"/>
      <c r="F972" s="19"/>
      <c r="G972" s="19"/>
      <c r="H972" s="19"/>
    </row>
    <row r="973" spans="1:8" x14ac:dyDescent="0.35">
      <c r="A973" s="19" t="s">
        <v>4825</v>
      </c>
      <c r="B973" s="20" t="s">
        <v>424</v>
      </c>
      <c r="C973" s="20" t="s">
        <v>424</v>
      </c>
      <c r="D973" s="19" t="s">
        <v>21</v>
      </c>
      <c r="E973" s="19" t="s">
        <v>424</v>
      </c>
      <c r="F973" s="19">
        <v>0.8</v>
      </c>
      <c r="G973" s="19" t="s">
        <v>426</v>
      </c>
      <c r="H973" s="19"/>
    </row>
    <row r="974" spans="1:8" x14ac:dyDescent="0.35">
      <c r="A974" s="19" t="s">
        <v>4826</v>
      </c>
      <c r="B974" s="20" t="s">
        <v>4827</v>
      </c>
      <c r="C974" s="20" t="s">
        <v>4118</v>
      </c>
      <c r="D974" s="19"/>
      <c r="E974" s="19"/>
      <c r="F974" s="19"/>
      <c r="G974" s="19"/>
      <c r="H974" s="19"/>
    </row>
    <row r="975" spans="1:8" x14ac:dyDescent="0.35">
      <c r="A975" s="19" t="s">
        <v>3313</v>
      </c>
      <c r="B975" s="20" t="s">
        <v>3312</v>
      </c>
      <c r="C975" s="20" t="s">
        <v>1708</v>
      </c>
      <c r="D975" s="19" t="s">
        <v>174</v>
      </c>
      <c r="E975" s="19" t="s">
        <v>1672</v>
      </c>
      <c r="F975" s="19">
        <v>0.46200000000000002</v>
      </c>
      <c r="G975" s="19" t="s">
        <v>1652</v>
      </c>
      <c r="H975" s="19" t="s">
        <v>1651</v>
      </c>
    </row>
    <row r="976" spans="1:8" x14ac:dyDescent="0.35">
      <c r="A976" s="19" t="s">
        <v>1725</v>
      </c>
      <c r="B976" s="20" t="s">
        <v>1723</v>
      </c>
      <c r="C976" s="20" t="s">
        <v>1722</v>
      </c>
      <c r="D976" s="19" t="s">
        <v>174</v>
      </c>
      <c r="E976" s="19" t="s">
        <v>1724</v>
      </c>
      <c r="F976" s="19">
        <v>0.25640000000000002</v>
      </c>
      <c r="G976" s="19"/>
      <c r="H976" s="19"/>
    </row>
    <row r="977" spans="1:8" ht="154" x14ac:dyDescent="0.35">
      <c r="A977" s="19" t="s">
        <v>4177</v>
      </c>
      <c r="B977" s="20" t="s">
        <v>4175</v>
      </c>
      <c r="C977" s="20" t="s">
        <v>4174</v>
      </c>
      <c r="D977" s="19"/>
      <c r="E977" s="19"/>
      <c r="F977" s="19"/>
      <c r="G977" s="19"/>
      <c r="H977" s="19"/>
    </row>
    <row r="978" spans="1:8" x14ac:dyDescent="0.35">
      <c r="A978" s="19" t="s">
        <v>4828</v>
      </c>
      <c r="B978" s="20"/>
      <c r="C978" s="20"/>
      <c r="D978" s="19"/>
      <c r="E978" s="19"/>
      <c r="F978" s="19"/>
      <c r="G978" s="19"/>
      <c r="H978" s="19"/>
    </row>
    <row r="979" spans="1:8" x14ac:dyDescent="0.35">
      <c r="A979" s="19" t="s">
        <v>4829</v>
      </c>
      <c r="B979" s="20"/>
      <c r="C979" s="20"/>
      <c r="D979" s="19"/>
      <c r="E979" s="19"/>
      <c r="F979" s="19"/>
      <c r="G979" s="19"/>
      <c r="H979" s="19"/>
    </row>
    <row r="980" spans="1:8" ht="42" x14ac:dyDescent="0.35">
      <c r="A980" s="19" t="s">
        <v>2066</v>
      </c>
      <c r="B980" s="20" t="s">
        <v>2062</v>
      </c>
      <c r="C980" s="20" t="s">
        <v>2061</v>
      </c>
      <c r="D980" s="19" t="s">
        <v>174</v>
      </c>
      <c r="E980" s="19" t="s">
        <v>2063</v>
      </c>
      <c r="F980" s="19">
        <v>0.221</v>
      </c>
      <c r="G980" s="19" t="s">
        <v>2064</v>
      </c>
      <c r="H980" s="19" t="s">
        <v>2065</v>
      </c>
    </row>
    <row r="981" spans="1:8" x14ac:dyDescent="0.35">
      <c r="A981" s="19" t="s">
        <v>605</v>
      </c>
      <c r="B981" s="20" t="s">
        <v>604</v>
      </c>
      <c r="C981" s="20" t="s">
        <v>603</v>
      </c>
      <c r="D981" s="19" t="s">
        <v>4</v>
      </c>
      <c r="E981" s="19" t="s">
        <v>539</v>
      </c>
      <c r="F981" s="19">
        <v>0.8</v>
      </c>
      <c r="G981" s="19"/>
      <c r="H981" s="19"/>
    </row>
    <row r="982" spans="1:8" x14ac:dyDescent="0.35">
      <c r="A982" s="19" t="s">
        <v>140</v>
      </c>
      <c r="B982" s="20" t="s">
        <v>138</v>
      </c>
      <c r="C982" s="20" t="s">
        <v>137</v>
      </c>
      <c r="D982" s="19" t="s">
        <v>115</v>
      </c>
      <c r="E982" s="19" t="s">
        <v>119</v>
      </c>
      <c r="F982" s="19">
        <v>0.6</v>
      </c>
      <c r="G982" s="19"/>
      <c r="H982" s="19"/>
    </row>
    <row r="983" spans="1:8" x14ac:dyDescent="0.35">
      <c r="A983" s="19" t="s">
        <v>3208</v>
      </c>
      <c r="B983" s="20" t="s">
        <v>2684</v>
      </c>
      <c r="C983" s="20" t="s">
        <v>2684</v>
      </c>
      <c r="D983" s="19" t="s">
        <v>174</v>
      </c>
      <c r="E983" s="19" t="s">
        <v>470</v>
      </c>
      <c r="F983" s="19">
        <v>0.4803</v>
      </c>
      <c r="G983" s="19" t="s">
        <v>3206</v>
      </c>
      <c r="H983" s="19" t="s">
        <v>3207</v>
      </c>
    </row>
    <row r="984" spans="1:8" x14ac:dyDescent="0.35">
      <c r="A984" s="19" t="s">
        <v>2256</v>
      </c>
      <c r="B984" s="20" t="s">
        <v>2253</v>
      </c>
      <c r="C984" s="20" t="s">
        <v>2252</v>
      </c>
      <c r="D984" s="19" t="s">
        <v>174</v>
      </c>
      <c r="E984" s="19" t="s">
        <v>2255</v>
      </c>
      <c r="F984" s="19">
        <v>0.2046</v>
      </c>
      <c r="G984" s="19"/>
      <c r="H984" s="19"/>
    </row>
    <row r="985" spans="1:8" x14ac:dyDescent="0.35">
      <c r="A985" s="19" t="s">
        <v>4830</v>
      </c>
      <c r="B985" s="20" t="s">
        <v>2253</v>
      </c>
      <c r="C985" s="20" t="s">
        <v>2252</v>
      </c>
      <c r="D985" s="19" t="s">
        <v>174</v>
      </c>
      <c r="E985" s="19" t="s">
        <v>2255</v>
      </c>
      <c r="F985" s="19">
        <v>0.2046</v>
      </c>
      <c r="G985" s="19"/>
      <c r="H985" s="19"/>
    </row>
    <row r="986" spans="1:8" ht="42" x14ac:dyDescent="0.35">
      <c r="A986" s="19" t="s">
        <v>1862</v>
      </c>
      <c r="B986" s="20" t="s">
        <v>1861</v>
      </c>
      <c r="C986" s="20" t="s">
        <v>1860</v>
      </c>
      <c r="D986" s="19" t="s">
        <v>174</v>
      </c>
      <c r="E986" s="19" t="s">
        <v>470</v>
      </c>
      <c r="F986" s="19">
        <v>0.24099999999999999</v>
      </c>
      <c r="G986" s="19"/>
      <c r="H986" s="19"/>
    </row>
    <row r="987" spans="1:8" ht="28" x14ac:dyDescent="0.35">
      <c r="A987" s="19" t="s">
        <v>1686</v>
      </c>
      <c r="B987" s="20" t="s">
        <v>1683</v>
      </c>
      <c r="C987" s="20" t="s">
        <v>1683</v>
      </c>
      <c r="D987" s="19" t="s">
        <v>174</v>
      </c>
      <c r="E987" s="19" t="s">
        <v>233</v>
      </c>
      <c r="F987" s="19">
        <v>0.26190000000000002</v>
      </c>
      <c r="G987" s="19" t="s">
        <v>1685</v>
      </c>
      <c r="H987" s="19"/>
    </row>
    <row r="988" spans="1:8" x14ac:dyDescent="0.35">
      <c r="A988" s="19" t="s">
        <v>3948</v>
      </c>
      <c r="B988" s="20" t="s">
        <v>3946</v>
      </c>
      <c r="C988" s="20" t="s">
        <v>3946</v>
      </c>
      <c r="D988" s="19"/>
      <c r="E988" s="19"/>
      <c r="F988" s="19"/>
      <c r="G988" s="19"/>
      <c r="H988" s="19"/>
    </row>
    <row r="989" spans="1:8" ht="28" x14ac:dyDescent="0.35">
      <c r="A989" s="19" t="s">
        <v>2138</v>
      </c>
      <c r="B989" s="20" t="s">
        <v>2135</v>
      </c>
      <c r="C989" s="20" t="s">
        <v>2134</v>
      </c>
      <c r="D989" s="19" t="s">
        <v>174</v>
      </c>
      <c r="E989" s="19" t="s">
        <v>2136</v>
      </c>
      <c r="F989" s="19">
        <v>0.21659999999999999</v>
      </c>
      <c r="G989" s="19" t="s">
        <v>2137</v>
      </c>
      <c r="H989" s="19" t="s">
        <v>470</v>
      </c>
    </row>
    <row r="990" spans="1:8" x14ac:dyDescent="0.35">
      <c r="A990" s="19" t="s">
        <v>4831</v>
      </c>
      <c r="B990" s="20" t="s">
        <v>424</v>
      </c>
      <c r="C990" s="20" t="s">
        <v>424</v>
      </c>
      <c r="D990" s="19" t="s">
        <v>21</v>
      </c>
      <c r="E990" s="19" t="s">
        <v>424</v>
      </c>
      <c r="F990" s="19">
        <v>0.8</v>
      </c>
      <c r="G990" s="19" t="s">
        <v>426</v>
      </c>
      <c r="H990" s="19"/>
    </row>
    <row r="991" spans="1:8" ht="28" x14ac:dyDescent="0.35">
      <c r="A991" s="19" t="s">
        <v>1605</v>
      </c>
      <c r="B991" s="20" t="s">
        <v>1600</v>
      </c>
      <c r="C991" s="20" t="s">
        <v>1599</v>
      </c>
      <c r="D991" s="19" t="s">
        <v>174</v>
      </c>
      <c r="E991" s="19" t="s">
        <v>1602</v>
      </c>
      <c r="F991" s="19">
        <v>0.27089999999999997</v>
      </c>
      <c r="G991" s="19" t="s">
        <v>1603</v>
      </c>
      <c r="H991" s="19" t="s">
        <v>1604</v>
      </c>
    </row>
    <row r="992" spans="1:8" x14ac:dyDescent="0.35">
      <c r="A992" s="19" t="s">
        <v>473</v>
      </c>
      <c r="B992" s="20" t="s">
        <v>471</v>
      </c>
      <c r="C992" s="20" t="s">
        <v>470</v>
      </c>
      <c r="D992" s="19" t="s">
        <v>21</v>
      </c>
      <c r="E992" s="19" t="s">
        <v>470</v>
      </c>
      <c r="F992" s="19">
        <v>1</v>
      </c>
      <c r="G992" s="19"/>
      <c r="H992" s="19"/>
    </row>
    <row r="993" spans="1:8" x14ac:dyDescent="0.35">
      <c r="A993" s="19" t="s">
        <v>4832</v>
      </c>
      <c r="B993" s="20" t="s">
        <v>4449</v>
      </c>
      <c r="C993" s="20"/>
      <c r="D993" s="19"/>
      <c r="E993" s="19"/>
      <c r="F993" s="19"/>
      <c r="G993" s="19"/>
      <c r="H993" s="19"/>
    </row>
    <row r="994" spans="1:8" x14ac:dyDescent="0.35">
      <c r="A994" s="19" t="s">
        <v>4833</v>
      </c>
      <c r="B994" s="20" t="s">
        <v>4449</v>
      </c>
      <c r="C994" s="20"/>
      <c r="D994" s="19"/>
      <c r="E994" s="19"/>
      <c r="F994" s="19"/>
      <c r="G994" s="19"/>
      <c r="H994" s="19"/>
    </row>
    <row r="995" spans="1:8" x14ac:dyDescent="0.35">
      <c r="A995" s="19" t="s">
        <v>4834</v>
      </c>
      <c r="B995" s="20" t="s">
        <v>424</v>
      </c>
      <c r="C995" s="20" t="s">
        <v>424</v>
      </c>
      <c r="D995" s="19" t="s">
        <v>21</v>
      </c>
      <c r="E995" s="19" t="s">
        <v>424</v>
      </c>
      <c r="F995" s="19">
        <v>0.8</v>
      </c>
      <c r="G995" s="19" t="s">
        <v>426</v>
      </c>
      <c r="H995" s="19"/>
    </row>
    <row r="996" spans="1:8" x14ac:dyDescent="0.35">
      <c r="A996" s="19" t="s">
        <v>4835</v>
      </c>
      <c r="B996" s="20" t="s">
        <v>4836</v>
      </c>
      <c r="C996" s="20" t="s">
        <v>424</v>
      </c>
      <c r="D996" s="19" t="s">
        <v>21</v>
      </c>
      <c r="E996" s="19" t="s">
        <v>424</v>
      </c>
      <c r="F996" s="19">
        <v>0.8</v>
      </c>
      <c r="G996" s="19" t="s">
        <v>426</v>
      </c>
      <c r="H996" s="19"/>
    </row>
    <row r="997" spans="1:8" x14ac:dyDescent="0.35">
      <c r="A997" s="19" t="s">
        <v>3073</v>
      </c>
      <c r="B997" s="20" t="s">
        <v>3070</v>
      </c>
      <c r="C997" s="20" t="s">
        <v>3070</v>
      </c>
      <c r="D997" s="19" t="s">
        <v>174</v>
      </c>
      <c r="E997" s="19" t="s">
        <v>1268</v>
      </c>
      <c r="F997" s="19">
        <v>0.31369999999999998</v>
      </c>
      <c r="G997" s="19" t="s">
        <v>3071</v>
      </c>
      <c r="H997" s="19" t="s">
        <v>3072</v>
      </c>
    </row>
    <row r="998" spans="1:8" ht="28" x14ac:dyDescent="0.35">
      <c r="A998" s="19" t="s">
        <v>3565</v>
      </c>
      <c r="B998" s="20" t="s">
        <v>3563</v>
      </c>
      <c r="C998" s="20" t="s">
        <v>4837</v>
      </c>
      <c r="D998" s="19" t="s">
        <v>174</v>
      </c>
      <c r="E998" s="19" t="s">
        <v>3564</v>
      </c>
      <c r="F998" s="19">
        <v>0.42509999999999998</v>
      </c>
      <c r="G998" s="19" t="s">
        <v>3619</v>
      </c>
      <c r="H998" s="19" t="s">
        <v>470</v>
      </c>
    </row>
    <row r="999" spans="1:8" x14ac:dyDescent="0.35">
      <c r="A999" s="19" t="s">
        <v>4838</v>
      </c>
      <c r="B999" s="20" t="s">
        <v>4449</v>
      </c>
      <c r="C999" s="20"/>
      <c r="D999" s="19"/>
      <c r="E999" s="19"/>
      <c r="F999" s="19"/>
      <c r="G999" s="19"/>
      <c r="H999" s="19"/>
    </row>
    <row r="1000" spans="1:8" ht="28" x14ac:dyDescent="0.35">
      <c r="A1000" s="19" t="s">
        <v>1566</v>
      </c>
      <c r="B1000" s="20" t="s">
        <v>1564</v>
      </c>
      <c r="C1000" s="20" t="s">
        <v>1563</v>
      </c>
      <c r="D1000" s="19" t="s">
        <v>174</v>
      </c>
      <c r="E1000" s="19" t="s">
        <v>470</v>
      </c>
      <c r="F1000" s="19">
        <v>0.27410000000000001</v>
      </c>
      <c r="G1000" s="19"/>
      <c r="H1000" s="19"/>
    </row>
    <row r="1001" spans="1:8" x14ac:dyDescent="0.35">
      <c r="A1001" s="19" t="s">
        <v>4839</v>
      </c>
      <c r="B1001" s="20"/>
      <c r="C1001" s="20"/>
      <c r="D1001" s="19"/>
      <c r="E1001" s="19"/>
      <c r="F1001" s="19"/>
      <c r="G1001" s="19"/>
      <c r="H1001" s="19"/>
    </row>
    <row r="1002" spans="1:8" ht="42" x14ac:dyDescent="0.35">
      <c r="A1002" s="19" t="s">
        <v>3111</v>
      </c>
      <c r="B1002" s="20" t="s">
        <v>3107</v>
      </c>
      <c r="C1002" s="20" t="s">
        <v>4840</v>
      </c>
      <c r="D1002" s="19" t="s">
        <v>174</v>
      </c>
      <c r="E1002" s="19" t="s">
        <v>2597</v>
      </c>
      <c r="F1002" s="19">
        <v>0.36399999999999999</v>
      </c>
      <c r="G1002" s="19" t="s">
        <v>2614</v>
      </c>
      <c r="H1002" s="19" t="s">
        <v>2615</v>
      </c>
    </row>
    <row r="1003" spans="1:8" x14ac:dyDescent="0.35">
      <c r="A1003" s="19" t="s">
        <v>4841</v>
      </c>
      <c r="B1003" s="20" t="s">
        <v>1473</v>
      </c>
      <c r="C1003" s="20" t="s">
        <v>1473</v>
      </c>
      <c r="D1003" s="19" t="s">
        <v>174</v>
      </c>
      <c r="E1003" s="19" t="s">
        <v>1476</v>
      </c>
      <c r="F1003" s="19">
        <v>0.27950000000000003</v>
      </c>
      <c r="G1003" s="19" t="s">
        <v>1477</v>
      </c>
      <c r="H1003" s="19" t="s">
        <v>1478</v>
      </c>
    </row>
    <row r="1004" spans="1:8" ht="56" x14ac:dyDescent="0.35">
      <c r="A1004" s="19" t="s">
        <v>3971</v>
      </c>
      <c r="B1004" s="20" t="s">
        <v>3969</v>
      </c>
      <c r="C1004" s="20" t="s">
        <v>3969</v>
      </c>
      <c r="D1004" s="19"/>
      <c r="E1004" s="19"/>
      <c r="F1004" s="19"/>
      <c r="G1004" s="19"/>
      <c r="H1004" s="19"/>
    </row>
    <row r="1005" spans="1:8" ht="28" x14ac:dyDescent="0.35">
      <c r="A1005" s="19" t="s">
        <v>2819</v>
      </c>
      <c r="B1005" s="20" t="s">
        <v>2818</v>
      </c>
      <c r="C1005" s="20" t="s">
        <v>2817</v>
      </c>
      <c r="D1005" s="19" t="s">
        <v>174</v>
      </c>
      <c r="E1005" s="19" t="s">
        <v>470</v>
      </c>
      <c r="F1005" s="19">
        <v>0.3422</v>
      </c>
      <c r="G1005" s="19"/>
      <c r="H1005" s="19"/>
    </row>
    <row r="1006" spans="1:8" x14ac:dyDescent="0.35">
      <c r="A1006" s="19" t="s">
        <v>3247</v>
      </c>
      <c r="B1006" s="20" t="s">
        <v>3246</v>
      </c>
      <c r="C1006" s="20" t="s">
        <v>3245</v>
      </c>
      <c r="D1006" s="19" t="s">
        <v>174</v>
      </c>
      <c r="E1006" s="19" t="s">
        <v>470</v>
      </c>
      <c r="F1006" s="19">
        <v>0.47089999999999999</v>
      </c>
      <c r="G1006" s="19" t="s">
        <v>3207</v>
      </c>
      <c r="H1006" s="19" t="s">
        <v>3206</v>
      </c>
    </row>
    <row r="1007" spans="1:8" x14ac:dyDescent="0.35">
      <c r="A1007" s="19" t="s">
        <v>2053</v>
      </c>
      <c r="B1007" s="20" t="s">
        <v>2050</v>
      </c>
      <c r="C1007" s="20" t="s">
        <v>4842</v>
      </c>
      <c r="D1007" s="19" t="s">
        <v>174</v>
      </c>
      <c r="E1007" s="19" t="s">
        <v>1476</v>
      </c>
      <c r="F1007" s="19">
        <v>0.27950000000000003</v>
      </c>
      <c r="G1007" s="19" t="s">
        <v>1477</v>
      </c>
      <c r="H1007" s="19" t="s">
        <v>1478</v>
      </c>
    </row>
    <row r="1008" spans="1:8" x14ac:dyDescent="0.35">
      <c r="A1008" s="19" t="s">
        <v>4843</v>
      </c>
      <c r="B1008" s="20" t="s">
        <v>2588</v>
      </c>
      <c r="C1008" s="20" t="s">
        <v>2588</v>
      </c>
      <c r="D1008" s="19" t="s">
        <v>174</v>
      </c>
      <c r="E1008" s="19" t="s">
        <v>2403</v>
      </c>
      <c r="F1008" s="19">
        <v>0.36620000000000003</v>
      </c>
      <c r="G1008" s="19" t="s">
        <v>2590</v>
      </c>
      <c r="H1008" s="19" t="s">
        <v>1737</v>
      </c>
    </row>
    <row r="1009" spans="1:8" x14ac:dyDescent="0.35">
      <c r="A1009" s="19" t="s">
        <v>4844</v>
      </c>
      <c r="B1009" s="20" t="s">
        <v>4845</v>
      </c>
      <c r="C1009" s="20" t="s">
        <v>4842</v>
      </c>
      <c r="D1009" s="19" t="s">
        <v>174</v>
      </c>
      <c r="E1009" s="19" t="s">
        <v>1476</v>
      </c>
      <c r="F1009" s="19">
        <v>0.27950000000000003</v>
      </c>
      <c r="G1009" s="19" t="s">
        <v>1477</v>
      </c>
      <c r="H1009" s="19" t="s">
        <v>1478</v>
      </c>
    </row>
    <row r="1010" spans="1:8" ht="28" x14ac:dyDescent="0.35">
      <c r="A1010" s="19" t="s">
        <v>2180</v>
      </c>
      <c r="B1010" s="20" t="s">
        <v>2177</v>
      </c>
      <c r="C1010" s="20" t="s">
        <v>2176</v>
      </c>
      <c r="D1010" s="19" t="s">
        <v>174</v>
      </c>
      <c r="E1010" s="19" t="s">
        <v>2179</v>
      </c>
      <c r="F1010" s="19">
        <v>0.2132</v>
      </c>
      <c r="G1010" s="19"/>
      <c r="H1010" s="19"/>
    </row>
    <row r="1011" spans="1:8" ht="28" x14ac:dyDescent="0.35">
      <c r="A1011" s="19" t="s">
        <v>4001</v>
      </c>
      <c r="B1011" s="20" t="s">
        <v>4000</v>
      </c>
      <c r="C1011" s="20" t="s">
        <v>3999</v>
      </c>
      <c r="D1011" s="19"/>
      <c r="E1011" s="19"/>
      <c r="F1011" s="19"/>
      <c r="G1011" s="19"/>
      <c r="H1011" s="19"/>
    </row>
    <row r="1012" spans="1:8" x14ac:dyDescent="0.35">
      <c r="A1012" s="19" t="s">
        <v>4846</v>
      </c>
      <c r="B1012" s="20" t="s">
        <v>271</v>
      </c>
      <c r="C1012" s="20" t="s">
        <v>270</v>
      </c>
      <c r="D1012" s="19" t="s">
        <v>174</v>
      </c>
      <c r="E1012" s="19" t="s">
        <v>272</v>
      </c>
      <c r="F1012" s="19">
        <v>0.35449999999999998</v>
      </c>
      <c r="G1012" s="19" t="s">
        <v>273</v>
      </c>
      <c r="H1012" s="19" t="s">
        <v>274</v>
      </c>
    </row>
    <row r="1013" spans="1:8" x14ac:dyDescent="0.35">
      <c r="A1013" s="19" t="s">
        <v>4847</v>
      </c>
      <c r="B1013" s="20"/>
      <c r="C1013" s="20"/>
      <c r="D1013" s="19"/>
      <c r="E1013" s="19"/>
      <c r="F1013" s="19"/>
      <c r="G1013" s="19"/>
      <c r="H1013" s="19"/>
    </row>
    <row r="1014" spans="1:8" x14ac:dyDescent="0.35">
      <c r="A1014" s="19" t="s">
        <v>3548</v>
      </c>
      <c r="B1014" s="20" t="s">
        <v>3544</v>
      </c>
      <c r="C1014" s="20" t="s">
        <v>1300</v>
      </c>
      <c r="D1014" s="19" t="s">
        <v>174</v>
      </c>
      <c r="E1014" s="19" t="s">
        <v>3545</v>
      </c>
      <c r="F1014" s="19">
        <v>0.42559999999999998</v>
      </c>
      <c r="G1014" s="19" t="s">
        <v>3546</v>
      </c>
      <c r="H1014" s="19" t="s">
        <v>3547</v>
      </c>
    </row>
    <row r="1015" spans="1:8" ht="56" x14ac:dyDescent="0.35">
      <c r="A1015" s="19" t="s">
        <v>3824</v>
      </c>
      <c r="B1015" s="20" t="s">
        <v>3823</v>
      </c>
      <c r="C1015" s="20" t="s">
        <v>3822</v>
      </c>
      <c r="D1015" s="19"/>
      <c r="E1015" s="19"/>
      <c r="F1015" s="19"/>
      <c r="G1015" s="19"/>
      <c r="H1015" s="19"/>
    </row>
    <row r="1016" spans="1:8" ht="28" x14ac:dyDescent="0.35">
      <c r="A1016" s="19" t="s">
        <v>3556</v>
      </c>
      <c r="B1016" s="20" t="s">
        <v>3551</v>
      </c>
      <c r="C1016" s="20" t="s">
        <v>3550</v>
      </c>
      <c r="D1016" s="19" t="s">
        <v>174</v>
      </c>
      <c r="E1016" s="19" t="s">
        <v>3553</v>
      </c>
      <c r="F1016" s="19">
        <v>0.42570000000000002</v>
      </c>
      <c r="G1016" s="19" t="s">
        <v>3554</v>
      </c>
      <c r="H1016" s="19" t="s">
        <v>3555</v>
      </c>
    </row>
    <row r="1017" spans="1:8" ht="42" x14ac:dyDescent="0.35">
      <c r="A1017" s="19" t="s">
        <v>1709</v>
      </c>
      <c r="B1017" s="20" t="s">
        <v>1707</v>
      </c>
      <c r="C1017" s="20" t="s">
        <v>1706</v>
      </c>
      <c r="D1017" s="19" t="s">
        <v>174</v>
      </c>
      <c r="E1017" s="19" t="s">
        <v>1302</v>
      </c>
      <c r="F1017" s="19">
        <v>0.25879999999999997</v>
      </c>
      <c r="G1017" s="19" t="s">
        <v>1301</v>
      </c>
      <c r="H1017" s="19"/>
    </row>
    <row r="1018" spans="1:8" x14ac:dyDescent="0.35">
      <c r="A1018" s="19" t="s">
        <v>4848</v>
      </c>
      <c r="B1018" s="20" t="s">
        <v>1829</v>
      </c>
      <c r="C1018" s="20" t="s">
        <v>1829</v>
      </c>
      <c r="D1018" s="19" t="s">
        <v>174</v>
      </c>
      <c r="E1018" s="19" t="s">
        <v>2273</v>
      </c>
      <c r="F1018" s="19">
        <v>0.44690000000000002</v>
      </c>
      <c r="G1018" s="19" t="s">
        <v>1832</v>
      </c>
      <c r="H1018" s="19" t="s">
        <v>3411</v>
      </c>
    </row>
    <row r="1019" spans="1:8" x14ac:dyDescent="0.35">
      <c r="A1019" s="19" t="s">
        <v>2846</v>
      </c>
      <c r="B1019" s="20" t="s">
        <v>2843</v>
      </c>
      <c r="C1019" s="20" t="s">
        <v>2842</v>
      </c>
      <c r="D1019" s="19" t="s">
        <v>174</v>
      </c>
      <c r="E1019" s="19" t="s">
        <v>2844</v>
      </c>
      <c r="F1019" s="19">
        <v>0.33979999999999999</v>
      </c>
      <c r="G1019" s="19" t="s">
        <v>1573</v>
      </c>
      <c r="H1019" s="19" t="s">
        <v>2845</v>
      </c>
    </row>
    <row r="1020" spans="1:8" x14ac:dyDescent="0.35">
      <c r="A1020" s="19" t="s">
        <v>4849</v>
      </c>
      <c r="B1020" s="20" t="s">
        <v>2843</v>
      </c>
      <c r="C1020" s="20" t="s">
        <v>2842</v>
      </c>
      <c r="D1020" s="19" t="s">
        <v>174</v>
      </c>
      <c r="E1020" s="19" t="s">
        <v>2844</v>
      </c>
      <c r="F1020" s="19">
        <v>0.33979999999999999</v>
      </c>
      <c r="G1020" s="19" t="s">
        <v>1573</v>
      </c>
      <c r="H1020" s="19" t="s">
        <v>2845</v>
      </c>
    </row>
    <row r="1021" spans="1:8" x14ac:dyDescent="0.35">
      <c r="A1021" s="19" t="s">
        <v>4850</v>
      </c>
      <c r="B1021" s="20" t="s">
        <v>4851</v>
      </c>
      <c r="C1021" s="20" t="s">
        <v>2842</v>
      </c>
      <c r="D1021" s="19" t="s">
        <v>174</v>
      </c>
      <c r="E1021" s="19" t="s">
        <v>2844</v>
      </c>
      <c r="F1021" s="19">
        <v>0.33979999999999999</v>
      </c>
      <c r="G1021" s="19" t="s">
        <v>1573</v>
      </c>
      <c r="H1021" s="19" t="s">
        <v>2845</v>
      </c>
    </row>
    <row r="1022" spans="1:8" ht="42" x14ac:dyDescent="0.35">
      <c r="A1022" s="19" t="s">
        <v>1165</v>
      </c>
      <c r="B1022" s="20" t="s">
        <v>1161</v>
      </c>
      <c r="C1022" s="20" t="s">
        <v>4852</v>
      </c>
      <c r="D1022" s="19" t="s">
        <v>115</v>
      </c>
      <c r="E1022" s="19" t="s">
        <v>1164</v>
      </c>
      <c r="F1022" s="19">
        <v>0.6</v>
      </c>
      <c r="G1022" s="19" t="s">
        <v>1301</v>
      </c>
      <c r="H1022" s="19" t="s">
        <v>1302</v>
      </c>
    </row>
    <row r="1023" spans="1:8" x14ac:dyDescent="0.35">
      <c r="A1023" s="19" t="s">
        <v>4853</v>
      </c>
      <c r="B1023" s="20" t="s">
        <v>4449</v>
      </c>
      <c r="C1023" s="20"/>
      <c r="D1023" s="19"/>
      <c r="E1023" s="19"/>
      <c r="F1023" s="19"/>
      <c r="G1023" s="19"/>
      <c r="H1023" s="19"/>
    </row>
    <row r="1024" spans="1:8" x14ac:dyDescent="0.35">
      <c r="A1024" s="19" t="s">
        <v>2840</v>
      </c>
      <c r="B1024" s="20" t="s">
        <v>2836</v>
      </c>
      <c r="C1024" s="20" t="s">
        <v>4854</v>
      </c>
      <c r="D1024" s="19" t="s">
        <v>174</v>
      </c>
      <c r="E1024" s="19" t="s">
        <v>2837</v>
      </c>
      <c r="F1024" s="19">
        <v>0.34139999999999998</v>
      </c>
      <c r="G1024" s="19" t="s">
        <v>2838</v>
      </c>
      <c r="H1024" s="19" t="s">
        <v>1572</v>
      </c>
    </row>
    <row r="1025" spans="1:8" ht="42" x14ac:dyDescent="0.35">
      <c r="A1025" s="19" t="s">
        <v>3832</v>
      </c>
      <c r="B1025" s="20" t="s">
        <v>3831</v>
      </c>
      <c r="C1025" s="20" t="s">
        <v>3830</v>
      </c>
      <c r="D1025" s="19"/>
      <c r="E1025" s="19"/>
      <c r="F1025" s="19"/>
      <c r="G1025" s="19"/>
      <c r="H1025" s="19"/>
    </row>
    <row r="1026" spans="1:8" x14ac:dyDescent="0.35">
      <c r="A1026" s="19" t="s">
        <v>2516</v>
      </c>
      <c r="B1026" s="20" t="s">
        <v>2513</v>
      </c>
      <c r="C1026" s="20" t="s">
        <v>2512</v>
      </c>
      <c r="D1026" s="19" t="s">
        <v>174</v>
      </c>
      <c r="E1026" s="19" t="s">
        <v>355</v>
      </c>
      <c r="F1026" s="19">
        <v>0.38019999999999998</v>
      </c>
      <c r="G1026" s="19" t="s">
        <v>2514</v>
      </c>
      <c r="H1026" s="19" t="s">
        <v>2515</v>
      </c>
    </row>
    <row r="1027" spans="1:8" x14ac:dyDescent="0.35">
      <c r="A1027" s="19" t="s">
        <v>4855</v>
      </c>
      <c r="B1027" s="20"/>
      <c r="C1027" s="20"/>
      <c r="D1027" s="19"/>
      <c r="E1027" s="19"/>
      <c r="F1027" s="19"/>
      <c r="G1027" s="19"/>
      <c r="H1027" s="19"/>
    </row>
    <row r="1028" spans="1:8" x14ac:dyDescent="0.35">
      <c r="A1028" s="19" t="s">
        <v>4856</v>
      </c>
      <c r="B1028" s="20"/>
      <c r="C1028" s="20"/>
      <c r="D1028" s="19"/>
      <c r="E1028" s="19"/>
      <c r="F1028" s="19"/>
      <c r="G1028" s="19"/>
      <c r="H1028" s="19"/>
    </row>
    <row r="1029" spans="1:8" ht="42" x14ac:dyDescent="0.35">
      <c r="A1029" s="19" t="s">
        <v>4041</v>
      </c>
      <c r="B1029" s="20" t="s">
        <v>4040</v>
      </c>
      <c r="C1029" s="20" t="s">
        <v>4039</v>
      </c>
      <c r="D1029" s="19"/>
      <c r="E1029" s="19"/>
      <c r="F1029" s="19"/>
      <c r="G1029" s="19"/>
      <c r="H1029" s="19"/>
    </row>
    <row r="1030" spans="1:8" ht="28" x14ac:dyDescent="0.35">
      <c r="A1030" s="19" t="s">
        <v>4857</v>
      </c>
      <c r="B1030" s="20" t="s">
        <v>4858</v>
      </c>
      <c r="C1030" s="20" t="s">
        <v>4859</v>
      </c>
      <c r="D1030" s="19" t="s">
        <v>21</v>
      </c>
      <c r="E1030" s="19" t="s">
        <v>112</v>
      </c>
      <c r="F1030" s="19">
        <v>1</v>
      </c>
      <c r="G1030" s="19"/>
      <c r="H1030" s="19"/>
    </row>
    <row r="1031" spans="1:8" x14ac:dyDescent="0.35">
      <c r="A1031" s="19" t="s">
        <v>4860</v>
      </c>
      <c r="B1031" s="20" t="s">
        <v>4861</v>
      </c>
      <c r="C1031" s="20" t="s">
        <v>4862</v>
      </c>
      <c r="D1031" s="19" t="s">
        <v>174</v>
      </c>
      <c r="E1031" s="19" t="s">
        <v>1703</v>
      </c>
      <c r="F1031" s="19">
        <v>0.25890000000000002</v>
      </c>
      <c r="G1031" s="19"/>
      <c r="H1031" s="19"/>
    </row>
    <row r="1032" spans="1:8" ht="28" x14ac:dyDescent="0.35">
      <c r="A1032" s="19" t="s">
        <v>1912</v>
      </c>
      <c r="B1032" s="20" t="s">
        <v>1910</v>
      </c>
      <c r="C1032" s="20" t="s">
        <v>4863</v>
      </c>
      <c r="D1032" s="19" t="s">
        <v>115</v>
      </c>
      <c r="E1032" s="19" t="s">
        <v>1164</v>
      </c>
      <c r="F1032" s="19">
        <v>0.6</v>
      </c>
      <c r="G1032" s="19" t="s">
        <v>1911</v>
      </c>
      <c r="H1032" s="19"/>
    </row>
    <row r="1033" spans="1:8" x14ac:dyDescent="0.35">
      <c r="A1033" s="19" t="s">
        <v>4864</v>
      </c>
      <c r="B1033" s="20" t="s">
        <v>4449</v>
      </c>
      <c r="C1033" s="20"/>
      <c r="D1033" s="19"/>
      <c r="E1033" s="19"/>
      <c r="F1033" s="19"/>
      <c r="G1033" s="19"/>
      <c r="H1033" s="19"/>
    </row>
    <row r="1034" spans="1:8" ht="28" x14ac:dyDescent="0.35">
      <c r="A1034" s="19" t="s">
        <v>1931</v>
      </c>
      <c r="B1034" s="20" t="s">
        <v>1930</v>
      </c>
      <c r="C1034" s="20" t="s">
        <v>1929</v>
      </c>
      <c r="D1034" s="19" t="s">
        <v>174</v>
      </c>
      <c r="E1034" s="19" t="s">
        <v>1302</v>
      </c>
      <c r="F1034" s="19">
        <v>0.23569999999999999</v>
      </c>
      <c r="G1034" s="19" t="s">
        <v>1301</v>
      </c>
      <c r="H1034" s="19" t="s">
        <v>1889</v>
      </c>
    </row>
    <row r="1035" spans="1:8" x14ac:dyDescent="0.35">
      <c r="A1035" s="19" t="s">
        <v>4865</v>
      </c>
      <c r="B1035" s="20" t="s">
        <v>3696</v>
      </c>
      <c r="C1035" s="20" t="s">
        <v>3696</v>
      </c>
      <c r="D1035" s="19" t="s">
        <v>174</v>
      </c>
      <c r="E1035" s="19" t="s">
        <v>3697</v>
      </c>
      <c r="F1035" s="19">
        <v>0.40570000000000001</v>
      </c>
      <c r="G1035" s="19" t="s">
        <v>1768</v>
      </c>
      <c r="H1035" s="19" t="s">
        <v>3698</v>
      </c>
    </row>
    <row r="1036" spans="1:8" x14ac:dyDescent="0.35">
      <c r="A1036" s="19" t="s">
        <v>4866</v>
      </c>
      <c r="B1036" s="20" t="s">
        <v>1650</v>
      </c>
      <c r="C1036" s="20" t="s">
        <v>1650</v>
      </c>
      <c r="D1036" s="19" t="s">
        <v>174</v>
      </c>
      <c r="E1036" s="19" t="s">
        <v>1652</v>
      </c>
      <c r="F1036" s="19">
        <v>0.37809999999999999</v>
      </c>
      <c r="G1036" s="19" t="s">
        <v>1672</v>
      </c>
      <c r="H1036" s="19" t="s">
        <v>2532</v>
      </c>
    </row>
    <row r="1037" spans="1:8" x14ac:dyDescent="0.35">
      <c r="A1037" s="19" t="s">
        <v>4867</v>
      </c>
      <c r="B1037" s="20" t="s">
        <v>4640</v>
      </c>
      <c r="C1037" s="20" t="s">
        <v>1650</v>
      </c>
      <c r="D1037" s="19" t="s">
        <v>174</v>
      </c>
      <c r="E1037" s="19" t="s">
        <v>1652</v>
      </c>
      <c r="F1037" s="19">
        <v>0.37809999999999999</v>
      </c>
      <c r="G1037" s="19" t="s">
        <v>1672</v>
      </c>
      <c r="H1037" s="19" t="s">
        <v>2532</v>
      </c>
    </row>
    <row r="1038" spans="1:8" x14ac:dyDescent="0.35">
      <c r="A1038" s="19" t="s">
        <v>3326</v>
      </c>
      <c r="B1038" s="20" t="s">
        <v>3324</v>
      </c>
      <c r="C1038" s="20" t="s">
        <v>3324</v>
      </c>
      <c r="D1038" s="19" t="s">
        <v>174</v>
      </c>
      <c r="E1038" s="19" t="s">
        <v>220</v>
      </c>
      <c r="F1038" s="19">
        <v>0.45989999999999998</v>
      </c>
      <c r="G1038" s="19" t="s">
        <v>2663</v>
      </c>
      <c r="H1038" s="19" t="s">
        <v>3325</v>
      </c>
    </row>
    <row r="1039" spans="1:8" x14ac:dyDescent="0.35">
      <c r="A1039" s="19" t="s">
        <v>3633</v>
      </c>
      <c r="B1039" s="20" t="s">
        <v>3632</v>
      </c>
      <c r="C1039" s="20" t="s">
        <v>3631</v>
      </c>
      <c r="D1039" s="19" t="s">
        <v>174</v>
      </c>
      <c r="E1039" s="19" t="s">
        <v>330</v>
      </c>
      <c r="F1039" s="19">
        <v>0.41489999999999999</v>
      </c>
      <c r="G1039" s="19" t="s">
        <v>2562</v>
      </c>
      <c r="H1039" s="19" t="s">
        <v>2315</v>
      </c>
    </row>
    <row r="1040" spans="1:8" ht="42" x14ac:dyDescent="0.35">
      <c r="A1040" s="19" t="s">
        <v>2174</v>
      </c>
      <c r="B1040" s="20" t="s">
        <v>2172</v>
      </c>
      <c r="C1040" s="20" t="s">
        <v>2171</v>
      </c>
      <c r="D1040" s="19" t="s">
        <v>174</v>
      </c>
      <c r="E1040" s="19" t="s">
        <v>221</v>
      </c>
      <c r="F1040" s="19">
        <v>0.21310000000000001</v>
      </c>
      <c r="G1040" s="19"/>
      <c r="H1040" s="19"/>
    </row>
    <row r="1041" spans="1:8" x14ac:dyDescent="0.35">
      <c r="A1041" s="19" t="s">
        <v>1214</v>
      </c>
      <c r="B1041" s="20" t="s">
        <v>1213</v>
      </c>
      <c r="C1041" s="20" t="s">
        <v>1213</v>
      </c>
      <c r="D1041" s="19" t="s">
        <v>115</v>
      </c>
      <c r="E1041" s="19" t="s">
        <v>130</v>
      </c>
      <c r="F1041" s="19">
        <v>0.6</v>
      </c>
      <c r="G1041" s="19"/>
      <c r="H1041" s="19"/>
    </row>
    <row r="1042" spans="1:8" ht="28" x14ac:dyDescent="0.35">
      <c r="A1042" s="19" t="s">
        <v>2387</v>
      </c>
      <c r="B1042" s="20" t="s">
        <v>2384</v>
      </c>
      <c r="C1042" s="20" t="s">
        <v>2383</v>
      </c>
      <c r="D1042" s="19" t="s">
        <v>174</v>
      </c>
      <c r="E1042" s="19" t="s">
        <v>2385</v>
      </c>
      <c r="F1042" s="19">
        <v>0.39029999999999998</v>
      </c>
      <c r="G1042" s="19" t="s">
        <v>175</v>
      </c>
      <c r="H1042" s="19" t="s">
        <v>2386</v>
      </c>
    </row>
    <row r="1043" spans="1:8" x14ac:dyDescent="0.35">
      <c r="A1043" s="19" t="s">
        <v>4868</v>
      </c>
      <c r="B1043" s="20" t="s">
        <v>4640</v>
      </c>
      <c r="C1043" s="20" t="s">
        <v>1650</v>
      </c>
      <c r="D1043" s="19" t="s">
        <v>174</v>
      </c>
      <c r="E1043" s="19" t="s">
        <v>1652</v>
      </c>
      <c r="F1043" s="19">
        <v>0.37809999999999999</v>
      </c>
      <c r="G1043" s="19" t="s">
        <v>1672</v>
      </c>
      <c r="H1043" s="19" t="s">
        <v>2532</v>
      </c>
    </row>
    <row r="1044" spans="1:8" x14ac:dyDescent="0.35">
      <c r="A1044" s="19" t="s">
        <v>4869</v>
      </c>
      <c r="B1044" s="20" t="s">
        <v>4870</v>
      </c>
      <c r="C1044" s="20" t="s">
        <v>26</v>
      </c>
      <c r="D1044" s="19" t="s">
        <v>21</v>
      </c>
      <c r="E1044" s="19" t="s">
        <v>26</v>
      </c>
      <c r="F1044" s="19">
        <v>0.8</v>
      </c>
      <c r="G1044" s="19" t="s">
        <v>28</v>
      </c>
      <c r="H1044" s="19"/>
    </row>
    <row r="1045" spans="1:8" x14ac:dyDescent="0.35">
      <c r="A1045" s="19" t="s">
        <v>4871</v>
      </c>
      <c r="B1045" s="20" t="s">
        <v>1650</v>
      </c>
      <c r="C1045" s="20" t="s">
        <v>1650</v>
      </c>
      <c r="D1045" s="19" t="s">
        <v>174</v>
      </c>
      <c r="E1045" s="19" t="s">
        <v>1652</v>
      </c>
      <c r="F1045" s="19">
        <v>0.37809999999999999</v>
      </c>
      <c r="G1045" s="19" t="s">
        <v>1672</v>
      </c>
      <c r="H1045" s="19" t="s">
        <v>2532</v>
      </c>
    </row>
    <row r="1046" spans="1:8" x14ac:dyDescent="0.35">
      <c r="A1046" s="19" t="s">
        <v>4872</v>
      </c>
      <c r="B1046" s="20" t="s">
        <v>3376</v>
      </c>
      <c r="C1046" s="20" t="s">
        <v>3376</v>
      </c>
      <c r="D1046" s="19" t="s">
        <v>174</v>
      </c>
      <c r="E1046" s="19" t="s">
        <v>3377</v>
      </c>
      <c r="F1046" s="19">
        <v>0.4516</v>
      </c>
      <c r="G1046" s="19" t="s">
        <v>3378</v>
      </c>
      <c r="H1046" s="19" t="s">
        <v>3379</v>
      </c>
    </row>
    <row r="1047" spans="1:8" x14ac:dyDescent="0.35">
      <c r="A1047" s="19" t="s">
        <v>3659</v>
      </c>
      <c r="B1047" s="20" t="s">
        <v>3658</v>
      </c>
      <c r="C1047" s="20" t="s">
        <v>3657</v>
      </c>
      <c r="D1047" s="19" t="s">
        <v>174</v>
      </c>
      <c r="E1047" s="19" t="s">
        <v>221</v>
      </c>
      <c r="F1047" s="19">
        <v>0.41070000000000001</v>
      </c>
      <c r="G1047" s="19" t="s">
        <v>3094</v>
      </c>
      <c r="H1047" s="19" t="s">
        <v>220</v>
      </c>
    </row>
    <row r="1048" spans="1:8" x14ac:dyDescent="0.35">
      <c r="A1048" s="19" t="s">
        <v>4873</v>
      </c>
      <c r="B1048" s="20" t="s">
        <v>4874</v>
      </c>
      <c r="C1048" s="20" t="s">
        <v>910</v>
      </c>
      <c r="D1048" s="19" t="s">
        <v>4</v>
      </c>
      <c r="E1048" s="19" t="s">
        <v>876</v>
      </c>
      <c r="F1048" s="19">
        <v>0.8</v>
      </c>
      <c r="G1048" s="19"/>
      <c r="H1048" s="19"/>
    </row>
    <row r="1049" spans="1:8" x14ac:dyDescent="0.35">
      <c r="A1049" s="19" t="s">
        <v>4875</v>
      </c>
      <c r="B1049" s="20" t="s">
        <v>4876</v>
      </c>
      <c r="C1049" s="20" t="s">
        <v>910</v>
      </c>
      <c r="D1049" s="19" t="s">
        <v>4</v>
      </c>
      <c r="E1049" s="19" t="s">
        <v>876</v>
      </c>
      <c r="F1049" s="19">
        <v>0.8</v>
      </c>
      <c r="G1049" s="19"/>
      <c r="H1049" s="19"/>
    </row>
    <row r="1050" spans="1:8" x14ac:dyDescent="0.35">
      <c r="A1050" s="19" t="s">
        <v>4877</v>
      </c>
      <c r="B1050" s="20" t="s">
        <v>3631</v>
      </c>
      <c r="C1050" s="20" t="s">
        <v>3631</v>
      </c>
      <c r="D1050" s="19" t="s">
        <v>174</v>
      </c>
      <c r="E1050" s="19" t="s">
        <v>330</v>
      </c>
      <c r="F1050" s="19">
        <v>0.41489999999999999</v>
      </c>
      <c r="G1050" s="19" t="s">
        <v>2562</v>
      </c>
      <c r="H1050" s="19" t="s">
        <v>2315</v>
      </c>
    </row>
    <row r="1051" spans="1:8" x14ac:dyDescent="0.35">
      <c r="A1051" s="19" t="s">
        <v>4878</v>
      </c>
      <c r="B1051" s="20" t="s">
        <v>1873</v>
      </c>
      <c r="C1051" s="20" t="s">
        <v>1872</v>
      </c>
      <c r="D1051" s="19" t="s">
        <v>174</v>
      </c>
      <c r="E1051" s="19" t="s">
        <v>1874</v>
      </c>
      <c r="F1051" s="19">
        <v>0.24030000000000001</v>
      </c>
      <c r="G1051" s="19" t="s">
        <v>1875</v>
      </c>
      <c r="H1051" s="19"/>
    </row>
    <row r="1052" spans="1:8" x14ac:dyDescent="0.35">
      <c r="A1052" s="19" t="s">
        <v>4879</v>
      </c>
      <c r="B1052" s="20"/>
      <c r="C1052" s="20"/>
      <c r="D1052" s="19"/>
      <c r="E1052" s="19"/>
      <c r="F1052" s="19"/>
      <c r="G1052" s="19"/>
      <c r="H1052" s="19"/>
    </row>
    <row r="1053" spans="1:8" x14ac:dyDescent="0.35">
      <c r="A1053" s="19" t="s">
        <v>4880</v>
      </c>
      <c r="B1053" s="20"/>
      <c r="C1053" s="20"/>
      <c r="D1053" s="19"/>
      <c r="E1053" s="19"/>
      <c r="F1053" s="19"/>
      <c r="G1053" s="19"/>
      <c r="H1053" s="19"/>
    </row>
    <row r="1054" spans="1:8" x14ac:dyDescent="0.35">
      <c r="A1054" s="19" t="s">
        <v>1136</v>
      </c>
      <c r="B1054" s="20" t="s">
        <v>1134</v>
      </c>
      <c r="C1054" s="20" t="s">
        <v>1134</v>
      </c>
      <c r="D1054" s="19" t="s">
        <v>115</v>
      </c>
      <c r="E1054" s="19" t="s">
        <v>112</v>
      </c>
      <c r="F1054" s="19">
        <v>0.6</v>
      </c>
      <c r="G1054" s="19"/>
      <c r="H1054" s="19"/>
    </row>
    <row r="1055" spans="1:8" x14ac:dyDescent="0.35">
      <c r="A1055" s="19" t="s">
        <v>4881</v>
      </c>
      <c r="B1055" s="20" t="s">
        <v>4882</v>
      </c>
      <c r="C1055" s="20" t="s">
        <v>2906</v>
      </c>
      <c r="D1055" s="19" t="s">
        <v>174</v>
      </c>
      <c r="E1055" s="19" t="s">
        <v>2908</v>
      </c>
      <c r="F1055" s="19">
        <v>0.33360000000000001</v>
      </c>
      <c r="G1055" s="19" t="s">
        <v>2909</v>
      </c>
      <c r="H1055" s="19" t="s">
        <v>2910</v>
      </c>
    </row>
    <row r="1056" spans="1:8" ht="42" x14ac:dyDescent="0.35">
      <c r="A1056" s="19" t="s">
        <v>1870</v>
      </c>
      <c r="B1056" s="20" t="s">
        <v>1869</v>
      </c>
      <c r="C1056" s="20" t="s">
        <v>4883</v>
      </c>
      <c r="D1056" s="19" t="s">
        <v>174</v>
      </c>
      <c r="E1056" s="19" t="s">
        <v>1315</v>
      </c>
      <c r="F1056" s="19">
        <v>0.2762</v>
      </c>
      <c r="G1056" s="19" t="s">
        <v>1579</v>
      </c>
      <c r="H1056" s="19" t="s">
        <v>1516</v>
      </c>
    </row>
    <row r="1057" spans="1:8" x14ac:dyDescent="0.35">
      <c r="A1057" s="19" t="s">
        <v>4884</v>
      </c>
      <c r="B1057" s="20" t="s">
        <v>4885</v>
      </c>
      <c r="C1057" s="20" t="s">
        <v>1650</v>
      </c>
      <c r="D1057" s="19" t="s">
        <v>174</v>
      </c>
      <c r="E1057" s="19" t="s">
        <v>1652</v>
      </c>
      <c r="F1057" s="19">
        <v>0.37809999999999999</v>
      </c>
      <c r="G1057" s="19" t="s">
        <v>1672</v>
      </c>
      <c r="H1057" s="19" t="s">
        <v>2532</v>
      </c>
    </row>
    <row r="1058" spans="1:8" ht="84" x14ac:dyDescent="0.35">
      <c r="A1058" s="19" t="s">
        <v>944</v>
      </c>
      <c r="B1058" s="20" t="s">
        <v>941</v>
      </c>
      <c r="C1058" s="20" t="s">
        <v>940</v>
      </c>
      <c r="D1058" s="19" t="s">
        <v>4</v>
      </c>
      <c r="E1058" s="19" t="s">
        <v>943</v>
      </c>
      <c r="F1058" s="19">
        <v>0.8</v>
      </c>
      <c r="G1058" s="19"/>
      <c r="H1058" s="19"/>
    </row>
    <row r="1059" spans="1:8" x14ac:dyDescent="0.35">
      <c r="A1059" s="19" t="s">
        <v>4886</v>
      </c>
      <c r="B1059" s="20" t="s">
        <v>3329</v>
      </c>
      <c r="C1059" s="20" t="s">
        <v>3328</v>
      </c>
      <c r="D1059" s="19" t="s">
        <v>174</v>
      </c>
      <c r="E1059" s="19" t="s">
        <v>1445</v>
      </c>
      <c r="F1059" s="19">
        <v>0.45979999999999999</v>
      </c>
      <c r="G1059" s="19" t="s">
        <v>1900</v>
      </c>
      <c r="H1059" s="19" t="s">
        <v>1549</v>
      </c>
    </row>
    <row r="1060" spans="1:8" x14ac:dyDescent="0.35">
      <c r="A1060" s="19" t="s">
        <v>4887</v>
      </c>
      <c r="B1060" s="20" t="s">
        <v>2811</v>
      </c>
      <c r="C1060" s="20" t="s">
        <v>2810</v>
      </c>
      <c r="D1060" s="19" t="s">
        <v>174</v>
      </c>
      <c r="E1060" s="19" t="s">
        <v>2812</v>
      </c>
      <c r="F1060" s="19">
        <v>0.34239999999999998</v>
      </c>
      <c r="G1060" s="19" t="s">
        <v>2813</v>
      </c>
      <c r="H1060" s="19" t="s">
        <v>2814</v>
      </c>
    </row>
    <row r="1061" spans="1:8" ht="28" x14ac:dyDescent="0.35">
      <c r="A1061" s="19" t="s">
        <v>3095</v>
      </c>
      <c r="B1061" s="20" t="s">
        <v>3092</v>
      </c>
      <c r="C1061" s="20" t="s">
        <v>3091</v>
      </c>
      <c r="D1061" s="19" t="s">
        <v>174</v>
      </c>
      <c r="E1061" s="19" t="s">
        <v>221</v>
      </c>
      <c r="F1061" s="19">
        <v>0.31109999999999999</v>
      </c>
      <c r="G1061" s="19" t="s">
        <v>220</v>
      </c>
      <c r="H1061" s="19" t="s">
        <v>3094</v>
      </c>
    </row>
    <row r="1062" spans="1:8" ht="42" x14ac:dyDescent="0.35">
      <c r="A1062" s="19" t="s">
        <v>3060</v>
      </c>
      <c r="B1062" s="20" t="s">
        <v>3059</v>
      </c>
      <c r="C1062" s="20" t="s">
        <v>3058</v>
      </c>
      <c r="D1062" s="19" t="s">
        <v>174</v>
      </c>
      <c r="E1062" s="19" t="s">
        <v>221</v>
      </c>
      <c r="F1062" s="19">
        <v>0.3155</v>
      </c>
      <c r="G1062" s="19" t="s">
        <v>220</v>
      </c>
      <c r="H1062" s="19" t="s">
        <v>2488</v>
      </c>
    </row>
    <row r="1063" spans="1:8" x14ac:dyDescent="0.35">
      <c r="A1063" s="19" t="s">
        <v>4888</v>
      </c>
      <c r="B1063" s="20"/>
      <c r="C1063" s="20"/>
      <c r="D1063" s="19"/>
      <c r="E1063" s="19"/>
      <c r="F1063" s="19"/>
      <c r="G1063" s="19"/>
      <c r="H1063" s="19"/>
    </row>
    <row r="1064" spans="1:8" x14ac:dyDescent="0.35">
      <c r="A1064" s="19" t="s">
        <v>4889</v>
      </c>
      <c r="B1064" s="20" t="s">
        <v>4890</v>
      </c>
      <c r="C1064" s="20"/>
      <c r="D1064" s="19"/>
      <c r="E1064" s="19"/>
      <c r="F1064" s="19"/>
      <c r="G1064" s="19"/>
      <c r="H1064" s="19"/>
    </row>
    <row r="1065" spans="1:8" x14ac:dyDescent="0.35">
      <c r="A1065" s="19" t="s">
        <v>42</v>
      </c>
      <c r="B1065" s="20" t="s">
        <v>40</v>
      </c>
      <c r="C1065" s="20" t="s">
        <v>40</v>
      </c>
      <c r="D1065" s="19" t="s">
        <v>21</v>
      </c>
      <c r="E1065" s="19" t="s">
        <v>41</v>
      </c>
      <c r="F1065" s="19">
        <v>1</v>
      </c>
      <c r="G1065" s="19"/>
      <c r="H1065" s="19"/>
    </row>
    <row r="1066" spans="1:8" x14ac:dyDescent="0.35">
      <c r="A1066" s="19" t="s">
        <v>4891</v>
      </c>
      <c r="B1066" s="20"/>
      <c r="C1066" s="20"/>
      <c r="D1066" s="19"/>
      <c r="E1066" s="19"/>
      <c r="F1066" s="19"/>
      <c r="G1066" s="19"/>
      <c r="H1066" s="19"/>
    </row>
    <row r="1067" spans="1:8" ht="28" x14ac:dyDescent="0.35">
      <c r="A1067" s="19" t="s">
        <v>4892</v>
      </c>
      <c r="B1067" s="20" t="s">
        <v>4893</v>
      </c>
      <c r="C1067" s="20" t="s">
        <v>4894</v>
      </c>
      <c r="D1067" s="19" t="s">
        <v>4</v>
      </c>
      <c r="E1067" s="19" t="s">
        <v>876</v>
      </c>
      <c r="F1067" s="19">
        <v>0.8</v>
      </c>
      <c r="G1067" s="19" t="s">
        <v>354</v>
      </c>
      <c r="H1067" s="19" t="s">
        <v>355</v>
      </c>
    </row>
    <row r="1068" spans="1:8" x14ac:dyDescent="0.35">
      <c r="A1068" s="19" t="s">
        <v>4895</v>
      </c>
      <c r="B1068" s="20" t="s">
        <v>271</v>
      </c>
      <c r="C1068" s="20" t="s">
        <v>270</v>
      </c>
      <c r="D1068" s="19" t="s">
        <v>174</v>
      </c>
      <c r="E1068" s="19" t="s">
        <v>272</v>
      </c>
      <c r="F1068" s="19">
        <v>0.35449999999999998</v>
      </c>
      <c r="G1068" s="19" t="s">
        <v>273</v>
      </c>
      <c r="H1068" s="19" t="s">
        <v>274</v>
      </c>
    </row>
    <row r="1069" spans="1:8" ht="28" x14ac:dyDescent="0.35">
      <c r="A1069" s="19" t="s">
        <v>3334</v>
      </c>
      <c r="B1069" s="20" t="s">
        <v>3332</v>
      </c>
      <c r="C1069" s="20" t="s">
        <v>3332</v>
      </c>
      <c r="D1069" s="19" t="s">
        <v>174</v>
      </c>
      <c r="E1069" s="19" t="s">
        <v>1438</v>
      </c>
      <c r="F1069" s="19">
        <v>0.45950000000000002</v>
      </c>
      <c r="G1069" s="19" t="s">
        <v>2865</v>
      </c>
      <c r="H1069" s="19" t="s">
        <v>3333</v>
      </c>
    </row>
    <row r="1070" spans="1:8" x14ac:dyDescent="0.35">
      <c r="A1070" s="19" t="s">
        <v>3213</v>
      </c>
      <c r="B1070" s="20" t="s">
        <v>3210</v>
      </c>
      <c r="C1070" s="20" t="s">
        <v>3210</v>
      </c>
      <c r="D1070" s="19" t="s">
        <v>174</v>
      </c>
      <c r="E1070" s="19" t="s">
        <v>590</v>
      </c>
      <c r="F1070" s="19">
        <v>0.47720000000000001</v>
      </c>
      <c r="G1070" s="19" t="s">
        <v>3211</v>
      </c>
      <c r="H1070" s="19" t="s">
        <v>3212</v>
      </c>
    </row>
    <row r="1071" spans="1:8" x14ac:dyDescent="0.35">
      <c r="A1071" s="19" t="s">
        <v>2506</v>
      </c>
      <c r="B1071" s="20" t="s">
        <v>2504</v>
      </c>
      <c r="C1071" s="20" t="s">
        <v>2504</v>
      </c>
      <c r="D1071" s="19" t="s">
        <v>174</v>
      </c>
      <c r="E1071" s="19" t="s">
        <v>255</v>
      </c>
      <c r="F1071" s="19">
        <v>0.3821</v>
      </c>
      <c r="G1071" s="19" t="s">
        <v>2505</v>
      </c>
      <c r="H1071" s="19" t="s">
        <v>1269</v>
      </c>
    </row>
    <row r="1072" spans="1:8" ht="56" x14ac:dyDescent="0.35">
      <c r="A1072" s="19" t="s">
        <v>1440</v>
      </c>
      <c r="B1072" s="20" t="s">
        <v>1436</v>
      </c>
      <c r="C1072" s="20" t="s">
        <v>1435</v>
      </c>
      <c r="D1072" s="19" t="s">
        <v>174</v>
      </c>
      <c r="E1072" s="19" t="s">
        <v>1438</v>
      </c>
      <c r="F1072" s="19">
        <v>0.2828</v>
      </c>
      <c r="G1072" s="19" t="s">
        <v>221</v>
      </c>
      <c r="H1072" s="19" t="s">
        <v>1439</v>
      </c>
    </row>
    <row r="1073" spans="1:8" ht="42" x14ac:dyDescent="0.35">
      <c r="A1073" s="19" t="s">
        <v>3141</v>
      </c>
      <c r="B1073" s="20" t="s">
        <v>3140</v>
      </c>
      <c r="C1073" s="20" t="s">
        <v>3139</v>
      </c>
      <c r="D1073" s="19" t="s">
        <v>174</v>
      </c>
      <c r="E1073" s="19" t="s">
        <v>221</v>
      </c>
      <c r="F1073" s="19">
        <v>0.30680000000000002</v>
      </c>
      <c r="G1073" s="19" t="s">
        <v>1579</v>
      </c>
      <c r="H1073" s="19"/>
    </row>
    <row r="1074" spans="1:8" ht="42" x14ac:dyDescent="0.35">
      <c r="A1074" s="19" t="s">
        <v>4246</v>
      </c>
      <c r="B1074" s="20" t="s">
        <v>4245</v>
      </c>
      <c r="C1074" s="20" t="s">
        <v>4244</v>
      </c>
      <c r="D1074" s="19"/>
      <c r="E1074" s="19"/>
      <c r="F1074" s="19"/>
      <c r="G1074" s="19"/>
      <c r="H1074" s="19"/>
    </row>
    <row r="1075" spans="1:8" ht="28" x14ac:dyDescent="0.35">
      <c r="A1075" s="19" t="s">
        <v>3014</v>
      </c>
      <c r="B1075" s="20" t="s">
        <v>3012</v>
      </c>
      <c r="C1075" s="20" t="s">
        <v>3011</v>
      </c>
      <c r="D1075" s="19" t="s">
        <v>174</v>
      </c>
      <c r="E1075" s="19" t="s">
        <v>249</v>
      </c>
      <c r="F1075" s="19">
        <v>0.31990000000000002</v>
      </c>
      <c r="G1075" s="19" t="s">
        <v>3013</v>
      </c>
      <c r="H1075" s="19" t="s">
        <v>2748</v>
      </c>
    </row>
    <row r="1076" spans="1:8" x14ac:dyDescent="0.35">
      <c r="A1076" s="19" t="s">
        <v>4896</v>
      </c>
      <c r="B1076" s="20"/>
      <c r="C1076" s="20"/>
      <c r="D1076" s="19"/>
      <c r="E1076" s="19"/>
      <c r="F1076" s="19"/>
      <c r="G1076" s="19"/>
      <c r="H1076" s="19"/>
    </row>
    <row r="1077" spans="1:8" x14ac:dyDescent="0.35">
      <c r="A1077" s="19" t="s">
        <v>4897</v>
      </c>
      <c r="B1077" s="20" t="s">
        <v>3329</v>
      </c>
      <c r="C1077" s="20" t="s">
        <v>3328</v>
      </c>
      <c r="D1077" s="19" t="s">
        <v>174</v>
      </c>
      <c r="E1077" s="19" t="s">
        <v>1445</v>
      </c>
      <c r="F1077" s="19">
        <v>0.45979999999999999</v>
      </c>
      <c r="G1077" s="19" t="s">
        <v>1900</v>
      </c>
      <c r="H1077" s="19" t="s">
        <v>1549</v>
      </c>
    </row>
    <row r="1078" spans="1:8" x14ac:dyDescent="0.35">
      <c r="A1078" s="19" t="s">
        <v>4898</v>
      </c>
      <c r="B1078" s="20" t="s">
        <v>4899</v>
      </c>
      <c r="C1078" s="20" t="s">
        <v>1475</v>
      </c>
      <c r="D1078" s="19" t="s">
        <v>174</v>
      </c>
      <c r="E1078" s="19" t="s">
        <v>1476</v>
      </c>
      <c r="F1078" s="19">
        <v>0.33779999999999999</v>
      </c>
      <c r="G1078" s="19" t="s">
        <v>2865</v>
      </c>
      <c r="H1078" s="19" t="s">
        <v>1477</v>
      </c>
    </row>
    <row r="1079" spans="1:8" ht="28" x14ac:dyDescent="0.35">
      <c r="A1079" s="19" t="s">
        <v>2548</v>
      </c>
      <c r="B1079" s="20" t="s">
        <v>2547</v>
      </c>
      <c r="C1079" s="20" t="s">
        <v>2546</v>
      </c>
      <c r="D1079" s="19" t="s">
        <v>174</v>
      </c>
      <c r="E1079" s="19" t="s">
        <v>330</v>
      </c>
      <c r="F1079" s="19">
        <v>0.37709999999999999</v>
      </c>
      <c r="G1079" s="19"/>
      <c r="H1079" s="19"/>
    </row>
    <row r="1080" spans="1:8" x14ac:dyDescent="0.35">
      <c r="A1080" s="19" t="s">
        <v>4900</v>
      </c>
      <c r="B1080" s="20"/>
      <c r="C1080" s="20"/>
      <c r="D1080" s="19"/>
      <c r="E1080" s="19"/>
      <c r="F1080" s="19"/>
      <c r="G1080" s="19"/>
      <c r="H1080" s="19"/>
    </row>
    <row r="1081" spans="1:8" x14ac:dyDescent="0.35">
      <c r="A1081" s="19" t="s">
        <v>4901</v>
      </c>
      <c r="B1081" s="20"/>
      <c r="C1081" s="20"/>
      <c r="D1081" s="19"/>
      <c r="E1081" s="19"/>
      <c r="F1081" s="19"/>
      <c r="G1081" s="19"/>
      <c r="H1081" s="19"/>
    </row>
    <row r="1082" spans="1:8" x14ac:dyDescent="0.35">
      <c r="A1082" s="19" t="s">
        <v>4902</v>
      </c>
      <c r="B1082" s="20" t="s">
        <v>2140</v>
      </c>
      <c r="C1082" s="20" t="s">
        <v>2140</v>
      </c>
      <c r="D1082" s="19" t="s">
        <v>174</v>
      </c>
      <c r="E1082" s="19" t="s">
        <v>95</v>
      </c>
      <c r="F1082" s="19">
        <v>0.216</v>
      </c>
      <c r="G1082" s="19"/>
      <c r="H1082" s="19"/>
    </row>
    <row r="1083" spans="1:8" ht="28" x14ac:dyDescent="0.35">
      <c r="A1083" s="19" t="s">
        <v>2047</v>
      </c>
      <c r="B1083" s="20" t="s">
        <v>2044</v>
      </c>
      <c r="C1083" s="20" t="s">
        <v>2044</v>
      </c>
      <c r="D1083" s="19" t="s">
        <v>174</v>
      </c>
      <c r="E1083" s="19" t="s">
        <v>2046</v>
      </c>
      <c r="F1083" s="19">
        <v>0.22359999999999999</v>
      </c>
      <c r="G1083" s="19"/>
      <c r="H1083" s="19"/>
    </row>
    <row r="1084" spans="1:8" x14ac:dyDescent="0.35">
      <c r="A1084" s="19" t="s">
        <v>182</v>
      </c>
      <c r="B1084" s="20" t="s">
        <v>179</v>
      </c>
      <c r="C1084" s="20" t="s">
        <v>179</v>
      </c>
      <c r="D1084" s="19" t="s">
        <v>174</v>
      </c>
      <c r="E1084" s="19" t="s">
        <v>181</v>
      </c>
      <c r="F1084" s="19">
        <v>0.28820000000000001</v>
      </c>
      <c r="G1084" s="19"/>
      <c r="H1084" s="19"/>
    </row>
    <row r="1085" spans="1:8" x14ac:dyDescent="0.35">
      <c r="A1085" s="19" t="s">
        <v>2854</v>
      </c>
      <c r="B1085" s="20" t="s">
        <v>2849</v>
      </c>
      <c r="C1085" s="20" t="s">
        <v>2848</v>
      </c>
      <c r="D1085" s="19" t="s">
        <v>174</v>
      </c>
      <c r="E1085" s="19" t="s">
        <v>2851</v>
      </c>
      <c r="F1085" s="19">
        <v>0.33900000000000002</v>
      </c>
      <c r="G1085" s="19" t="s">
        <v>2852</v>
      </c>
      <c r="H1085" s="19" t="s">
        <v>2853</v>
      </c>
    </row>
    <row r="1086" spans="1:8" ht="140" x14ac:dyDescent="0.35">
      <c r="A1086" s="19" t="s">
        <v>4156</v>
      </c>
      <c r="B1086" s="20" t="s">
        <v>4155</v>
      </c>
      <c r="C1086" s="20" t="s">
        <v>4154</v>
      </c>
      <c r="D1086" s="19"/>
      <c r="E1086" s="19"/>
      <c r="F1086" s="19"/>
      <c r="G1086" s="19"/>
      <c r="H1086" s="19"/>
    </row>
    <row r="1087" spans="1:8" x14ac:dyDescent="0.35">
      <c r="A1087" s="19" t="s">
        <v>2766</v>
      </c>
      <c r="B1087" s="20" t="s">
        <v>2763</v>
      </c>
      <c r="C1087" s="20" t="s">
        <v>2763</v>
      </c>
      <c r="D1087" s="19" t="s">
        <v>174</v>
      </c>
      <c r="E1087" s="19" t="s">
        <v>2368</v>
      </c>
      <c r="F1087" s="19">
        <v>0.34910000000000002</v>
      </c>
      <c r="G1087" s="19" t="s">
        <v>2765</v>
      </c>
      <c r="H1087" s="19" t="s">
        <v>1081</v>
      </c>
    </row>
    <row r="1088" spans="1:8" ht="70" x14ac:dyDescent="0.35">
      <c r="A1088" s="19" t="s">
        <v>1647</v>
      </c>
      <c r="B1088" s="20" t="s">
        <v>1645</v>
      </c>
      <c r="C1088" s="20" t="s">
        <v>1644</v>
      </c>
      <c r="D1088" s="19" t="s">
        <v>174</v>
      </c>
      <c r="E1088" s="19" t="s">
        <v>1646</v>
      </c>
      <c r="F1088" s="19">
        <v>0.2671</v>
      </c>
      <c r="G1088" s="19" t="s">
        <v>1445</v>
      </c>
      <c r="H1088" s="19"/>
    </row>
    <row r="1089" spans="1:8" ht="28" x14ac:dyDescent="0.35">
      <c r="A1089" s="19" t="s">
        <v>1118</v>
      </c>
      <c r="B1089" s="20" t="s">
        <v>1115</v>
      </c>
      <c r="C1089" s="20" t="s">
        <v>1114</v>
      </c>
      <c r="D1089" s="19" t="s">
        <v>115</v>
      </c>
      <c r="E1089" s="19" t="s">
        <v>1117</v>
      </c>
      <c r="F1089" s="19">
        <v>0.6</v>
      </c>
      <c r="G1089" s="19"/>
      <c r="H1089" s="19"/>
    </row>
    <row r="1090" spans="1:8" x14ac:dyDescent="0.35">
      <c r="A1090" s="19" t="s">
        <v>4903</v>
      </c>
      <c r="B1090" s="20"/>
      <c r="C1090" s="20"/>
      <c r="D1090" s="19"/>
      <c r="E1090" s="19"/>
      <c r="F1090" s="19"/>
      <c r="G1090" s="19"/>
      <c r="H1090" s="19"/>
    </row>
    <row r="1091" spans="1:8" x14ac:dyDescent="0.35">
      <c r="A1091" s="19" t="s">
        <v>4904</v>
      </c>
      <c r="B1091" s="20"/>
      <c r="C1091" s="20"/>
      <c r="D1091" s="19"/>
      <c r="E1091" s="19"/>
      <c r="F1091" s="19"/>
      <c r="G1091" s="19"/>
      <c r="H1091" s="19"/>
    </row>
    <row r="1092" spans="1:8" ht="28" x14ac:dyDescent="0.35">
      <c r="A1092" s="19" t="s">
        <v>3243</v>
      </c>
      <c r="B1092" s="20" t="s">
        <v>3242</v>
      </c>
      <c r="C1092" s="20" t="s">
        <v>4905</v>
      </c>
      <c r="D1092" s="19" t="s">
        <v>174</v>
      </c>
      <c r="E1092" s="19" t="s">
        <v>2057</v>
      </c>
      <c r="F1092" s="19">
        <v>0.47189999999999999</v>
      </c>
      <c r="G1092" s="19" t="s">
        <v>3368</v>
      </c>
      <c r="H1092" s="19" t="s">
        <v>3639</v>
      </c>
    </row>
    <row r="1093" spans="1:8" x14ac:dyDescent="0.35">
      <c r="A1093" s="19" t="s">
        <v>3009</v>
      </c>
      <c r="B1093" s="20" t="s">
        <v>3006</v>
      </c>
      <c r="C1093" s="20" t="s">
        <v>3005</v>
      </c>
      <c r="D1093" s="19" t="s">
        <v>174</v>
      </c>
      <c r="E1093" s="19" t="s">
        <v>3007</v>
      </c>
      <c r="F1093" s="19">
        <v>0.32079999999999997</v>
      </c>
      <c r="G1093" s="19" t="s">
        <v>3008</v>
      </c>
      <c r="H1093" s="19" t="s">
        <v>1784</v>
      </c>
    </row>
    <row r="1094" spans="1:8" x14ac:dyDescent="0.35">
      <c r="A1094" s="19" t="s">
        <v>4906</v>
      </c>
      <c r="B1094" s="20"/>
      <c r="C1094" s="20"/>
      <c r="D1094" s="19"/>
      <c r="E1094" s="19"/>
      <c r="F1094" s="19"/>
      <c r="G1094" s="19"/>
      <c r="H1094" s="19"/>
    </row>
    <row r="1095" spans="1:8" x14ac:dyDescent="0.35">
      <c r="A1095" s="19" t="s">
        <v>4907</v>
      </c>
      <c r="B1095" s="20" t="s">
        <v>4908</v>
      </c>
      <c r="C1095" s="20"/>
      <c r="D1095" s="19"/>
      <c r="E1095" s="19"/>
      <c r="F1095" s="19"/>
      <c r="G1095" s="19"/>
      <c r="H1095" s="19"/>
    </row>
    <row r="1096" spans="1:8" ht="28" x14ac:dyDescent="0.35">
      <c r="A1096" s="19" t="s">
        <v>1446</v>
      </c>
      <c r="B1096" s="20" t="s">
        <v>1443</v>
      </c>
      <c r="C1096" s="20" t="s">
        <v>1442</v>
      </c>
      <c r="D1096" s="19" t="s">
        <v>174</v>
      </c>
      <c r="E1096" s="19" t="s">
        <v>1310</v>
      </c>
      <c r="F1096" s="19">
        <v>0.28249999999999997</v>
      </c>
      <c r="G1096" s="19" t="s">
        <v>1445</v>
      </c>
      <c r="H1096" s="19"/>
    </row>
    <row r="1097" spans="1:8" ht="42" x14ac:dyDescent="0.35">
      <c r="A1097" s="19" t="s">
        <v>2027</v>
      </c>
      <c r="B1097" s="20" t="s">
        <v>2025</v>
      </c>
      <c r="C1097" s="20" t="s">
        <v>2024</v>
      </c>
      <c r="D1097" s="19" t="s">
        <v>174</v>
      </c>
      <c r="E1097" s="19" t="s">
        <v>1445</v>
      </c>
      <c r="F1097" s="19">
        <v>0.22520000000000001</v>
      </c>
      <c r="G1097" s="19"/>
      <c r="H1097" s="19"/>
    </row>
    <row r="1098" spans="1:8" ht="42" x14ac:dyDescent="0.35">
      <c r="A1098" s="19" t="s">
        <v>1785</v>
      </c>
      <c r="B1098" s="20" t="s">
        <v>1782</v>
      </c>
      <c r="C1098" s="20" t="s">
        <v>4909</v>
      </c>
      <c r="D1098" s="19" t="s">
        <v>174</v>
      </c>
      <c r="E1098" s="19" t="s">
        <v>1476</v>
      </c>
      <c r="F1098" s="19">
        <v>0.27950000000000003</v>
      </c>
      <c r="G1098" s="19" t="s">
        <v>1477</v>
      </c>
      <c r="H1098" s="19" t="s">
        <v>1478</v>
      </c>
    </row>
    <row r="1099" spans="1:8" ht="28" x14ac:dyDescent="0.35">
      <c r="A1099" s="19" t="s">
        <v>2510</v>
      </c>
      <c r="B1099" s="20" t="s">
        <v>2509</v>
      </c>
      <c r="C1099" s="20" t="s">
        <v>4910</v>
      </c>
      <c r="D1099" s="19" t="s">
        <v>174</v>
      </c>
      <c r="E1099" s="19" t="s">
        <v>3440</v>
      </c>
      <c r="F1099" s="19">
        <v>0.44319999999999998</v>
      </c>
      <c r="G1099" s="19" t="s">
        <v>1784</v>
      </c>
      <c r="H1099" s="19" t="s">
        <v>3441</v>
      </c>
    </row>
    <row r="1100" spans="1:8" ht="56" x14ac:dyDescent="0.35">
      <c r="A1100" s="19" t="s">
        <v>3982</v>
      </c>
      <c r="B1100" s="20" t="s">
        <v>3981</v>
      </c>
      <c r="C1100" s="20" t="s">
        <v>3981</v>
      </c>
      <c r="D1100" s="19"/>
      <c r="E1100" s="19"/>
      <c r="F1100" s="19"/>
      <c r="G1100" s="19"/>
      <c r="H1100" s="19"/>
    </row>
    <row r="1101" spans="1:8" ht="154" x14ac:dyDescent="0.35">
      <c r="A1101" s="19" t="s">
        <v>4219</v>
      </c>
      <c r="B1101" s="20" t="s">
        <v>4218</v>
      </c>
      <c r="C1101" s="20" t="s">
        <v>4217</v>
      </c>
      <c r="D1101" s="19"/>
      <c r="E1101" s="19"/>
      <c r="F1101" s="19"/>
      <c r="G1101" s="19"/>
      <c r="H1101" s="19"/>
    </row>
    <row r="1102" spans="1:8" x14ac:dyDescent="0.35">
      <c r="A1102" s="19" t="s">
        <v>4911</v>
      </c>
      <c r="B1102" s="20" t="s">
        <v>4912</v>
      </c>
      <c r="C1102" s="20" t="s">
        <v>436</v>
      </c>
      <c r="D1102" s="19" t="s">
        <v>21</v>
      </c>
      <c r="E1102" s="19" t="s">
        <v>436</v>
      </c>
      <c r="F1102" s="19">
        <v>1</v>
      </c>
      <c r="G1102" s="19"/>
      <c r="H1102" s="19"/>
    </row>
    <row r="1103" spans="1:8" x14ac:dyDescent="0.35">
      <c r="A1103" s="19" t="s">
        <v>4913</v>
      </c>
      <c r="B1103" s="20" t="s">
        <v>4914</v>
      </c>
      <c r="C1103" s="20" t="s">
        <v>4118</v>
      </c>
      <c r="D1103" s="19"/>
      <c r="E1103" s="19"/>
      <c r="F1103" s="19"/>
      <c r="G1103" s="19"/>
      <c r="H1103" s="19"/>
    </row>
    <row r="1104" spans="1:8" x14ac:dyDescent="0.35">
      <c r="A1104" s="19" t="s">
        <v>4915</v>
      </c>
      <c r="B1104" s="20" t="s">
        <v>4916</v>
      </c>
      <c r="C1104" s="20" t="s">
        <v>448</v>
      </c>
      <c r="D1104" s="19" t="s">
        <v>21</v>
      </c>
      <c r="E1104" s="19" t="s">
        <v>451</v>
      </c>
      <c r="F1104" s="19">
        <v>1</v>
      </c>
      <c r="G1104" s="19"/>
      <c r="H1104" s="19"/>
    </row>
    <row r="1105" spans="1:8" x14ac:dyDescent="0.35">
      <c r="A1105" s="19" t="s">
        <v>4917</v>
      </c>
      <c r="B1105" s="20"/>
      <c r="C1105" s="20"/>
      <c r="D1105" s="19"/>
      <c r="E1105" s="19"/>
      <c r="F1105" s="19"/>
      <c r="G1105" s="19"/>
      <c r="H1105" s="19"/>
    </row>
    <row r="1106" spans="1:8" x14ac:dyDescent="0.35">
      <c r="A1106" s="19" t="s">
        <v>4918</v>
      </c>
      <c r="B1106" s="20" t="s">
        <v>4919</v>
      </c>
      <c r="C1106" s="20"/>
      <c r="D1106" s="19"/>
      <c r="E1106" s="19"/>
      <c r="F1106" s="19"/>
      <c r="G1106" s="19"/>
      <c r="H1106" s="19"/>
    </row>
    <row r="1107" spans="1:8" ht="28" x14ac:dyDescent="0.35">
      <c r="A1107" s="19" t="s">
        <v>1077</v>
      </c>
      <c r="B1107" s="20" t="s">
        <v>1074</v>
      </c>
      <c r="C1107" s="20" t="s">
        <v>1074</v>
      </c>
      <c r="D1107" s="19" t="s">
        <v>4</v>
      </c>
      <c r="E1107" s="19" t="s">
        <v>1076</v>
      </c>
      <c r="F1107" s="19">
        <v>0.8</v>
      </c>
      <c r="G1107" s="19"/>
      <c r="H1107" s="19"/>
    </row>
    <row r="1108" spans="1:8" x14ac:dyDescent="0.35">
      <c r="A1108" s="19" t="s">
        <v>4920</v>
      </c>
      <c r="B1108" s="20"/>
      <c r="C1108" s="20"/>
      <c r="D1108" s="19"/>
      <c r="E1108" s="19"/>
      <c r="F1108" s="19"/>
      <c r="G1108" s="19"/>
      <c r="H1108" s="19"/>
    </row>
    <row r="1109" spans="1:8" ht="28" x14ac:dyDescent="0.35">
      <c r="A1109" s="19" t="s">
        <v>1158</v>
      </c>
      <c r="B1109" s="20" t="s">
        <v>1157</v>
      </c>
      <c r="C1109" s="20" t="s">
        <v>4921</v>
      </c>
      <c r="D1109" s="19" t="s">
        <v>115</v>
      </c>
      <c r="E1109" s="19" t="s">
        <v>1131</v>
      </c>
      <c r="F1109" s="19">
        <v>0.6</v>
      </c>
      <c r="G1109" s="19" t="s">
        <v>2945</v>
      </c>
      <c r="H1109" s="19" t="s">
        <v>3702</v>
      </c>
    </row>
    <row r="1110" spans="1:8" ht="28" x14ac:dyDescent="0.35">
      <c r="A1110" s="19" t="s">
        <v>3988</v>
      </c>
      <c r="B1110" s="20" t="s">
        <v>3987</v>
      </c>
      <c r="C1110" s="20" t="s">
        <v>3987</v>
      </c>
      <c r="D1110" s="19"/>
      <c r="E1110" s="19"/>
      <c r="F1110" s="19"/>
      <c r="G1110" s="19"/>
      <c r="H1110" s="19"/>
    </row>
    <row r="1111" spans="1:8" x14ac:dyDescent="0.35">
      <c r="A1111" s="19" t="s">
        <v>3560</v>
      </c>
      <c r="B1111" s="20" t="s">
        <v>3559</v>
      </c>
      <c r="C1111" s="20" t="s">
        <v>3558</v>
      </c>
      <c r="D1111" s="19" t="s">
        <v>174</v>
      </c>
      <c r="E1111" s="19" t="s">
        <v>1445</v>
      </c>
      <c r="F1111" s="19">
        <v>0.42499999999999999</v>
      </c>
      <c r="G1111" s="19" t="s">
        <v>1549</v>
      </c>
      <c r="H1111" s="19" t="s">
        <v>1900</v>
      </c>
    </row>
    <row r="1112" spans="1:8" x14ac:dyDescent="0.35">
      <c r="A1112" s="19" t="s">
        <v>4922</v>
      </c>
      <c r="B1112" s="20" t="s">
        <v>4449</v>
      </c>
      <c r="C1112" s="20"/>
      <c r="D1112" s="19"/>
      <c r="E1112" s="19"/>
      <c r="F1112" s="19"/>
      <c r="G1112" s="19"/>
      <c r="H1112" s="19"/>
    </row>
    <row r="1113" spans="1:8" x14ac:dyDescent="0.35">
      <c r="A1113" s="19" t="s">
        <v>3117</v>
      </c>
      <c r="B1113" s="20" t="s">
        <v>3114</v>
      </c>
      <c r="C1113" s="20" t="s">
        <v>3113</v>
      </c>
      <c r="D1113" s="19" t="s">
        <v>174</v>
      </c>
      <c r="E1113" s="19" t="s">
        <v>3115</v>
      </c>
      <c r="F1113" s="19">
        <v>0.30759999999999998</v>
      </c>
      <c r="G1113" s="19" t="s">
        <v>684</v>
      </c>
      <c r="H1113" s="19" t="s">
        <v>3116</v>
      </c>
    </row>
    <row r="1114" spans="1:8" x14ac:dyDescent="0.35">
      <c r="A1114" s="19" t="s">
        <v>4923</v>
      </c>
      <c r="B1114" s="20" t="s">
        <v>4924</v>
      </c>
      <c r="C1114" s="20" t="s">
        <v>4118</v>
      </c>
      <c r="D1114" s="19"/>
      <c r="E1114" s="19"/>
      <c r="F1114" s="19"/>
      <c r="G1114" s="19"/>
      <c r="H1114" s="19"/>
    </row>
    <row r="1115" spans="1:8" x14ac:dyDescent="0.35">
      <c r="A1115" s="19" t="s">
        <v>251</v>
      </c>
      <c r="B1115" s="20" t="s">
        <v>247</v>
      </c>
      <c r="C1115" s="20" t="s">
        <v>246</v>
      </c>
      <c r="D1115" s="19" t="s">
        <v>174</v>
      </c>
      <c r="E1115" s="19" t="s">
        <v>248</v>
      </c>
      <c r="F1115" s="19">
        <v>0.38369999999999999</v>
      </c>
      <c r="G1115" s="19" t="s">
        <v>249</v>
      </c>
      <c r="H1115" s="19" t="s">
        <v>250</v>
      </c>
    </row>
    <row r="1116" spans="1:8" ht="42" x14ac:dyDescent="0.35">
      <c r="A1116" s="19" t="s">
        <v>1936</v>
      </c>
      <c r="B1116" s="20" t="s">
        <v>1934</v>
      </c>
      <c r="C1116" s="20" t="s">
        <v>4925</v>
      </c>
      <c r="D1116" s="19" t="s">
        <v>174</v>
      </c>
      <c r="E1116" s="19" t="s">
        <v>2551</v>
      </c>
      <c r="F1116" s="19">
        <v>0.37430000000000002</v>
      </c>
      <c r="G1116" s="19" t="s">
        <v>2552</v>
      </c>
      <c r="H1116" s="19" t="s">
        <v>2553</v>
      </c>
    </row>
    <row r="1117" spans="1:8" x14ac:dyDescent="0.35">
      <c r="A1117" s="19" t="s">
        <v>1271</v>
      </c>
      <c r="B1117" s="20" t="s">
        <v>1266</v>
      </c>
      <c r="C1117" s="20" t="s">
        <v>1266</v>
      </c>
      <c r="D1117" s="19" t="s">
        <v>174</v>
      </c>
      <c r="E1117" s="19" t="s">
        <v>1268</v>
      </c>
      <c r="F1117" s="19">
        <v>0.29880000000000001</v>
      </c>
      <c r="G1117" s="19" t="s">
        <v>1269</v>
      </c>
      <c r="H1117" s="19" t="s">
        <v>1270</v>
      </c>
    </row>
    <row r="1118" spans="1:8" x14ac:dyDescent="0.35">
      <c r="A1118" s="19" t="s">
        <v>4926</v>
      </c>
      <c r="B1118" s="20" t="s">
        <v>424</v>
      </c>
      <c r="C1118" s="20" t="s">
        <v>424</v>
      </c>
      <c r="D1118" s="19" t="s">
        <v>21</v>
      </c>
      <c r="E1118" s="19" t="s">
        <v>424</v>
      </c>
      <c r="F1118" s="19">
        <v>0.8</v>
      </c>
      <c r="G1118" s="19" t="s">
        <v>426</v>
      </c>
      <c r="H1118" s="19"/>
    </row>
    <row r="1119" spans="1:8" ht="28" x14ac:dyDescent="0.35">
      <c r="A1119" s="19" t="s">
        <v>1597</v>
      </c>
      <c r="B1119" s="20" t="s">
        <v>1594</v>
      </c>
      <c r="C1119" s="20" t="s">
        <v>1593</v>
      </c>
      <c r="D1119" s="19" t="s">
        <v>174</v>
      </c>
      <c r="E1119" s="19" t="s">
        <v>1317</v>
      </c>
      <c r="F1119" s="19">
        <v>0.27129999999999999</v>
      </c>
      <c r="G1119" s="19" t="s">
        <v>1596</v>
      </c>
      <c r="H1119" s="19" t="s">
        <v>1589</v>
      </c>
    </row>
    <row r="1120" spans="1:8" x14ac:dyDescent="0.35">
      <c r="A1120" s="19" t="s">
        <v>4927</v>
      </c>
      <c r="B1120" s="20" t="s">
        <v>67</v>
      </c>
      <c r="C1120" s="20" t="s">
        <v>67</v>
      </c>
      <c r="D1120" s="19" t="s">
        <v>21</v>
      </c>
      <c r="E1120" s="19" t="s">
        <v>67</v>
      </c>
      <c r="F1120" s="19">
        <v>1</v>
      </c>
      <c r="G1120" s="19"/>
      <c r="H1120" s="19"/>
    </row>
    <row r="1121" spans="1:8" x14ac:dyDescent="0.35">
      <c r="A1121" s="19" t="s">
        <v>4928</v>
      </c>
      <c r="B1121" s="20"/>
      <c r="C1121" s="20"/>
      <c r="D1121" s="19"/>
      <c r="E1121" s="19"/>
      <c r="F1121" s="19"/>
      <c r="G1121" s="19"/>
      <c r="H1121" s="19"/>
    </row>
    <row r="1122" spans="1:8" x14ac:dyDescent="0.35">
      <c r="A1122" s="19" t="s">
        <v>4929</v>
      </c>
      <c r="B1122" s="20" t="s">
        <v>2588</v>
      </c>
      <c r="C1122" s="20" t="s">
        <v>2588</v>
      </c>
      <c r="D1122" s="19" t="s">
        <v>174</v>
      </c>
      <c r="E1122" s="19" t="s">
        <v>2403</v>
      </c>
      <c r="F1122" s="19">
        <v>0.36620000000000003</v>
      </c>
      <c r="G1122" s="19" t="s">
        <v>2590</v>
      </c>
      <c r="H1122" s="19" t="s">
        <v>1737</v>
      </c>
    </row>
    <row r="1123" spans="1:8" x14ac:dyDescent="0.35">
      <c r="A1123" s="19" t="s">
        <v>2946</v>
      </c>
      <c r="B1123" s="20" t="s">
        <v>2943</v>
      </c>
      <c r="C1123" s="20" t="s">
        <v>2942</v>
      </c>
      <c r="D1123" s="19" t="s">
        <v>174</v>
      </c>
      <c r="E1123" s="19" t="s">
        <v>1737</v>
      </c>
      <c r="F1123" s="19">
        <v>0.33110000000000001</v>
      </c>
      <c r="G1123" s="19" t="s">
        <v>2403</v>
      </c>
      <c r="H1123" s="19" t="s">
        <v>2945</v>
      </c>
    </row>
    <row r="1124" spans="1:8" x14ac:dyDescent="0.35">
      <c r="A1124" s="19" t="s">
        <v>3920</v>
      </c>
      <c r="B1124" s="20" t="s">
        <v>3919</v>
      </c>
      <c r="C1124" s="20" t="s">
        <v>3918</v>
      </c>
      <c r="D1124" s="19"/>
      <c r="E1124" s="19"/>
      <c r="F1124" s="19"/>
      <c r="G1124" s="19"/>
      <c r="H1124" s="19"/>
    </row>
    <row r="1125" spans="1:8" x14ac:dyDescent="0.35">
      <c r="A1125" s="19" t="s">
        <v>4930</v>
      </c>
      <c r="B1125" s="20" t="s">
        <v>67</v>
      </c>
      <c r="C1125" s="20" t="s">
        <v>67</v>
      </c>
      <c r="D1125" s="19" t="s">
        <v>21</v>
      </c>
      <c r="E1125" s="19" t="s">
        <v>67</v>
      </c>
      <c r="F1125" s="19">
        <v>1</v>
      </c>
      <c r="G1125" s="19"/>
      <c r="H1125" s="19"/>
    </row>
    <row r="1126" spans="1:8" x14ac:dyDescent="0.35">
      <c r="A1126" s="19" t="s">
        <v>593</v>
      </c>
      <c r="B1126" s="20" t="s">
        <v>590</v>
      </c>
      <c r="C1126" s="20" t="s">
        <v>590</v>
      </c>
      <c r="D1126" s="19" t="s">
        <v>21</v>
      </c>
      <c r="E1126" s="19" t="s">
        <v>590</v>
      </c>
      <c r="F1126" s="19">
        <v>1</v>
      </c>
      <c r="G1126" s="19"/>
      <c r="H1126" s="19"/>
    </row>
    <row r="1127" spans="1:8" x14ac:dyDescent="0.35">
      <c r="A1127" s="19" t="s">
        <v>3322</v>
      </c>
      <c r="B1127" s="20" t="s">
        <v>3320</v>
      </c>
      <c r="C1127" s="20" t="s">
        <v>3320</v>
      </c>
      <c r="D1127" s="19" t="s">
        <v>174</v>
      </c>
      <c r="E1127" s="19" t="s">
        <v>3045</v>
      </c>
      <c r="F1127" s="19">
        <v>0.46089999999999998</v>
      </c>
      <c r="G1127" s="19" t="s">
        <v>3321</v>
      </c>
      <c r="H1127" s="19" t="s">
        <v>175</v>
      </c>
    </row>
    <row r="1128" spans="1:8" x14ac:dyDescent="0.35">
      <c r="A1128" s="19" t="s">
        <v>1251</v>
      </c>
      <c r="B1128" s="20" t="s">
        <v>1247</v>
      </c>
      <c r="C1128" s="20" t="s">
        <v>1246</v>
      </c>
      <c r="D1128" s="19" t="s">
        <v>174</v>
      </c>
      <c r="E1128" s="19" t="s">
        <v>1248</v>
      </c>
      <c r="F1128" s="19">
        <v>0.29920000000000002</v>
      </c>
      <c r="G1128" s="19" t="s">
        <v>1249</v>
      </c>
      <c r="H1128" s="19" t="s">
        <v>1250</v>
      </c>
    </row>
    <row r="1129" spans="1:8" ht="28" x14ac:dyDescent="0.35">
      <c r="A1129" s="19" t="s">
        <v>4931</v>
      </c>
      <c r="B1129" s="20" t="s">
        <v>4932</v>
      </c>
      <c r="C1129" s="20" t="s">
        <v>2313</v>
      </c>
      <c r="D1129" s="19" t="s">
        <v>174</v>
      </c>
      <c r="E1129" s="19" t="s">
        <v>2315</v>
      </c>
      <c r="F1129" s="19">
        <v>0.39839999999999998</v>
      </c>
      <c r="G1129" s="19" t="s">
        <v>2316</v>
      </c>
      <c r="H1129" s="19" t="s">
        <v>2317</v>
      </c>
    </row>
    <row r="1130" spans="1:8" x14ac:dyDescent="0.35">
      <c r="A1130" s="19" t="s">
        <v>4933</v>
      </c>
      <c r="B1130" s="20" t="s">
        <v>4790</v>
      </c>
      <c r="C1130" s="20" t="s">
        <v>1804</v>
      </c>
      <c r="D1130" s="19" t="s">
        <v>174</v>
      </c>
      <c r="E1130" s="19" t="s">
        <v>3049</v>
      </c>
      <c r="F1130" s="19">
        <v>0.31569999999999998</v>
      </c>
      <c r="G1130" s="19" t="s">
        <v>3036</v>
      </c>
      <c r="H1130" s="19" t="s">
        <v>3050</v>
      </c>
    </row>
    <row r="1131" spans="1:8" x14ac:dyDescent="0.35">
      <c r="A1131" s="19" t="s">
        <v>4934</v>
      </c>
      <c r="B1131" s="20" t="s">
        <v>4795</v>
      </c>
      <c r="C1131" s="20" t="s">
        <v>1804</v>
      </c>
      <c r="D1131" s="19" t="s">
        <v>174</v>
      </c>
      <c r="E1131" s="19" t="s">
        <v>3049</v>
      </c>
      <c r="F1131" s="19">
        <v>0.31569999999999998</v>
      </c>
      <c r="G1131" s="19" t="s">
        <v>3036</v>
      </c>
      <c r="H1131" s="19" t="s">
        <v>3050</v>
      </c>
    </row>
    <row r="1132" spans="1:8" x14ac:dyDescent="0.35">
      <c r="A1132" s="19" t="s">
        <v>4935</v>
      </c>
      <c r="B1132" s="20" t="s">
        <v>424</v>
      </c>
      <c r="C1132" s="20" t="s">
        <v>424</v>
      </c>
      <c r="D1132" s="19" t="s">
        <v>21</v>
      </c>
      <c r="E1132" s="19" t="s">
        <v>424</v>
      </c>
      <c r="F1132" s="19">
        <v>0.8</v>
      </c>
      <c r="G1132" s="19" t="s">
        <v>426</v>
      </c>
      <c r="H1132" s="19"/>
    </row>
    <row r="1133" spans="1:8" ht="28" x14ac:dyDescent="0.35">
      <c r="A1133" s="19" t="s">
        <v>4936</v>
      </c>
      <c r="B1133" s="20" t="s">
        <v>4937</v>
      </c>
      <c r="C1133" s="20" t="s">
        <v>137</v>
      </c>
      <c r="D1133" s="19" t="s">
        <v>115</v>
      </c>
      <c r="E1133" s="19" t="s">
        <v>119</v>
      </c>
      <c r="F1133" s="19">
        <v>0.6</v>
      </c>
      <c r="G1133" s="19"/>
      <c r="H1133" s="19"/>
    </row>
    <row r="1134" spans="1:8" x14ac:dyDescent="0.35">
      <c r="A1134" s="19" t="s">
        <v>4938</v>
      </c>
      <c r="B1134" s="20" t="s">
        <v>424</v>
      </c>
      <c r="C1134" s="20" t="s">
        <v>424</v>
      </c>
      <c r="D1134" s="19" t="s">
        <v>21</v>
      </c>
      <c r="E1134" s="19" t="s">
        <v>424</v>
      </c>
      <c r="F1134" s="19">
        <v>0.8</v>
      </c>
      <c r="G1134" s="19" t="s">
        <v>426</v>
      </c>
      <c r="H1134" s="19"/>
    </row>
    <row r="1135" spans="1:8" x14ac:dyDescent="0.35">
      <c r="A1135" s="19" t="s">
        <v>4939</v>
      </c>
      <c r="B1135" s="20" t="s">
        <v>2684</v>
      </c>
      <c r="C1135" s="20" t="s">
        <v>2684</v>
      </c>
      <c r="D1135" s="19" t="s">
        <v>174</v>
      </c>
      <c r="E1135" s="19" t="s">
        <v>470</v>
      </c>
      <c r="F1135" s="19">
        <v>0.4803</v>
      </c>
      <c r="G1135" s="19" t="s">
        <v>3206</v>
      </c>
      <c r="H1135" s="19" t="s">
        <v>3207</v>
      </c>
    </row>
    <row r="1136" spans="1:8" ht="56" x14ac:dyDescent="0.35">
      <c r="A1136" s="19" t="s">
        <v>3828</v>
      </c>
      <c r="B1136" s="20" t="s">
        <v>3827</v>
      </c>
      <c r="C1136" s="20" t="s">
        <v>3826</v>
      </c>
      <c r="D1136" s="19"/>
      <c r="E1136" s="19"/>
      <c r="F1136" s="19"/>
      <c r="G1136" s="19"/>
      <c r="H1136" s="19"/>
    </row>
    <row r="1137" spans="1:8" ht="28" x14ac:dyDescent="0.35">
      <c r="A1137" s="19" t="s">
        <v>2444</v>
      </c>
      <c r="B1137" s="20" t="s">
        <v>2443</v>
      </c>
      <c r="C1137" s="20" t="s">
        <v>2442</v>
      </c>
      <c r="D1137" s="19" t="s">
        <v>174</v>
      </c>
      <c r="E1137" s="19" t="s">
        <v>1302</v>
      </c>
      <c r="F1137" s="19">
        <v>0.38700000000000001</v>
      </c>
      <c r="G1137" s="19" t="s">
        <v>1301</v>
      </c>
      <c r="H1137" s="19" t="s">
        <v>1303</v>
      </c>
    </row>
    <row r="1138" spans="1:8" ht="28" x14ac:dyDescent="0.35">
      <c r="A1138" s="19" t="s">
        <v>3041</v>
      </c>
      <c r="B1138" s="20" t="s">
        <v>3040</v>
      </c>
      <c r="C1138" s="20" t="s">
        <v>3039</v>
      </c>
      <c r="D1138" s="19" t="s">
        <v>174</v>
      </c>
      <c r="E1138" s="19" t="s">
        <v>1287</v>
      </c>
      <c r="F1138" s="19">
        <v>0.31619999999999998</v>
      </c>
      <c r="G1138" s="19" t="s">
        <v>1302</v>
      </c>
      <c r="H1138" s="19" t="s">
        <v>1303</v>
      </c>
    </row>
    <row r="1139" spans="1:8" ht="70" x14ac:dyDescent="0.35">
      <c r="A1139" s="19" t="s">
        <v>402</v>
      </c>
      <c r="B1139" s="20" t="s">
        <v>401</v>
      </c>
      <c r="C1139" s="20" t="s">
        <v>400</v>
      </c>
      <c r="D1139" s="19"/>
      <c r="E1139" s="19"/>
      <c r="F1139" s="19"/>
      <c r="G1139" s="19"/>
      <c r="H1139" s="19"/>
    </row>
    <row r="1140" spans="1:8" ht="42" x14ac:dyDescent="0.35">
      <c r="A1140" s="19" t="s">
        <v>3191</v>
      </c>
      <c r="B1140" s="20" t="s">
        <v>3190</v>
      </c>
      <c r="C1140" s="20" t="s">
        <v>4940</v>
      </c>
      <c r="D1140" s="19" t="s">
        <v>174</v>
      </c>
      <c r="E1140" s="19" t="s">
        <v>1573</v>
      </c>
      <c r="F1140" s="19">
        <v>0.30009999999999998</v>
      </c>
      <c r="G1140" s="19" t="s">
        <v>1302</v>
      </c>
      <c r="H1140" s="19" t="s">
        <v>1301</v>
      </c>
    </row>
    <row r="1141" spans="1:8" x14ac:dyDescent="0.35">
      <c r="A1141" s="19" t="s">
        <v>4941</v>
      </c>
      <c r="B1141" s="20" t="s">
        <v>129</v>
      </c>
      <c r="C1141" s="20" t="s">
        <v>129</v>
      </c>
      <c r="D1141" s="19" t="s">
        <v>115</v>
      </c>
      <c r="E1141" s="19" t="s">
        <v>130</v>
      </c>
      <c r="F1141" s="19">
        <v>0.6</v>
      </c>
      <c r="G1141" s="19"/>
      <c r="H1141" s="19"/>
    </row>
    <row r="1142" spans="1:8" x14ac:dyDescent="0.35">
      <c r="A1142" s="19" t="s">
        <v>4942</v>
      </c>
      <c r="B1142" s="20" t="s">
        <v>1134</v>
      </c>
      <c r="C1142" s="20" t="s">
        <v>1134</v>
      </c>
      <c r="D1142" s="19" t="s">
        <v>115</v>
      </c>
      <c r="E1142" s="19" t="s">
        <v>112</v>
      </c>
      <c r="F1142" s="19">
        <v>0.6</v>
      </c>
      <c r="G1142" s="19"/>
      <c r="H1142" s="19"/>
    </row>
    <row r="1143" spans="1:8" x14ac:dyDescent="0.35">
      <c r="A1143" s="19" t="s">
        <v>3425</v>
      </c>
      <c r="B1143" s="20" t="s">
        <v>3423</v>
      </c>
      <c r="C1143" s="20" t="s">
        <v>2433</v>
      </c>
      <c r="D1143" s="19" t="s">
        <v>174</v>
      </c>
      <c r="E1143" s="19" t="s">
        <v>2434</v>
      </c>
      <c r="F1143" s="19">
        <v>0.44469999999999998</v>
      </c>
      <c r="G1143" s="19" t="s">
        <v>2436</v>
      </c>
      <c r="H1143" s="19" t="s">
        <v>3424</v>
      </c>
    </row>
    <row r="1144" spans="1:8" x14ac:dyDescent="0.35">
      <c r="A1144" s="19" t="s">
        <v>4943</v>
      </c>
      <c r="B1144" s="20"/>
      <c r="C1144" s="20"/>
      <c r="D1144" s="19"/>
      <c r="E1144" s="19"/>
      <c r="F1144" s="19"/>
      <c r="G1144" s="19"/>
      <c r="H1144" s="19"/>
    </row>
    <row r="1145" spans="1:8" ht="28" x14ac:dyDescent="0.35">
      <c r="A1145" s="19" t="s">
        <v>3504</v>
      </c>
      <c r="B1145" s="20" t="s">
        <v>3503</v>
      </c>
      <c r="C1145" s="20" t="s">
        <v>3502</v>
      </c>
      <c r="D1145" s="19" t="s">
        <v>174</v>
      </c>
      <c r="E1145" s="19" t="s">
        <v>221</v>
      </c>
      <c r="F1145" s="19">
        <v>0.43240000000000001</v>
      </c>
      <c r="G1145" s="19" t="s">
        <v>193</v>
      </c>
      <c r="H1145" s="19" t="s">
        <v>220</v>
      </c>
    </row>
    <row r="1146" spans="1:8" x14ac:dyDescent="0.35">
      <c r="A1146" s="19" t="s">
        <v>4944</v>
      </c>
      <c r="B1146" s="20" t="s">
        <v>4945</v>
      </c>
      <c r="C1146" s="20" t="s">
        <v>4118</v>
      </c>
      <c r="D1146" s="19"/>
      <c r="E1146" s="19"/>
      <c r="F1146" s="19"/>
      <c r="G1146" s="19"/>
      <c r="H1146" s="19"/>
    </row>
    <row r="1147" spans="1:8" x14ac:dyDescent="0.35">
      <c r="A1147" s="19" t="s">
        <v>4946</v>
      </c>
      <c r="B1147" s="20" t="s">
        <v>947</v>
      </c>
      <c r="C1147" s="20" t="s">
        <v>946</v>
      </c>
      <c r="D1147" s="19" t="s">
        <v>4</v>
      </c>
      <c r="E1147" s="19" t="s">
        <v>565</v>
      </c>
      <c r="F1147" s="19">
        <v>0.8</v>
      </c>
      <c r="G1147" s="19"/>
      <c r="H1147" s="19"/>
    </row>
    <row r="1148" spans="1:8" x14ac:dyDescent="0.35">
      <c r="A1148" s="19" t="s">
        <v>313</v>
      </c>
      <c r="B1148" s="20" t="s">
        <v>310</v>
      </c>
      <c r="C1148" s="20" t="s">
        <v>309</v>
      </c>
      <c r="D1148" s="19" t="s">
        <v>174</v>
      </c>
      <c r="E1148" s="19" t="s">
        <v>311</v>
      </c>
      <c r="F1148" s="19">
        <v>0.46060000000000001</v>
      </c>
      <c r="G1148" s="19" t="s">
        <v>312</v>
      </c>
      <c r="H1148" s="19" t="s">
        <v>105</v>
      </c>
    </row>
    <row r="1149" spans="1:8" ht="28" x14ac:dyDescent="0.35">
      <c r="A1149" s="19" t="s">
        <v>4947</v>
      </c>
      <c r="B1149" s="20" t="s">
        <v>1608</v>
      </c>
      <c r="C1149" s="20" t="s">
        <v>1607</v>
      </c>
      <c r="D1149" s="19" t="s">
        <v>174</v>
      </c>
      <c r="E1149" s="19" t="s">
        <v>1610</v>
      </c>
      <c r="F1149" s="19">
        <v>0.2702</v>
      </c>
      <c r="G1149" s="19" t="s">
        <v>1611</v>
      </c>
      <c r="H1149" s="19" t="s">
        <v>1612</v>
      </c>
    </row>
    <row r="1150" spans="1:8" x14ac:dyDescent="0.35">
      <c r="A1150" s="19" t="s">
        <v>3707</v>
      </c>
      <c r="B1150" s="20" t="s">
        <v>3704</v>
      </c>
      <c r="C1150" s="20" t="s">
        <v>3703</v>
      </c>
      <c r="D1150" s="19" t="s">
        <v>174</v>
      </c>
      <c r="E1150" s="19" t="s">
        <v>355</v>
      </c>
      <c r="F1150" s="19">
        <v>0.40500000000000003</v>
      </c>
      <c r="G1150" s="19" t="s">
        <v>3705</v>
      </c>
      <c r="H1150" s="19" t="s">
        <v>3706</v>
      </c>
    </row>
    <row r="1151" spans="1:8" ht="28" x14ac:dyDescent="0.35">
      <c r="A1151" s="19" t="s">
        <v>1093</v>
      </c>
      <c r="B1151" s="20" t="s">
        <v>1092</v>
      </c>
      <c r="C1151" s="20" t="s">
        <v>1091</v>
      </c>
      <c r="D1151" s="19" t="s">
        <v>4</v>
      </c>
      <c r="E1151" s="19" t="s">
        <v>67</v>
      </c>
      <c r="F1151" s="19">
        <v>0.8</v>
      </c>
      <c r="G1151" s="19"/>
      <c r="H1151" s="19"/>
    </row>
    <row r="1152" spans="1:8" ht="28" x14ac:dyDescent="0.35">
      <c r="A1152" s="19" t="s">
        <v>1132</v>
      </c>
      <c r="B1152" s="20" t="s">
        <v>1128</v>
      </c>
      <c r="C1152" s="20" t="s">
        <v>1127</v>
      </c>
      <c r="D1152" s="19" t="s">
        <v>115</v>
      </c>
      <c r="E1152" s="19" t="s">
        <v>1131</v>
      </c>
      <c r="F1152" s="19">
        <v>0.6</v>
      </c>
      <c r="G1152" s="19"/>
      <c r="H1152" s="19"/>
    </row>
    <row r="1153" spans="1:8" ht="42" x14ac:dyDescent="0.35">
      <c r="A1153" s="19" t="s">
        <v>222</v>
      </c>
      <c r="B1153" s="20" t="s">
        <v>217</v>
      </c>
      <c r="C1153" s="20" t="s">
        <v>216</v>
      </c>
      <c r="D1153" s="19" t="s">
        <v>174</v>
      </c>
      <c r="E1153" s="19" t="s">
        <v>219</v>
      </c>
      <c r="F1153" s="19">
        <v>0.2361</v>
      </c>
      <c r="G1153" s="19" t="s">
        <v>220</v>
      </c>
      <c r="H1153" s="19" t="s">
        <v>221</v>
      </c>
    </row>
    <row r="1154" spans="1:8" ht="42" x14ac:dyDescent="0.35">
      <c r="A1154" s="19" t="s">
        <v>2095</v>
      </c>
      <c r="B1154" s="20" t="s">
        <v>2091</v>
      </c>
      <c r="C1154" s="20" t="s">
        <v>4948</v>
      </c>
      <c r="D1154" s="19" t="s">
        <v>174</v>
      </c>
      <c r="E1154" s="19" t="s">
        <v>2065</v>
      </c>
      <c r="F1154" s="19">
        <v>0.32369999999999999</v>
      </c>
      <c r="G1154" s="19" t="s">
        <v>2875</v>
      </c>
      <c r="H1154" s="19" t="s">
        <v>2995</v>
      </c>
    </row>
    <row r="1155" spans="1:8" x14ac:dyDescent="0.35">
      <c r="A1155" s="19" t="s">
        <v>4949</v>
      </c>
      <c r="B1155" s="20" t="s">
        <v>3320</v>
      </c>
      <c r="C1155" s="20" t="s">
        <v>3320</v>
      </c>
      <c r="D1155" s="19" t="s">
        <v>174</v>
      </c>
      <c r="E1155" s="19" t="s">
        <v>3045</v>
      </c>
      <c r="F1155" s="19">
        <v>0.46089999999999998</v>
      </c>
      <c r="G1155" s="19" t="s">
        <v>3321</v>
      </c>
      <c r="H1155" s="19" t="s">
        <v>175</v>
      </c>
    </row>
    <row r="1156" spans="1:8" x14ac:dyDescent="0.35">
      <c r="A1156" s="19" t="s">
        <v>4950</v>
      </c>
      <c r="B1156" s="20" t="s">
        <v>2693</v>
      </c>
      <c r="C1156" s="20" t="s">
        <v>2692</v>
      </c>
      <c r="D1156" s="19" t="s">
        <v>174</v>
      </c>
      <c r="E1156" s="19" t="s">
        <v>2694</v>
      </c>
      <c r="F1156" s="19">
        <v>0.3548</v>
      </c>
      <c r="G1156" s="19" t="s">
        <v>2695</v>
      </c>
      <c r="H1156" s="19" t="s">
        <v>2696</v>
      </c>
    </row>
    <row r="1157" spans="1:8" ht="28" x14ac:dyDescent="0.35">
      <c r="A1157" s="19" t="s">
        <v>673</v>
      </c>
      <c r="B1157" s="20" t="s">
        <v>672</v>
      </c>
      <c r="C1157" s="20" t="s">
        <v>671</v>
      </c>
      <c r="D1157" s="19" t="s">
        <v>4</v>
      </c>
      <c r="E1157" s="19" t="s">
        <v>451</v>
      </c>
      <c r="F1157" s="19">
        <v>0.8</v>
      </c>
      <c r="G1157" s="19"/>
      <c r="H1157" s="19"/>
    </row>
    <row r="1158" spans="1:8" ht="28" x14ac:dyDescent="0.35">
      <c r="A1158" s="19" t="s">
        <v>2278</v>
      </c>
      <c r="B1158" s="20" t="s">
        <v>2277</v>
      </c>
      <c r="C1158" s="20" t="s">
        <v>2276</v>
      </c>
      <c r="D1158" s="19" t="s">
        <v>174</v>
      </c>
      <c r="E1158" s="19" t="s">
        <v>1589</v>
      </c>
      <c r="F1158" s="19">
        <v>0.2019</v>
      </c>
      <c r="G1158" s="19"/>
      <c r="H1158" s="19"/>
    </row>
    <row r="1159" spans="1:8" ht="28" x14ac:dyDescent="0.35">
      <c r="A1159" s="19" t="s">
        <v>4951</v>
      </c>
      <c r="B1159" s="20" t="s">
        <v>2277</v>
      </c>
      <c r="C1159" s="20" t="s">
        <v>2276</v>
      </c>
      <c r="D1159" s="19" t="s">
        <v>174</v>
      </c>
      <c r="E1159" s="19" t="s">
        <v>1589</v>
      </c>
      <c r="F1159" s="19">
        <v>0.2019</v>
      </c>
      <c r="G1159" s="19"/>
      <c r="H1159" s="19"/>
    </row>
    <row r="1160" spans="1:8" ht="28" x14ac:dyDescent="0.35">
      <c r="A1160" s="19" t="s">
        <v>4952</v>
      </c>
      <c r="B1160" s="20" t="s">
        <v>2277</v>
      </c>
      <c r="C1160" s="20" t="s">
        <v>2276</v>
      </c>
      <c r="D1160" s="19" t="s">
        <v>174</v>
      </c>
      <c r="E1160" s="19" t="s">
        <v>1589</v>
      </c>
      <c r="F1160" s="19">
        <v>0.2019</v>
      </c>
      <c r="G1160" s="19"/>
      <c r="H1160" s="19"/>
    </row>
    <row r="1161" spans="1:8" x14ac:dyDescent="0.35">
      <c r="A1161" s="19" t="s">
        <v>4953</v>
      </c>
      <c r="B1161" s="20" t="s">
        <v>1588</v>
      </c>
      <c r="C1161" s="20" t="s">
        <v>1587</v>
      </c>
      <c r="D1161" s="19" t="s">
        <v>174</v>
      </c>
      <c r="E1161" s="19" t="s">
        <v>1589</v>
      </c>
      <c r="F1161" s="19">
        <v>0.27150000000000002</v>
      </c>
      <c r="G1161" s="19" t="s">
        <v>1590</v>
      </c>
      <c r="H1161" s="19" t="s">
        <v>299</v>
      </c>
    </row>
    <row r="1162" spans="1:8" ht="42" x14ac:dyDescent="0.35">
      <c r="A1162" s="19" t="s">
        <v>2132</v>
      </c>
      <c r="B1162" s="20" t="s">
        <v>2129</v>
      </c>
      <c r="C1162" s="20" t="s">
        <v>2128</v>
      </c>
      <c r="D1162" s="19" t="s">
        <v>174</v>
      </c>
      <c r="E1162" s="19" t="s">
        <v>2131</v>
      </c>
      <c r="F1162" s="19">
        <v>0.21679999999999999</v>
      </c>
      <c r="G1162" s="19"/>
      <c r="H1162" s="19"/>
    </row>
    <row r="1163" spans="1:8" ht="42" x14ac:dyDescent="0.35">
      <c r="A1163" s="19" t="s">
        <v>3128</v>
      </c>
      <c r="B1163" s="20" t="s">
        <v>3125</v>
      </c>
      <c r="C1163" s="20" t="s">
        <v>3124</v>
      </c>
      <c r="D1163" s="19" t="s">
        <v>174</v>
      </c>
      <c r="E1163" s="19" t="s">
        <v>221</v>
      </c>
      <c r="F1163" s="19">
        <v>0.3075</v>
      </c>
      <c r="G1163" s="19" t="s">
        <v>299</v>
      </c>
      <c r="H1163" s="19" t="s">
        <v>3127</v>
      </c>
    </row>
    <row r="1164" spans="1:8" x14ac:dyDescent="0.35">
      <c r="A1164" s="19" t="s">
        <v>3651</v>
      </c>
      <c r="B1164" s="20" t="s">
        <v>3650</v>
      </c>
      <c r="C1164" s="20" t="s">
        <v>3614</v>
      </c>
      <c r="D1164" s="19" t="s">
        <v>174</v>
      </c>
      <c r="E1164" s="19" t="s">
        <v>3545</v>
      </c>
      <c r="F1164" s="19">
        <v>0.41210000000000002</v>
      </c>
      <c r="G1164" s="19" t="s">
        <v>1302</v>
      </c>
      <c r="H1164" s="19" t="s">
        <v>1303</v>
      </c>
    </row>
    <row r="1165" spans="1:8" x14ac:dyDescent="0.35">
      <c r="A1165" s="19" t="s">
        <v>307</v>
      </c>
      <c r="B1165" s="20" t="s">
        <v>304</v>
      </c>
      <c r="C1165" s="20" t="s">
        <v>303</v>
      </c>
      <c r="D1165" s="19" t="s">
        <v>174</v>
      </c>
      <c r="E1165" s="19" t="s">
        <v>305</v>
      </c>
      <c r="F1165" s="19">
        <v>0.46429999999999999</v>
      </c>
      <c r="G1165" s="19" t="s">
        <v>72</v>
      </c>
      <c r="H1165" s="19" t="s">
        <v>306</v>
      </c>
    </row>
    <row r="1166" spans="1:8" x14ac:dyDescent="0.35">
      <c r="A1166" s="19" t="s">
        <v>289</v>
      </c>
      <c r="B1166" s="20" t="s">
        <v>284</v>
      </c>
      <c r="C1166" s="20" t="s">
        <v>283</v>
      </c>
      <c r="D1166" s="19" t="s">
        <v>174</v>
      </c>
      <c r="E1166" s="19" t="s">
        <v>286</v>
      </c>
      <c r="F1166" s="19">
        <v>0.3175</v>
      </c>
      <c r="G1166" s="19" t="s">
        <v>287</v>
      </c>
      <c r="H1166" s="19" t="s">
        <v>288</v>
      </c>
    </row>
    <row r="1167" spans="1:8" x14ac:dyDescent="0.35">
      <c r="A1167" s="19" t="s">
        <v>2653</v>
      </c>
      <c r="B1167" s="20" t="s">
        <v>2651</v>
      </c>
      <c r="C1167" s="20" t="s">
        <v>2650</v>
      </c>
      <c r="D1167" s="19" t="s">
        <v>174</v>
      </c>
      <c r="E1167" s="19" t="s">
        <v>2652</v>
      </c>
      <c r="F1167" s="19">
        <v>0.35780000000000001</v>
      </c>
      <c r="G1167" s="19" t="s">
        <v>1302</v>
      </c>
      <c r="H1167" s="19"/>
    </row>
    <row r="1168" spans="1:8" x14ac:dyDescent="0.35">
      <c r="A1168" s="19" t="s">
        <v>2671</v>
      </c>
      <c r="B1168" s="20" t="s">
        <v>2668</v>
      </c>
      <c r="C1168" s="20" t="s">
        <v>2667</v>
      </c>
      <c r="D1168" s="19" t="s">
        <v>174</v>
      </c>
      <c r="E1168" s="19" t="s">
        <v>448</v>
      </c>
      <c r="F1168" s="19">
        <v>0.35610000000000003</v>
      </c>
      <c r="G1168" s="19" t="s">
        <v>2670</v>
      </c>
      <c r="H1168" s="19" t="s">
        <v>355</v>
      </c>
    </row>
    <row r="1169" spans="1:8" x14ac:dyDescent="0.35">
      <c r="A1169" s="19" t="s">
        <v>4954</v>
      </c>
      <c r="B1169" s="20" t="s">
        <v>424</v>
      </c>
      <c r="C1169" s="20" t="s">
        <v>424</v>
      </c>
      <c r="D1169" s="19" t="s">
        <v>21</v>
      </c>
      <c r="E1169" s="19" t="s">
        <v>424</v>
      </c>
      <c r="F1169" s="19">
        <v>0.8</v>
      </c>
      <c r="G1169" s="19" t="s">
        <v>426</v>
      </c>
      <c r="H1169" s="19"/>
    </row>
    <row r="1170" spans="1:8" x14ac:dyDescent="0.35">
      <c r="A1170" s="19" t="s">
        <v>4955</v>
      </c>
      <c r="B1170" s="20" t="s">
        <v>129</v>
      </c>
      <c r="C1170" s="20" t="s">
        <v>129</v>
      </c>
      <c r="D1170" s="19" t="s">
        <v>115</v>
      </c>
      <c r="E1170" s="19" t="s">
        <v>130</v>
      </c>
      <c r="F1170" s="19">
        <v>0.6</v>
      </c>
      <c r="G1170" s="19"/>
      <c r="H1170" s="19"/>
    </row>
    <row r="1171" spans="1:8" x14ac:dyDescent="0.35">
      <c r="A1171" s="19" t="s">
        <v>2042</v>
      </c>
      <c r="B1171" s="20" t="s">
        <v>2040</v>
      </c>
      <c r="C1171" s="20" t="s">
        <v>2040</v>
      </c>
      <c r="D1171" s="19" t="s">
        <v>174</v>
      </c>
      <c r="E1171" s="19" t="s">
        <v>1303</v>
      </c>
      <c r="F1171" s="19">
        <v>0.22359999999999999</v>
      </c>
      <c r="G1171" s="19"/>
      <c r="H1171" s="19"/>
    </row>
    <row r="1172" spans="1:8" x14ac:dyDescent="0.35">
      <c r="A1172" s="19" t="s">
        <v>3615</v>
      </c>
      <c r="B1172" s="20" t="s">
        <v>3613</v>
      </c>
      <c r="C1172" s="20" t="s">
        <v>3613</v>
      </c>
      <c r="D1172" s="19" t="s">
        <v>174</v>
      </c>
      <c r="E1172" s="19" t="s">
        <v>1302</v>
      </c>
      <c r="F1172" s="19">
        <v>0.41660000000000003</v>
      </c>
      <c r="G1172" s="19" t="s">
        <v>1301</v>
      </c>
      <c r="H1172" s="19" t="s">
        <v>1303</v>
      </c>
    </row>
    <row r="1173" spans="1:8" x14ac:dyDescent="0.35">
      <c r="A1173" s="19" t="s">
        <v>2777</v>
      </c>
      <c r="B1173" s="20" t="s">
        <v>2773</v>
      </c>
      <c r="C1173" s="20" t="s">
        <v>2773</v>
      </c>
      <c r="D1173" s="19" t="s">
        <v>174</v>
      </c>
      <c r="E1173" s="19" t="s">
        <v>2775</v>
      </c>
      <c r="F1173" s="19">
        <v>0.3473</v>
      </c>
      <c r="G1173" s="19" t="s">
        <v>2776</v>
      </c>
      <c r="H1173" s="19" t="s">
        <v>1302</v>
      </c>
    </row>
    <row r="1174" spans="1:8" ht="42" x14ac:dyDescent="0.35">
      <c r="A1174" s="19" t="s">
        <v>2301</v>
      </c>
      <c r="B1174" s="20" t="s">
        <v>2297</v>
      </c>
      <c r="C1174" s="20" t="s">
        <v>2296</v>
      </c>
      <c r="D1174" s="19" t="s">
        <v>174</v>
      </c>
      <c r="E1174" s="19" t="s">
        <v>221</v>
      </c>
      <c r="F1174" s="19">
        <v>0.39979999999999999</v>
      </c>
      <c r="G1174" s="19" t="s">
        <v>2299</v>
      </c>
      <c r="H1174" s="19" t="s">
        <v>2300</v>
      </c>
    </row>
    <row r="1175" spans="1:8" x14ac:dyDescent="0.35">
      <c r="A1175" s="19" t="s">
        <v>4956</v>
      </c>
      <c r="B1175" s="20" t="s">
        <v>129</v>
      </c>
      <c r="C1175" s="20" t="s">
        <v>129</v>
      </c>
      <c r="D1175" s="19" t="s">
        <v>115</v>
      </c>
      <c r="E1175" s="19" t="s">
        <v>130</v>
      </c>
      <c r="F1175" s="19">
        <v>0.6</v>
      </c>
      <c r="G1175" s="19"/>
      <c r="H1175" s="19"/>
    </row>
    <row r="1176" spans="1:8" x14ac:dyDescent="0.35">
      <c r="A1176" s="19" t="s">
        <v>3264</v>
      </c>
      <c r="B1176" s="20" t="s">
        <v>2104</v>
      </c>
      <c r="C1176" s="20" t="s">
        <v>2104</v>
      </c>
      <c r="D1176" s="19" t="s">
        <v>174</v>
      </c>
      <c r="E1176" s="19" t="s">
        <v>2542</v>
      </c>
      <c r="F1176" s="19">
        <v>0.46679999999999999</v>
      </c>
      <c r="G1176" s="19" t="s">
        <v>3262</v>
      </c>
      <c r="H1176" s="19" t="s">
        <v>3263</v>
      </c>
    </row>
    <row r="1177" spans="1:8" x14ac:dyDescent="0.35">
      <c r="A1177" s="19" t="s">
        <v>4957</v>
      </c>
      <c r="B1177" s="20"/>
      <c r="C1177" s="20"/>
      <c r="D1177" s="19"/>
      <c r="E1177" s="19"/>
      <c r="F1177" s="19"/>
      <c r="G1177" s="19"/>
      <c r="H1177" s="19"/>
    </row>
    <row r="1178" spans="1:8" x14ac:dyDescent="0.35">
      <c r="A1178" s="19" t="s">
        <v>2690</v>
      </c>
      <c r="B1178" s="20" t="s">
        <v>2688</v>
      </c>
      <c r="C1178" s="20" t="s">
        <v>2687</v>
      </c>
      <c r="D1178" s="19" t="s">
        <v>174</v>
      </c>
      <c r="E1178" s="19" t="s">
        <v>470</v>
      </c>
      <c r="F1178" s="19">
        <v>0.35489999999999999</v>
      </c>
      <c r="G1178" s="19" t="s">
        <v>2137</v>
      </c>
      <c r="H1178" s="19" t="s">
        <v>2689</v>
      </c>
    </row>
    <row r="1179" spans="1:8" ht="42" x14ac:dyDescent="0.35">
      <c r="A1179" s="19" t="s">
        <v>3338</v>
      </c>
      <c r="B1179" s="20" t="s">
        <v>3337</v>
      </c>
      <c r="C1179" s="20" t="s">
        <v>3336</v>
      </c>
      <c r="D1179" s="19" t="s">
        <v>174</v>
      </c>
      <c r="E1179" s="19" t="s">
        <v>1445</v>
      </c>
      <c r="F1179" s="19">
        <v>0.45929999999999999</v>
      </c>
      <c r="G1179" s="19" t="s">
        <v>3222</v>
      </c>
      <c r="H1179" s="19" t="s">
        <v>448</v>
      </c>
    </row>
    <row r="1180" spans="1:8" x14ac:dyDescent="0.35">
      <c r="A1180" s="19" t="s">
        <v>1056</v>
      </c>
      <c r="B1180" s="20" t="s">
        <v>1055</v>
      </c>
      <c r="C1180" s="20" t="s">
        <v>1054</v>
      </c>
      <c r="D1180" s="19" t="s">
        <v>4</v>
      </c>
      <c r="E1180" s="19" t="s">
        <v>63</v>
      </c>
      <c r="F1180" s="19">
        <v>0.8</v>
      </c>
      <c r="G1180" s="19"/>
      <c r="H1180" s="19"/>
    </row>
    <row r="1181" spans="1:8" x14ac:dyDescent="0.35">
      <c r="A1181" s="19" t="s">
        <v>3239</v>
      </c>
      <c r="B1181" s="20" t="s">
        <v>3238</v>
      </c>
      <c r="C1181" s="20" t="s">
        <v>3237</v>
      </c>
      <c r="D1181" s="19" t="s">
        <v>174</v>
      </c>
      <c r="E1181" s="19" t="s">
        <v>63</v>
      </c>
      <c r="F1181" s="19">
        <v>0.4723</v>
      </c>
      <c r="G1181" s="19" t="s">
        <v>1503</v>
      </c>
      <c r="H1181" s="19" t="s">
        <v>485</v>
      </c>
    </row>
    <row r="1182" spans="1:8" x14ac:dyDescent="0.35">
      <c r="A1182" s="19" t="s">
        <v>4958</v>
      </c>
      <c r="B1182" s="20" t="s">
        <v>4959</v>
      </c>
      <c r="C1182" s="20"/>
      <c r="D1182" s="19"/>
      <c r="E1182" s="19"/>
      <c r="F1182" s="19"/>
      <c r="G1182" s="19"/>
      <c r="H1182" s="19"/>
    </row>
    <row r="1183" spans="1:8" x14ac:dyDescent="0.35">
      <c r="A1183" s="19" t="s">
        <v>4960</v>
      </c>
      <c r="B1183" s="20" t="s">
        <v>963</v>
      </c>
      <c r="C1183" s="20" t="s">
        <v>962</v>
      </c>
      <c r="D1183" s="19" t="s">
        <v>4</v>
      </c>
      <c r="E1183" s="19" t="s">
        <v>67</v>
      </c>
      <c r="F1183" s="19">
        <v>0.8</v>
      </c>
      <c r="G1183" s="19"/>
      <c r="H1183" s="19"/>
    </row>
    <row r="1184" spans="1:8" x14ac:dyDescent="0.35">
      <c r="A1184" s="19" t="s">
        <v>4961</v>
      </c>
      <c r="B1184" s="20"/>
      <c r="C1184" s="20"/>
      <c r="D1184" s="19"/>
      <c r="E1184" s="19"/>
      <c r="F1184" s="19"/>
      <c r="G1184" s="19"/>
      <c r="H1184" s="19"/>
    </row>
    <row r="1185" spans="1:8" x14ac:dyDescent="0.35">
      <c r="A1185" s="19" t="s">
        <v>3416</v>
      </c>
      <c r="B1185" s="20" t="s">
        <v>3415</v>
      </c>
      <c r="C1185" s="20" t="s">
        <v>3414</v>
      </c>
      <c r="D1185" s="19" t="s">
        <v>174</v>
      </c>
      <c r="E1185" s="19" t="s">
        <v>1445</v>
      </c>
      <c r="F1185" s="19">
        <v>0.4466</v>
      </c>
      <c r="G1185" s="19" t="s">
        <v>1900</v>
      </c>
      <c r="H1185" s="19" t="s">
        <v>3346</v>
      </c>
    </row>
    <row r="1186" spans="1:8" x14ac:dyDescent="0.35">
      <c r="A1186" s="19" t="s">
        <v>3437</v>
      </c>
      <c r="B1186" s="20" t="s">
        <v>3433</v>
      </c>
      <c r="C1186" s="20" t="s">
        <v>3433</v>
      </c>
      <c r="D1186" s="19" t="s">
        <v>174</v>
      </c>
      <c r="E1186" s="19" t="s">
        <v>1651</v>
      </c>
      <c r="F1186" s="19">
        <v>0.44330000000000003</v>
      </c>
      <c r="G1186" s="19" t="s">
        <v>3435</v>
      </c>
      <c r="H1186" s="19" t="s">
        <v>3436</v>
      </c>
    </row>
    <row r="1187" spans="1:8" ht="28" x14ac:dyDescent="0.35">
      <c r="A1187" s="19" t="s">
        <v>968</v>
      </c>
      <c r="B1187" s="20" t="s">
        <v>967</v>
      </c>
      <c r="C1187" s="20" t="s">
        <v>966</v>
      </c>
      <c r="D1187" s="19" t="s">
        <v>4</v>
      </c>
      <c r="E1187" s="19" t="s">
        <v>67</v>
      </c>
      <c r="F1187" s="19">
        <v>0.8</v>
      </c>
      <c r="G1187" s="19"/>
      <c r="H1187" s="19"/>
    </row>
    <row r="1188" spans="1:8" x14ac:dyDescent="0.35">
      <c r="A1188" s="19" t="s">
        <v>3342</v>
      </c>
      <c r="B1188" s="20" t="s">
        <v>3341</v>
      </c>
      <c r="C1188" s="20" t="s">
        <v>3340</v>
      </c>
      <c r="D1188" s="19" t="s">
        <v>174</v>
      </c>
      <c r="E1188" s="19" t="s">
        <v>1672</v>
      </c>
      <c r="F1188" s="19">
        <v>0.45800000000000002</v>
      </c>
      <c r="G1188" s="19" t="s">
        <v>2137</v>
      </c>
      <c r="H1188" s="19" t="s">
        <v>1673</v>
      </c>
    </row>
    <row r="1189" spans="1:8" x14ac:dyDescent="0.35">
      <c r="A1189" s="19" t="s">
        <v>4962</v>
      </c>
      <c r="B1189" s="20" t="s">
        <v>1656</v>
      </c>
      <c r="C1189" s="20" t="s">
        <v>1655</v>
      </c>
      <c r="D1189" s="19" t="s">
        <v>174</v>
      </c>
      <c r="E1189" s="19" t="s">
        <v>1658</v>
      </c>
      <c r="F1189" s="19">
        <v>0.26629999999999998</v>
      </c>
      <c r="G1189" s="19" t="s">
        <v>1659</v>
      </c>
      <c r="H1189" s="19" t="s">
        <v>1122</v>
      </c>
    </row>
    <row r="1190" spans="1:8" x14ac:dyDescent="0.35">
      <c r="A1190" s="19" t="s">
        <v>2771</v>
      </c>
      <c r="B1190" s="20" t="s">
        <v>2769</v>
      </c>
      <c r="C1190" s="20" t="s">
        <v>2768</v>
      </c>
      <c r="D1190" s="19" t="s">
        <v>174</v>
      </c>
      <c r="E1190" s="19" t="s">
        <v>2724</v>
      </c>
      <c r="F1190" s="19">
        <v>0.3478</v>
      </c>
      <c r="G1190" s="19" t="s">
        <v>450</v>
      </c>
      <c r="H1190" s="19" t="s">
        <v>2770</v>
      </c>
    </row>
    <row r="1191" spans="1:8" x14ac:dyDescent="0.35">
      <c r="A1191" s="19" t="s">
        <v>1675</v>
      </c>
      <c r="B1191" s="20" t="s">
        <v>1670</v>
      </c>
      <c r="C1191" s="20" t="s">
        <v>1669</v>
      </c>
      <c r="D1191" s="19" t="s">
        <v>174</v>
      </c>
      <c r="E1191" s="19" t="s">
        <v>1672</v>
      </c>
      <c r="F1191" s="19">
        <v>0.26429999999999998</v>
      </c>
      <c r="G1191" s="19" t="s">
        <v>1673</v>
      </c>
      <c r="H1191" s="19" t="s">
        <v>1674</v>
      </c>
    </row>
    <row r="1192" spans="1:8" x14ac:dyDescent="0.35">
      <c r="A1192" s="19" t="s">
        <v>4963</v>
      </c>
      <c r="B1192" s="20"/>
      <c r="C1192" s="20"/>
      <c r="D1192" s="19"/>
      <c r="E1192" s="19"/>
      <c r="F1192" s="19"/>
      <c r="G1192" s="19"/>
      <c r="H1192" s="19"/>
    </row>
    <row r="1193" spans="1:8" x14ac:dyDescent="0.35">
      <c r="A1193" s="19" t="s">
        <v>4964</v>
      </c>
      <c r="B1193" s="20" t="s">
        <v>4965</v>
      </c>
      <c r="C1193" s="20" t="s">
        <v>26</v>
      </c>
      <c r="D1193" s="19" t="s">
        <v>21</v>
      </c>
      <c r="E1193" s="19" t="s">
        <v>26</v>
      </c>
      <c r="F1193" s="19">
        <v>0.8</v>
      </c>
      <c r="G1193" s="19" t="s">
        <v>28</v>
      </c>
      <c r="H1193" s="19"/>
    </row>
    <row r="1194" spans="1:8" x14ac:dyDescent="0.35">
      <c r="A1194" s="19" t="s">
        <v>4966</v>
      </c>
      <c r="B1194" s="20" t="s">
        <v>4967</v>
      </c>
      <c r="C1194" s="20"/>
      <c r="D1194" s="19"/>
      <c r="E1194" s="19"/>
      <c r="F1194" s="19"/>
      <c r="G1194" s="19"/>
      <c r="H1194" s="19"/>
    </row>
    <row r="1195" spans="1:8" ht="28" x14ac:dyDescent="0.35">
      <c r="A1195" s="19" t="s">
        <v>456</v>
      </c>
      <c r="B1195" s="20" t="s">
        <v>455</v>
      </c>
      <c r="C1195" s="20" t="s">
        <v>4968</v>
      </c>
      <c r="D1195" s="19" t="s">
        <v>21</v>
      </c>
      <c r="E1195" s="19" t="s">
        <v>33</v>
      </c>
      <c r="F1195" s="19">
        <v>1</v>
      </c>
      <c r="G1195" s="19" t="s">
        <v>1445</v>
      </c>
      <c r="H1195" s="19" t="s">
        <v>1900</v>
      </c>
    </row>
    <row r="1196" spans="1:8" x14ac:dyDescent="0.35">
      <c r="A1196" s="19" t="s">
        <v>4969</v>
      </c>
      <c r="B1196" s="20" t="s">
        <v>3919</v>
      </c>
      <c r="C1196" s="20" t="s">
        <v>3918</v>
      </c>
      <c r="D1196" s="19"/>
      <c r="E1196" s="19"/>
      <c r="F1196" s="19"/>
      <c r="G1196" s="19"/>
      <c r="H1196" s="19"/>
    </row>
    <row r="1197" spans="1:8" x14ac:dyDescent="0.35">
      <c r="A1197" s="19" t="s">
        <v>4970</v>
      </c>
      <c r="B1197" s="20" t="s">
        <v>4965</v>
      </c>
      <c r="C1197" s="20" t="s">
        <v>26</v>
      </c>
      <c r="D1197" s="19" t="s">
        <v>21</v>
      </c>
      <c r="E1197" s="19" t="s">
        <v>26</v>
      </c>
      <c r="F1197" s="19">
        <v>0.8</v>
      </c>
      <c r="G1197" s="19" t="s">
        <v>28</v>
      </c>
      <c r="H1197" s="19"/>
    </row>
    <row r="1198" spans="1:8" x14ac:dyDescent="0.35">
      <c r="A1198" s="19" t="s">
        <v>4971</v>
      </c>
      <c r="B1198" s="20" t="s">
        <v>4967</v>
      </c>
      <c r="C1198" s="20"/>
      <c r="D1198" s="19"/>
      <c r="E1198" s="19"/>
      <c r="F1198" s="19"/>
      <c r="G1198" s="19"/>
      <c r="H1198" s="19"/>
    </row>
    <row r="1199" spans="1:8" x14ac:dyDescent="0.35">
      <c r="A1199" s="19" t="s">
        <v>4972</v>
      </c>
      <c r="B1199" s="20" t="s">
        <v>1588</v>
      </c>
      <c r="C1199" s="20" t="s">
        <v>1587</v>
      </c>
      <c r="D1199" s="19" t="s">
        <v>174</v>
      </c>
      <c r="E1199" s="19" t="s">
        <v>1589</v>
      </c>
      <c r="F1199" s="19">
        <v>0.27150000000000002</v>
      </c>
      <c r="G1199" s="19" t="s">
        <v>1590</v>
      </c>
      <c r="H1199" s="19" t="s">
        <v>299</v>
      </c>
    </row>
    <row r="1200" spans="1:8" x14ac:dyDescent="0.35">
      <c r="A1200" s="19" t="s">
        <v>4973</v>
      </c>
      <c r="B1200" s="20" t="s">
        <v>4967</v>
      </c>
      <c r="C1200" s="20"/>
      <c r="D1200" s="19"/>
      <c r="E1200" s="19"/>
      <c r="F1200" s="19"/>
      <c r="G1200" s="19"/>
      <c r="H1200" s="19"/>
    </row>
    <row r="1201" spans="1:8" x14ac:dyDescent="0.35">
      <c r="A1201" s="19" t="s">
        <v>4974</v>
      </c>
      <c r="B1201" s="20" t="s">
        <v>3919</v>
      </c>
      <c r="C1201" s="20" t="s">
        <v>3918</v>
      </c>
      <c r="D1201" s="19"/>
      <c r="E1201" s="19"/>
      <c r="F1201" s="19"/>
      <c r="G1201" s="19"/>
      <c r="H1201" s="19"/>
    </row>
    <row r="1202" spans="1:8" ht="28" x14ac:dyDescent="0.35">
      <c r="A1202" s="19" t="s">
        <v>4975</v>
      </c>
      <c r="B1202" s="20" t="s">
        <v>2277</v>
      </c>
      <c r="C1202" s="20" t="s">
        <v>2276</v>
      </c>
      <c r="D1202" s="19" t="s">
        <v>174</v>
      </c>
      <c r="E1202" s="19" t="s">
        <v>1589</v>
      </c>
      <c r="F1202" s="19">
        <v>0.2019</v>
      </c>
      <c r="G1202" s="19"/>
      <c r="H1202" s="19"/>
    </row>
    <row r="1203" spans="1:8" x14ac:dyDescent="0.35">
      <c r="A1203" s="19" t="s">
        <v>4976</v>
      </c>
      <c r="B1203" s="20" t="s">
        <v>4965</v>
      </c>
      <c r="C1203" s="20" t="s">
        <v>26</v>
      </c>
      <c r="D1203" s="19" t="s">
        <v>21</v>
      </c>
      <c r="E1203" s="19" t="s">
        <v>26</v>
      </c>
      <c r="F1203" s="19">
        <v>0.8</v>
      </c>
      <c r="G1203" s="19" t="s">
        <v>28</v>
      </c>
      <c r="H1203" s="19"/>
    </row>
    <row r="1204" spans="1:8" x14ac:dyDescent="0.35">
      <c r="A1204" s="19" t="s">
        <v>4977</v>
      </c>
      <c r="B1204" s="20" t="s">
        <v>4965</v>
      </c>
      <c r="C1204" s="20" t="s">
        <v>26</v>
      </c>
      <c r="D1204" s="19" t="s">
        <v>21</v>
      </c>
      <c r="E1204" s="19" t="s">
        <v>26</v>
      </c>
      <c r="F1204" s="19">
        <v>0.8</v>
      </c>
      <c r="G1204" s="19" t="s">
        <v>28</v>
      </c>
      <c r="H1204" s="19"/>
    </row>
    <row r="1205" spans="1:8" x14ac:dyDescent="0.35">
      <c r="A1205" s="19" t="s">
        <v>4978</v>
      </c>
      <c r="B1205" s="20" t="s">
        <v>271</v>
      </c>
      <c r="C1205" s="20" t="s">
        <v>270</v>
      </c>
      <c r="D1205" s="19" t="s">
        <v>174</v>
      </c>
      <c r="E1205" s="19" t="s">
        <v>272</v>
      </c>
      <c r="F1205" s="19">
        <v>0.35449999999999998</v>
      </c>
      <c r="G1205" s="19" t="s">
        <v>273</v>
      </c>
      <c r="H1205" s="19" t="s">
        <v>274</v>
      </c>
    </row>
    <row r="1206" spans="1:8" x14ac:dyDescent="0.35">
      <c r="A1206" s="19" t="s">
        <v>4979</v>
      </c>
      <c r="B1206" s="20" t="s">
        <v>4965</v>
      </c>
      <c r="C1206" s="20" t="s">
        <v>26</v>
      </c>
      <c r="D1206" s="19" t="s">
        <v>21</v>
      </c>
      <c r="E1206" s="19" t="s">
        <v>26</v>
      </c>
      <c r="F1206" s="19">
        <v>0.8</v>
      </c>
      <c r="G1206" s="19" t="s">
        <v>28</v>
      </c>
      <c r="H1206" s="19"/>
    </row>
    <row r="1207" spans="1:8" ht="28" x14ac:dyDescent="0.35">
      <c r="A1207" s="19" t="s">
        <v>2223</v>
      </c>
      <c r="B1207" s="20" t="s">
        <v>2221</v>
      </c>
      <c r="C1207" s="20" t="s">
        <v>2220</v>
      </c>
      <c r="D1207" s="19" t="s">
        <v>174</v>
      </c>
      <c r="E1207" s="19" t="s">
        <v>2222</v>
      </c>
      <c r="F1207" s="19">
        <v>0.20810000000000001</v>
      </c>
      <c r="G1207" s="19"/>
      <c r="H1207" s="19"/>
    </row>
    <row r="1208" spans="1:8" x14ac:dyDescent="0.35">
      <c r="A1208" s="19" t="s">
        <v>4980</v>
      </c>
      <c r="B1208" s="20"/>
      <c r="C1208" s="20"/>
      <c r="D1208" s="19"/>
      <c r="E1208" s="19"/>
      <c r="F1208" s="19"/>
      <c r="G1208" s="19"/>
      <c r="H1208" s="19"/>
    </row>
    <row r="1209" spans="1:8" x14ac:dyDescent="0.35">
      <c r="A1209" s="19" t="s">
        <v>1927</v>
      </c>
      <c r="B1209" s="20" t="s">
        <v>1925</v>
      </c>
      <c r="C1209" s="20" t="s">
        <v>1924</v>
      </c>
      <c r="D1209" s="19" t="s">
        <v>174</v>
      </c>
      <c r="E1209" s="19" t="s">
        <v>1926</v>
      </c>
      <c r="F1209" s="19">
        <v>0.23749999999999999</v>
      </c>
      <c r="G1209" s="19" t="s">
        <v>1823</v>
      </c>
      <c r="H1209" s="19" t="s">
        <v>273</v>
      </c>
    </row>
    <row r="1210" spans="1:8" x14ac:dyDescent="0.35">
      <c r="A1210" s="19" t="s">
        <v>4981</v>
      </c>
      <c r="B1210" s="20" t="s">
        <v>4982</v>
      </c>
      <c r="C1210" s="20" t="s">
        <v>1038</v>
      </c>
      <c r="D1210" s="19" t="s">
        <v>4</v>
      </c>
      <c r="E1210" s="19" t="s">
        <v>67</v>
      </c>
      <c r="F1210" s="19">
        <v>0.8</v>
      </c>
      <c r="G1210" s="19"/>
      <c r="H1210" s="19"/>
    </row>
    <row r="1211" spans="1:8" ht="28" x14ac:dyDescent="0.35">
      <c r="A1211" s="19" t="s">
        <v>4983</v>
      </c>
      <c r="B1211" s="20" t="s">
        <v>4984</v>
      </c>
      <c r="C1211" s="20" t="s">
        <v>4985</v>
      </c>
      <c r="D1211" s="19" t="s">
        <v>21</v>
      </c>
      <c r="E1211" s="19" t="s">
        <v>590</v>
      </c>
      <c r="F1211" s="19">
        <v>1</v>
      </c>
      <c r="G1211" s="19" t="s">
        <v>67</v>
      </c>
      <c r="H1211" s="19"/>
    </row>
    <row r="1212" spans="1:8" x14ac:dyDescent="0.35">
      <c r="A1212" s="19" t="s">
        <v>4986</v>
      </c>
      <c r="B1212" s="20" t="s">
        <v>3178</v>
      </c>
      <c r="C1212" s="20" t="s">
        <v>3178</v>
      </c>
      <c r="D1212" s="19" t="s">
        <v>174</v>
      </c>
      <c r="E1212" s="19" t="s">
        <v>2448</v>
      </c>
      <c r="F1212" s="19">
        <v>0.30249999999999999</v>
      </c>
      <c r="G1212" s="19" t="s">
        <v>1397</v>
      </c>
      <c r="H1212" s="19" t="s">
        <v>2196</v>
      </c>
    </row>
    <row r="1213" spans="1:8" x14ac:dyDescent="0.35">
      <c r="A1213" s="19" t="s">
        <v>4987</v>
      </c>
      <c r="B1213" s="20" t="s">
        <v>4608</v>
      </c>
      <c r="C1213" s="20" t="s">
        <v>1553</v>
      </c>
      <c r="D1213" s="19" t="s">
        <v>174</v>
      </c>
      <c r="E1213" s="19" t="s">
        <v>1402</v>
      </c>
      <c r="F1213" s="19">
        <v>0.27429999999999999</v>
      </c>
      <c r="G1213" s="19" t="s">
        <v>1415</v>
      </c>
      <c r="H1213" s="19" t="s">
        <v>235</v>
      </c>
    </row>
    <row r="1214" spans="1:8" x14ac:dyDescent="0.35">
      <c r="A1214" s="19" t="s">
        <v>4988</v>
      </c>
      <c r="B1214" s="20"/>
      <c r="C1214" s="20"/>
      <c r="D1214" s="19"/>
      <c r="E1214" s="19"/>
      <c r="F1214" s="19"/>
      <c r="G1214" s="19"/>
      <c r="H1214" s="19"/>
    </row>
    <row r="1215" spans="1:8" x14ac:dyDescent="0.35">
      <c r="A1215" s="19" t="s">
        <v>4989</v>
      </c>
      <c r="B1215" s="20" t="s">
        <v>4990</v>
      </c>
      <c r="C1215" s="20" t="s">
        <v>869</v>
      </c>
      <c r="D1215" s="19" t="s">
        <v>4</v>
      </c>
      <c r="E1215" s="19" t="s">
        <v>67</v>
      </c>
      <c r="F1215" s="19">
        <v>0.8</v>
      </c>
      <c r="G1215" s="19"/>
      <c r="H1215" s="19"/>
    </row>
    <row r="1216" spans="1:8" x14ac:dyDescent="0.35">
      <c r="A1216" s="19" t="s">
        <v>1020</v>
      </c>
      <c r="B1216" s="20" t="s">
        <v>1019</v>
      </c>
      <c r="C1216" s="20" t="s">
        <v>1018</v>
      </c>
      <c r="D1216" s="19" t="s">
        <v>4</v>
      </c>
      <c r="E1216" s="19" t="s">
        <v>67</v>
      </c>
      <c r="F1216" s="19">
        <v>0.8</v>
      </c>
      <c r="G1216" s="19"/>
      <c r="H1216" s="19"/>
    </row>
    <row r="1217" spans="1:8" x14ac:dyDescent="0.35">
      <c r="A1217" s="19" t="s">
        <v>4991</v>
      </c>
      <c r="B1217" s="20" t="s">
        <v>4992</v>
      </c>
      <c r="C1217" s="20" t="s">
        <v>309</v>
      </c>
      <c r="D1217" s="19" t="s">
        <v>174</v>
      </c>
      <c r="E1217" s="19" t="s">
        <v>311</v>
      </c>
      <c r="F1217" s="19">
        <v>0.46060000000000001</v>
      </c>
      <c r="G1217" s="19" t="s">
        <v>312</v>
      </c>
      <c r="H1217" s="19" t="s">
        <v>105</v>
      </c>
    </row>
    <row r="1218" spans="1:8" ht="28" x14ac:dyDescent="0.35">
      <c r="A1218" s="19" t="s">
        <v>3676</v>
      </c>
      <c r="B1218" s="20" t="s">
        <v>3675</v>
      </c>
      <c r="C1218" s="20" t="s">
        <v>3674</v>
      </c>
      <c r="D1218" s="19" t="s">
        <v>174</v>
      </c>
      <c r="E1218" s="19" t="s">
        <v>1445</v>
      </c>
      <c r="F1218" s="19">
        <v>0.40949999999999998</v>
      </c>
      <c r="G1218" s="19" t="s">
        <v>1549</v>
      </c>
      <c r="H1218" s="19" t="s">
        <v>1900</v>
      </c>
    </row>
    <row r="1219" spans="1:8" x14ac:dyDescent="0.35">
      <c r="A1219" s="19" t="s">
        <v>4993</v>
      </c>
      <c r="B1219" s="20" t="s">
        <v>1663</v>
      </c>
      <c r="C1219" s="20" t="s">
        <v>1662</v>
      </c>
      <c r="D1219" s="19" t="s">
        <v>174</v>
      </c>
      <c r="E1219" s="19" t="s">
        <v>1664</v>
      </c>
      <c r="F1219" s="19">
        <v>0.26500000000000001</v>
      </c>
      <c r="G1219" s="19" t="s">
        <v>1665</v>
      </c>
      <c r="H1219" s="19" t="s">
        <v>1666</v>
      </c>
    </row>
    <row r="1220" spans="1:8" ht="28" x14ac:dyDescent="0.35">
      <c r="A1220" s="19" t="s">
        <v>2032</v>
      </c>
      <c r="B1220" s="20" t="s">
        <v>2030</v>
      </c>
      <c r="C1220" s="20" t="s">
        <v>2029</v>
      </c>
      <c r="D1220" s="19" t="s">
        <v>174</v>
      </c>
      <c r="E1220" s="19" t="s">
        <v>2031</v>
      </c>
      <c r="F1220" s="19">
        <v>0.22489999999999999</v>
      </c>
      <c r="G1220" s="19"/>
      <c r="H1220" s="19"/>
    </row>
    <row r="1221" spans="1:8" x14ac:dyDescent="0.35">
      <c r="A1221" s="19" t="s">
        <v>4994</v>
      </c>
      <c r="B1221" s="20" t="s">
        <v>2558</v>
      </c>
      <c r="C1221" s="20" t="s">
        <v>2558</v>
      </c>
      <c r="D1221" s="19" t="s">
        <v>174</v>
      </c>
      <c r="E1221" s="19" t="s">
        <v>533</v>
      </c>
      <c r="F1221" s="19">
        <v>0.37119999999999997</v>
      </c>
      <c r="G1221" s="19" t="s">
        <v>1396</v>
      </c>
      <c r="H1221" s="19" t="s">
        <v>1397</v>
      </c>
    </row>
    <row r="1222" spans="1:8" x14ac:dyDescent="0.35">
      <c r="A1222" s="19" t="s">
        <v>281</v>
      </c>
      <c r="B1222" s="20" t="s">
        <v>277</v>
      </c>
      <c r="C1222" s="20" t="s">
        <v>277</v>
      </c>
      <c r="D1222" s="19" t="s">
        <v>174</v>
      </c>
      <c r="E1222" s="19" t="s">
        <v>278</v>
      </c>
      <c r="F1222" s="19">
        <v>0.33310000000000001</v>
      </c>
      <c r="G1222" s="19" t="s">
        <v>279</v>
      </c>
      <c r="H1222" s="19" t="s">
        <v>280</v>
      </c>
    </row>
    <row r="1223" spans="1:8" x14ac:dyDescent="0.35">
      <c r="A1223" s="19" t="s">
        <v>3594</v>
      </c>
      <c r="B1223" s="20" t="s">
        <v>3593</v>
      </c>
      <c r="C1223" s="20" t="s">
        <v>3592</v>
      </c>
      <c r="D1223" s="19" t="s">
        <v>174</v>
      </c>
      <c r="E1223" s="19" t="s">
        <v>3491</v>
      </c>
      <c r="F1223" s="19">
        <v>0.41949999999999998</v>
      </c>
      <c r="G1223" s="19" t="s">
        <v>3492</v>
      </c>
      <c r="H1223" s="19" t="s">
        <v>2448</v>
      </c>
    </row>
    <row r="1224" spans="1:8" ht="56" x14ac:dyDescent="0.35">
      <c r="A1224" s="19" t="s">
        <v>4160</v>
      </c>
      <c r="B1224" s="20" t="s">
        <v>4159</v>
      </c>
      <c r="C1224" s="20" t="s">
        <v>4158</v>
      </c>
      <c r="D1224" s="19"/>
      <c r="E1224" s="19"/>
      <c r="F1224" s="19"/>
      <c r="G1224" s="19"/>
      <c r="H1224" s="19"/>
    </row>
    <row r="1225" spans="1:8" ht="28" x14ac:dyDescent="0.35">
      <c r="A1225" s="19" t="s">
        <v>1451</v>
      </c>
      <c r="B1225" s="20" t="s">
        <v>1449</v>
      </c>
      <c r="C1225" s="20" t="s">
        <v>1448</v>
      </c>
      <c r="D1225" s="19" t="s">
        <v>174</v>
      </c>
      <c r="E1225" s="19" t="s">
        <v>1445</v>
      </c>
      <c r="F1225" s="19">
        <v>0.2823</v>
      </c>
      <c r="G1225" s="19" t="s">
        <v>1450</v>
      </c>
      <c r="H1225" s="19"/>
    </row>
    <row r="1226" spans="1:8" x14ac:dyDescent="0.35">
      <c r="A1226" s="19" t="s">
        <v>4995</v>
      </c>
      <c r="B1226" s="20"/>
      <c r="C1226" s="20"/>
      <c r="D1226" s="19"/>
      <c r="E1226" s="19"/>
      <c r="F1226" s="19"/>
      <c r="G1226" s="19"/>
      <c r="H1226" s="19"/>
    </row>
    <row r="1227" spans="1:8" x14ac:dyDescent="0.35">
      <c r="A1227" s="19" t="s">
        <v>4996</v>
      </c>
      <c r="B1227" s="20" t="s">
        <v>448</v>
      </c>
      <c r="C1227" s="20" t="s">
        <v>448</v>
      </c>
      <c r="D1227" s="19" t="s">
        <v>21</v>
      </c>
      <c r="E1227" s="19" t="s">
        <v>451</v>
      </c>
      <c r="F1227" s="19">
        <v>1</v>
      </c>
      <c r="G1227" s="19"/>
      <c r="H1227" s="19"/>
    </row>
    <row r="1228" spans="1:8" x14ac:dyDescent="0.35">
      <c r="A1228" s="19" t="s">
        <v>4997</v>
      </c>
      <c r="B1228" s="20"/>
      <c r="C1228" s="20"/>
      <c r="D1228" s="19"/>
      <c r="E1228" s="19"/>
      <c r="F1228" s="19"/>
      <c r="G1228" s="19"/>
      <c r="H1228" s="19"/>
    </row>
    <row r="1229" spans="1:8" ht="28" x14ac:dyDescent="0.35">
      <c r="A1229" s="19" t="s">
        <v>930</v>
      </c>
      <c r="B1229" s="20" t="s">
        <v>929</v>
      </c>
      <c r="C1229" s="20" t="s">
        <v>928</v>
      </c>
      <c r="D1229" s="19" t="s">
        <v>4</v>
      </c>
      <c r="E1229" s="19" t="s">
        <v>526</v>
      </c>
      <c r="F1229" s="19">
        <v>0.8</v>
      </c>
      <c r="G1229" s="19"/>
      <c r="H1229" s="19"/>
    </row>
    <row r="1230" spans="1:8" ht="42" x14ac:dyDescent="0.35">
      <c r="A1230" s="19" t="s">
        <v>2985</v>
      </c>
      <c r="B1230" s="20" t="s">
        <v>2982</v>
      </c>
      <c r="C1230" s="20" t="s">
        <v>2981</v>
      </c>
      <c r="D1230" s="19" t="s">
        <v>174</v>
      </c>
      <c r="E1230" s="19" t="s">
        <v>2368</v>
      </c>
      <c r="F1230" s="19">
        <v>0.3251</v>
      </c>
      <c r="G1230" s="19" t="s">
        <v>2983</v>
      </c>
      <c r="H1230" s="19" t="s">
        <v>2984</v>
      </c>
    </row>
    <row r="1231" spans="1:8" ht="84" x14ac:dyDescent="0.35">
      <c r="A1231" s="19" t="s">
        <v>1754</v>
      </c>
      <c r="B1231" s="20" t="s">
        <v>1750</v>
      </c>
      <c r="C1231" s="20" t="s">
        <v>1749</v>
      </c>
      <c r="D1231" s="19" t="s">
        <v>174</v>
      </c>
      <c r="E1231" s="19" t="s">
        <v>1752</v>
      </c>
      <c r="F1231" s="19">
        <v>0.25380000000000003</v>
      </c>
      <c r="G1231" s="19" t="s">
        <v>1753</v>
      </c>
      <c r="H1231" s="19"/>
    </row>
    <row r="1232" spans="1:8" x14ac:dyDescent="0.35">
      <c r="A1232" s="19" t="s">
        <v>4998</v>
      </c>
      <c r="B1232" s="20" t="s">
        <v>4999</v>
      </c>
      <c r="C1232" s="20" t="s">
        <v>548</v>
      </c>
      <c r="D1232" s="19" t="s">
        <v>21</v>
      </c>
      <c r="E1232" s="19" t="s">
        <v>548</v>
      </c>
      <c r="F1232" s="19">
        <v>1</v>
      </c>
      <c r="G1232" s="19"/>
      <c r="H1232" s="19"/>
    </row>
    <row r="1233" spans="1:8" x14ac:dyDescent="0.35">
      <c r="A1233" s="19" t="s">
        <v>3524</v>
      </c>
      <c r="B1233" s="20" t="s">
        <v>3521</v>
      </c>
      <c r="C1233" s="20" t="s">
        <v>3520</v>
      </c>
      <c r="D1233" s="19" t="s">
        <v>174</v>
      </c>
      <c r="E1233" s="19" t="s">
        <v>1270</v>
      </c>
      <c r="F1233" s="19">
        <v>0.42680000000000001</v>
      </c>
      <c r="G1233" s="19" t="s">
        <v>3522</v>
      </c>
      <c r="H1233" s="19" t="s">
        <v>3523</v>
      </c>
    </row>
    <row r="1234" spans="1:8" x14ac:dyDescent="0.35">
      <c r="A1234" s="19" t="s">
        <v>3455</v>
      </c>
      <c r="B1234" s="20" t="s">
        <v>3451</v>
      </c>
      <c r="C1234" s="20" t="s">
        <v>3450</v>
      </c>
      <c r="D1234" s="19" t="s">
        <v>174</v>
      </c>
      <c r="E1234" s="19" t="s">
        <v>60</v>
      </c>
      <c r="F1234" s="19">
        <v>0.44080000000000003</v>
      </c>
      <c r="G1234" s="19" t="s">
        <v>3453</v>
      </c>
      <c r="H1234" s="19" t="s">
        <v>3454</v>
      </c>
    </row>
    <row r="1235" spans="1:8" x14ac:dyDescent="0.35">
      <c r="A1235" s="19" t="s">
        <v>5000</v>
      </c>
      <c r="B1235" s="20" t="s">
        <v>3593</v>
      </c>
      <c r="C1235" s="20" t="s">
        <v>3592</v>
      </c>
      <c r="D1235" s="19" t="s">
        <v>174</v>
      </c>
      <c r="E1235" s="19" t="s">
        <v>3491</v>
      </c>
      <c r="F1235" s="19">
        <v>0.41949999999999998</v>
      </c>
      <c r="G1235" s="19" t="s">
        <v>3492</v>
      </c>
      <c r="H1235" s="19" t="s">
        <v>2448</v>
      </c>
    </row>
    <row r="1236" spans="1:8" x14ac:dyDescent="0.35">
      <c r="A1236" s="19" t="s">
        <v>5001</v>
      </c>
      <c r="B1236" s="20"/>
      <c r="C1236" s="20"/>
      <c r="D1236" s="19"/>
      <c r="E1236" s="19"/>
      <c r="F1236" s="19"/>
      <c r="G1236" s="19"/>
      <c r="H1236" s="19"/>
    </row>
    <row r="1237" spans="1:8" ht="56" x14ac:dyDescent="0.35">
      <c r="A1237" s="19" t="s">
        <v>3734</v>
      </c>
      <c r="B1237" s="20" t="s">
        <v>3733</v>
      </c>
      <c r="C1237" s="20" t="s">
        <v>3732</v>
      </c>
      <c r="D1237" s="19"/>
      <c r="E1237" s="19"/>
      <c r="F1237" s="19"/>
      <c r="G1237" s="19"/>
      <c r="H1237" s="19"/>
    </row>
    <row r="1238" spans="1:8" x14ac:dyDescent="0.35">
      <c r="A1238" s="19" t="s">
        <v>5002</v>
      </c>
      <c r="B1238" s="20" t="s">
        <v>5003</v>
      </c>
      <c r="C1238" s="20" t="s">
        <v>424</v>
      </c>
      <c r="D1238" s="19" t="s">
        <v>21</v>
      </c>
      <c r="E1238" s="19" t="s">
        <v>424</v>
      </c>
      <c r="F1238" s="19">
        <v>0.8</v>
      </c>
      <c r="G1238" s="19" t="s">
        <v>426</v>
      </c>
      <c r="H1238" s="19"/>
    </row>
    <row r="1239" spans="1:8" x14ac:dyDescent="0.35">
      <c r="A1239" s="19" t="s">
        <v>5004</v>
      </c>
      <c r="B1239" s="20" t="s">
        <v>5005</v>
      </c>
      <c r="C1239" s="20" t="s">
        <v>424</v>
      </c>
      <c r="D1239" s="19" t="s">
        <v>21</v>
      </c>
      <c r="E1239" s="19" t="s">
        <v>424</v>
      </c>
      <c r="F1239" s="19">
        <v>0.8</v>
      </c>
      <c r="G1239" s="19" t="s">
        <v>426</v>
      </c>
      <c r="H1239" s="19"/>
    </row>
    <row r="1240" spans="1:8" x14ac:dyDescent="0.35">
      <c r="A1240" s="19" t="s">
        <v>5006</v>
      </c>
      <c r="B1240" s="20" t="s">
        <v>5007</v>
      </c>
      <c r="C1240" s="20" t="s">
        <v>3024</v>
      </c>
      <c r="D1240" s="19" t="s">
        <v>174</v>
      </c>
      <c r="E1240" s="19" t="s">
        <v>3532</v>
      </c>
      <c r="F1240" s="19">
        <v>0.42670000000000002</v>
      </c>
      <c r="G1240" s="19" t="s">
        <v>2933</v>
      </c>
      <c r="H1240" s="19" t="s">
        <v>3533</v>
      </c>
    </row>
    <row r="1241" spans="1:8" x14ac:dyDescent="0.35">
      <c r="A1241" s="19" t="s">
        <v>5008</v>
      </c>
      <c r="B1241" s="20"/>
      <c r="C1241" s="20"/>
      <c r="D1241" s="19"/>
      <c r="E1241" s="19"/>
      <c r="F1241" s="19"/>
      <c r="G1241" s="19"/>
      <c r="H1241" s="19"/>
    </row>
    <row r="1242" spans="1:8" x14ac:dyDescent="0.35">
      <c r="A1242" s="19" t="s">
        <v>5009</v>
      </c>
      <c r="B1242" s="20" t="s">
        <v>963</v>
      </c>
      <c r="C1242" s="20" t="s">
        <v>962</v>
      </c>
      <c r="D1242" s="19" t="s">
        <v>4</v>
      </c>
      <c r="E1242" s="19" t="s">
        <v>67</v>
      </c>
      <c r="F1242" s="19">
        <v>0.8</v>
      </c>
      <c r="G1242" s="19"/>
      <c r="H1242" s="19"/>
    </row>
    <row r="1243" spans="1:8" x14ac:dyDescent="0.35">
      <c r="A1243" s="19" t="s">
        <v>1068</v>
      </c>
      <c r="B1243" s="20" t="s">
        <v>1067</v>
      </c>
      <c r="C1243" s="20" t="s">
        <v>1067</v>
      </c>
      <c r="D1243" s="19" t="s">
        <v>4</v>
      </c>
      <c r="E1243" s="19" t="s">
        <v>1064</v>
      </c>
      <c r="F1243" s="19">
        <v>0.8</v>
      </c>
      <c r="G1243" s="19"/>
      <c r="H1243" s="19"/>
    </row>
    <row r="1244" spans="1:8" x14ac:dyDescent="0.35">
      <c r="A1244" s="19" t="s">
        <v>5010</v>
      </c>
      <c r="B1244" s="20" t="s">
        <v>5011</v>
      </c>
      <c r="C1244" s="20" t="s">
        <v>424</v>
      </c>
      <c r="D1244" s="19" t="s">
        <v>21</v>
      </c>
      <c r="E1244" s="19" t="s">
        <v>424</v>
      </c>
      <c r="F1244" s="19">
        <v>0.8</v>
      </c>
      <c r="G1244" s="19" t="s">
        <v>426</v>
      </c>
      <c r="H1244" s="19"/>
    </row>
    <row r="1245" spans="1:8" ht="28" x14ac:dyDescent="0.35">
      <c r="A1245" s="19" t="s">
        <v>3421</v>
      </c>
      <c r="B1245" s="20" t="s">
        <v>3419</v>
      </c>
      <c r="C1245" s="20" t="s">
        <v>3418</v>
      </c>
      <c r="D1245" s="19" t="s">
        <v>174</v>
      </c>
      <c r="E1245" s="19" t="s">
        <v>1980</v>
      </c>
      <c r="F1245" s="19">
        <v>0.44629999999999997</v>
      </c>
      <c r="G1245" s="19" t="s">
        <v>1806</v>
      </c>
      <c r="H1245" s="19" t="s">
        <v>3420</v>
      </c>
    </row>
    <row r="1246" spans="1:8" ht="42" x14ac:dyDescent="0.35">
      <c r="A1246" s="19" t="s">
        <v>1312</v>
      </c>
      <c r="B1246" s="20" t="s">
        <v>1307</v>
      </c>
      <c r="C1246" s="20" t="s">
        <v>1306</v>
      </c>
      <c r="D1246" s="19" t="s">
        <v>174</v>
      </c>
      <c r="E1246" s="19" t="s">
        <v>1309</v>
      </c>
      <c r="F1246" s="19">
        <v>0.29559999999999997</v>
      </c>
      <c r="G1246" s="19" t="s">
        <v>1310</v>
      </c>
      <c r="H1246" s="19" t="s">
        <v>1311</v>
      </c>
    </row>
    <row r="1247" spans="1:8" x14ac:dyDescent="0.35">
      <c r="A1247" s="19" t="s">
        <v>5012</v>
      </c>
      <c r="B1247" s="20" t="s">
        <v>5013</v>
      </c>
      <c r="C1247" s="20"/>
      <c r="D1247" s="19"/>
      <c r="E1247" s="19"/>
      <c r="F1247" s="19"/>
      <c r="G1247" s="19"/>
      <c r="H1247" s="19"/>
    </row>
    <row r="1248" spans="1:8" ht="56" x14ac:dyDescent="0.35">
      <c r="A1248" s="19" t="s">
        <v>3992</v>
      </c>
      <c r="B1248" s="20" t="s">
        <v>3990</v>
      </c>
      <c r="C1248" s="20" t="s">
        <v>3990</v>
      </c>
      <c r="D1248" s="19"/>
      <c r="E1248" s="19"/>
      <c r="F1248" s="19"/>
      <c r="G1248" s="19"/>
      <c r="H1248" s="19"/>
    </row>
    <row r="1249" spans="1:8" x14ac:dyDescent="0.35">
      <c r="A1249" s="19" t="s">
        <v>654</v>
      </c>
      <c r="B1249" s="20" t="s">
        <v>653</v>
      </c>
      <c r="C1249" s="20" t="s">
        <v>652</v>
      </c>
      <c r="D1249" s="19" t="s">
        <v>4</v>
      </c>
      <c r="E1249" s="19" t="s">
        <v>424</v>
      </c>
      <c r="F1249" s="19">
        <v>0.64</v>
      </c>
      <c r="G1249" s="19" t="s">
        <v>426</v>
      </c>
      <c r="H1249" s="19"/>
    </row>
    <row r="1250" spans="1:8" ht="28" x14ac:dyDescent="0.35">
      <c r="A1250" s="19" t="s">
        <v>1237</v>
      </c>
      <c r="B1250" s="20" t="s">
        <v>1236</v>
      </c>
      <c r="C1250" s="20" t="s">
        <v>1235</v>
      </c>
      <c r="D1250" s="19" t="s">
        <v>115</v>
      </c>
      <c r="E1250" s="19" t="s">
        <v>1223</v>
      </c>
      <c r="F1250" s="19">
        <v>0.48</v>
      </c>
      <c r="G1250" s="19" t="s">
        <v>1224</v>
      </c>
      <c r="H1250" s="19"/>
    </row>
    <row r="1251" spans="1:8" x14ac:dyDescent="0.35">
      <c r="A1251" s="19" t="s">
        <v>5014</v>
      </c>
      <c r="B1251" s="20" t="s">
        <v>5015</v>
      </c>
      <c r="C1251" s="20" t="s">
        <v>26</v>
      </c>
      <c r="D1251" s="19" t="s">
        <v>21</v>
      </c>
      <c r="E1251" s="19" t="s">
        <v>26</v>
      </c>
      <c r="F1251" s="19">
        <v>0.8</v>
      </c>
      <c r="G1251" s="19" t="s">
        <v>28</v>
      </c>
      <c r="H1251" s="19"/>
    </row>
    <row r="1252" spans="1:8" x14ac:dyDescent="0.35">
      <c r="A1252" s="19" t="s">
        <v>5016</v>
      </c>
      <c r="B1252" s="20" t="s">
        <v>5017</v>
      </c>
      <c r="C1252" s="20" t="s">
        <v>3024</v>
      </c>
      <c r="D1252" s="19" t="s">
        <v>174</v>
      </c>
      <c r="E1252" s="19" t="s">
        <v>3532</v>
      </c>
      <c r="F1252" s="19">
        <v>0.42670000000000002</v>
      </c>
      <c r="G1252" s="19" t="s">
        <v>2933</v>
      </c>
      <c r="H1252" s="19" t="s">
        <v>3533</v>
      </c>
    </row>
    <row r="1253" spans="1:8" x14ac:dyDescent="0.35">
      <c r="A1253" s="19" t="s">
        <v>5018</v>
      </c>
      <c r="B1253" s="20" t="s">
        <v>5015</v>
      </c>
      <c r="C1253" s="20" t="s">
        <v>26</v>
      </c>
      <c r="D1253" s="19" t="s">
        <v>21</v>
      </c>
      <c r="E1253" s="19" t="s">
        <v>26</v>
      </c>
      <c r="F1253" s="19">
        <v>0.8</v>
      </c>
      <c r="G1253" s="19" t="s">
        <v>28</v>
      </c>
      <c r="H1253" s="19"/>
    </row>
    <row r="1254" spans="1:8" x14ac:dyDescent="0.35">
      <c r="A1254" s="19" t="s">
        <v>5019</v>
      </c>
      <c r="B1254" s="20" t="s">
        <v>5015</v>
      </c>
      <c r="C1254" s="20" t="s">
        <v>26</v>
      </c>
      <c r="D1254" s="19" t="s">
        <v>21</v>
      </c>
      <c r="E1254" s="19" t="s">
        <v>26</v>
      </c>
      <c r="F1254" s="19">
        <v>0.8</v>
      </c>
      <c r="G1254" s="19" t="s">
        <v>28</v>
      </c>
      <c r="H1254" s="19"/>
    </row>
    <row r="1255" spans="1:8" x14ac:dyDescent="0.35">
      <c r="A1255" s="19" t="s">
        <v>5020</v>
      </c>
      <c r="B1255" s="20" t="s">
        <v>5015</v>
      </c>
      <c r="C1255" s="20" t="s">
        <v>26</v>
      </c>
      <c r="D1255" s="19" t="s">
        <v>21</v>
      </c>
      <c r="E1255" s="19" t="s">
        <v>26</v>
      </c>
      <c r="F1255" s="19">
        <v>0.8</v>
      </c>
      <c r="G1255" s="19" t="s">
        <v>28</v>
      </c>
      <c r="H1255" s="19"/>
    </row>
    <row r="1256" spans="1:8" x14ac:dyDescent="0.35">
      <c r="A1256" s="19" t="s">
        <v>5021</v>
      </c>
      <c r="B1256" s="20" t="s">
        <v>5022</v>
      </c>
      <c r="C1256" s="20" t="s">
        <v>26</v>
      </c>
      <c r="D1256" s="19" t="s">
        <v>21</v>
      </c>
      <c r="E1256" s="19" t="s">
        <v>26</v>
      </c>
      <c r="F1256" s="19">
        <v>0.8</v>
      </c>
      <c r="G1256" s="19" t="s">
        <v>28</v>
      </c>
      <c r="H1256" s="19"/>
    </row>
    <row r="1257" spans="1:8" x14ac:dyDescent="0.35">
      <c r="A1257" s="19" t="s">
        <v>5023</v>
      </c>
      <c r="B1257" s="20"/>
      <c r="C1257" s="20"/>
      <c r="D1257" s="19"/>
      <c r="E1257" s="19"/>
      <c r="F1257" s="19"/>
      <c r="G1257" s="19"/>
      <c r="H1257" s="19"/>
    </row>
    <row r="1258" spans="1:8" x14ac:dyDescent="0.35">
      <c r="A1258" s="19" t="s">
        <v>5024</v>
      </c>
      <c r="B1258" s="20" t="s">
        <v>26</v>
      </c>
      <c r="C1258" s="20" t="s">
        <v>26</v>
      </c>
      <c r="D1258" s="19" t="s">
        <v>21</v>
      </c>
      <c r="E1258" s="19" t="s">
        <v>26</v>
      </c>
      <c r="F1258" s="19">
        <v>0.8</v>
      </c>
      <c r="G1258" s="19" t="s">
        <v>28</v>
      </c>
      <c r="H1258" s="19"/>
    </row>
    <row r="1259" spans="1:8" x14ac:dyDescent="0.35">
      <c r="A1259" s="19" t="s">
        <v>5025</v>
      </c>
      <c r="B1259" s="20" t="s">
        <v>5026</v>
      </c>
      <c r="C1259" s="20" t="s">
        <v>26</v>
      </c>
      <c r="D1259" s="19" t="s">
        <v>21</v>
      </c>
      <c r="E1259" s="19" t="s">
        <v>26</v>
      </c>
      <c r="F1259" s="19">
        <v>0.8</v>
      </c>
      <c r="G1259" s="19" t="s">
        <v>28</v>
      </c>
      <c r="H1259" s="19"/>
    </row>
    <row r="1260" spans="1:8" x14ac:dyDescent="0.35">
      <c r="A1260" s="19" t="s">
        <v>5027</v>
      </c>
      <c r="B1260" s="20" t="s">
        <v>3668</v>
      </c>
      <c r="C1260" s="20" t="s">
        <v>3667</v>
      </c>
      <c r="D1260" s="19" t="s">
        <v>174</v>
      </c>
      <c r="E1260" s="19" t="s">
        <v>3670</v>
      </c>
      <c r="F1260" s="19">
        <v>0.4103</v>
      </c>
      <c r="G1260" s="19" t="s">
        <v>3540</v>
      </c>
      <c r="H1260" s="19" t="s">
        <v>3671</v>
      </c>
    </row>
    <row r="1261" spans="1:8" x14ac:dyDescent="0.35">
      <c r="A1261" s="19" t="s">
        <v>5028</v>
      </c>
      <c r="B1261" s="20"/>
      <c r="C1261" s="20"/>
      <c r="D1261" s="19"/>
      <c r="E1261" s="19"/>
      <c r="F1261" s="19"/>
      <c r="G1261" s="19"/>
      <c r="H1261" s="19"/>
    </row>
    <row r="1262" spans="1:8" x14ac:dyDescent="0.35">
      <c r="A1262" s="19" t="s">
        <v>697</v>
      </c>
      <c r="B1262" s="20" t="s">
        <v>696</v>
      </c>
      <c r="C1262" s="20" t="s">
        <v>695</v>
      </c>
      <c r="D1262" s="19" t="s">
        <v>4</v>
      </c>
      <c r="E1262" s="19" t="s">
        <v>26</v>
      </c>
      <c r="F1262" s="19">
        <v>0.64</v>
      </c>
      <c r="G1262" s="19" t="s">
        <v>28</v>
      </c>
      <c r="H1262" s="19"/>
    </row>
    <row r="1263" spans="1:8" x14ac:dyDescent="0.35">
      <c r="A1263" s="19" t="s">
        <v>1858</v>
      </c>
      <c r="B1263" s="20" t="s">
        <v>1857</v>
      </c>
      <c r="C1263" s="20" t="s">
        <v>1856</v>
      </c>
      <c r="D1263" s="19" t="s">
        <v>174</v>
      </c>
      <c r="E1263" s="19" t="s">
        <v>722</v>
      </c>
      <c r="F1263" s="19">
        <v>0.24149999999999999</v>
      </c>
      <c r="G1263" s="19"/>
      <c r="H1263" s="19"/>
    </row>
    <row r="1264" spans="1:8" x14ac:dyDescent="0.35">
      <c r="A1264" s="19" t="s">
        <v>5029</v>
      </c>
      <c r="B1264" s="20" t="s">
        <v>5030</v>
      </c>
      <c r="C1264" s="20" t="s">
        <v>26</v>
      </c>
      <c r="D1264" s="19" t="s">
        <v>21</v>
      </c>
      <c r="E1264" s="19" t="s">
        <v>26</v>
      </c>
      <c r="F1264" s="19">
        <v>0.8</v>
      </c>
      <c r="G1264" s="19" t="s">
        <v>28</v>
      </c>
      <c r="H1264" s="19"/>
    </row>
    <row r="1265" spans="1:8" x14ac:dyDescent="0.35">
      <c r="A1265" s="19" t="s">
        <v>701</v>
      </c>
      <c r="B1265" s="20" t="s">
        <v>700</v>
      </c>
      <c r="C1265" s="20" t="s">
        <v>699</v>
      </c>
      <c r="D1265" s="19" t="s">
        <v>4</v>
      </c>
      <c r="E1265" s="19" t="s">
        <v>26</v>
      </c>
      <c r="F1265" s="19">
        <v>0.64</v>
      </c>
      <c r="G1265" s="19" t="s">
        <v>28</v>
      </c>
      <c r="H1265" s="19"/>
    </row>
    <row r="1266" spans="1:8" x14ac:dyDescent="0.35">
      <c r="A1266" s="19" t="s">
        <v>5031</v>
      </c>
      <c r="B1266" s="20"/>
      <c r="C1266" s="20"/>
      <c r="D1266" s="19"/>
      <c r="E1266" s="19"/>
      <c r="F1266" s="19"/>
      <c r="G1266" s="19"/>
      <c r="H1266" s="19"/>
    </row>
    <row r="1267" spans="1:8" x14ac:dyDescent="0.35">
      <c r="A1267" s="19" t="s">
        <v>5032</v>
      </c>
      <c r="B1267" s="20"/>
      <c r="C1267" s="20"/>
      <c r="D1267" s="19"/>
      <c r="E1267" s="19"/>
      <c r="F1267" s="19"/>
      <c r="G1267" s="19"/>
      <c r="H1267" s="19"/>
    </row>
    <row r="1268" spans="1:8" x14ac:dyDescent="0.35">
      <c r="A1268" s="19" t="s">
        <v>3494</v>
      </c>
      <c r="B1268" s="20" t="s">
        <v>3490</v>
      </c>
      <c r="C1268" s="20" t="s">
        <v>3490</v>
      </c>
      <c r="D1268" s="19" t="s">
        <v>174</v>
      </c>
      <c r="E1268" s="19" t="s">
        <v>3491</v>
      </c>
      <c r="F1268" s="19">
        <v>0.43490000000000001</v>
      </c>
      <c r="G1268" s="19" t="s">
        <v>3492</v>
      </c>
      <c r="H1268" s="19" t="s">
        <v>3493</v>
      </c>
    </row>
    <row r="1269" spans="1:8" x14ac:dyDescent="0.35">
      <c r="A1269" s="19" t="s">
        <v>5033</v>
      </c>
      <c r="B1269" s="20" t="s">
        <v>5034</v>
      </c>
      <c r="C1269" s="20" t="s">
        <v>3178</v>
      </c>
      <c r="D1269" s="19" t="s">
        <v>174</v>
      </c>
      <c r="E1269" s="19" t="s">
        <v>2448</v>
      </c>
      <c r="F1269" s="19">
        <v>0.30249999999999999</v>
      </c>
      <c r="G1269" s="19" t="s">
        <v>1397</v>
      </c>
      <c r="H1269" s="19" t="s">
        <v>2196</v>
      </c>
    </row>
    <row r="1270" spans="1:8" x14ac:dyDescent="0.35">
      <c r="A1270" s="19" t="s">
        <v>5035</v>
      </c>
      <c r="B1270" s="20" t="s">
        <v>5036</v>
      </c>
      <c r="C1270" s="20" t="s">
        <v>454</v>
      </c>
      <c r="D1270" s="19" t="s">
        <v>21</v>
      </c>
      <c r="E1270" s="19" t="s">
        <v>33</v>
      </c>
      <c r="F1270" s="19">
        <v>1</v>
      </c>
      <c r="G1270" s="19"/>
      <c r="H1270" s="19"/>
    </row>
    <row r="1271" spans="1:8" ht="28" x14ac:dyDescent="0.35">
      <c r="A1271" s="19" t="s">
        <v>748</v>
      </c>
      <c r="B1271" s="20" t="s">
        <v>747</v>
      </c>
      <c r="C1271" s="20" t="s">
        <v>746</v>
      </c>
      <c r="D1271" s="19" t="s">
        <v>4</v>
      </c>
      <c r="E1271" s="19" t="s">
        <v>424</v>
      </c>
      <c r="F1271" s="19">
        <v>0.64</v>
      </c>
      <c r="G1271" s="19" t="s">
        <v>426</v>
      </c>
      <c r="H1271" s="19"/>
    </row>
    <row r="1272" spans="1:8" ht="28" x14ac:dyDescent="0.35">
      <c r="A1272" s="19" t="s">
        <v>666</v>
      </c>
      <c r="B1272" s="20" t="s">
        <v>665</v>
      </c>
      <c r="C1272" s="20" t="s">
        <v>664</v>
      </c>
      <c r="D1272" s="19" t="s">
        <v>4</v>
      </c>
      <c r="E1272" s="19" t="s">
        <v>424</v>
      </c>
      <c r="F1272" s="19">
        <v>0.64</v>
      </c>
      <c r="G1272" s="19" t="s">
        <v>426</v>
      </c>
      <c r="H1272" s="19"/>
    </row>
    <row r="1273" spans="1:8" x14ac:dyDescent="0.35">
      <c r="A1273" s="19" t="s">
        <v>5037</v>
      </c>
      <c r="B1273" s="20" t="s">
        <v>4640</v>
      </c>
      <c r="C1273" s="20" t="s">
        <v>1650</v>
      </c>
      <c r="D1273" s="19" t="s">
        <v>174</v>
      </c>
      <c r="E1273" s="19" t="s">
        <v>1652</v>
      </c>
      <c r="F1273" s="19">
        <v>0.37809999999999999</v>
      </c>
      <c r="G1273" s="19" t="s">
        <v>1672</v>
      </c>
      <c r="H1273" s="19" t="s">
        <v>2532</v>
      </c>
    </row>
    <row r="1274" spans="1:8" ht="28" x14ac:dyDescent="0.35">
      <c r="A1274" s="19" t="s">
        <v>1653</v>
      </c>
      <c r="B1274" s="20" t="s">
        <v>1649</v>
      </c>
      <c r="C1274" s="20" t="s">
        <v>1649</v>
      </c>
      <c r="D1274" s="19" t="s">
        <v>174</v>
      </c>
      <c r="E1274" s="19" t="s">
        <v>1476</v>
      </c>
      <c r="F1274" s="19">
        <v>0.2666</v>
      </c>
      <c r="G1274" s="19" t="s">
        <v>1651</v>
      </c>
      <c r="H1274" s="19" t="s">
        <v>1652</v>
      </c>
    </row>
    <row r="1275" spans="1:8" x14ac:dyDescent="0.35">
      <c r="A1275" s="19" t="s">
        <v>5038</v>
      </c>
      <c r="B1275" s="20" t="s">
        <v>5039</v>
      </c>
      <c r="C1275" s="20" t="s">
        <v>454</v>
      </c>
      <c r="D1275" s="19" t="s">
        <v>21</v>
      </c>
      <c r="E1275" s="19" t="s">
        <v>33</v>
      </c>
      <c r="F1275" s="19">
        <v>1</v>
      </c>
      <c r="G1275" s="19"/>
      <c r="H1275" s="19"/>
    </row>
    <row r="1276" spans="1:8" x14ac:dyDescent="0.35">
      <c r="A1276" s="19" t="s">
        <v>797</v>
      </c>
      <c r="B1276" s="20" t="s">
        <v>796</v>
      </c>
      <c r="C1276" s="20" t="s">
        <v>795</v>
      </c>
      <c r="D1276" s="19" t="s">
        <v>4</v>
      </c>
      <c r="E1276" s="19" t="s">
        <v>578</v>
      </c>
      <c r="F1276" s="19">
        <v>0.8</v>
      </c>
      <c r="G1276" s="19"/>
      <c r="H1276" s="19"/>
    </row>
    <row r="1277" spans="1:8" x14ac:dyDescent="0.35">
      <c r="A1277" s="19" t="s">
        <v>5040</v>
      </c>
      <c r="B1277" s="20" t="s">
        <v>5041</v>
      </c>
      <c r="C1277" s="20" t="s">
        <v>3457</v>
      </c>
      <c r="D1277" s="19" t="s">
        <v>174</v>
      </c>
      <c r="E1277" s="19" t="s">
        <v>1963</v>
      </c>
      <c r="F1277" s="19">
        <v>0.43980000000000002</v>
      </c>
      <c r="G1277" s="19" t="s">
        <v>3458</v>
      </c>
      <c r="H1277" s="19" t="s">
        <v>3459</v>
      </c>
    </row>
    <row r="1278" spans="1:8" x14ac:dyDescent="0.35">
      <c r="A1278" s="19" t="s">
        <v>3542</v>
      </c>
      <c r="B1278" s="20" t="s">
        <v>3537</v>
      </c>
      <c r="C1278" s="20" t="s">
        <v>3536</v>
      </c>
      <c r="D1278" s="19" t="s">
        <v>174</v>
      </c>
      <c r="E1278" s="19" t="s">
        <v>3539</v>
      </c>
      <c r="F1278" s="19">
        <v>0.42599999999999999</v>
      </c>
      <c r="G1278" s="19" t="s">
        <v>3540</v>
      </c>
      <c r="H1278" s="19" t="s">
        <v>3541</v>
      </c>
    </row>
    <row r="1279" spans="1:8" x14ac:dyDescent="0.35">
      <c r="A1279" s="19" t="s">
        <v>5042</v>
      </c>
      <c r="B1279" s="20" t="s">
        <v>4757</v>
      </c>
      <c r="C1279" s="20" t="s">
        <v>576</v>
      </c>
      <c r="D1279" s="19" t="s">
        <v>21</v>
      </c>
      <c r="E1279" s="19" t="s">
        <v>578</v>
      </c>
      <c r="F1279" s="19">
        <v>1</v>
      </c>
      <c r="G1279" s="19"/>
      <c r="H1279" s="19"/>
    </row>
    <row r="1280" spans="1:8" x14ac:dyDescent="0.35">
      <c r="A1280" s="19" t="s">
        <v>5043</v>
      </c>
      <c r="B1280" s="20" t="s">
        <v>3668</v>
      </c>
      <c r="C1280" s="20" t="s">
        <v>3667</v>
      </c>
      <c r="D1280" s="19" t="s">
        <v>174</v>
      </c>
      <c r="E1280" s="19" t="s">
        <v>3670</v>
      </c>
      <c r="F1280" s="19">
        <v>0.4103</v>
      </c>
      <c r="G1280" s="19" t="s">
        <v>3540</v>
      </c>
      <c r="H1280" s="19" t="s">
        <v>3671</v>
      </c>
    </row>
    <row r="1281" spans="1:8" x14ac:dyDescent="0.35">
      <c r="A1281" s="19" t="s">
        <v>553</v>
      </c>
      <c r="B1281" s="20" t="s">
        <v>552</v>
      </c>
      <c r="C1281" s="20" t="s">
        <v>551</v>
      </c>
      <c r="D1281" s="19" t="s">
        <v>21</v>
      </c>
      <c r="E1281" s="19" t="s">
        <v>551</v>
      </c>
      <c r="F1281" s="19">
        <v>1</v>
      </c>
      <c r="G1281" s="19"/>
      <c r="H1281" s="19"/>
    </row>
    <row r="1282" spans="1:8" x14ac:dyDescent="0.35">
      <c r="A1282" s="19" t="s">
        <v>5044</v>
      </c>
      <c r="B1282" s="20"/>
      <c r="C1282" s="20"/>
      <c r="D1282" s="19"/>
      <c r="E1282" s="19"/>
      <c r="F1282" s="19"/>
      <c r="G1282" s="19"/>
      <c r="H1282" s="19"/>
    </row>
    <row r="1283" spans="1:8" x14ac:dyDescent="0.35">
      <c r="A1283" s="19" t="s">
        <v>5045</v>
      </c>
      <c r="B1283" s="20" t="s">
        <v>2140</v>
      </c>
      <c r="C1283" s="20" t="s">
        <v>2140</v>
      </c>
      <c r="D1283" s="19" t="s">
        <v>174</v>
      </c>
      <c r="E1283" s="19" t="s">
        <v>95</v>
      </c>
      <c r="F1283" s="19">
        <v>0.216</v>
      </c>
      <c r="G1283" s="19"/>
      <c r="H1283" s="19"/>
    </row>
    <row r="1284" spans="1:8" x14ac:dyDescent="0.35">
      <c r="A1284" s="19" t="s">
        <v>268</v>
      </c>
      <c r="B1284" s="20" t="s">
        <v>266</v>
      </c>
      <c r="C1284" s="20" t="s">
        <v>265</v>
      </c>
      <c r="D1284" s="19" t="s">
        <v>174</v>
      </c>
      <c r="E1284" s="19" t="s">
        <v>248</v>
      </c>
      <c r="F1284" s="19">
        <v>0.36030000000000001</v>
      </c>
      <c r="G1284" s="19" t="s">
        <v>249</v>
      </c>
      <c r="H1284" s="19" t="s">
        <v>267</v>
      </c>
    </row>
    <row r="1285" spans="1:8" x14ac:dyDescent="0.35">
      <c r="A1285" s="19" t="s">
        <v>5046</v>
      </c>
      <c r="B1285" s="20" t="s">
        <v>266</v>
      </c>
      <c r="C1285" s="20" t="s">
        <v>265</v>
      </c>
      <c r="D1285" s="19" t="s">
        <v>174</v>
      </c>
      <c r="E1285" s="19" t="s">
        <v>248</v>
      </c>
      <c r="F1285" s="19">
        <v>0.36030000000000001</v>
      </c>
      <c r="G1285" s="19" t="s">
        <v>249</v>
      </c>
      <c r="H1285" s="19" t="s">
        <v>267</v>
      </c>
    </row>
    <row r="1286" spans="1:8" x14ac:dyDescent="0.35">
      <c r="A1286" s="19" t="s">
        <v>5047</v>
      </c>
      <c r="B1286" s="20" t="s">
        <v>266</v>
      </c>
      <c r="C1286" s="20" t="s">
        <v>265</v>
      </c>
      <c r="D1286" s="19" t="s">
        <v>174</v>
      </c>
      <c r="E1286" s="19" t="s">
        <v>248</v>
      </c>
      <c r="F1286" s="19">
        <v>0.36030000000000001</v>
      </c>
      <c r="G1286" s="19" t="s">
        <v>249</v>
      </c>
      <c r="H1286" s="19" t="s">
        <v>267</v>
      </c>
    </row>
    <row r="1287" spans="1:8" x14ac:dyDescent="0.35">
      <c r="A1287" s="19" t="s">
        <v>5048</v>
      </c>
      <c r="B1287" s="20" t="s">
        <v>3668</v>
      </c>
      <c r="C1287" s="20" t="s">
        <v>3667</v>
      </c>
      <c r="D1287" s="19" t="s">
        <v>174</v>
      </c>
      <c r="E1287" s="19" t="s">
        <v>3670</v>
      </c>
      <c r="F1287" s="19">
        <v>0.4103</v>
      </c>
      <c r="G1287" s="19" t="s">
        <v>3540</v>
      </c>
      <c r="H1287" s="19" t="s">
        <v>3671</v>
      </c>
    </row>
    <row r="1288" spans="1:8" ht="28" x14ac:dyDescent="0.35">
      <c r="A1288" s="19" t="s">
        <v>97</v>
      </c>
      <c r="B1288" s="20" t="s">
        <v>94</v>
      </c>
      <c r="C1288" s="20" t="s">
        <v>94</v>
      </c>
      <c r="D1288" s="19" t="s">
        <v>4</v>
      </c>
      <c r="E1288" s="19" t="s">
        <v>96</v>
      </c>
      <c r="F1288" s="19">
        <v>0.64</v>
      </c>
      <c r="G1288" s="19" t="s">
        <v>95</v>
      </c>
      <c r="H1288" s="19"/>
    </row>
    <row r="1289" spans="1:8" ht="28" x14ac:dyDescent="0.35">
      <c r="A1289" s="19" t="s">
        <v>2749</v>
      </c>
      <c r="B1289" s="20" t="s">
        <v>2745</v>
      </c>
      <c r="C1289" s="20" t="s">
        <v>2744</v>
      </c>
      <c r="D1289" s="19" t="s">
        <v>174</v>
      </c>
      <c r="E1289" s="19" t="s">
        <v>248</v>
      </c>
      <c r="F1289" s="19">
        <v>0.35</v>
      </c>
      <c r="G1289" s="19" t="s">
        <v>2747</v>
      </c>
      <c r="H1289" s="19" t="s">
        <v>2748</v>
      </c>
    </row>
    <row r="1290" spans="1:8" x14ac:dyDescent="0.35">
      <c r="A1290" s="19" t="s">
        <v>5049</v>
      </c>
      <c r="B1290" s="20" t="s">
        <v>2248</v>
      </c>
      <c r="C1290" s="20" t="s">
        <v>2248</v>
      </c>
      <c r="D1290" s="19" t="s">
        <v>174</v>
      </c>
      <c r="E1290" s="19" t="s">
        <v>2249</v>
      </c>
      <c r="F1290" s="19">
        <v>0.2049</v>
      </c>
      <c r="G1290" s="19"/>
      <c r="H1290" s="19"/>
    </row>
    <row r="1291" spans="1:8" ht="42" x14ac:dyDescent="0.35">
      <c r="A1291" s="19" t="s">
        <v>5050</v>
      </c>
      <c r="B1291" s="20" t="s">
        <v>5051</v>
      </c>
      <c r="C1291" s="20" t="s">
        <v>94</v>
      </c>
      <c r="D1291" s="19" t="s">
        <v>4</v>
      </c>
      <c r="E1291" s="19" t="s">
        <v>96</v>
      </c>
      <c r="F1291" s="19">
        <v>0.64</v>
      </c>
      <c r="G1291" s="19" t="s">
        <v>95</v>
      </c>
      <c r="H1291" s="19"/>
    </row>
    <row r="1292" spans="1:8" x14ac:dyDescent="0.35">
      <c r="A1292" s="19" t="s">
        <v>5052</v>
      </c>
      <c r="B1292" s="20" t="s">
        <v>5053</v>
      </c>
      <c r="C1292" s="20" t="s">
        <v>2684</v>
      </c>
      <c r="D1292" s="19" t="s">
        <v>174</v>
      </c>
      <c r="E1292" s="19" t="s">
        <v>470</v>
      </c>
      <c r="F1292" s="19">
        <v>0.4803</v>
      </c>
      <c r="G1292" s="19" t="s">
        <v>3206</v>
      </c>
      <c r="H1292" s="19" t="s">
        <v>3207</v>
      </c>
    </row>
    <row r="1293" spans="1:8" ht="56" x14ac:dyDescent="0.35">
      <c r="A1293" s="19" t="s">
        <v>5054</v>
      </c>
      <c r="B1293" s="20" t="s">
        <v>3822</v>
      </c>
      <c r="C1293" s="20" t="s">
        <v>3822</v>
      </c>
      <c r="D1293" s="19"/>
      <c r="E1293" s="19"/>
      <c r="F1293" s="19"/>
      <c r="G1293" s="19"/>
      <c r="H1293" s="19"/>
    </row>
    <row r="1294" spans="1:8" x14ac:dyDescent="0.35">
      <c r="A1294" s="19" t="s">
        <v>1304</v>
      </c>
      <c r="B1294" s="20" t="s">
        <v>1299</v>
      </c>
      <c r="C1294" s="20" t="s">
        <v>1298</v>
      </c>
      <c r="D1294" s="19" t="s">
        <v>174</v>
      </c>
      <c r="E1294" s="19" t="s">
        <v>1301</v>
      </c>
      <c r="F1294" s="19">
        <v>0.29609999999999997</v>
      </c>
      <c r="G1294" s="19" t="s">
        <v>1302</v>
      </c>
      <c r="H1294" s="19" t="s">
        <v>1303</v>
      </c>
    </row>
    <row r="1295" spans="1:8" ht="28" x14ac:dyDescent="0.35">
      <c r="A1295" s="19" t="s">
        <v>2211</v>
      </c>
      <c r="B1295" s="20" t="s">
        <v>2208</v>
      </c>
      <c r="C1295" s="20" t="s">
        <v>2207</v>
      </c>
      <c r="D1295" s="19" t="s">
        <v>174</v>
      </c>
      <c r="E1295" s="19" t="s">
        <v>2209</v>
      </c>
      <c r="F1295" s="19">
        <v>0.21240000000000001</v>
      </c>
      <c r="G1295" s="19" t="s">
        <v>2210</v>
      </c>
      <c r="H1295" s="19" t="s">
        <v>1759</v>
      </c>
    </row>
    <row r="1296" spans="1:8" x14ac:dyDescent="0.35">
      <c r="A1296" s="19" t="s">
        <v>2059</v>
      </c>
      <c r="B1296" s="20" t="s">
        <v>2056</v>
      </c>
      <c r="C1296" s="20" t="s">
        <v>2055</v>
      </c>
      <c r="D1296" s="19" t="s">
        <v>174</v>
      </c>
      <c r="E1296" s="19" t="s">
        <v>2057</v>
      </c>
      <c r="F1296" s="19">
        <v>0.2208</v>
      </c>
      <c r="G1296" s="19" t="s">
        <v>2058</v>
      </c>
      <c r="H1296" s="19"/>
    </row>
    <row r="1297" spans="1:8" x14ac:dyDescent="0.35">
      <c r="A1297" s="19" t="s">
        <v>5055</v>
      </c>
      <c r="B1297" s="20" t="s">
        <v>5005</v>
      </c>
      <c r="C1297" s="20" t="s">
        <v>424</v>
      </c>
      <c r="D1297" s="19" t="s">
        <v>21</v>
      </c>
      <c r="E1297" s="19" t="s">
        <v>424</v>
      </c>
      <c r="F1297" s="19">
        <v>0.8</v>
      </c>
      <c r="G1297" s="19" t="s">
        <v>426</v>
      </c>
      <c r="H1297" s="19"/>
    </row>
    <row r="1298" spans="1:8" x14ac:dyDescent="0.35">
      <c r="A1298" s="19" t="s">
        <v>867</v>
      </c>
      <c r="B1298" s="20" t="s">
        <v>866</v>
      </c>
      <c r="C1298" s="20" t="s">
        <v>865</v>
      </c>
      <c r="D1298" s="19" t="s">
        <v>4</v>
      </c>
      <c r="E1298" s="19" t="s">
        <v>36</v>
      </c>
      <c r="F1298" s="19">
        <v>0.8</v>
      </c>
      <c r="G1298" s="19"/>
      <c r="H1298" s="19"/>
    </row>
    <row r="1299" spans="1:8" x14ac:dyDescent="0.35">
      <c r="A1299" s="19" t="s">
        <v>5056</v>
      </c>
      <c r="B1299" s="20" t="s">
        <v>429</v>
      </c>
      <c r="C1299" s="20" t="s">
        <v>429</v>
      </c>
      <c r="D1299" s="19" t="s">
        <v>21</v>
      </c>
      <c r="E1299" s="19" t="s">
        <v>424</v>
      </c>
      <c r="F1299" s="19">
        <v>0.8</v>
      </c>
      <c r="G1299" s="19" t="s">
        <v>426</v>
      </c>
      <c r="H1299" s="19"/>
    </row>
    <row r="1300" spans="1:8" x14ac:dyDescent="0.35">
      <c r="A1300" s="19" t="s">
        <v>680</v>
      </c>
      <c r="B1300" s="20" t="s">
        <v>679</v>
      </c>
      <c r="C1300" s="20" t="s">
        <v>679</v>
      </c>
      <c r="D1300" s="19" t="s">
        <v>4</v>
      </c>
      <c r="E1300" s="19" t="s">
        <v>201</v>
      </c>
      <c r="F1300" s="19">
        <v>0.8</v>
      </c>
      <c r="G1300" s="19"/>
      <c r="H1300" s="19"/>
    </row>
    <row r="1301" spans="1:8" ht="70" x14ac:dyDescent="0.35">
      <c r="A1301" s="19" t="s">
        <v>1581</v>
      </c>
      <c r="B1301" s="20" t="s">
        <v>1577</v>
      </c>
      <c r="C1301" s="20" t="s">
        <v>5057</v>
      </c>
      <c r="D1301" s="19" t="s">
        <v>174</v>
      </c>
      <c r="E1301" s="19" t="s">
        <v>2464</v>
      </c>
      <c r="F1301" s="19">
        <v>0.38619999999999999</v>
      </c>
      <c r="G1301" s="19" t="s">
        <v>2465</v>
      </c>
      <c r="H1301" s="19" t="s">
        <v>2466</v>
      </c>
    </row>
    <row r="1302" spans="1:8" ht="28" x14ac:dyDescent="0.35">
      <c r="A1302" s="19" t="s">
        <v>781</v>
      </c>
      <c r="B1302" s="20" t="s">
        <v>778</v>
      </c>
      <c r="C1302" s="20" t="s">
        <v>778</v>
      </c>
      <c r="D1302" s="19" t="s">
        <v>4</v>
      </c>
      <c r="E1302" s="19" t="s">
        <v>780</v>
      </c>
      <c r="F1302" s="19">
        <v>0.8</v>
      </c>
      <c r="G1302" s="19"/>
      <c r="H1302" s="19"/>
    </row>
    <row r="1303" spans="1:8" ht="42" x14ac:dyDescent="0.35">
      <c r="A1303" s="19" t="s">
        <v>2611</v>
      </c>
      <c r="B1303" s="20" t="s">
        <v>2607</v>
      </c>
      <c r="C1303" s="20" t="s">
        <v>2607</v>
      </c>
      <c r="D1303" s="19" t="s">
        <v>174</v>
      </c>
      <c r="E1303" s="19" t="s">
        <v>2608</v>
      </c>
      <c r="F1303" s="19">
        <v>0.36570000000000003</v>
      </c>
      <c r="G1303" s="19" t="s">
        <v>2609</v>
      </c>
      <c r="H1303" s="19" t="s">
        <v>2610</v>
      </c>
    </row>
    <row r="1304" spans="1:8" ht="98" x14ac:dyDescent="0.35">
      <c r="A1304" s="19" t="s">
        <v>4172</v>
      </c>
      <c r="B1304" s="20" t="s">
        <v>4171</v>
      </c>
      <c r="C1304" s="20" t="s">
        <v>4170</v>
      </c>
      <c r="D1304" s="19"/>
      <c r="E1304" s="19"/>
      <c r="F1304" s="19"/>
      <c r="G1304" s="19"/>
      <c r="H1304" s="19"/>
    </row>
    <row r="1305" spans="1:8" ht="42" x14ac:dyDescent="0.35">
      <c r="A1305" s="19" t="s">
        <v>2268</v>
      </c>
      <c r="B1305" s="20" t="s">
        <v>2266</v>
      </c>
      <c r="C1305" s="20" t="s">
        <v>2265</v>
      </c>
      <c r="D1305" s="19" t="s">
        <v>174</v>
      </c>
      <c r="E1305" s="19" t="s">
        <v>2267</v>
      </c>
      <c r="F1305" s="19">
        <v>0.2024</v>
      </c>
      <c r="G1305" s="19"/>
      <c r="H1305" s="19"/>
    </row>
    <row r="1306" spans="1:8" x14ac:dyDescent="0.35">
      <c r="A1306" s="19" t="s">
        <v>5058</v>
      </c>
      <c r="B1306" s="20" t="s">
        <v>5059</v>
      </c>
      <c r="C1306" s="20" t="s">
        <v>3024</v>
      </c>
      <c r="D1306" s="19" t="s">
        <v>174</v>
      </c>
      <c r="E1306" s="19" t="s">
        <v>3532</v>
      </c>
      <c r="F1306" s="19">
        <v>0.42670000000000002</v>
      </c>
      <c r="G1306" s="19" t="s">
        <v>2933</v>
      </c>
      <c r="H1306" s="19" t="s">
        <v>3533</v>
      </c>
    </row>
    <row r="1307" spans="1:8" ht="28" x14ac:dyDescent="0.35">
      <c r="A1307" s="19" t="s">
        <v>658</v>
      </c>
      <c r="B1307" s="20" t="s">
        <v>657</v>
      </c>
      <c r="C1307" s="20" t="s">
        <v>5060</v>
      </c>
      <c r="D1307" s="19" t="s">
        <v>4</v>
      </c>
      <c r="E1307" s="19" t="s">
        <v>424</v>
      </c>
      <c r="F1307" s="19">
        <v>0.64</v>
      </c>
      <c r="G1307" s="19" t="s">
        <v>426</v>
      </c>
      <c r="H1307" s="19" t="s">
        <v>1530</v>
      </c>
    </row>
    <row r="1308" spans="1:8" x14ac:dyDescent="0.35">
      <c r="A1308" s="19" t="s">
        <v>5061</v>
      </c>
      <c r="B1308" s="20" t="s">
        <v>4449</v>
      </c>
      <c r="C1308" s="20"/>
      <c r="D1308" s="19"/>
      <c r="E1308" s="19"/>
      <c r="F1308" s="19"/>
      <c r="G1308" s="19"/>
      <c r="H1308" s="19"/>
    </row>
    <row r="1309" spans="1:8" x14ac:dyDescent="0.35">
      <c r="A1309" s="19" t="s">
        <v>488</v>
      </c>
      <c r="B1309" s="20" t="s">
        <v>486</v>
      </c>
      <c r="C1309" s="20" t="s">
        <v>485</v>
      </c>
      <c r="D1309" s="19" t="s">
        <v>21</v>
      </c>
      <c r="E1309" s="19" t="s">
        <v>487</v>
      </c>
      <c r="F1309" s="19">
        <v>1</v>
      </c>
      <c r="G1309" s="19"/>
      <c r="H1309" s="19"/>
    </row>
    <row r="1310" spans="1:8" x14ac:dyDescent="0.35">
      <c r="A1310" s="19" t="s">
        <v>5062</v>
      </c>
      <c r="B1310" s="20"/>
      <c r="C1310" s="20"/>
      <c r="D1310" s="19"/>
      <c r="E1310" s="19"/>
      <c r="F1310" s="19"/>
      <c r="G1310" s="19"/>
      <c r="H1310" s="19"/>
    </row>
    <row r="1311" spans="1:8" x14ac:dyDescent="0.35">
      <c r="A1311" s="19" t="s">
        <v>5063</v>
      </c>
      <c r="B1311" s="20"/>
      <c r="C1311" s="20"/>
      <c r="D1311" s="19"/>
      <c r="E1311" s="19"/>
      <c r="F1311" s="19"/>
      <c r="G1311" s="19"/>
      <c r="H1311" s="19"/>
    </row>
    <row r="1312" spans="1:8" x14ac:dyDescent="0.35">
      <c r="A1312" s="19" t="s">
        <v>5064</v>
      </c>
      <c r="B1312" s="20" t="s">
        <v>3202</v>
      </c>
      <c r="C1312" s="20" t="s">
        <v>3202</v>
      </c>
      <c r="D1312" s="19" t="s">
        <v>174</v>
      </c>
      <c r="E1312" s="19" t="s">
        <v>26</v>
      </c>
      <c r="F1312" s="19">
        <v>0.48149999999999998</v>
      </c>
      <c r="G1312" s="19" t="s">
        <v>201</v>
      </c>
      <c r="H1312" s="19" t="s">
        <v>1673</v>
      </c>
    </row>
    <row r="1313" spans="1:8" ht="28" x14ac:dyDescent="0.35">
      <c r="A1313" s="19" t="s">
        <v>758</v>
      </c>
      <c r="B1313" s="20" t="s">
        <v>757</v>
      </c>
      <c r="C1313" s="20" t="s">
        <v>5065</v>
      </c>
      <c r="D1313" s="19" t="s">
        <v>4</v>
      </c>
      <c r="E1313" s="19" t="s">
        <v>112</v>
      </c>
      <c r="F1313" s="19">
        <v>0.8</v>
      </c>
      <c r="G1313" s="19" t="s">
        <v>2896</v>
      </c>
      <c r="H1313" s="19" t="s">
        <v>2897</v>
      </c>
    </row>
    <row r="1314" spans="1:8" x14ac:dyDescent="0.35">
      <c r="A1314" s="19" t="s">
        <v>2571</v>
      </c>
      <c r="B1314" s="20" t="s">
        <v>2567</v>
      </c>
      <c r="C1314" s="20" t="s">
        <v>5066</v>
      </c>
      <c r="D1314" s="19" t="s">
        <v>174</v>
      </c>
      <c r="E1314" s="19" t="s">
        <v>3430</v>
      </c>
      <c r="F1314" s="19">
        <v>0.44369999999999998</v>
      </c>
      <c r="G1314" s="19" t="s">
        <v>3431</v>
      </c>
      <c r="H1314" s="19" t="s">
        <v>3432</v>
      </c>
    </row>
    <row r="1315" spans="1:8" x14ac:dyDescent="0.35">
      <c r="A1315" s="19" t="s">
        <v>2200</v>
      </c>
      <c r="B1315" s="20" t="s">
        <v>2199</v>
      </c>
      <c r="C1315" s="20" t="s">
        <v>2199</v>
      </c>
      <c r="D1315" s="19" t="s">
        <v>174</v>
      </c>
      <c r="E1315" s="19" t="s">
        <v>485</v>
      </c>
      <c r="F1315" s="19">
        <v>0.21260000000000001</v>
      </c>
      <c r="G1315" s="19" t="s">
        <v>1427</v>
      </c>
      <c r="H1315" s="19"/>
    </row>
    <row r="1316" spans="1:8" x14ac:dyDescent="0.35">
      <c r="A1316" s="19" t="s">
        <v>5067</v>
      </c>
      <c r="B1316" s="20"/>
      <c r="C1316" s="20"/>
      <c r="D1316" s="19"/>
      <c r="E1316" s="19"/>
      <c r="F1316" s="19"/>
      <c r="G1316" s="19"/>
      <c r="H1316" s="19"/>
    </row>
    <row r="1317" spans="1:8" x14ac:dyDescent="0.35">
      <c r="A1317" s="19" t="s">
        <v>5068</v>
      </c>
      <c r="B1317" s="20" t="s">
        <v>3537</v>
      </c>
      <c r="C1317" s="20" t="s">
        <v>3536</v>
      </c>
      <c r="D1317" s="19" t="s">
        <v>174</v>
      </c>
      <c r="E1317" s="19" t="s">
        <v>3539</v>
      </c>
      <c r="F1317" s="19">
        <v>0.42599999999999999</v>
      </c>
      <c r="G1317" s="19" t="s">
        <v>3540</v>
      </c>
      <c r="H1317" s="19" t="s">
        <v>3541</v>
      </c>
    </row>
    <row r="1318" spans="1:8" x14ac:dyDescent="0.35">
      <c r="A1318" s="19" t="s">
        <v>5069</v>
      </c>
      <c r="B1318" s="20" t="s">
        <v>5070</v>
      </c>
      <c r="C1318" s="20" t="s">
        <v>432</v>
      </c>
      <c r="D1318" s="19" t="s">
        <v>21</v>
      </c>
      <c r="E1318" s="19" t="s">
        <v>432</v>
      </c>
      <c r="F1318" s="19">
        <v>1</v>
      </c>
      <c r="G1318" s="19"/>
      <c r="H1318" s="19"/>
    </row>
    <row r="1319" spans="1:8" ht="28" x14ac:dyDescent="0.35">
      <c r="A1319" s="19" t="s">
        <v>744</v>
      </c>
      <c r="B1319" s="20" t="s">
        <v>743</v>
      </c>
      <c r="C1319" s="20" t="s">
        <v>742</v>
      </c>
      <c r="D1319" s="19" t="s">
        <v>4</v>
      </c>
      <c r="E1319" s="19" t="s">
        <v>28</v>
      </c>
      <c r="F1319" s="19">
        <v>0.64</v>
      </c>
      <c r="G1319" s="19" t="s">
        <v>26</v>
      </c>
      <c r="H1319" s="19"/>
    </row>
    <row r="1320" spans="1:8" ht="28" x14ac:dyDescent="0.35">
      <c r="A1320" s="19" t="s">
        <v>4127</v>
      </c>
      <c r="B1320" s="20" t="s">
        <v>4126</v>
      </c>
      <c r="C1320" s="20" t="s">
        <v>4125</v>
      </c>
      <c r="D1320" s="19"/>
      <c r="E1320" s="19"/>
      <c r="F1320" s="19"/>
      <c r="G1320" s="19"/>
      <c r="H1320" s="19"/>
    </row>
    <row r="1321" spans="1:8" ht="28" x14ac:dyDescent="0.35">
      <c r="A1321" s="19" t="s">
        <v>1345</v>
      </c>
      <c r="B1321" s="20" t="s">
        <v>1341</v>
      </c>
      <c r="C1321" s="20" t="s">
        <v>1340</v>
      </c>
      <c r="D1321" s="19" t="s">
        <v>174</v>
      </c>
      <c r="E1321" s="19" t="s">
        <v>1343</v>
      </c>
      <c r="F1321" s="19">
        <v>0.29330000000000001</v>
      </c>
      <c r="G1321" s="19" t="s">
        <v>1344</v>
      </c>
      <c r="H1321" s="19"/>
    </row>
    <row r="1322" spans="1:8" x14ac:dyDescent="0.35">
      <c r="A1322" s="19" t="s">
        <v>5071</v>
      </c>
      <c r="B1322" s="20" t="s">
        <v>5072</v>
      </c>
      <c r="C1322" s="20" t="s">
        <v>4118</v>
      </c>
      <c r="D1322" s="19"/>
      <c r="E1322" s="19"/>
      <c r="F1322" s="19"/>
      <c r="G1322" s="19"/>
      <c r="H1322" s="19"/>
    </row>
    <row r="1323" spans="1:8" x14ac:dyDescent="0.35">
      <c r="A1323" s="19" t="s">
        <v>1264</v>
      </c>
      <c r="B1323" s="20" t="s">
        <v>1260</v>
      </c>
      <c r="C1323" s="20" t="s">
        <v>1259</v>
      </c>
      <c r="D1323" s="19" t="s">
        <v>174</v>
      </c>
      <c r="E1323" s="19" t="s">
        <v>1261</v>
      </c>
      <c r="F1323" s="19">
        <v>0.2989</v>
      </c>
      <c r="G1323" s="19" t="s">
        <v>1262</v>
      </c>
      <c r="H1323" s="19" t="s">
        <v>1263</v>
      </c>
    </row>
    <row r="1324" spans="1:8" ht="28" x14ac:dyDescent="0.35">
      <c r="A1324" s="19" t="s">
        <v>669</v>
      </c>
      <c r="B1324" s="20" t="s">
        <v>668</v>
      </c>
      <c r="C1324" s="20" t="s">
        <v>668</v>
      </c>
      <c r="D1324" s="19" t="s">
        <v>4</v>
      </c>
      <c r="E1324" s="19" t="s">
        <v>516</v>
      </c>
      <c r="F1324" s="19">
        <v>0.8</v>
      </c>
      <c r="G1324" s="19"/>
      <c r="H1324" s="19"/>
    </row>
    <row r="1325" spans="1:8" x14ac:dyDescent="0.35">
      <c r="A1325" s="19" t="s">
        <v>2586</v>
      </c>
      <c r="B1325" s="20" t="s">
        <v>2584</v>
      </c>
      <c r="C1325" s="20" t="s">
        <v>2583</v>
      </c>
      <c r="D1325" s="19" t="s">
        <v>174</v>
      </c>
      <c r="E1325" s="19" t="s">
        <v>1980</v>
      </c>
      <c r="F1325" s="19">
        <v>0.36699999999999999</v>
      </c>
      <c r="G1325" s="19" t="s">
        <v>1776</v>
      </c>
      <c r="H1325" s="19" t="s">
        <v>1324</v>
      </c>
    </row>
    <row r="1326" spans="1:8" ht="28" x14ac:dyDescent="0.35">
      <c r="A1326" s="19" t="s">
        <v>690</v>
      </c>
      <c r="B1326" s="20" t="s">
        <v>689</v>
      </c>
      <c r="C1326" s="20" t="s">
        <v>5073</v>
      </c>
      <c r="D1326" s="19" t="s">
        <v>4</v>
      </c>
      <c r="E1326" s="19" t="s">
        <v>685</v>
      </c>
      <c r="F1326" s="19">
        <v>0.8</v>
      </c>
      <c r="G1326" s="19" t="s">
        <v>3310</v>
      </c>
      <c r="H1326" s="19" t="s">
        <v>1980</v>
      </c>
    </row>
    <row r="1327" spans="1:8" ht="28" x14ac:dyDescent="0.35">
      <c r="A1327" s="19" t="s">
        <v>686</v>
      </c>
      <c r="B1327" s="20" t="s">
        <v>683</v>
      </c>
      <c r="C1327" s="20" t="s">
        <v>5074</v>
      </c>
      <c r="D1327" s="19" t="s">
        <v>4</v>
      </c>
      <c r="E1327" s="19" t="s">
        <v>685</v>
      </c>
      <c r="F1327" s="19">
        <v>0.8</v>
      </c>
      <c r="G1327" s="19" t="s">
        <v>2886</v>
      </c>
      <c r="H1327" s="19" t="s">
        <v>2887</v>
      </c>
    </row>
    <row r="1328" spans="1:8" ht="28" x14ac:dyDescent="0.35">
      <c r="A1328" s="19" t="s">
        <v>1561</v>
      </c>
      <c r="B1328" s="20" t="s">
        <v>1557</v>
      </c>
      <c r="C1328" s="20" t="s">
        <v>1556</v>
      </c>
      <c r="D1328" s="19" t="s">
        <v>174</v>
      </c>
      <c r="E1328" s="19" t="s">
        <v>1558</v>
      </c>
      <c r="F1328" s="19">
        <v>0.2737</v>
      </c>
      <c r="G1328" s="19" t="s">
        <v>1559</v>
      </c>
      <c r="H1328" s="19" t="s">
        <v>1560</v>
      </c>
    </row>
    <row r="1329" spans="1:8" x14ac:dyDescent="0.35">
      <c r="A1329" s="19" t="s">
        <v>1065</v>
      </c>
      <c r="B1329" s="20" t="s">
        <v>1063</v>
      </c>
      <c r="C1329" s="20" t="s">
        <v>1062</v>
      </c>
      <c r="D1329" s="19" t="s">
        <v>4</v>
      </c>
      <c r="E1329" s="19" t="s">
        <v>1064</v>
      </c>
      <c r="F1329" s="19">
        <v>0.8</v>
      </c>
      <c r="G1329" s="19"/>
      <c r="H1329" s="19"/>
    </row>
    <row r="1330" spans="1:8" ht="28" x14ac:dyDescent="0.35">
      <c r="A1330" s="19" t="s">
        <v>1422</v>
      </c>
      <c r="B1330" s="20" t="s">
        <v>1420</v>
      </c>
      <c r="C1330" s="20" t="s">
        <v>5075</v>
      </c>
      <c r="D1330" s="19" t="s">
        <v>174</v>
      </c>
      <c r="E1330" s="19" t="s">
        <v>2900</v>
      </c>
      <c r="F1330" s="19">
        <v>0.33410000000000001</v>
      </c>
      <c r="G1330" s="19" t="s">
        <v>1980</v>
      </c>
      <c r="H1330" s="19" t="s">
        <v>1324</v>
      </c>
    </row>
    <row r="1331" spans="1:8" ht="84" x14ac:dyDescent="0.35">
      <c r="A1331" s="19" t="s">
        <v>4215</v>
      </c>
      <c r="B1331" s="20" t="s">
        <v>4214</v>
      </c>
      <c r="C1331" s="20" t="s">
        <v>4213</v>
      </c>
      <c r="D1331" s="19"/>
      <c r="E1331" s="19"/>
      <c r="F1331" s="19"/>
      <c r="G1331" s="19"/>
      <c r="H1331" s="19"/>
    </row>
    <row r="1332" spans="1:8" x14ac:dyDescent="0.35">
      <c r="A1332" s="19" t="s">
        <v>5076</v>
      </c>
      <c r="B1332" s="20" t="s">
        <v>5077</v>
      </c>
      <c r="C1332" s="20"/>
      <c r="D1332" s="19"/>
      <c r="E1332" s="19"/>
      <c r="F1332" s="19"/>
      <c r="G1332" s="19"/>
      <c r="H1332" s="19"/>
    </row>
    <row r="1333" spans="1:8" x14ac:dyDescent="0.35">
      <c r="A1333" s="19" t="s">
        <v>5078</v>
      </c>
      <c r="B1333" s="20" t="s">
        <v>2402</v>
      </c>
      <c r="C1333" s="20" t="s">
        <v>2401</v>
      </c>
      <c r="D1333" s="19" t="s">
        <v>174</v>
      </c>
      <c r="E1333" s="19" t="s">
        <v>2403</v>
      </c>
      <c r="F1333" s="19">
        <v>0.38979999999999998</v>
      </c>
      <c r="G1333" s="19" t="s">
        <v>1737</v>
      </c>
      <c r="H1333" s="19" t="s">
        <v>2404</v>
      </c>
    </row>
    <row r="1334" spans="1:8" x14ac:dyDescent="0.35">
      <c r="A1334" s="19" t="s">
        <v>728</v>
      </c>
      <c r="B1334" s="20" t="s">
        <v>726</v>
      </c>
      <c r="C1334" s="20" t="s">
        <v>725</v>
      </c>
      <c r="D1334" s="19" t="s">
        <v>4</v>
      </c>
      <c r="E1334" s="19" t="s">
        <v>727</v>
      </c>
      <c r="F1334" s="19">
        <v>0.8</v>
      </c>
      <c r="G1334" s="19"/>
      <c r="H1334" s="19"/>
    </row>
    <row r="1335" spans="1:8" x14ac:dyDescent="0.35">
      <c r="A1335" s="19" t="s">
        <v>5079</v>
      </c>
      <c r="B1335" s="20" t="s">
        <v>726</v>
      </c>
      <c r="C1335" s="20" t="s">
        <v>725</v>
      </c>
      <c r="D1335" s="19" t="s">
        <v>4</v>
      </c>
      <c r="E1335" s="19" t="s">
        <v>727</v>
      </c>
      <c r="F1335" s="19">
        <v>0.8</v>
      </c>
      <c r="G1335" s="19"/>
      <c r="H1335" s="19"/>
    </row>
    <row r="1336" spans="1:8" ht="28" x14ac:dyDescent="0.35">
      <c r="A1336" s="19" t="s">
        <v>3077</v>
      </c>
      <c r="B1336" s="20" t="s">
        <v>3076</v>
      </c>
      <c r="C1336" s="20" t="s">
        <v>3075</v>
      </c>
      <c r="D1336" s="19" t="s">
        <v>174</v>
      </c>
      <c r="E1336" s="19" t="s">
        <v>1445</v>
      </c>
      <c r="F1336" s="19">
        <v>0.31359999999999999</v>
      </c>
      <c r="G1336" s="19" t="s">
        <v>1900</v>
      </c>
      <c r="H1336" s="19"/>
    </row>
    <row r="1337" spans="1:8" x14ac:dyDescent="0.35">
      <c r="A1337" s="19" t="s">
        <v>5080</v>
      </c>
      <c r="B1337" s="20" t="s">
        <v>5081</v>
      </c>
      <c r="C1337" s="20" t="s">
        <v>5082</v>
      </c>
      <c r="D1337" s="19" t="s">
        <v>21</v>
      </c>
      <c r="E1337" s="19" t="s">
        <v>424</v>
      </c>
      <c r="F1337" s="19">
        <v>0.8</v>
      </c>
      <c r="G1337" s="19" t="s">
        <v>426</v>
      </c>
      <c r="H1337" s="19" t="s">
        <v>26</v>
      </c>
    </row>
    <row r="1338" spans="1:8" x14ac:dyDescent="0.35">
      <c r="A1338" s="19" t="s">
        <v>5083</v>
      </c>
      <c r="B1338" s="20" t="s">
        <v>726</v>
      </c>
      <c r="C1338" s="20" t="s">
        <v>725</v>
      </c>
      <c r="D1338" s="19" t="s">
        <v>4</v>
      </c>
      <c r="E1338" s="19" t="s">
        <v>727</v>
      </c>
      <c r="F1338" s="19">
        <v>0.8</v>
      </c>
      <c r="G1338" s="19"/>
      <c r="H1338" s="19"/>
    </row>
    <row r="1339" spans="1:8" ht="42" x14ac:dyDescent="0.35">
      <c r="A1339" s="19" t="s">
        <v>4028</v>
      </c>
      <c r="B1339" s="20" t="s">
        <v>4027</v>
      </c>
      <c r="C1339" s="20" t="s">
        <v>4026</v>
      </c>
      <c r="D1339" s="19"/>
      <c r="E1339" s="19"/>
      <c r="F1339" s="19"/>
      <c r="G1339" s="19"/>
      <c r="H1339" s="19"/>
    </row>
    <row r="1340" spans="1:8" x14ac:dyDescent="0.35">
      <c r="A1340" s="19" t="s">
        <v>5084</v>
      </c>
      <c r="B1340" s="20" t="s">
        <v>5085</v>
      </c>
      <c r="C1340" s="20" t="s">
        <v>1475</v>
      </c>
      <c r="D1340" s="19" t="s">
        <v>174</v>
      </c>
      <c r="E1340" s="19" t="s">
        <v>1476</v>
      </c>
      <c r="F1340" s="19">
        <v>0.33779999999999999</v>
      </c>
      <c r="G1340" s="19" t="s">
        <v>2865</v>
      </c>
      <c r="H1340" s="19" t="s">
        <v>1477</v>
      </c>
    </row>
    <row r="1341" spans="1:8" ht="154" x14ac:dyDescent="0.35">
      <c r="A1341" s="19" t="s">
        <v>4014</v>
      </c>
      <c r="B1341" s="20" t="s">
        <v>4013</v>
      </c>
      <c r="C1341" s="20" t="s">
        <v>4012</v>
      </c>
      <c r="D1341" s="19"/>
      <c r="E1341" s="19"/>
      <c r="F1341" s="19"/>
      <c r="G1341" s="19"/>
      <c r="H1341" s="19"/>
    </row>
    <row r="1342" spans="1:8" x14ac:dyDescent="0.35">
      <c r="A1342" s="19" t="s">
        <v>5086</v>
      </c>
      <c r="B1342" s="20" t="s">
        <v>5087</v>
      </c>
      <c r="C1342" s="20" t="s">
        <v>529</v>
      </c>
      <c r="D1342" s="19" t="s">
        <v>21</v>
      </c>
      <c r="E1342" s="19" t="s">
        <v>526</v>
      </c>
      <c r="F1342" s="19">
        <v>1</v>
      </c>
      <c r="G1342" s="19"/>
      <c r="H1342" s="19"/>
    </row>
    <row r="1343" spans="1:8" x14ac:dyDescent="0.35">
      <c r="A1343" s="19" t="s">
        <v>926</v>
      </c>
      <c r="B1343" s="20" t="s">
        <v>925</v>
      </c>
      <c r="C1343" s="20" t="s">
        <v>924</v>
      </c>
      <c r="D1343" s="19" t="s">
        <v>4</v>
      </c>
      <c r="E1343" s="19" t="s">
        <v>526</v>
      </c>
      <c r="F1343" s="19">
        <v>0.8</v>
      </c>
      <c r="G1343" s="19"/>
      <c r="H1343" s="19"/>
    </row>
    <row r="1344" spans="1:8" ht="84" x14ac:dyDescent="0.35">
      <c r="A1344" s="19" t="s">
        <v>4010</v>
      </c>
      <c r="B1344" s="20" t="s">
        <v>4008</v>
      </c>
      <c r="C1344" s="20" t="s">
        <v>4007</v>
      </c>
      <c r="D1344" s="19"/>
      <c r="E1344" s="19"/>
      <c r="F1344" s="19"/>
      <c r="G1344" s="19"/>
      <c r="H1344" s="19"/>
    </row>
    <row r="1345" spans="1:8" x14ac:dyDescent="0.35">
      <c r="A1345" s="19" t="s">
        <v>5088</v>
      </c>
      <c r="B1345" s="20"/>
      <c r="C1345" s="20"/>
      <c r="D1345" s="19"/>
      <c r="E1345" s="19"/>
      <c r="F1345" s="19"/>
      <c r="G1345" s="19"/>
      <c r="H1345" s="19"/>
    </row>
    <row r="1346" spans="1:8" x14ac:dyDescent="0.35">
      <c r="A1346" s="19" t="s">
        <v>5089</v>
      </c>
      <c r="B1346" s="20" t="s">
        <v>5090</v>
      </c>
      <c r="C1346" s="20" t="s">
        <v>1475</v>
      </c>
      <c r="D1346" s="19" t="s">
        <v>174</v>
      </c>
      <c r="E1346" s="19" t="s">
        <v>1476</v>
      </c>
      <c r="F1346" s="19">
        <v>0.33779999999999999</v>
      </c>
      <c r="G1346" s="19" t="s">
        <v>2865</v>
      </c>
      <c r="H1346" s="19" t="s">
        <v>1477</v>
      </c>
    </row>
    <row r="1347" spans="1:8" x14ac:dyDescent="0.35">
      <c r="A1347" s="19" t="s">
        <v>5091</v>
      </c>
      <c r="B1347" s="20"/>
      <c r="C1347" s="20"/>
      <c r="D1347" s="19"/>
      <c r="E1347" s="19"/>
      <c r="F1347" s="19"/>
      <c r="G1347" s="19"/>
      <c r="H1347" s="19"/>
    </row>
    <row r="1348" spans="1:8" x14ac:dyDescent="0.35">
      <c r="A1348" s="19" t="s">
        <v>61</v>
      </c>
      <c r="B1348" s="20" t="s">
        <v>60</v>
      </c>
      <c r="C1348" s="20" t="s">
        <v>60</v>
      </c>
      <c r="D1348" s="19" t="s">
        <v>21</v>
      </c>
      <c r="E1348" s="19" t="s">
        <v>60</v>
      </c>
      <c r="F1348" s="19">
        <v>1</v>
      </c>
      <c r="G1348" s="19"/>
      <c r="H1348" s="19"/>
    </row>
    <row r="1349" spans="1:8" ht="42" x14ac:dyDescent="0.35">
      <c r="A1349" s="19" t="s">
        <v>987</v>
      </c>
      <c r="B1349" s="20" t="s">
        <v>986</v>
      </c>
      <c r="C1349" s="20" t="s">
        <v>985</v>
      </c>
      <c r="D1349" s="19" t="s">
        <v>4</v>
      </c>
      <c r="E1349" s="19" t="s">
        <v>548</v>
      </c>
      <c r="F1349" s="19">
        <v>0.8</v>
      </c>
      <c r="G1349" s="19"/>
      <c r="H1349" s="19"/>
    </row>
    <row r="1350" spans="1:8" ht="28" x14ac:dyDescent="0.35">
      <c r="A1350" s="19" t="s">
        <v>983</v>
      </c>
      <c r="B1350" s="20" t="s">
        <v>982</v>
      </c>
      <c r="C1350" s="20" t="s">
        <v>981</v>
      </c>
      <c r="D1350" s="19" t="s">
        <v>4</v>
      </c>
      <c r="E1350" s="19" t="s">
        <v>548</v>
      </c>
      <c r="F1350" s="19">
        <v>0.8</v>
      </c>
      <c r="G1350" s="19"/>
      <c r="H1350" s="19"/>
    </row>
    <row r="1351" spans="1:8" x14ac:dyDescent="0.35">
      <c r="A1351" s="19" t="s">
        <v>24</v>
      </c>
      <c r="B1351" s="20" t="s">
        <v>23</v>
      </c>
      <c r="C1351" s="20" t="s">
        <v>22</v>
      </c>
      <c r="D1351" s="19" t="s">
        <v>21</v>
      </c>
      <c r="E1351" s="19" t="s">
        <v>22</v>
      </c>
      <c r="F1351" s="19">
        <v>1</v>
      </c>
      <c r="G1351" s="19"/>
      <c r="H1351" s="19"/>
    </row>
    <row r="1352" spans="1:8" x14ac:dyDescent="0.35">
      <c r="A1352" s="19" t="s">
        <v>5092</v>
      </c>
      <c r="B1352" s="20" t="s">
        <v>5093</v>
      </c>
      <c r="C1352" s="20"/>
      <c r="D1352" s="19"/>
      <c r="E1352" s="19"/>
      <c r="F1352" s="19"/>
      <c r="G1352" s="19"/>
      <c r="H1352" s="19"/>
    </row>
    <row r="1353" spans="1:8" x14ac:dyDescent="0.35">
      <c r="A1353" s="19" t="s">
        <v>3374</v>
      </c>
      <c r="B1353" s="20" t="s">
        <v>3371</v>
      </c>
      <c r="C1353" s="20" t="s">
        <v>3370</v>
      </c>
      <c r="D1353" s="19" t="s">
        <v>174</v>
      </c>
      <c r="E1353" s="19" t="s">
        <v>60</v>
      </c>
      <c r="F1353" s="19">
        <v>0.45329999999999998</v>
      </c>
      <c r="G1353" s="19" t="s">
        <v>3373</v>
      </c>
      <c r="H1353" s="19" t="s">
        <v>3063</v>
      </c>
    </row>
    <row r="1354" spans="1:8" ht="42" x14ac:dyDescent="0.35">
      <c r="A1354" s="19" t="s">
        <v>3064</v>
      </c>
      <c r="B1354" s="20" t="s">
        <v>3062</v>
      </c>
      <c r="C1354" s="20" t="s">
        <v>3062</v>
      </c>
      <c r="D1354" s="19" t="s">
        <v>174</v>
      </c>
      <c r="E1354" s="19" t="s">
        <v>3063</v>
      </c>
      <c r="F1354" s="19">
        <v>0.31490000000000001</v>
      </c>
      <c r="G1354" s="19" t="s">
        <v>60</v>
      </c>
      <c r="H1354" s="19" t="s">
        <v>2800</v>
      </c>
    </row>
    <row r="1355" spans="1:8" ht="42" x14ac:dyDescent="0.35">
      <c r="A1355" s="19" t="s">
        <v>646</v>
      </c>
      <c r="B1355" s="20" t="s">
        <v>645</v>
      </c>
      <c r="C1355" s="20" t="s">
        <v>644</v>
      </c>
      <c r="D1355" s="19" t="s">
        <v>4</v>
      </c>
      <c r="E1355" s="19" t="s">
        <v>72</v>
      </c>
      <c r="F1355" s="19">
        <v>0.8</v>
      </c>
      <c r="G1355" s="19"/>
      <c r="H1355" s="19"/>
    </row>
    <row r="1356" spans="1:8" x14ac:dyDescent="0.35">
      <c r="A1356" s="19" t="s">
        <v>73</v>
      </c>
      <c r="B1356" s="20" t="s">
        <v>70</v>
      </c>
      <c r="C1356" s="20" t="s">
        <v>70</v>
      </c>
      <c r="D1356" s="19" t="s">
        <v>4</v>
      </c>
      <c r="E1356" s="19" t="s">
        <v>72</v>
      </c>
      <c r="F1356" s="19">
        <v>0.8</v>
      </c>
      <c r="G1356" s="19"/>
      <c r="H1356" s="19"/>
    </row>
    <row r="1357" spans="1:8" x14ac:dyDescent="0.35">
      <c r="A1357" s="19" t="s">
        <v>5094</v>
      </c>
      <c r="B1357" s="20" t="s">
        <v>4287</v>
      </c>
      <c r="C1357" s="20"/>
      <c r="D1357" s="19"/>
      <c r="E1357" s="19"/>
      <c r="F1357" s="19"/>
      <c r="G1357" s="19"/>
      <c r="H1357" s="19"/>
    </row>
    <row r="1358" spans="1:8" x14ac:dyDescent="0.35">
      <c r="A1358" s="19" t="s">
        <v>3296</v>
      </c>
      <c r="B1358" s="20" t="s">
        <v>3294</v>
      </c>
      <c r="C1358" s="20" t="s">
        <v>3293</v>
      </c>
      <c r="D1358" s="19" t="s">
        <v>174</v>
      </c>
      <c r="E1358" s="19" t="s">
        <v>72</v>
      </c>
      <c r="F1358" s="19">
        <v>0.46310000000000001</v>
      </c>
      <c r="G1358" s="19" t="s">
        <v>306</v>
      </c>
      <c r="H1358" s="19" t="s">
        <v>3295</v>
      </c>
    </row>
    <row r="1359" spans="1:8" x14ac:dyDescent="0.35">
      <c r="A1359" s="19" t="s">
        <v>5095</v>
      </c>
      <c r="B1359" s="20" t="s">
        <v>641</v>
      </c>
      <c r="C1359" s="20" t="s">
        <v>641</v>
      </c>
      <c r="D1359" s="19" t="s">
        <v>4</v>
      </c>
      <c r="E1359" s="19" t="s">
        <v>72</v>
      </c>
      <c r="F1359" s="19">
        <v>0.8</v>
      </c>
      <c r="G1359" s="19"/>
      <c r="H1359" s="19"/>
    </row>
    <row r="1360" spans="1:8" x14ac:dyDescent="0.35">
      <c r="A1360" s="19" t="s">
        <v>2363</v>
      </c>
      <c r="B1360" s="20" t="s">
        <v>2359</v>
      </c>
      <c r="C1360" s="20" t="s">
        <v>2359</v>
      </c>
      <c r="D1360" s="19" t="s">
        <v>174</v>
      </c>
      <c r="E1360" s="19" t="s">
        <v>2361</v>
      </c>
      <c r="F1360" s="19">
        <v>0.39329999999999998</v>
      </c>
      <c r="G1360" s="19" t="s">
        <v>2362</v>
      </c>
      <c r="H1360" s="19" t="s">
        <v>1622</v>
      </c>
    </row>
    <row r="1361" spans="1:8" x14ac:dyDescent="0.35">
      <c r="A1361" s="19" t="s">
        <v>5096</v>
      </c>
      <c r="B1361" s="20" t="s">
        <v>641</v>
      </c>
      <c r="C1361" s="20" t="s">
        <v>641</v>
      </c>
      <c r="D1361" s="19" t="s">
        <v>4</v>
      </c>
      <c r="E1361" s="19" t="s">
        <v>72</v>
      </c>
      <c r="F1361" s="19">
        <v>0.8</v>
      </c>
      <c r="G1361" s="19"/>
      <c r="H1361" s="19"/>
    </row>
    <row r="1362" spans="1:8" x14ac:dyDescent="0.35">
      <c r="A1362" s="19" t="s">
        <v>5097</v>
      </c>
      <c r="B1362" s="20" t="s">
        <v>2558</v>
      </c>
      <c r="C1362" s="20" t="s">
        <v>2558</v>
      </c>
      <c r="D1362" s="19" t="s">
        <v>174</v>
      </c>
      <c r="E1362" s="19" t="s">
        <v>533</v>
      </c>
      <c r="F1362" s="19">
        <v>0.37119999999999997</v>
      </c>
      <c r="G1362" s="19" t="s">
        <v>1396</v>
      </c>
      <c r="H1362" s="19" t="s">
        <v>1397</v>
      </c>
    </row>
    <row r="1363" spans="1:8" ht="70" x14ac:dyDescent="0.35">
      <c r="A1363" s="19" t="s">
        <v>898</v>
      </c>
      <c r="B1363" s="20" t="s">
        <v>897</v>
      </c>
      <c r="C1363" s="20" t="s">
        <v>897</v>
      </c>
      <c r="D1363" s="19" t="s">
        <v>4</v>
      </c>
      <c r="E1363" s="19" t="s">
        <v>876</v>
      </c>
      <c r="F1363" s="19">
        <v>0.8</v>
      </c>
      <c r="G1363" s="19"/>
      <c r="H1363" s="19"/>
    </row>
    <row r="1364" spans="1:8" x14ac:dyDescent="0.35">
      <c r="A1364" s="19" t="s">
        <v>333</v>
      </c>
      <c r="B1364" s="20" t="s">
        <v>328</v>
      </c>
      <c r="C1364" s="20" t="s">
        <v>327</v>
      </c>
      <c r="D1364" s="19" t="s">
        <v>174</v>
      </c>
      <c r="E1364" s="19" t="s">
        <v>330</v>
      </c>
      <c r="F1364" s="19">
        <v>0.4486</v>
      </c>
      <c r="G1364" s="19" t="s">
        <v>331</v>
      </c>
      <c r="H1364" s="19" t="s">
        <v>332</v>
      </c>
    </row>
    <row r="1365" spans="1:8" ht="28" x14ac:dyDescent="0.35">
      <c r="A1365" s="19" t="s">
        <v>388</v>
      </c>
      <c r="B1365" s="20" t="s">
        <v>386</v>
      </c>
      <c r="C1365" s="20" t="s">
        <v>385</v>
      </c>
      <c r="D1365" s="19"/>
      <c r="E1365" s="19"/>
      <c r="F1365" s="19"/>
      <c r="G1365" s="19"/>
      <c r="H1365" s="19"/>
    </row>
    <row r="1366" spans="1:8" x14ac:dyDescent="0.35">
      <c r="A1366" s="19" t="s">
        <v>5098</v>
      </c>
      <c r="B1366" s="20"/>
      <c r="C1366" s="20"/>
      <c r="D1366" s="19"/>
      <c r="E1366" s="19"/>
      <c r="F1366" s="19"/>
      <c r="G1366" s="19"/>
      <c r="H1366" s="19"/>
    </row>
    <row r="1367" spans="1:8" x14ac:dyDescent="0.35">
      <c r="A1367" s="19" t="s">
        <v>5099</v>
      </c>
      <c r="B1367" s="20" t="s">
        <v>475</v>
      </c>
      <c r="C1367" s="20" t="s">
        <v>475</v>
      </c>
      <c r="D1367" s="19" t="s">
        <v>21</v>
      </c>
      <c r="E1367" s="19" t="s">
        <v>72</v>
      </c>
      <c r="F1367" s="19">
        <v>1</v>
      </c>
      <c r="G1367" s="19"/>
      <c r="H1367" s="19"/>
    </row>
    <row r="1368" spans="1:8" x14ac:dyDescent="0.35">
      <c r="A1368" s="19" t="s">
        <v>5100</v>
      </c>
      <c r="B1368" s="20" t="s">
        <v>4668</v>
      </c>
      <c r="C1368" s="20"/>
      <c r="D1368" s="19"/>
      <c r="E1368" s="19"/>
      <c r="F1368" s="19"/>
      <c r="G1368" s="19"/>
      <c r="H1368" s="19"/>
    </row>
    <row r="1369" spans="1:8" x14ac:dyDescent="0.35">
      <c r="A1369" s="19" t="s">
        <v>5101</v>
      </c>
      <c r="B1369" s="20" t="s">
        <v>475</v>
      </c>
      <c r="C1369" s="20" t="s">
        <v>475</v>
      </c>
      <c r="D1369" s="19" t="s">
        <v>21</v>
      </c>
      <c r="E1369" s="19" t="s">
        <v>72</v>
      </c>
      <c r="F1369" s="19">
        <v>1</v>
      </c>
      <c r="G1369" s="19"/>
      <c r="H1369" s="19"/>
    </row>
    <row r="1370" spans="1:8" x14ac:dyDescent="0.35">
      <c r="A1370" s="19" t="s">
        <v>5102</v>
      </c>
      <c r="B1370" s="20"/>
      <c r="C1370" s="20"/>
      <c r="D1370" s="19"/>
      <c r="E1370" s="19"/>
      <c r="F1370" s="19"/>
      <c r="G1370" s="19"/>
      <c r="H1370" s="19"/>
    </row>
    <row r="1371" spans="1:8" x14ac:dyDescent="0.35">
      <c r="A1371" s="19" t="s">
        <v>2151</v>
      </c>
      <c r="B1371" s="20" t="s">
        <v>2149</v>
      </c>
      <c r="C1371" s="20" t="s">
        <v>2148</v>
      </c>
      <c r="D1371" s="19" t="s">
        <v>174</v>
      </c>
      <c r="E1371" s="19" t="s">
        <v>2150</v>
      </c>
      <c r="F1371" s="19">
        <v>0.21590000000000001</v>
      </c>
      <c r="G1371" s="19" t="s">
        <v>1397</v>
      </c>
      <c r="H1371" s="19" t="s">
        <v>1402</v>
      </c>
    </row>
    <row r="1372" spans="1:8" x14ac:dyDescent="0.35">
      <c r="A1372" s="19" t="s">
        <v>5103</v>
      </c>
      <c r="B1372" s="20" t="s">
        <v>4601</v>
      </c>
      <c r="C1372" s="20" t="s">
        <v>270</v>
      </c>
      <c r="D1372" s="19" t="s">
        <v>174</v>
      </c>
      <c r="E1372" s="19" t="s">
        <v>272</v>
      </c>
      <c r="F1372" s="19">
        <v>0.35449999999999998</v>
      </c>
      <c r="G1372" s="19" t="s">
        <v>273</v>
      </c>
      <c r="H1372" s="19" t="s">
        <v>274</v>
      </c>
    </row>
    <row r="1373" spans="1:8" ht="28" x14ac:dyDescent="0.35">
      <c r="A1373" s="19" t="s">
        <v>5104</v>
      </c>
      <c r="B1373" s="20" t="s">
        <v>5105</v>
      </c>
      <c r="C1373" s="20" t="s">
        <v>327</v>
      </c>
      <c r="D1373" s="19" t="s">
        <v>174</v>
      </c>
      <c r="E1373" s="19" t="s">
        <v>330</v>
      </c>
      <c r="F1373" s="19">
        <v>0.4486</v>
      </c>
      <c r="G1373" s="19" t="s">
        <v>331</v>
      </c>
      <c r="H1373" s="19" t="s">
        <v>332</v>
      </c>
    </row>
    <row r="1374" spans="1:8" x14ac:dyDescent="0.35">
      <c r="A1374" s="19" t="s">
        <v>5106</v>
      </c>
      <c r="B1374" s="20" t="s">
        <v>3923</v>
      </c>
      <c r="C1374" s="20" t="s">
        <v>3922</v>
      </c>
      <c r="D1374" s="19"/>
      <c r="E1374" s="19"/>
      <c r="F1374" s="19"/>
      <c r="G1374" s="19"/>
      <c r="H1374" s="19"/>
    </row>
    <row r="1375" spans="1:8" ht="28" x14ac:dyDescent="0.35">
      <c r="A1375" s="19" t="s">
        <v>922</v>
      </c>
      <c r="B1375" s="20" t="s">
        <v>921</v>
      </c>
      <c r="C1375" s="20" t="s">
        <v>920</v>
      </c>
      <c r="D1375" s="19" t="s">
        <v>4</v>
      </c>
      <c r="E1375" s="19" t="s">
        <v>526</v>
      </c>
      <c r="F1375" s="19">
        <v>0.8</v>
      </c>
      <c r="G1375" s="19"/>
      <c r="H1375" s="19"/>
    </row>
    <row r="1376" spans="1:8" x14ac:dyDescent="0.35">
      <c r="A1376" s="19" t="s">
        <v>3387</v>
      </c>
      <c r="B1376" s="20" t="s">
        <v>3383</v>
      </c>
      <c r="C1376" s="20" t="s">
        <v>5107</v>
      </c>
      <c r="D1376" s="19" t="s">
        <v>174</v>
      </c>
      <c r="E1376" s="19" t="s">
        <v>2562</v>
      </c>
      <c r="F1376" s="19">
        <v>0.45079999999999998</v>
      </c>
      <c r="G1376" s="19" t="s">
        <v>3483</v>
      </c>
      <c r="H1376" s="19" t="s">
        <v>3385</v>
      </c>
    </row>
    <row r="1377" spans="1:8" ht="28" x14ac:dyDescent="0.35">
      <c r="A1377" s="19" t="s">
        <v>5108</v>
      </c>
      <c r="B1377" s="20" t="s">
        <v>5109</v>
      </c>
      <c r="C1377" s="20" t="s">
        <v>327</v>
      </c>
      <c r="D1377" s="19" t="s">
        <v>174</v>
      </c>
      <c r="E1377" s="19" t="s">
        <v>330</v>
      </c>
      <c r="F1377" s="19">
        <v>0.4486</v>
      </c>
      <c r="G1377" s="19" t="s">
        <v>331</v>
      </c>
      <c r="H1377" s="19" t="s">
        <v>332</v>
      </c>
    </row>
    <row r="1378" spans="1:8" x14ac:dyDescent="0.35">
      <c r="A1378" s="19" t="s">
        <v>5110</v>
      </c>
      <c r="B1378" s="20" t="s">
        <v>3923</v>
      </c>
      <c r="C1378" s="20" t="s">
        <v>3922</v>
      </c>
      <c r="D1378" s="19"/>
      <c r="E1378" s="19"/>
      <c r="F1378" s="19"/>
      <c r="G1378" s="19"/>
      <c r="H1378" s="19"/>
    </row>
    <row r="1379" spans="1:8" ht="28" x14ac:dyDescent="0.35">
      <c r="A1379" s="19" t="s">
        <v>2665</v>
      </c>
      <c r="B1379" s="20" t="s">
        <v>2661</v>
      </c>
      <c r="C1379" s="20" t="s">
        <v>2661</v>
      </c>
      <c r="D1379" s="19" t="s">
        <v>174</v>
      </c>
      <c r="E1379" s="19" t="s">
        <v>2663</v>
      </c>
      <c r="F1379" s="19">
        <v>0.3574</v>
      </c>
      <c r="G1379" s="19" t="s">
        <v>220</v>
      </c>
      <c r="H1379" s="19" t="s">
        <v>2664</v>
      </c>
    </row>
    <row r="1380" spans="1:8" ht="56" x14ac:dyDescent="0.35">
      <c r="A1380" s="19" t="s">
        <v>4096</v>
      </c>
      <c r="B1380" s="20" t="s">
        <v>4095</v>
      </c>
      <c r="C1380" s="20" t="s">
        <v>4094</v>
      </c>
      <c r="D1380" s="19"/>
      <c r="E1380" s="19"/>
      <c r="F1380" s="19"/>
      <c r="G1380" s="19"/>
      <c r="H1380" s="19"/>
    </row>
    <row r="1381" spans="1:8" ht="28" x14ac:dyDescent="0.35">
      <c r="A1381" s="19" t="s">
        <v>2121</v>
      </c>
      <c r="B1381" s="20" t="s">
        <v>2118</v>
      </c>
      <c r="C1381" s="20" t="s">
        <v>5111</v>
      </c>
      <c r="D1381" s="19" t="s">
        <v>174</v>
      </c>
      <c r="E1381" s="19" t="s">
        <v>2120</v>
      </c>
      <c r="F1381" s="19">
        <v>0.21740000000000001</v>
      </c>
      <c r="G1381" s="19"/>
      <c r="H1381" s="19"/>
    </row>
    <row r="1382" spans="1:8" x14ac:dyDescent="0.35">
      <c r="A1382" s="19" t="s">
        <v>3955</v>
      </c>
      <c r="B1382" s="20" t="s">
        <v>3954</v>
      </c>
      <c r="C1382" s="20" t="s">
        <v>3954</v>
      </c>
      <c r="D1382" s="19"/>
      <c r="E1382" s="19"/>
      <c r="F1382" s="19"/>
      <c r="G1382" s="19"/>
      <c r="H1382" s="19"/>
    </row>
    <row r="1383" spans="1:8" x14ac:dyDescent="0.35">
      <c r="A1383" s="19" t="s">
        <v>1417</v>
      </c>
      <c r="B1383" s="20" t="s">
        <v>1413</v>
      </c>
      <c r="C1383" s="20" t="s">
        <v>1413</v>
      </c>
      <c r="D1383" s="19" t="s">
        <v>174</v>
      </c>
      <c r="E1383" s="19" t="s">
        <v>1414</v>
      </c>
      <c r="F1383" s="19">
        <v>0.2858</v>
      </c>
      <c r="G1383" s="19" t="s">
        <v>1415</v>
      </c>
      <c r="H1383" s="19" t="s">
        <v>1416</v>
      </c>
    </row>
    <row r="1384" spans="1:8" ht="28" x14ac:dyDescent="0.35">
      <c r="A1384" s="19" t="s">
        <v>5112</v>
      </c>
      <c r="B1384" s="20" t="s">
        <v>5105</v>
      </c>
      <c r="C1384" s="20" t="s">
        <v>327</v>
      </c>
      <c r="D1384" s="19" t="s">
        <v>174</v>
      </c>
      <c r="E1384" s="19" t="s">
        <v>330</v>
      </c>
      <c r="F1384" s="19">
        <v>0.4486</v>
      </c>
      <c r="G1384" s="19" t="s">
        <v>331</v>
      </c>
      <c r="H1384" s="19" t="s">
        <v>332</v>
      </c>
    </row>
    <row r="1385" spans="1:8" x14ac:dyDescent="0.35">
      <c r="A1385" s="19" t="s">
        <v>5113</v>
      </c>
      <c r="B1385" s="20" t="s">
        <v>3923</v>
      </c>
      <c r="C1385" s="20" t="s">
        <v>3922</v>
      </c>
      <c r="D1385" s="19"/>
      <c r="E1385" s="19"/>
      <c r="F1385" s="19"/>
      <c r="G1385" s="19"/>
      <c r="H1385" s="19"/>
    </row>
    <row r="1386" spans="1:8" ht="70" x14ac:dyDescent="0.35">
      <c r="A1386" s="19" t="s">
        <v>3889</v>
      </c>
      <c r="B1386" s="20" t="s">
        <v>3888</v>
      </c>
      <c r="C1386" s="20" t="s">
        <v>3888</v>
      </c>
      <c r="D1386" s="19"/>
      <c r="E1386" s="19"/>
      <c r="F1386" s="19"/>
      <c r="G1386" s="19"/>
      <c r="H1386" s="19"/>
    </row>
    <row r="1387" spans="1:8" x14ac:dyDescent="0.35">
      <c r="A1387" s="19" t="s">
        <v>52</v>
      </c>
      <c r="B1387" s="20" t="s">
        <v>50</v>
      </c>
      <c r="C1387" s="20" t="s">
        <v>50</v>
      </c>
      <c r="D1387" s="19" t="s">
        <v>21</v>
      </c>
      <c r="E1387" s="19" t="s">
        <v>51</v>
      </c>
      <c r="F1387" s="19">
        <v>1</v>
      </c>
      <c r="G1387" s="19"/>
      <c r="H1387" s="19"/>
    </row>
    <row r="1388" spans="1:8" x14ac:dyDescent="0.35">
      <c r="A1388" s="19" t="s">
        <v>5114</v>
      </c>
      <c r="B1388" s="20" t="s">
        <v>910</v>
      </c>
      <c r="C1388" s="20" t="s">
        <v>910</v>
      </c>
      <c r="D1388" s="19" t="s">
        <v>4</v>
      </c>
      <c r="E1388" s="19" t="s">
        <v>876</v>
      </c>
      <c r="F1388" s="19">
        <v>0.8</v>
      </c>
      <c r="G1388" s="19"/>
      <c r="H1388" s="19"/>
    </row>
    <row r="1389" spans="1:8" x14ac:dyDescent="0.35">
      <c r="A1389" s="19" t="s">
        <v>5115</v>
      </c>
      <c r="B1389" s="20"/>
      <c r="C1389" s="20"/>
      <c r="D1389" s="19"/>
      <c r="E1389" s="19"/>
      <c r="F1389" s="19"/>
      <c r="G1389" s="19"/>
      <c r="H1389" s="19"/>
    </row>
    <row r="1390" spans="1:8" ht="28" x14ac:dyDescent="0.35">
      <c r="A1390" s="19" t="s">
        <v>3474</v>
      </c>
      <c r="B1390" s="20" t="s">
        <v>3469</v>
      </c>
      <c r="C1390" s="20" t="s">
        <v>3468</v>
      </c>
      <c r="D1390" s="19" t="s">
        <v>174</v>
      </c>
      <c r="E1390" s="19" t="s">
        <v>3471</v>
      </c>
      <c r="F1390" s="19">
        <v>0.43719999999999998</v>
      </c>
      <c r="G1390" s="19" t="s">
        <v>3472</v>
      </c>
      <c r="H1390" s="19" t="s">
        <v>3473</v>
      </c>
    </row>
    <row r="1391" spans="1:8" ht="28" x14ac:dyDescent="0.35">
      <c r="A1391" s="19" t="s">
        <v>5116</v>
      </c>
      <c r="B1391" s="20" t="s">
        <v>5117</v>
      </c>
      <c r="C1391" s="20" t="s">
        <v>3468</v>
      </c>
      <c r="D1391" s="19" t="s">
        <v>174</v>
      </c>
      <c r="E1391" s="19" t="s">
        <v>3471</v>
      </c>
      <c r="F1391" s="19">
        <v>0.43719999999999998</v>
      </c>
      <c r="G1391" s="19" t="s">
        <v>3472</v>
      </c>
      <c r="H1391" s="19" t="s">
        <v>3473</v>
      </c>
    </row>
    <row r="1392" spans="1:8" x14ac:dyDescent="0.35">
      <c r="A1392" s="19" t="s">
        <v>1398</v>
      </c>
      <c r="B1392" s="20" t="s">
        <v>1393</v>
      </c>
      <c r="C1392" s="20" t="s">
        <v>1393</v>
      </c>
      <c r="D1392" s="19" t="s">
        <v>174</v>
      </c>
      <c r="E1392" s="19" t="s">
        <v>1395</v>
      </c>
      <c r="F1392" s="19">
        <v>0.2898</v>
      </c>
      <c r="G1392" s="19" t="s">
        <v>1396</v>
      </c>
      <c r="H1392" s="19" t="s">
        <v>1397</v>
      </c>
    </row>
    <row r="1393" spans="1:8" x14ac:dyDescent="0.35">
      <c r="A1393" s="19" t="s">
        <v>5118</v>
      </c>
      <c r="B1393" s="20" t="s">
        <v>5119</v>
      </c>
      <c r="C1393" s="20" t="s">
        <v>2558</v>
      </c>
      <c r="D1393" s="19" t="s">
        <v>174</v>
      </c>
      <c r="E1393" s="19" t="s">
        <v>533</v>
      </c>
      <c r="F1393" s="19">
        <v>0.37119999999999997</v>
      </c>
      <c r="G1393" s="19" t="s">
        <v>1396</v>
      </c>
      <c r="H1393" s="19" t="s">
        <v>1397</v>
      </c>
    </row>
    <row r="1394" spans="1:8" x14ac:dyDescent="0.35">
      <c r="A1394" s="19" t="s">
        <v>5120</v>
      </c>
      <c r="B1394" s="20" t="s">
        <v>5121</v>
      </c>
      <c r="C1394" s="20" t="s">
        <v>3562</v>
      </c>
      <c r="D1394" s="19" t="s">
        <v>174</v>
      </c>
      <c r="E1394" s="19" t="s">
        <v>3564</v>
      </c>
      <c r="F1394" s="19">
        <v>0.42509999999999998</v>
      </c>
      <c r="G1394" s="19" t="s">
        <v>2136</v>
      </c>
      <c r="H1394" s="19" t="s">
        <v>2002</v>
      </c>
    </row>
    <row r="1395" spans="1:8" x14ac:dyDescent="0.35">
      <c r="A1395" s="19" t="s">
        <v>5122</v>
      </c>
      <c r="B1395" s="20" t="s">
        <v>5123</v>
      </c>
      <c r="C1395" s="20" t="s">
        <v>2558</v>
      </c>
      <c r="D1395" s="19" t="s">
        <v>174</v>
      </c>
      <c r="E1395" s="19" t="s">
        <v>533</v>
      </c>
      <c r="F1395" s="19">
        <v>0.37119999999999997</v>
      </c>
      <c r="G1395" s="19" t="s">
        <v>1396</v>
      </c>
      <c r="H1395" s="19" t="s">
        <v>1397</v>
      </c>
    </row>
    <row r="1396" spans="1:8" x14ac:dyDescent="0.35">
      <c r="A1396" s="19" t="s">
        <v>5124</v>
      </c>
      <c r="B1396" s="20" t="s">
        <v>3696</v>
      </c>
      <c r="C1396" s="20" t="s">
        <v>3696</v>
      </c>
      <c r="D1396" s="19" t="s">
        <v>174</v>
      </c>
      <c r="E1396" s="19" t="s">
        <v>3697</v>
      </c>
      <c r="F1396" s="19">
        <v>0.40570000000000001</v>
      </c>
      <c r="G1396" s="19" t="s">
        <v>1768</v>
      </c>
      <c r="H1396" s="19" t="s">
        <v>3698</v>
      </c>
    </row>
    <row r="1397" spans="1:8" ht="28" x14ac:dyDescent="0.35">
      <c r="A1397" s="19" t="s">
        <v>3223</v>
      </c>
      <c r="B1397" s="20" t="s">
        <v>3220</v>
      </c>
      <c r="C1397" s="20" t="s">
        <v>3219</v>
      </c>
      <c r="D1397" s="19" t="s">
        <v>174</v>
      </c>
      <c r="E1397" s="19" t="s">
        <v>3221</v>
      </c>
      <c r="F1397" s="19">
        <v>0.47649999999999998</v>
      </c>
      <c r="G1397" s="19" t="s">
        <v>450</v>
      </c>
      <c r="H1397" s="19" t="s">
        <v>3222</v>
      </c>
    </row>
    <row r="1398" spans="1:8" ht="28" x14ac:dyDescent="0.35">
      <c r="A1398" s="19" t="s">
        <v>5125</v>
      </c>
      <c r="B1398" s="20" t="s">
        <v>5126</v>
      </c>
      <c r="C1398" s="20" t="s">
        <v>3219</v>
      </c>
      <c r="D1398" s="19" t="s">
        <v>174</v>
      </c>
      <c r="E1398" s="19" t="s">
        <v>3221</v>
      </c>
      <c r="F1398" s="19">
        <v>0.47649999999999998</v>
      </c>
      <c r="G1398" s="19" t="s">
        <v>450</v>
      </c>
      <c r="H1398" s="19" t="s">
        <v>3222</v>
      </c>
    </row>
    <row r="1399" spans="1:8" ht="28" x14ac:dyDescent="0.35">
      <c r="A1399" s="19" t="s">
        <v>5127</v>
      </c>
      <c r="B1399" s="20" t="s">
        <v>3510</v>
      </c>
      <c r="C1399" s="20" t="s">
        <v>3509</v>
      </c>
      <c r="D1399" s="19" t="s">
        <v>174</v>
      </c>
      <c r="E1399" s="19" t="s">
        <v>3221</v>
      </c>
      <c r="F1399" s="19">
        <v>0.42880000000000001</v>
      </c>
      <c r="G1399" s="19" t="s">
        <v>3512</v>
      </c>
      <c r="H1399" s="19" t="s">
        <v>3513</v>
      </c>
    </row>
    <row r="1400" spans="1:8" ht="28" x14ac:dyDescent="0.35">
      <c r="A1400" s="19" t="s">
        <v>5128</v>
      </c>
      <c r="B1400" s="20" t="s">
        <v>1765</v>
      </c>
      <c r="C1400" s="20" t="s">
        <v>1764</v>
      </c>
      <c r="D1400" s="19" t="s">
        <v>174</v>
      </c>
      <c r="E1400" s="19" t="s">
        <v>1767</v>
      </c>
      <c r="F1400" s="19">
        <v>0.25259999999999999</v>
      </c>
      <c r="G1400" s="19" t="s">
        <v>1768</v>
      </c>
      <c r="H1400" s="19"/>
    </row>
    <row r="1401" spans="1:8" x14ac:dyDescent="0.35">
      <c r="A1401" s="19" t="s">
        <v>5129</v>
      </c>
      <c r="B1401" s="20"/>
      <c r="C1401" s="20"/>
      <c r="D1401" s="19"/>
      <c r="E1401" s="19"/>
      <c r="F1401" s="19"/>
      <c r="G1401" s="19"/>
      <c r="H1401" s="19"/>
    </row>
    <row r="1402" spans="1:8" x14ac:dyDescent="0.35">
      <c r="A1402" s="19" t="s">
        <v>5130</v>
      </c>
      <c r="B1402" s="20" t="s">
        <v>4404</v>
      </c>
      <c r="C1402" s="20"/>
      <c r="D1402" s="19"/>
      <c r="E1402" s="19"/>
      <c r="F1402" s="19"/>
      <c r="G1402" s="19"/>
      <c r="H1402" s="19"/>
    </row>
    <row r="1403" spans="1:8" x14ac:dyDescent="0.35">
      <c r="A1403" s="19" t="s">
        <v>5131</v>
      </c>
      <c r="B1403" s="20"/>
      <c r="C1403" s="20"/>
      <c r="D1403" s="19"/>
      <c r="E1403" s="19"/>
      <c r="F1403" s="19"/>
      <c r="G1403" s="19"/>
      <c r="H1403" s="19"/>
    </row>
    <row r="1404" spans="1:8" x14ac:dyDescent="0.35">
      <c r="A1404" s="19" t="s">
        <v>5132</v>
      </c>
      <c r="B1404" s="20" t="s">
        <v>5007</v>
      </c>
      <c r="C1404" s="20" t="s">
        <v>3024</v>
      </c>
      <c r="D1404" s="19" t="s">
        <v>174</v>
      </c>
      <c r="E1404" s="19" t="s">
        <v>3532</v>
      </c>
      <c r="F1404" s="19">
        <v>0.42670000000000002</v>
      </c>
      <c r="G1404" s="19" t="s">
        <v>2933</v>
      </c>
      <c r="H1404" s="19" t="s">
        <v>3533</v>
      </c>
    </row>
    <row r="1405" spans="1:8" x14ac:dyDescent="0.35">
      <c r="A1405" s="19" t="s">
        <v>5133</v>
      </c>
      <c r="B1405" s="20" t="s">
        <v>4675</v>
      </c>
      <c r="C1405" s="20" t="s">
        <v>63</v>
      </c>
      <c r="D1405" s="19" t="s">
        <v>21</v>
      </c>
      <c r="E1405" s="19" t="s">
        <v>63</v>
      </c>
      <c r="F1405" s="19">
        <v>1</v>
      </c>
      <c r="G1405" s="19"/>
      <c r="H1405" s="19"/>
    </row>
    <row r="1406" spans="1:8" x14ac:dyDescent="0.35">
      <c r="A1406" s="19" t="s">
        <v>5134</v>
      </c>
      <c r="B1406" s="20" t="s">
        <v>5135</v>
      </c>
      <c r="C1406" s="20" t="s">
        <v>3237</v>
      </c>
      <c r="D1406" s="19" t="s">
        <v>174</v>
      </c>
      <c r="E1406" s="19" t="s">
        <v>63</v>
      </c>
      <c r="F1406" s="19">
        <v>0.4723</v>
      </c>
      <c r="G1406" s="19" t="s">
        <v>1503</v>
      </c>
      <c r="H1406" s="19" t="s">
        <v>485</v>
      </c>
    </row>
    <row r="1407" spans="1:8" x14ac:dyDescent="0.35">
      <c r="A1407" s="19" t="s">
        <v>2876</v>
      </c>
      <c r="B1407" s="20" t="s">
        <v>2873</v>
      </c>
      <c r="C1407" s="20" t="s">
        <v>5136</v>
      </c>
      <c r="D1407" s="19" t="s">
        <v>174</v>
      </c>
      <c r="E1407" s="19" t="s">
        <v>248</v>
      </c>
      <c r="F1407" s="19">
        <v>0.38369999999999999</v>
      </c>
      <c r="G1407" s="19" t="s">
        <v>249</v>
      </c>
      <c r="H1407" s="19" t="s">
        <v>2874</v>
      </c>
    </row>
    <row r="1408" spans="1:8" x14ac:dyDescent="0.35">
      <c r="A1408" s="19" t="s">
        <v>5137</v>
      </c>
      <c r="B1408" s="20" t="s">
        <v>67</v>
      </c>
      <c r="C1408" s="20" t="s">
        <v>67</v>
      </c>
      <c r="D1408" s="19" t="s">
        <v>21</v>
      </c>
      <c r="E1408" s="19" t="s">
        <v>67</v>
      </c>
      <c r="F1408" s="19">
        <v>1</v>
      </c>
      <c r="G1408" s="19"/>
      <c r="H1408" s="19"/>
    </row>
    <row r="1409" spans="1:8" ht="56" x14ac:dyDescent="0.35">
      <c r="A1409" s="19" t="s">
        <v>3276</v>
      </c>
      <c r="B1409" s="20" t="s">
        <v>3272</v>
      </c>
      <c r="C1409" s="20" t="s">
        <v>5138</v>
      </c>
      <c r="D1409" s="19" t="s">
        <v>174</v>
      </c>
      <c r="E1409" s="19" t="s">
        <v>3273</v>
      </c>
      <c r="F1409" s="19">
        <v>0.46479999999999999</v>
      </c>
      <c r="G1409" s="19" t="s">
        <v>3274</v>
      </c>
      <c r="H1409" s="19" t="s">
        <v>3275</v>
      </c>
    </row>
    <row r="1410" spans="1:8" x14ac:dyDescent="0.35">
      <c r="A1410" s="19" t="s">
        <v>5139</v>
      </c>
      <c r="B1410" s="20" t="s">
        <v>905</v>
      </c>
      <c r="C1410" s="20" t="s">
        <v>905</v>
      </c>
      <c r="D1410" s="19" t="s">
        <v>4</v>
      </c>
      <c r="E1410" s="19" t="s">
        <v>907</v>
      </c>
      <c r="F1410" s="19">
        <v>0.8</v>
      </c>
      <c r="G1410" s="19"/>
      <c r="H1410" s="19"/>
    </row>
    <row r="1411" spans="1:8" x14ac:dyDescent="0.35">
      <c r="A1411" s="19" t="s">
        <v>3318</v>
      </c>
      <c r="B1411" s="20" t="s">
        <v>3315</v>
      </c>
      <c r="C1411" s="20" t="s">
        <v>3315</v>
      </c>
      <c r="D1411" s="19" t="s">
        <v>174</v>
      </c>
      <c r="E1411" s="19" t="s">
        <v>3316</v>
      </c>
      <c r="F1411" s="19">
        <v>0.46179999999999999</v>
      </c>
      <c r="G1411" s="19" t="s">
        <v>3317</v>
      </c>
      <c r="H1411" s="19" t="s">
        <v>1837</v>
      </c>
    </row>
  </sheetData>
  <autoFilter ref="A1:H141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Validate</vt:lpstr>
      <vt:lpstr>Summary</vt:lpstr>
      <vt:lpstr>Norms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Silva</cp:lastModifiedBy>
  <dcterms:created xsi:type="dcterms:W3CDTF">2026-10-18T10:39:08Z</dcterms:created>
  <dcterms:modified xsi:type="dcterms:W3CDTF">2026-10-18T10:53:38Z</dcterms:modified>
</cp:coreProperties>
</file>