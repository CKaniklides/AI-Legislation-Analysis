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8c8c9cd31f35923/0 QIST/Year 2/JIP/AI-Legislation-Analysis/data/conflict/actor/"/>
    </mc:Choice>
  </mc:AlternateContent>
  <xr:revisionPtr revIDLastSave="0" documentId="11_E4E548732267A5512F28967D20A4E9C66DDEADDA" xr6:coauthVersionLast="47" xr6:coauthVersionMax="47" xr10:uidLastSave="{00000000-0000-0000-0000-000000000000}"/>
  <bookViews>
    <workbookView xWindow="-110" yWindow="-110" windowWidth="19420" windowHeight="11500" activeTab="1" xr2:uid="{00000000-000D-0000-FFFF-FFFF00000000}"/>
  </bookViews>
  <sheets>
    <sheet name="Instructions" sheetId="1" r:id="rId1"/>
    <sheet name="Review" sheetId="2" r:id="rId2"/>
    <sheet name="Scores" sheetId="3" r:id="rId3"/>
    <sheet name="Label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B6" i="3"/>
  <c r="C5" i="3"/>
  <c r="B5" i="3"/>
  <c r="C4" i="3"/>
  <c r="B4" i="3"/>
  <c r="B7" i="3" s="1"/>
  <c r="P41" i="2"/>
  <c r="P40" i="2"/>
  <c r="P39" i="2"/>
  <c r="P38" i="2"/>
  <c r="P37" i="2"/>
  <c r="P36" i="2"/>
  <c r="P35" i="2"/>
  <c r="P34" i="2"/>
  <c r="P33" i="2"/>
  <c r="P32" i="2"/>
  <c r="P31" i="2"/>
  <c r="P30" i="2"/>
  <c r="P29" i="2"/>
  <c r="P28" i="2"/>
  <c r="P27" i="2"/>
  <c r="P26" i="2"/>
  <c r="P25" i="2"/>
  <c r="S24" i="2"/>
  <c r="R24" i="2"/>
  <c r="P24" i="2"/>
  <c r="Q24" i="2" s="1"/>
  <c r="P23" i="2"/>
  <c r="P22" i="2"/>
  <c r="P21" i="2"/>
  <c r="P20" i="2"/>
  <c r="P19" i="2"/>
  <c r="P18" i="2"/>
  <c r="S17" i="2"/>
  <c r="R17" i="2"/>
  <c r="P17" i="2"/>
  <c r="Q17" i="2" s="1"/>
  <c r="P16" i="2"/>
  <c r="P15" i="2"/>
  <c r="P14" i="2"/>
  <c r="P13" i="2"/>
  <c r="P12" i="2"/>
  <c r="P11" i="2"/>
  <c r="P10" i="2"/>
  <c r="P9" i="2"/>
  <c r="P8" i="2"/>
  <c r="P7" i="2"/>
  <c r="P6" i="2"/>
  <c r="P5" i="2"/>
  <c r="P4" i="2"/>
  <c r="P3" i="2"/>
  <c r="P2" i="2"/>
  <c r="E6" i="3" l="1"/>
  <c r="F6" i="3"/>
  <c r="G6" i="3"/>
  <c r="D6" i="3"/>
  <c r="G5" i="3"/>
  <c r="F5" i="3"/>
  <c r="E5" i="3"/>
  <c r="D5" i="3"/>
  <c r="C7" i="3"/>
  <c r="D4" i="3"/>
  <c r="G4" i="3"/>
  <c r="E4" i="3"/>
  <c r="F4" i="3"/>
  <c r="S41" i="2"/>
  <c r="Q41" i="2"/>
  <c r="R41" i="2"/>
  <c r="Q40" i="2"/>
  <c r="S40" i="2"/>
  <c r="R40" i="2"/>
  <c r="S39" i="2"/>
  <c r="R39" i="2"/>
  <c r="Q39" i="2"/>
  <c r="S38" i="2"/>
  <c r="R38" i="2"/>
  <c r="Q38" i="2"/>
  <c r="S37" i="2"/>
  <c r="R37" i="2"/>
  <c r="Q37" i="2"/>
  <c r="S36" i="2"/>
  <c r="Q36" i="2"/>
  <c r="R36" i="2"/>
  <c r="Q35" i="2"/>
  <c r="R35" i="2"/>
  <c r="S35" i="2"/>
  <c r="R34" i="2"/>
  <c r="Q34" i="2"/>
  <c r="S34" i="2"/>
  <c r="Q33" i="2"/>
  <c r="R33" i="2"/>
  <c r="S33" i="2"/>
  <c r="Q32" i="2"/>
  <c r="S32" i="2"/>
  <c r="R32" i="2"/>
  <c r="Q31" i="2"/>
  <c r="S31" i="2"/>
  <c r="R31" i="2"/>
  <c r="Q30" i="2"/>
  <c r="R30" i="2"/>
  <c r="S30" i="2"/>
  <c r="Q29" i="2"/>
  <c r="R29" i="2"/>
  <c r="S29" i="2"/>
  <c r="S28" i="2"/>
  <c r="R28" i="2"/>
  <c r="Q28" i="2"/>
  <c r="S27" i="2"/>
  <c r="Q27" i="2"/>
  <c r="R27" i="2"/>
  <c r="R26" i="2"/>
  <c r="S26" i="2"/>
  <c r="Q26" i="2"/>
  <c r="Q25" i="2"/>
  <c r="R25" i="2"/>
  <c r="S25" i="2"/>
  <c r="S23" i="2"/>
  <c r="R23" i="2"/>
  <c r="Q23" i="2"/>
  <c r="S22" i="2"/>
  <c r="Q22" i="2"/>
  <c r="R22" i="2"/>
  <c r="Q21" i="2"/>
  <c r="S21" i="2"/>
  <c r="R21" i="2"/>
  <c r="Q20" i="2"/>
  <c r="R20" i="2"/>
  <c r="S20" i="2"/>
  <c r="Q19" i="2"/>
  <c r="R19" i="2"/>
  <c r="S19" i="2"/>
  <c r="Q18" i="2"/>
  <c r="R18" i="2"/>
  <c r="S18" i="2"/>
  <c r="R16" i="2"/>
  <c r="S16" i="2"/>
  <c r="Q16" i="2"/>
  <c r="R15" i="2"/>
  <c r="S15" i="2"/>
  <c r="Q15" i="2"/>
  <c r="Q14" i="2"/>
  <c r="R14" i="2"/>
  <c r="S14" i="2"/>
  <c r="S13" i="2"/>
  <c r="Q13" i="2"/>
  <c r="R13" i="2"/>
  <c r="S12" i="2"/>
  <c r="Q12" i="2"/>
  <c r="R12" i="2"/>
  <c r="S11" i="2"/>
  <c r="Q11" i="2"/>
  <c r="R11" i="2"/>
  <c r="S10" i="2"/>
  <c r="R10" i="2"/>
  <c r="Q10" i="2"/>
  <c r="S9" i="2"/>
  <c r="Q9" i="2"/>
  <c r="R9" i="2"/>
  <c r="R8" i="2"/>
  <c r="Q8" i="2"/>
  <c r="S8" i="2"/>
  <c r="S7" i="2"/>
  <c r="Q7" i="2"/>
  <c r="R7" i="2"/>
  <c r="R6" i="2"/>
  <c r="Q6" i="2"/>
  <c r="S6" i="2"/>
  <c r="R5" i="2"/>
  <c r="S5" i="2"/>
  <c r="Q5" i="2"/>
  <c r="R4" i="2"/>
  <c r="S4" i="2"/>
  <c r="Q4" i="2"/>
  <c r="S3" i="2"/>
  <c r="R3" i="2"/>
  <c r="Q3" i="2"/>
  <c r="Q2" i="2"/>
  <c r="R2" i="2"/>
  <c r="S2" i="2"/>
  <c r="D7" i="3" l="1"/>
  <c r="G7" i="3"/>
  <c r="E7" i="3"/>
  <c r="F7" i="3"/>
</calcChain>
</file>

<file path=xl/sharedStrings.xml><?xml version="1.0" encoding="utf-8"?>
<sst xmlns="http://schemas.openxmlformats.org/spreadsheetml/2006/main" count="482" uniqueCount="181">
  <si>
    <t>case</t>
  </si>
  <si>
    <t>stratum</t>
  </si>
  <si>
    <t>documents</t>
  </si>
  <si>
    <t>actor A</t>
  </si>
  <si>
    <t>A: definition or source</t>
  </si>
  <si>
    <t>A: as written in norms</t>
  </si>
  <si>
    <t>actor B</t>
  </si>
  <si>
    <t>B: definition or source</t>
  </si>
  <si>
    <t>B: as written in norms</t>
  </si>
  <si>
    <t>system: relation</t>
  </si>
  <si>
    <t>system: score</t>
  </si>
  <si>
    <t>system: evidence</t>
  </si>
  <si>
    <t>norm pairs affected</t>
  </si>
  <si>
    <t>REVIEW: correct relation</t>
  </si>
  <si>
    <t>REVIEW: notes</t>
  </si>
  <si>
    <t>reviewer score</t>
  </si>
  <si>
    <t>agrees</t>
  </si>
  <si>
    <t>same sign</t>
  </si>
  <si>
    <t>score error</t>
  </si>
  <si>
    <t>different</t>
  </si>
  <si>
    <t>32016R0679</t>
  </si>
  <si>
    <t>32016R0679:verwerker</t>
  </si>
  <si>
    <t>32016R0679 art. 4: een natuurlijke persoon of rechtspersoon, een overheidsinstantie, een dienst of een ander orgaan die/dat ten behoeve van de verwerkingsverantwoordelijke persoonsgegevens verwerkt</t>
  </si>
  <si>
    <t>verwerker, verwerkers, eerste verwerker</t>
  </si>
  <si>
    <t>KEY:EU:commissie</t>
  </si>
  <si>
    <t>Known actor (not defined), class institution. Aliases: Europese Commissie.</t>
  </si>
  <si>
    <t>Commissie, toezichthoudende autoriteiten en de Commissie</t>
  </si>
  <si>
    <t>found</t>
  </si>
  <si>
    <t>32024R1689</t>
  </si>
  <si>
    <t>32024R1689:importeur</t>
  </si>
  <si>
    <t>32024R1689 art. 3: een natuurlijke of rechtspersoon die zich bevindt of gevestigd is in de Unie die een AI-systeem in de handel brengt dat de naam of het merk van een in een derde land gevestigde natuurlijke of rechtspersoon draagt</t>
  </si>
  <si>
    <t>Importeurs, importeur</t>
  </si>
  <si>
    <t>KEY:32024R1689:productfabrikant</t>
  </si>
  <si>
    <t>Known actor (not defined), class party.</t>
  </si>
  <si>
    <t>productfabrikant</t>
  </si>
  <si>
    <t>sibling</t>
  </si>
  <si>
    <t>derived: both 32024R1689:operator</t>
  </si>
  <si>
    <t>unknown</t>
  </si>
  <si>
    <t>32016R0679, 32024R1689</t>
  </si>
  <si>
    <t>32016R0679:toezichthoudende_autoriteit</t>
  </si>
  <si>
    <t>32016R0679 art. 4: een door een lidstaat ingevolge artikel 51 ingestelde onafhankelijke overheidsinstantie</t>
  </si>
  <si>
    <t>toezichthoudende autoriteit, toezichthoudende autoriteiten, bevoegde toezichthoudende autoriteit</t>
  </si>
  <si>
    <t>32024R1689:gemachtigde</t>
  </si>
  <si>
    <t>32024R1689 art. 3: een natuurlijke of rechtspersoon die zich bevindt of gevestigd is in de Unie die een schriftelijke machtiging heeft gekregen en aanvaard van een aanbieder van een AI-systeem of een AI-model voor algemene doeleinden om namens die aanbieder de verplichtingen en procedures van deze verordening respectievelijk na te komen en uit te voeren</t>
  </si>
  <si>
    <t>gemachtigde</t>
  </si>
  <si>
    <t>32024R1689:aanbieder_verder_in_de_aiwaardeketen</t>
  </si>
  <si>
    <t>32024R1689 art. 3: een aanbieder van een AI-systeem, met inbegrip van een AI-systeem voor algemene doeleinden, waarin een AI-model is geïntegreerd, ongeacht of het AI-model door hemzelf wordt verstrekt en verticaal geïntegreerd is of door een andere entiteit wordt aangeboden op basis van contractuele betrekkingen.</t>
  </si>
  <si>
    <t>Aanbieders verder in de AI-waardeketen</t>
  </si>
  <si>
    <t>32024R1689:operator</t>
  </si>
  <si>
    <t>32024R1689 art. 3: een aanbieder, productfabrikant, gebruiksverantwoordelijke, gemachtigde, importeur of distributeur</t>
  </si>
  <si>
    <t>betrokken operatoren, operatoren, operators</t>
  </si>
  <si>
    <t>subtype, two steps: A ... B</t>
  </si>
  <si>
    <t>derived: via 32024R1689:aanbieder</t>
  </si>
  <si>
    <t>KEY:EU:lidstaat</t>
  </si>
  <si>
    <t>Known actor (not defined), class state.</t>
  </si>
  <si>
    <t>lidstaten, lidstaat, aanmeldende lidstaat</t>
  </si>
  <si>
    <t>KEY:32024R1689:permanente_subgroep_voor_markttoezicht</t>
  </si>
  <si>
    <t>Known actor (not defined), class body. Aliases: subgroep. Part of KEY:32024R1689:aiboard.</t>
  </si>
  <si>
    <t>permanente subgroep voor markttoezicht</t>
  </si>
  <si>
    <t>KEY:32024R1689:aiboard</t>
  </si>
  <si>
    <t>Known actor (not defined), class body. Aliases: Europese raad voor artificiële intelligentie.</t>
  </si>
  <si>
    <t>AI-board</t>
  </si>
  <si>
    <t>part of: A in B</t>
  </si>
  <si>
    <t>inventory: part_of in inventory</t>
  </si>
  <si>
    <t>32024R1689:aanbieder</t>
  </si>
  <si>
    <t>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</si>
  <si>
    <t>aanbieder, aanbieders, Aanbieders van AI-systemen met een hoog risico</t>
  </si>
  <si>
    <t>subtype: A is a kind of B</t>
  </si>
  <si>
    <t>definition: een aanbieder, productfabrikant, gebruiksverantwoordelijke, gemachtigde, importeur of distributeur</t>
  </si>
  <si>
    <t>32024R1689:aanmeldende_autoriteit</t>
  </si>
  <si>
    <t>32024R1689 art. 3: de nationale autoriteit die verantwoordelijk is voor het opzetten en uitvoeren van de noodzakelijke procedures voor de beoordeling, aanwijzing en kennisgeving van de conformiteitsbeoordelingsinstanties en de monitoring hiervan</t>
  </si>
  <si>
    <t>aanmeldende autoriteit, Aanmeldende autoriteiten</t>
  </si>
  <si>
    <t>32024R1689:distributeur</t>
  </si>
  <si>
    <t>32024R1689 art. 3: een andere natuurlijke persoon of rechtspersoon in de toeleveringsketen dan de aanbieder of de importeur, die een AI-systeem in de Unie op de markt aanbiedt</t>
  </si>
  <si>
    <t>distributeur, Distributeurs, distributeurs</t>
  </si>
  <si>
    <t>32016R0679:betrokken_toezichthoudende_autoriteit</t>
  </si>
  <si>
    <t>32016R0679 art. 4: een toezichthoudende autoriteit die betrokken is bij de verwerking van persoonsgegevens omdat: a) de verwerkingsverantwoordelijke of de verwerker op het grondgebied van de lidstaat van die toezichthoudende autoriteit is gevestigd; b) de betrokkenen die in de lidstaat van die toezichthoudende autoriteit verblijven, door de verwerking wezenlijke gevolgen ondervinden of waarschijnlijk zullen ondervinden; of c) bij die toezichthoudende autoriteit een klacht is ingediend</t>
  </si>
  <si>
    <t>betrokken toezichthoudende autoriteiten, betrokken toezichthoudende autoriteit</t>
  </si>
  <si>
    <t>KEY:32016R0679:leidende_toezichthoudende_autoriteit</t>
  </si>
  <si>
    <t>Known actor (not defined), class authority.</t>
  </si>
  <si>
    <t>leidende toezichthoudende autoriteit</t>
  </si>
  <si>
    <t>derived: both 32016R0679:toezichthoudende_autoriteit</t>
  </si>
  <si>
    <t>derived: via 32016R0679:toezichthoudende_autoriteit</t>
  </si>
  <si>
    <t>KEY:32016R0679:functionaris_voor_gegevensbescherming</t>
  </si>
  <si>
    <t>Known actor (not defined), class office.</t>
  </si>
  <si>
    <t>functionaris voor gegevensbescherming</t>
  </si>
  <si>
    <t>32024R1689:aibureau</t>
  </si>
  <si>
    <t>32024R1689 art. 3: de taak van de Commissie waarbij zij bijdraagt aan de uitvoering van, de monitoring van en het toezicht op AI-systemen en AI-modellen voor algemene doeleinden, en AI-governance, als bepaald in het besluit van de Commissie van 24 januari 2024; verwijzingen in deze verordening naar het AI-bureau worden begrepen als verwijzingen naar de Commissie</t>
  </si>
  <si>
    <t>AI-bureau</t>
  </si>
  <si>
    <t>definition: de taak van de Commissie</t>
  </si>
  <si>
    <t>32024R1689:markttoezichtautoriteit</t>
  </si>
  <si>
    <t>32024R1689 art. 3: de nationale autoriteit die de activiteiten verricht en maatregelen neemt als bedoeld in Verordening (EU) 2019/1020</t>
  </si>
  <si>
    <t>markttoezichtautoriteit, markttoezichtautoriteiten, Markttoezichtautoriteiten</t>
  </si>
  <si>
    <t>KEY:32016R0679:secretariaat</t>
  </si>
  <si>
    <t>Known actor (not defined), class office. Aliases: secretariaat van het Comité. Part of KEY:32016R0679:comite.</t>
  </si>
  <si>
    <t>secretariaat, secretariaat van het Comité</t>
  </si>
  <si>
    <t>32016R0679:verwerkingsverantwoordelijke</t>
  </si>
  <si>
    <t>32016R0679 art. 4: een natuurlijke persoon of rechtspersoon, een overheidsinstantie, een dienst of een ander orgaan die/dat, alleen of samen met anderen, het doel van en de middelen voor de verwerking van persoonsgegevens vaststelt; wanneer de doelstellingen van en de middelen voor deze verwerking in het Unierecht of het lidstatelijke recht worden vastgesteld, kan daarin worden bepaald wie de verwerkingsverantwoordelijke is of volgens welke criteria deze wordt aangewezen</t>
  </si>
  <si>
    <t>verwerkingsverantwoordelijke, verwerkingsverantwoordelijken, gezamenlijke verwerkingsverantwoordelijken</t>
  </si>
  <si>
    <t>KEY:32016R0679:voorzitter</t>
  </si>
  <si>
    <t>Known actor (not defined), class office. Aliases: voorzitter van het Comité. Part of KEY:32016R0679:comite.</t>
  </si>
  <si>
    <t>voorzitter van het Comité, voorzitter</t>
  </si>
  <si>
    <t>KEY:32016R0679:certificeringsorgaan</t>
  </si>
  <si>
    <t>Known actor (not defined), class body.</t>
  </si>
  <si>
    <t>certificeringsorganen</t>
  </si>
  <si>
    <t>KEY:32016R0679:comite</t>
  </si>
  <si>
    <t>Known actor (not defined), class body. Aliases: Europees Comité voor gegevensbescherming.</t>
  </si>
  <si>
    <t>Comité, comité</t>
  </si>
  <si>
    <t>32016R0679:vertegenwoordiger</t>
  </si>
  <si>
    <t>32016R0679 art. 4: een in de Unie gevestigde natuurlijke persoon of rechtspersoon die uit hoofde van artikel 27 schriftelijk door de verwerkingsverantwoordelijke of de verwerker is aangewezen om de verwerkingsverantwoordelijke of de verwerker te vertegenwoordigen in verband met hun respectieve verplichtingen krachtens deze verordening</t>
  </si>
  <si>
    <t>vertegenwoordiger van de verwerkingsverantwoordelijke, vertegenwoordiger, vertegenwoordiger van de verwerker</t>
  </si>
  <si>
    <t>32016R0679:de_betrokkene</t>
  </si>
  <si>
    <t>32016R0679 art. 4: alle informatie over een geïdentificeerde of identificeerbare natuurlijke persoon</t>
  </si>
  <si>
    <t>betrokkene</t>
  </si>
  <si>
    <t>32024R1689:aangemelde_instantie</t>
  </si>
  <si>
    <t>32024R1689 art. 3: een conformiteitsbeoordelingsinstantie die overeenkomstig deze verordening en andere relevante harmonisatiewetgeving van de Unie, is aangemeld</t>
  </si>
  <si>
    <t>Aangemelde instanties, aangemelde instantie, aangemelde instanties</t>
  </si>
  <si>
    <t>32024R1689:nationale_bevoegde_autoriteit</t>
  </si>
  <si>
    <t>32024R1689 art. 3: een aanmeldende autoriteit of een de markttoezichtautoriteit; wat betreft AI-systemen die door instellingen, organen en instanties van de EU in gebruik worden gesteld of worden gebruikt, worden verwijzingen naar nationale bevoegde autoriteiten of markttoezichtautoriteiten in deze verordening begrepen als verwijzingen naar de Europese Toezichthouder voor gegevensbescherming</t>
  </si>
  <si>
    <t>nationale bevoegde autoriteiten, Nationale bevoegde autoriteiten</t>
  </si>
  <si>
    <t>definition: een aanmeldende autoriteit of een de markttoezichtautoriteit</t>
  </si>
  <si>
    <t>32024R1689:rechtshandhavingsinstantie</t>
  </si>
  <si>
    <t>32024R1689 art. 3: a) iedere overheidsinstantie die bevoegd is voor de voorkoming van, het onderzoek naar, de opsporing en de vervolging van strafbare feiten of de uitvoering van straffen, met inbegrip van de bescherming tegen en de voorkoming van gevaren voor de openbare veiligheid, of b) ieder ander orgaan dat of iedere andere entiteit die krachtens het recht van de lidstaten is gemachtigd openbaar gezag en openbare bevoegdheden uit te oefenen met het oog op de voorkoming van, het onderzoek naar, de opsporing en de vervolging van strafbare feiten of de uitvoering van straffen, met inbegrip v</t>
  </si>
  <si>
    <t>rechtshandhavingsinstanties</t>
  </si>
  <si>
    <t>KEY:EU:overheidsinstantie</t>
  </si>
  <si>
    <t>overheidsinstantie in kwestie</t>
  </si>
  <si>
    <t>definition: iedere overheidsinstantie</t>
  </si>
  <si>
    <t>Actor relation review</t>
  </si>
  <si>
    <t>Each row of the Review sheet is a pair of actors (A and B) and the relation the system gives them. Choose the correct relation in the yellow column, using the definitions and how the actors are written in the norms. Judge the legal relation between the two actors, not whether two particular norms conflict.</t>
  </si>
  <si>
    <t>The Labels sheet lists every relation with its score. Mind the direction: 'subtype: A is a kind of B' is not the same as 'B is a kind of A'.</t>
  </si>
  <si>
    <t>Strata: 'found' rows check relations the system found; 'different' and 'unknown' rows check pairs where it found none, to see which relations are missing.</t>
  </si>
  <si>
    <t>Fill in (yellow cells only)</t>
  </si>
  <si>
    <t>REVIEW: correct relation - one label from the list, or 'unsure'.</t>
  </si>
  <si>
    <t>REVIEW: notes - for example the article that shows the relation.</t>
  </si>
  <si>
    <t>The grey columns after the notes are filled in by formulas.</t>
  </si>
  <si>
    <t>Example row (format only)</t>
  </si>
  <si>
    <t>0</t>
  </si>
  <si>
    <t>...</t>
  </si>
  <si>
    <t>betrokken toezichthoudende autoriteit</t>
  </si>
  <si>
    <t>toezichthoudende autoriteit</t>
  </si>
  <si>
    <t>0.8</t>
  </si>
  <si>
    <t>label: ...</t>
  </si>
  <si>
    <t>120</t>
  </si>
  <si>
    <t>Relation validation scores (update as the Review sheet is filled in)</t>
  </si>
  <si>
    <t>cases</t>
  </si>
  <si>
    <t>reviewed</t>
  </si>
  <si>
    <t>agreement</t>
  </si>
  <si>
    <t>positive per reviewer</t>
  </si>
  <si>
    <t>mean score error</t>
  </si>
  <si>
    <t>share of all ID pairs</t>
  </si>
  <si>
    <t>all</t>
  </si>
  <si>
    <t>Reading the strata</t>
  </si>
  <si>
    <t>found: agreement = precision of the relations the system found.</t>
  </si>
  <si>
    <t>different, unknown: 'positive per reviewer' = share of affected norm pairs whose relation the system misses (pairs were drawn in proportion to norm pairs affected).</t>
  </si>
  <si>
    <t>same sign: system and reviewer agree on +, 0 or -; a pair the system calls 'unknown' (0) never has the same sign as a reviewed label, so read 'unknown' by the column F.</t>
  </si>
  <si>
    <t>share of all ID pairs (blue): share of all ID pairs in each stratum when the sample was drawn, computed by actor_relations_validate.py.</t>
  </si>
  <si>
    <t>relation</t>
  </si>
  <si>
    <t>score</t>
  </si>
  <si>
    <t>meaning</t>
  </si>
  <si>
    <t>same / equivalent</t>
  </si>
  <si>
    <t>the same actor, or the same actor under two documents</t>
  </si>
  <si>
    <t>instance: A is B</t>
  </si>
  <si>
    <t>A is the named body that fills role B (or the reverse)</t>
  </si>
  <si>
    <t>every A is a B</t>
  </si>
  <si>
    <t>subtype: B is a kind of A</t>
  </si>
  <si>
    <t>every B is an A</t>
  </si>
  <si>
    <t>A is a kind of a kind of B</t>
  </si>
  <si>
    <t>subtype, two steps: B ... A</t>
  </si>
  <si>
    <t>B is a kind of a kind of A</t>
  </si>
  <si>
    <t>A belongs to B (chair of a board, office of the Commission)</t>
  </si>
  <si>
    <t>part of: B in A</t>
  </si>
  <si>
    <t>B belongs to A</t>
  </si>
  <si>
    <t>can be the same entity</t>
  </si>
  <si>
    <t>different roles often held by one organisation</t>
  </si>
  <si>
    <t>linked roles</t>
  </si>
  <si>
    <t>different actors whose roles are tied (controller and processor)</t>
  </si>
  <si>
    <t>two kinds of the same actor (provider and importer)</t>
  </si>
  <si>
    <t>clearly different actors</t>
  </si>
  <si>
    <t>used by the system only: the IDs never share a document</t>
  </si>
  <si>
    <t>unsure</t>
  </si>
  <si>
    <t>the reviewer cannot decide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</si>
</sst>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2"/>
      <name val="Arial"/>
    </font>
    <font>
      <sz val="10"/>
      <name val="Arial"/>
    </font>
    <font>
      <b/>
      <sz val="10"/>
      <name val="Arial"/>
    </font>
    <font>
      <b/>
      <sz val="11"/>
      <name val="Arial"/>
    </font>
    <font>
      <i/>
      <sz val="11"/>
      <color rgb="FF808080"/>
      <name val="Arial"/>
    </font>
    <font>
      <sz val="11"/>
      <name val="Arial"/>
    </font>
    <font>
      <sz val="11"/>
      <color rgb="FF0000FF"/>
      <name val="Arial"/>
    </font>
  </fonts>
  <fills count="5">
    <fill>
      <patternFill patternType="none"/>
    </fill>
    <fill>
      <patternFill patternType="gray125"/>
    </fill>
    <fill>
      <patternFill patternType="solid">
        <fgColor rgb="FFD9E1F2"/>
      </patternFill>
    </fill>
    <fill>
      <patternFill patternType="solid">
        <fgColor rgb="FFFFFF00"/>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top" wrapText="1"/>
    </xf>
    <xf numFmtId="0" fontId="5" fillId="0" borderId="1" xfId="0" applyFont="1" applyBorder="1"/>
    <xf numFmtId="0" fontId="6" fillId="0" borderId="1" xfId="0" applyFont="1" applyBorder="1" applyAlignment="1">
      <alignment vertical="top" wrapText="1"/>
    </xf>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1" fillId="0" borderId="0" xfId="0" applyFont="1"/>
    <xf numFmtId="0" fontId="6" fillId="0" borderId="0" xfId="0" applyFont="1"/>
    <xf numFmtId="164" fontId="6" fillId="0" borderId="0" xfId="0" applyNumberFormat="1" applyFont="1"/>
    <xf numFmtId="2" fontId="6" fillId="0" borderId="0" xfId="0" applyNumberFormat="1" applyFont="1"/>
    <xf numFmtId="164" fontId="7" fillId="0" borderId="0" xfId="0" applyNumberFormat="1"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
  <sheetViews>
    <sheetView workbookViewId="0"/>
  </sheetViews>
  <sheetFormatPr defaultRowHeight="14.5" x14ac:dyDescent="0.35"/>
  <cols>
    <col min="1" max="1" width="110" customWidth="1"/>
  </cols>
  <sheetData>
    <row r="1" spans="1:15" ht="15.5" x14ac:dyDescent="0.35">
      <c r="A1" s="1" t="s">
        <v>127</v>
      </c>
    </row>
    <row r="2" spans="1:15" x14ac:dyDescent="0.35">
      <c r="A2" s="2"/>
    </row>
    <row r="3" spans="1:15" ht="37.5" x14ac:dyDescent="0.35">
      <c r="A3" s="2" t="s">
        <v>128</v>
      </c>
    </row>
    <row r="4" spans="1:15" x14ac:dyDescent="0.35">
      <c r="A4" s="2" t="s">
        <v>129</v>
      </c>
    </row>
    <row r="5" spans="1:15" ht="25" x14ac:dyDescent="0.35">
      <c r="A5" s="2" t="s">
        <v>130</v>
      </c>
    </row>
    <row r="6" spans="1:15" x14ac:dyDescent="0.35">
      <c r="A6" s="2"/>
    </row>
    <row r="7" spans="1:15" x14ac:dyDescent="0.35">
      <c r="A7" s="3" t="s">
        <v>131</v>
      </c>
    </row>
    <row r="8" spans="1:15" x14ac:dyDescent="0.35">
      <c r="A8" s="2" t="s">
        <v>132</v>
      </c>
    </row>
    <row r="9" spans="1:15" x14ac:dyDescent="0.35">
      <c r="A9" s="2" t="s">
        <v>133</v>
      </c>
    </row>
    <row r="10" spans="1:15" x14ac:dyDescent="0.35">
      <c r="A10" s="2" t="s">
        <v>134</v>
      </c>
    </row>
    <row r="11" spans="1:15" x14ac:dyDescent="0.35">
      <c r="A11" s="2"/>
    </row>
    <row r="12" spans="1:15" x14ac:dyDescent="0.35">
      <c r="A12" s="3" t="s">
        <v>135</v>
      </c>
    </row>
    <row r="13" spans="1:15" ht="56" x14ac:dyDescent="0.35">
      <c r="A13" s="4" t="s">
        <v>0</v>
      </c>
      <c r="B13" s="4" t="s">
        <v>1</v>
      </c>
      <c r="C13" s="4" t="s">
        <v>2</v>
      </c>
      <c r="D13" s="4" t="s">
        <v>3</v>
      </c>
      <c r="E13" s="4" t="s">
        <v>4</v>
      </c>
      <c r="F13" s="4" t="s">
        <v>5</v>
      </c>
      <c r="G13" s="4" t="s">
        <v>6</v>
      </c>
      <c r="H13" s="4" t="s">
        <v>7</v>
      </c>
      <c r="I13" s="4" t="s">
        <v>8</v>
      </c>
      <c r="J13" s="4" t="s">
        <v>9</v>
      </c>
      <c r="K13" s="4" t="s">
        <v>10</v>
      </c>
      <c r="L13" s="4" t="s">
        <v>11</v>
      </c>
      <c r="M13" s="4" t="s">
        <v>12</v>
      </c>
      <c r="N13" s="4" t="s">
        <v>13</v>
      </c>
      <c r="O13" s="4" t="s">
        <v>14</v>
      </c>
    </row>
    <row r="14" spans="1:15" x14ac:dyDescent="0.35">
      <c r="A14" s="5" t="s">
        <v>136</v>
      </c>
      <c r="B14" s="5" t="s">
        <v>27</v>
      </c>
      <c r="C14" s="5" t="s">
        <v>20</v>
      </c>
      <c r="D14" s="5" t="s">
        <v>75</v>
      </c>
      <c r="E14" s="5" t="s">
        <v>137</v>
      </c>
      <c r="F14" s="5" t="s">
        <v>138</v>
      </c>
      <c r="G14" s="5" t="s">
        <v>39</v>
      </c>
      <c r="H14" s="5" t="s">
        <v>137</v>
      </c>
      <c r="I14" s="5" t="s">
        <v>139</v>
      </c>
      <c r="J14" s="5" t="s">
        <v>67</v>
      </c>
      <c r="K14" s="5" t="s">
        <v>140</v>
      </c>
      <c r="L14" s="5" t="s">
        <v>141</v>
      </c>
      <c r="M14" s="5" t="s">
        <v>142</v>
      </c>
      <c r="N14" s="5" t="s">
        <v>67</v>
      </c>
      <c r="O14" s="5"/>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1"/>
  <sheetViews>
    <sheetView tabSelected="1" workbookViewId="0">
      <pane xSplit="4" ySplit="1" topLeftCell="E3" activePane="bottomRight" state="frozen"/>
      <selection pane="topRight"/>
      <selection pane="bottomLeft"/>
      <selection pane="bottomRight" activeCell="O4" sqref="O4"/>
    </sheetView>
  </sheetViews>
  <sheetFormatPr defaultRowHeight="14.5" x14ac:dyDescent="0.35"/>
  <cols>
    <col min="1" max="1" width="6" customWidth="1"/>
    <col min="2" max="2" width="10" customWidth="1"/>
    <col min="3" max="3" width="14" customWidth="1"/>
    <col min="4" max="4" width="26" customWidth="1"/>
    <col min="5" max="5" width="50" customWidth="1"/>
    <col min="6" max="6" width="30" customWidth="1"/>
    <col min="7" max="7" width="26" customWidth="1"/>
    <col min="8" max="8" width="50" customWidth="1"/>
    <col min="9" max="9" width="30" customWidth="1"/>
    <col min="10" max="10" width="26" customWidth="1"/>
    <col min="11" max="11" width="9" customWidth="1"/>
    <col min="12" max="12" width="36" customWidth="1"/>
    <col min="13" max="13" width="10" customWidth="1"/>
    <col min="14" max="14" width="28" customWidth="1"/>
    <col min="15" max="15" width="30" customWidth="1"/>
    <col min="16" max="16" width="9" customWidth="1"/>
    <col min="17" max="19" width="8" customWidth="1"/>
  </cols>
  <sheetData>
    <row r="1" spans="1:19" ht="42"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row>
    <row r="2" spans="1:19" ht="70" x14ac:dyDescent="0.35">
      <c r="A2" s="6">
        <v>1</v>
      </c>
      <c r="B2" s="6" t="s">
        <v>19</v>
      </c>
      <c r="C2" s="6" t="s">
        <v>20</v>
      </c>
      <c r="D2" s="6" t="s">
        <v>21</v>
      </c>
      <c r="E2" s="6" t="s">
        <v>22</v>
      </c>
      <c r="F2" s="6" t="s">
        <v>23</v>
      </c>
      <c r="G2" s="6" t="s">
        <v>24</v>
      </c>
      <c r="H2" s="6" t="s">
        <v>25</v>
      </c>
      <c r="I2" s="6" t="s">
        <v>26</v>
      </c>
      <c r="J2" s="6" t="s">
        <v>19</v>
      </c>
      <c r="K2" s="6">
        <v>-0.25</v>
      </c>
      <c r="L2" s="6"/>
      <c r="M2" s="6">
        <v>6279</v>
      </c>
      <c r="N2" s="7"/>
      <c r="O2" s="7"/>
      <c r="P2" s="8" t="str">
        <f>IF(OR(N2="",N2="unsure"),"",INDEX(Labels!$B$2:$B$15,MATCH(N2,Labels!$A$2:$A$15,0)))</f>
        <v/>
      </c>
      <c r="Q2" s="8" t="str">
        <f t="shared" ref="Q2:Q41" si="0">IF(P2="","",IF(N2=J2,1,0))</f>
        <v/>
      </c>
      <c r="R2" s="8" t="str">
        <f t="shared" ref="R2:R41" si="1">IF(P2="","",IF(SIGN(P2)=SIGN(K2),1,0))</f>
        <v/>
      </c>
      <c r="S2" s="8" t="str">
        <f t="shared" ref="S2:S41" si="2">IF(P2="","",ABS(P2-K2))</f>
        <v/>
      </c>
    </row>
    <row r="3" spans="1:19" ht="70" x14ac:dyDescent="0.35">
      <c r="A3" s="6">
        <v>2</v>
      </c>
      <c r="B3" s="6" t="s">
        <v>27</v>
      </c>
      <c r="C3" s="6" t="s">
        <v>28</v>
      </c>
      <c r="D3" s="6" t="s">
        <v>29</v>
      </c>
      <c r="E3" s="6" t="s">
        <v>30</v>
      </c>
      <c r="F3" s="6" t="s">
        <v>31</v>
      </c>
      <c r="G3" s="6" t="s">
        <v>32</v>
      </c>
      <c r="H3" s="6" t="s">
        <v>33</v>
      </c>
      <c r="I3" s="6" t="s">
        <v>34</v>
      </c>
      <c r="J3" s="6" t="s">
        <v>35</v>
      </c>
      <c r="K3" s="6">
        <v>0.15</v>
      </c>
      <c r="L3" s="6" t="s">
        <v>36</v>
      </c>
      <c r="M3" s="6">
        <v>7</v>
      </c>
      <c r="N3" s="7"/>
      <c r="O3" s="7"/>
      <c r="P3" s="8" t="str">
        <f>IF(OR(N3="",N3="unsure"),"",INDEX(Labels!$B$2:$B$15,MATCH(N3,Labels!$A$2:$A$15,0)))</f>
        <v/>
      </c>
      <c r="Q3" s="8" t="str">
        <f t="shared" si="0"/>
        <v/>
      </c>
      <c r="R3" s="8" t="str">
        <f t="shared" si="1"/>
        <v/>
      </c>
      <c r="S3" s="8" t="str">
        <f t="shared" si="2"/>
        <v/>
      </c>
    </row>
    <row r="4" spans="1:19" ht="98" x14ac:dyDescent="0.35">
      <c r="A4" s="6">
        <v>3</v>
      </c>
      <c r="B4" s="6" t="s">
        <v>37</v>
      </c>
      <c r="C4" s="6" t="s">
        <v>38</v>
      </c>
      <c r="D4" s="6" t="s">
        <v>39</v>
      </c>
      <c r="E4" s="6" t="s">
        <v>40</v>
      </c>
      <c r="F4" s="6" t="s">
        <v>41</v>
      </c>
      <c r="G4" s="6" t="s">
        <v>42</v>
      </c>
      <c r="H4" s="6" t="s">
        <v>43</v>
      </c>
      <c r="I4" s="6" t="s">
        <v>44</v>
      </c>
      <c r="J4" s="6" t="s">
        <v>37</v>
      </c>
      <c r="K4" s="6">
        <v>0</v>
      </c>
      <c r="L4" s="6"/>
      <c r="M4" s="6">
        <v>565</v>
      </c>
      <c r="N4" s="7"/>
      <c r="O4" s="7"/>
      <c r="P4" s="8" t="str">
        <f>IF(OR(N4="",N4="unsure"),"",INDEX(Labels!$B$2:$B$15,MATCH(N4,Labels!$A$2:$A$15,0)))</f>
        <v/>
      </c>
      <c r="Q4" s="8" t="str">
        <f t="shared" si="0"/>
        <v/>
      </c>
      <c r="R4" s="8" t="str">
        <f t="shared" si="1"/>
        <v/>
      </c>
      <c r="S4" s="8" t="str">
        <f t="shared" si="2"/>
        <v/>
      </c>
    </row>
    <row r="5" spans="1:19" ht="98" x14ac:dyDescent="0.35">
      <c r="A5" s="6">
        <v>4</v>
      </c>
      <c r="B5" s="6" t="s">
        <v>27</v>
      </c>
      <c r="C5" s="6" t="s">
        <v>28</v>
      </c>
      <c r="D5" s="6" t="s">
        <v>45</v>
      </c>
      <c r="E5" s="6" t="s">
        <v>46</v>
      </c>
      <c r="F5" s="6" t="s">
        <v>47</v>
      </c>
      <c r="G5" s="6" t="s">
        <v>48</v>
      </c>
      <c r="H5" s="6" t="s">
        <v>49</v>
      </c>
      <c r="I5" s="6" t="s">
        <v>50</v>
      </c>
      <c r="J5" s="6" t="s">
        <v>51</v>
      </c>
      <c r="K5" s="6">
        <v>0.6</v>
      </c>
      <c r="L5" s="6" t="s">
        <v>52</v>
      </c>
      <c r="M5" s="6">
        <v>6</v>
      </c>
      <c r="N5" s="7"/>
      <c r="O5" s="7"/>
      <c r="P5" s="8" t="str">
        <f>IF(OR(N5="",N5="unsure"),"",INDEX(Labels!$B$2:$B$15,MATCH(N5,Labels!$A$2:$A$15,0)))</f>
        <v/>
      </c>
      <c r="Q5" s="8" t="str">
        <f t="shared" si="0"/>
        <v/>
      </c>
      <c r="R5" s="8" t="str">
        <f t="shared" si="1"/>
        <v/>
      </c>
      <c r="S5" s="8" t="str">
        <f t="shared" si="2"/>
        <v/>
      </c>
    </row>
    <row r="6" spans="1:19" ht="70" x14ac:dyDescent="0.35">
      <c r="A6" s="6">
        <v>5</v>
      </c>
      <c r="B6" s="6" t="s">
        <v>19</v>
      </c>
      <c r="C6" s="6" t="s">
        <v>28</v>
      </c>
      <c r="D6" s="6" t="s">
        <v>29</v>
      </c>
      <c r="E6" s="6" t="s">
        <v>30</v>
      </c>
      <c r="F6" s="6" t="s">
        <v>31</v>
      </c>
      <c r="G6" s="6" t="s">
        <v>24</v>
      </c>
      <c r="H6" s="6" t="s">
        <v>25</v>
      </c>
      <c r="I6" s="6" t="s">
        <v>26</v>
      </c>
      <c r="J6" s="6" t="s">
        <v>19</v>
      </c>
      <c r="K6" s="6">
        <v>-0.25</v>
      </c>
      <c r="L6" s="6"/>
      <c r="M6" s="6">
        <v>1127</v>
      </c>
      <c r="N6" s="7"/>
      <c r="O6" s="7"/>
      <c r="P6" s="8" t="str">
        <f>IF(OR(N6="",N6="unsure"),"",INDEX(Labels!$B$2:$B$15,MATCH(N6,Labels!$A$2:$A$15,0)))</f>
        <v/>
      </c>
      <c r="Q6" s="8" t="str">
        <f t="shared" si="0"/>
        <v/>
      </c>
      <c r="R6" s="8" t="str">
        <f t="shared" si="1"/>
        <v/>
      </c>
      <c r="S6" s="8" t="str">
        <f t="shared" si="2"/>
        <v/>
      </c>
    </row>
    <row r="7" spans="1:19" ht="70" x14ac:dyDescent="0.35">
      <c r="A7" s="6">
        <v>6</v>
      </c>
      <c r="B7" s="6" t="s">
        <v>19</v>
      </c>
      <c r="C7" s="6" t="s">
        <v>20</v>
      </c>
      <c r="D7" s="6" t="s">
        <v>21</v>
      </c>
      <c r="E7" s="6" t="s">
        <v>22</v>
      </c>
      <c r="F7" s="6" t="s">
        <v>23</v>
      </c>
      <c r="G7" s="6" t="s">
        <v>53</v>
      </c>
      <c r="H7" s="6" t="s">
        <v>54</v>
      </c>
      <c r="I7" s="6" t="s">
        <v>55</v>
      </c>
      <c r="J7" s="6" t="s">
        <v>19</v>
      </c>
      <c r="K7" s="6">
        <v>-0.25</v>
      </c>
      <c r="L7" s="6"/>
      <c r="M7" s="6">
        <v>3588</v>
      </c>
      <c r="N7" s="7"/>
      <c r="O7" s="7"/>
      <c r="P7" s="8" t="str">
        <f>IF(OR(N7="",N7="unsure"),"",INDEX(Labels!$B$2:$B$15,MATCH(N7,Labels!$A$2:$A$15,0)))</f>
        <v/>
      </c>
      <c r="Q7" s="8" t="str">
        <f t="shared" si="0"/>
        <v/>
      </c>
      <c r="R7" s="8" t="str">
        <f t="shared" si="1"/>
        <v/>
      </c>
      <c r="S7" s="8" t="str">
        <f t="shared" si="2"/>
        <v/>
      </c>
    </row>
    <row r="8" spans="1:19" ht="42" x14ac:dyDescent="0.35">
      <c r="A8" s="6">
        <v>7</v>
      </c>
      <c r="B8" s="6" t="s">
        <v>27</v>
      </c>
      <c r="C8" s="6" t="s">
        <v>28</v>
      </c>
      <c r="D8" s="6" t="s">
        <v>56</v>
      </c>
      <c r="E8" s="6" t="s">
        <v>57</v>
      </c>
      <c r="F8" s="6" t="s">
        <v>58</v>
      </c>
      <c r="G8" s="6" t="s">
        <v>59</v>
      </c>
      <c r="H8" s="6" t="s">
        <v>60</v>
      </c>
      <c r="I8" s="6" t="s">
        <v>61</v>
      </c>
      <c r="J8" s="6" t="s">
        <v>62</v>
      </c>
      <c r="K8" s="6">
        <v>0.5</v>
      </c>
      <c r="L8" s="6" t="s">
        <v>63</v>
      </c>
      <c r="M8" s="6">
        <v>9</v>
      </c>
      <c r="N8" s="7"/>
      <c r="O8" s="7"/>
      <c r="P8" s="8" t="str">
        <f>IF(OR(N8="",N8="unsure"),"",INDEX(Labels!$B$2:$B$15,MATCH(N8,Labels!$A$2:$A$15,0)))</f>
        <v/>
      </c>
      <c r="Q8" s="8" t="str">
        <f t="shared" si="0"/>
        <v/>
      </c>
      <c r="R8" s="8" t="str">
        <f t="shared" si="1"/>
        <v/>
      </c>
      <c r="S8" s="8" t="str">
        <f t="shared" si="2"/>
        <v/>
      </c>
    </row>
    <row r="9" spans="1:19" ht="70" x14ac:dyDescent="0.35">
      <c r="A9" s="6">
        <v>8</v>
      </c>
      <c r="B9" s="6" t="s">
        <v>19</v>
      </c>
      <c r="C9" s="6" t="s">
        <v>20</v>
      </c>
      <c r="D9" s="6" t="s">
        <v>39</v>
      </c>
      <c r="E9" s="6" t="s">
        <v>40</v>
      </c>
      <c r="F9" s="6" t="s">
        <v>41</v>
      </c>
      <c r="G9" s="6" t="s">
        <v>21</v>
      </c>
      <c r="H9" s="6" t="s">
        <v>22</v>
      </c>
      <c r="I9" s="6" t="s">
        <v>23</v>
      </c>
      <c r="J9" s="6" t="s">
        <v>19</v>
      </c>
      <c r="K9" s="6">
        <v>-0.25</v>
      </c>
      <c r="L9" s="6"/>
      <c r="M9" s="6">
        <v>4407</v>
      </c>
      <c r="N9" s="7"/>
      <c r="O9" s="7"/>
      <c r="P9" s="8" t="str">
        <f>IF(OR(N9="",N9="unsure"),"",INDEX(Labels!$B$2:$B$15,MATCH(N9,Labels!$A$2:$A$15,0)))</f>
        <v/>
      </c>
      <c r="Q9" s="8" t="str">
        <f t="shared" si="0"/>
        <v/>
      </c>
      <c r="R9" s="8" t="str">
        <f t="shared" si="1"/>
        <v/>
      </c>
      <c r="S9" s="8" t="str">
        <f t="shared" si="2"/>
        <v/>
      </c>
    </row>
    <row r="10" spans="1:19" ht="98" x14ac:dyDescent="0.35">
      <c r="A10" s="6">
        <v>9</v>
      </c>
      <c r="B10" s="6" t="s">
        <v>37</v>
      </c>
      <c r="C10" s="6" t="s">
        <v>38</v>
      </c>
      <c r="D10" s="6" t="s">
        <v>21</v>
      </c>
      <c r="E10" s="6" t="s">
        <v>22</v>
      </c>
      <c r="F10" s="6" t="s">
        <v>23</v>
      </c>
      <c r="G10" s="6" t="s">
        <v>64</v>
      </c>
      <c r="H10" s="6" t="s">
        <v>65</v>
      </c>
      <c r="I10" s="6" t="s">
        <v>66</v>
      </c>
      <c r="J10" s="6" t="s">
        <v>37</v>
      </c>
      <c r="K10" s="6">
        <v>0</v>
      </c>
      <c r="L10" s="6"/>
      <c r="M10" s="6">
        <v>4056</v>
      </c>
      <c r="N10" s="7"/>
      <c r="O10" s="7"/>
      <c r="P10" s="8" t="str">
        <f>IF(OR(N10="",N10="unsure"),"",INDEX(Labels!$B$2:$B$15,MATCH(N10,Labels!$A$2:$A$15,0)))</f>
        <v/>
      </c>
      <c r="Q10" s="8" t="str">
        <f t="shared" si="0"/>
        <v/>
      </c>
      <c r="R10" s="8" t="str">
        <f t="shared" si="1"/>
        <v/>
      </c>
      <c r="S10" s="8" t="str">
        <f t="shared" si="2"/>
        <v/>
      </c>
    </row>
    <row r="11" spans="1:19" ht="98" x14ac:dyDescent="0.35">
      <c r="A11" s="6">
        <v>10</v>
      </c>
      <c r="B11" s="6" t="s">
        <v>27</v>
      </c>
      <c r="C11" s="6" t="s">
        <v>28</v>
      </c>
      <c r="D11" s="6" t="s">
        <v>42</v>
      </c>
      <c r="E11" s="6" t="s">
        <v>43</v>
      </c>
      <c r="F11" s="6" t="s">
        <v>44</v>
      </c>
      <c r="G11" s="6" t="s">
        <v>48</v>
      </c>
      <c r="H11" s="6" t="s">
        <v>49</v>
      </c>
      <c r="I11" s="6" t="s">
        <v>50</v>
      </c>
      <c r="J11" s="6" t="s">
        <v>67</v>
      </c>
      <c r="K11" s="6">
        <v>0.8</v>
      </c>
      <c r="L11" s="6" t="s">
        <v>68</v>
      </c>
      <c r="M11" s="6">
        <v>30</v>
      </c>
      <c r="N11" s="7"/>
      <c r="O11" s="7"/>
      <c r="P11" s="8" t="str">
        <f>IF(OR(N11="",N11="unsure"),"",INDEX(Labels!$B$2:$B$15,MATCH(N11,Labels!$A$2:$A$15,0)))</f>
        <v/>
      </c>
      <c r="Q11" s="8" t="str">
        <f t="shared" si="0"/>
        <v/>
      </c>
      <c r="R11" s="8" t="str">
        <f t="shared" si="1"/>
        <v/>
      </c>
      <c r="S11" s="8" t="str">
        <f t="shared" si="2"/>
        <v/>
      </c>
    </row>
    <row r="12" spans="1:19" ht="84" x14ac:dyDescent="0.35">
      <c r="A12" s="6">
        <v>11</v>
      </c>
      <c r="B12" s="6" t="s">
        <v>19</v>
      </c>
      <c r="C12" s="6" t="s">
        <v>28</v>
      </c>
      <c r="D12" s="6" t="s">
        <v>69</v>
      </c>
      <c r="E12" s="6" t="s">
        <v>70</v>
      </c>
      <c r="F12" s="6" t="s">
        <v>71</v>
      </c>
      <c r="G12" s="6" t="s">
        <v>72</v>
      </c>
      <c r="H12" s="6" t="s">
        <v>73</v>
      </c>
      <c r="I12" s="6" t="s">
        <v>74</v>
      </c>
      <c r="J12" s="6" t="s">
        <v>19</v>
      </c>
      <c r="K12" s="6">
        <v>-0.25</v>
      </c>
      <c r="L12" s="6"/>
      <c r="M12" s="6">
        <v>448</v>
      </c>
      <c r="N12" s="7"/>
      <c r="O12" s="7"/>
      <c r="P12" s="8" t="str">
        <f>IF(OR(N12="",N12="unsure"),"",INDEX(Labels!$B$2:$B$15,MATCH(N12,Labels!$A$2:$A$15,0)))</f>
        <v/>
      </c>
      <c r="Q12" s="8" t="str">
        <f t="shared" si="0"/>
        <v/>
      </c>
      <c r="R12" s="8" t="str">
        <f t="shared" si="1"/>
        <v/>
      </c>
      <c r="S12" s="8" t="str">
        <f t="shared" si="2"/>
        <v/>
      </c>
    </row>
    <row r="13" spans="1:19" ht="140" x14ac:dyDescent="0.35">
      <c r="A13" s="6">
        <v>12</v>
      </c>
      <c r="B13" s="6" t="s">
        <v>27</v>
      </c>
      <c r="C13" s="6" t="s">
        <v>20</v>
      </c>
      <c r="D13" s="6" t="s">
        <v>75</v>
      </c>
      <c r="E13" s="6" t="s">
        <v>76</v>
      </c>
      <c r="F13" s="6" t="s">
        <v>77</v>
      </c>
      <c r="G13" s="6" t="s">
        <v>78</v>
      </c>
      <c r="H13" s="6" t="s">
        <v>79</v>
      </c>
      <c r="I13" s="6" t="s">
        <v>80</v>
      </c>
      <c r="J13" s="6" t="s">
        <v>35</v>
      </c>
      <c r="K13" s="6">
        <v>0.15</v>
      </c>
      <c r="L13" s="6" t="s">
        <v>81</v>
      </c>
      <c r="M13" s="6">
        <v>114</v>
      </c>
      <c r="N13" s="7"/>
      <c r="O13" s="7"/>
      <c r="P13" s="8" t="str">
        <f>IF(OR(N13="",N13="unsure"),"",INDEX(Labels!$B$2:$B$15,MATCH(N13,Labels!$A$2:$A$15,0)))</f>
        <v/>
      </c>
      <c r="Q13" s="8" t="str">
        <f t="shared" si="0"/>
        <v/>
      </c>
      <c r="R13" s="8" t="str">
        <f t="shared" si="1"/>
        <v/>
      </c>
      <c r="S13" s="8" t="str">
        <f t="shared" si="2"/>
        <v/>
      </c>
    </row>
    <row r="14" spans="1:19" ht="140" x14ac:dyDescent="0.35">
      <c r="A14" s="6">
        <v>13</v>
      </c>
      <c r="B14" s="6" t="s">
        <v>27</v>
      </c>
      <c r="C14" s="6" t="s">
        <v>20</v>
      </c>
      <c r="D14" s="6" t="s">
        <v>75</v>
      </c>
      <c r="E14" s="6" t="s">
        <v>76</v>
      </c>
      <c r="F14" s="6" t="s">
        <v>77</v>
      </c>
      <c r="G14" s="6" t="s">
        <v>53</v>
      </c>
      <c r="H14" s="6" t="s">
        <v>54</v>
      </c>
      <c r="I14" s="6" t="s">
        <v>55</v>
      </c>
      <c r="J14" s="6" t="s">
        <v>51</v>
      </c>
      <c r="K14" s="6">
        <v>0.6</v>
      </c>
      <c r="L14" s="6" t="s">
        <v>82</v>
      </c>
      <c r="M14" s="6">
        <v>552</v>
      </c>
      <c r="N14" s="7"/>
      <c r="O14" s="7"/>
      <c r="P14" s="8" t="str">
        <f>IF(OR(N14="",N14="unsure"),"",INDEX(Labels!$B$2:$B$15,MATCH(N14,Labels!$A$2:$A$15,0)))</f>
        <v/>
      </c>
      <c r="Q14" s="8" t="str">
        <f t="shared" si="0"/>
        <v/>
      </c>
      <c r="R14" s="8" t="str">
        <f t="shared" si="1"/>
        <v/>
      </c>
      <c r="S14" s="8" t="str">
        <f t="shared" si="2"/>
        <v/>
      </c>
    </row>
    <row r="15" spans="1:19" ht="70" x14ac:dyDescent="0.35">
      <c r="A15" s="6">
        <v>14</v>
      </c>
      <c r="B15" s="6" t="s">
        <v>37</v>
      </c>
      <c r="C15" s="6" t="s">
        <v>38</v>
      </c>
      <c r="D15" s="6" t="s">
        <v>29</v>
      </c>
      <c r="E15" s="6" t="s">
        <v>30</v>
      </c>
      <c r="F15" s="6" t="s">
        <v>31</v>
      </c>
      <c r="G15" s="6" t="s">
        <v>83</v>
      </c>
      <c r="H15" s="6" t="s">
        <v>84</v>
      </c>
      <c r="I15" s="6" t="s">
        <v>85</v>
      </c>
      <c r="J15" s="6" t="s">
        <v>37</v>
      </c>
      <c r="K15" s="6">
        <v>0</v>
      </c>
      <c r="L15" s="6"/>
      <c r="M15" s="6">
        <v>105</v>
      </c>
      <c r="N15" s="7"/>
      <c r="O15" s="7"/>
      <c r="P15" s="8" t="str">
        <f>IF(OR(N15="",N15="unsure"),"",INDEX(Labels!$B$2:$B$15,MATCH(N15,Labels!$A$2:$A$15,0)))</f>
        <v/>
      </c>
      <c r="Q15" s="8" t="str">
        <f t="shared" si="0"/>
        <v/>
      </c>
      <c r="R15" s="8" t="str">
        <f t="shared" si="1"/>
        <v/>
      </c>
      <c r="S15" s="8" t="str">
        <f t="shared" si="2"/>
        <v/>
      </c>
    </row>
    <row r="16" spans="1:19" ht="98" x14ac:dyDescent="0.35">
      <c r="A16" s="6">
        <v>15</v>
      </c>
      <c r="B16" s="6" t="s">
        <v>27</v>
      </c>
      <c r="C16" s="6" t="s">
        <v>28</v>
      </c>
      <c r="D16" s="6" t="s">
        <v>86</v>
      </c>
      <c r="E16" s="6" t="s">
        <v>87</v>
      </c>
      <c r="F16" s="6" t="s">
        <v>88</v>
      </c>
      <c r="G16" s="6" t="s">
        <v>24</v>
      </c>
      <c r="H16" s="6" t="s">
        <v>25</v>
      </c>
      <c r="I16" s="6" t="s">
        <v>26</v>
      </c>
      <c r="J16" s="6" t="s">
        <v>62</v>
      </c>
      <c r="K16" s="6">
        <v>0.5</v>
      </c>
      <c r="L16" s="6" t="s">
        <v>89</v>
      </c>
      <c r="M16" s="6">
        <v>5957</v>
      </c>
      <c r="N16" s="7"/>
      <c r="O16" s="7"/>
      <c r="P16" s="8" t="str">
        <f>IF(OR(N16="",N16="unsure"),"",INDEX(Labels!$B$2:$B$15,MATCH(N16,Labels!$A$2:$A$15,0)))</f>
        <v/>
      </c>
      <c r="Q16" s="8" t="str">
        <f t="shared" si="0"/>
        <v/>
      </c>
      <c r="R16" s="8" t="str">
        <f t="shared" si="1"/>
        <v/>
      </c>
      <c r="S16" s="8" t="str">
        <f t="shared" si="2"/>
        <v/>
      </c>
    </row>
    <row r="17" spans="1:19" ht="42" x14ac:dyDescent="0.35">
      <c r="A17" s="6">
        <v>16</v>
      </c>
      <c r="B17" s="6" t="s">
        <v>37</v>
      </c>
      <c r="C17" s="6" t="s">
        <v>38</v>
      </c>
      <c r="D17" s="6" t="s">
        <v>90</v>
      </c>
      <c r="E17" s="6" t="s">
        <v>91</v>
      </c>
      <c r="F17" s="6" t="s">
        <v>92</v>
      </c>
      <c r="G17" s="6" t="s">
        <v>93</v>
      </c>
      <c r="H17" s="6" t="s">
        <v>94</v>
      </c>
      <c r="I17" s="6" t="s">
        <v>95</v>
      </c>
      <c r="J17" s="6" t="s">
        <v>37</v>
      </c>
      <c r="K17" s="6">
        <v>0</v>
      </c>
      <c r="L17" s="6"/>
      <c r="M17" s="6">
        <v>340</v>
      </c>
      <c r="N17" s="7"/>
      <c r="O17" s="7"/>
      <c r="P17" s="8" t="str">
        <f>IF(OR(N17="",N17="unsure"),"",INDEX(Labels!$B$2:$B$15,MATCH(N17,Labels!$A$2:$A$15,0)))</f>
        <v/>
      </c>
      <c r="Q17" s="8" t="str">
        <f t="shared" si="0"/>
        <v/>
      </c>
      <c r="R17" s="8" t="str">
        <f t="shared" si="1"/>
        <v/>
      </c>
      <c r="S17" s="8" t="str">
        <f t="shared" si="2"/>
        <v/>
      </c>
    </row>
    <row r="18" spans="1:19" ht="140" x14ac:dyDescent="0.35">
      <c r="A18" s="6">
        <v>17</v>
      </c>
      <c r="B18" s="6" t="s">
        <v>19</v>
      </c>
      <c r="C18" s="6" t="s">
        <v>20</v>
      </c>
      <c r="D18" s="6" t="s">
        <v>96</v>
      </c>
      <c r="E18" s="6" t="s">
        <v>97</v>
      </c>
      <c r="F18" s="6" t="s">
        <v>98</v>
      </c>
      <c r="G18" s="6" t="s">
        <v>53</v>
      </c>
      <c r="H18" s="6" t="s">
        <v>54</v>
      </c>
      <c r="I18" s="6" t="s">
        <v>55</v>
      </c>
      <c r="J18" s="6" t="s">
        <v>19</v>
      </c>
      <c r="K18" s="6">
        <v>-0.25</v>
      </c>
      <c r="L18" s="6"/>
      <c r="M18" s="6">
        <v>9568</v>
      </c>
      <c r="N18" s="7"/>
      <c r="O18" s="7"/>
      <c r="P18" s="8" t="str">
        <f>IF(OR(N18="",N18="unsure"),"",INDEX(Labels!$B$2:$B$15,MATCH(N18,Labels!$A$2:$A$15,0)))</f>
        <v/>
      </c>
      <c r="Q18" s="8" t="str">
        <f t="shared" si="0"/>
        <v/>
      </c>
      <c r="R18" s="8" t="str">
        <f t="shared" si="1"/>
        <v/>
      </c>
      <c r="S18" s="8" t="str">
        <f t="shared" si="2"/>
        <v/>
      </c>
    </row>
    <row r="19" spans="1:19" ht="42" x14ac:dyDescent="0.35">
      <c r="A19" s="6">
        <v>18</v>
      </c>
      <c r="B19" s="6" t="s">
        <v>19</v>
      </c>
      <c r="C19" s="6" t="s">
        <v>20</v>
      </c>
      <c r="D19" s="6" t="s">
        <v>99</v>
      </c>
      <c r="E19" s="6" t="s">
        <v>100</v>
      </c>
      <c r="F19" s="6" t="s">
        <v>101</v>
      </c>
      <c r="G19" s="6" t="s">
        <v>53</v>
      </c>
      <c r="H19" s="6" t="s">
        <v>54</v>
      </c>
      <c r="I19" s="6" t="s">
        <v>55</v>
      </c>
      <c r="J19" s="6" t="s">
        <v>19</v>
      </c>
      <c r="K19" s="6">
        <v>-0.25</v>
      </c>
      <c r="L19" s="6"/>
      <c r="M19" s="6">
        <v>1104</v>
      </c>
      <c r="N19" s="7"/>
      <c r="O19" s="7"/>
      <c r="P19" s="8" t="str">
        <f>IF(OR(N19="",N19="unsure"),"",INDEX(Labels!$B$2:$B$15,MATCH(N19,Labels!$A$2:$A$15,0)))</f>
        <v/>
      </c>
      <c r="Q19" s="8" t="str">
        <f t="shared" si="0"/>
        <v/>
      </c>
      <c r="R19" s="8" t="str">
        <f t="shared" si="1"/>
        <v/>
      </c>
      <c r="S19" s="8" t="str">
        <f t="shared" si="2"/>
        <v/>
      </c>
    </row>
    <row r="20" spans="1:19" ht="28" x14ac:dyDescent="0.35">
      <c r="A20" s="6">
        <v>19</v>
      </c>
      <c r="B20" s="6" t="s">
        <v>19</v>
      </c>
      <c r="C20" s="6" t="s">
        <v>20</v>
      </c>
      <c r="D20" s="6" t="s">
        <v>102</v>
      </c>
      <c r="E20" s="6" t="s">
        <v>103</v>
      </c>
      <c r="F20" s="6" t="s">
        <v>104</v>
      </c>
      <c r="G20" s="6" t="s">
        <v>105</v>
      </c>
      <c r="H20" s="6" t="s">
        <v>106</v>
      </c>
      <c r="I20" s="6" t="s">
        <v>107</v>
      </c>
      <c r="J20" s="6" t="s">
        <v>19</v>
      </c>
      <c r="K20" s="6">
        <v>-0.25</v>
      </c>
      <c r="L20" s="6"/>
      <c r="M20" s="6">
        <v>153</v>
      </c>
      <c r="N20" s="7"/>
      <c r="O20" s="7"/>
      <c r="P20" s="8" t="str">
        <f>IF(OR(N20="",N20="unsure"),"",INDEX(Labels!$B$2:$B$15,MATCH(N20,Labels!$A$2:$A$15,0)))</f>
        <v/>
      </c>
      <c r="Q20" s="8" t="str">
        <f t="shared" si="0"/>
        <v/>
      </c>
      <c r="R20" s="8" t="str">
        <f t="shared" si="1"/>
        <v/>
      </c>
      <c r="S20" s="8" t="str">
        <f t="shared" si="2"/>
        <v/>
      </c>
    </row>
    <row r="21" spans="1:19" ht="98" x14ac:dyDescent="0.35">
      <c r="A21" s="6">
        <v>20</v>
      </c>
      <c r="B21" s="6" t="s">
        <v>27</v>
      </c>
      <c r="C21" s="6" t="s">
        <v>28</v>
      </c>
      <c r="D21" s="6" t="s">
        <v>42</v>
      </c>
      <c r="E21" s="6" t="s">
        <v>43</v>
      </c>
      <c r="F21" s="6" t="s">
        <v>44</v>
      </c>
      <c r="G21" s="6" t="s">
        <v>32</v>
      </c>
      <c r="H21" s="6" t="s">
        <v>33</v>
      </c>
      <c r="I21" s="6" t="s">
        <v>34</v>
      </c>
      <c r="J21" s="6" t="s">
        <v>35</v>
      </c>
      <c r="K21" s="6">
        <v>0.15</v>
      </c>
      <c r="L21" s="6" t="s">
        <v>36</v>
      </c>
      <c r="M21" s="6">
        <v>5</v>
      </c>
      <c r="N21" s="7"/>
      <c r="O21" s="7"/>
      <c r="P21" s="8" t="str">
        <f>IF(OR(N21="",N21="unsure"),"",INDEX(Labels!$B$2:$B$15,MATCH(N21,Labels!$A$2:$A$15,0)))</f>
        <v/>
      </c>
      <c r="Q21" s="8" t="str">
        <f t="shared" si="0"/>
        <v/>
      </c>
      <c r="R21" s="8" t="str">
        <f t="shared" si="1"/>
        <v/>
      </c>
      <c r="S21" s="8" t="str">
        <f t="shared" si="2"/>
        <v/>
      </c>
    </row>
    <row r="22" spans="1:19" ht="56" x14ac:dyDescent="0.35">
      <c r="A22" s="6">
        <v>21</v>
      </c>
      <c r="B22" s="6" t="s">
        <v>27</v>
      </c>
      <c r="C22" s="6" t="s">
        <v>28</v>
      </c>
      <c r="D22" s="6" t="s">
        <v>32</v>
      </c>
      <c r="E22" s="6" t="s">
        <v>33</v>
      </c>
      <c r="F22" s="6" t="s">
        <v>34</v>
      </c>
      <c r="G22" s="6" t="s">
        <v>48</v>
      </c>
      <c r="H22" s="6" t="s">
        <v>49</v>
      </c>
      <c r="I22" s="6" t="s">
        <v>50</v>
      </c>
      <c r="J22" s="6" t="s">
        <v>67</v>
      </c>
      <c r="K22" s="6">
        <v>0.8</v>
      </c>
      <c r="L22" s="6" t="s">
        <v>68</v>
      </c>
      <c r="M22" s="6">
        <v>6</v>
      </c>
      <c r="N22" s="7"/>
      <c r="O22" s="7"/>
      <c r="P22" s="8" t="str">
        <f>IF(OR(N22="",N22="unsure"),"",INDEX(Labels!$B$2:$B$15,MATCH(N22,Labels!$A$2:$A$15,0)))</f>
        <v/>
      </c>
      <c r="Q22" s="8" t="str">
        <f t="shared" si="0"/>
        <v/>
      </c>
      <c r="R22" s="8" t="str">
        <f t="shared" si="1"/>
        <v/>
      </c>
      <c r="S22" s="8" t="str">
        <f t="shared" si="2"/>
        <v/>
      </c>
    </row>
    <row r="23" spans="1:19" ht="98" x14ac:dyDescent="0.35">
      <c r="A23" s="6">
        <v>22</v>
      </c>
      <c r="B23" s="6" t="s">
        <v>19</v>
      </c>
      <c r="C23" s="6" t="s">
        <v>28</v>
      </c>
      <c r="D23" s="6" t="s">
        <v>64</v>
      </c>
      <c r="E23" s="6" t="s">
        <v>65</v>
      </c>
      <c r="F23" s="6" t="s">
        <v>66</v>
      </c>
      <c r="G23" s="6" t="s">
        <v>24</v>
      </c>
      <c r="H23" s="6" t="s">
        <v>25</v>
      </c>
      <c r="I23" s="6" t="s">
        <v>26</v>
      </c>
      <c r="J23" s="6" t="s">
        <v>19</v>
      </c>
      <c r="K23" s="6">
        <v>-0.25</v>
      </c>
      <c r="L23" s="6"/>
      <c r="M23" s="6">
        <v>16744</v>
      </c>
      <c r="N23" s="7"/>
      <c r="O23" s="7"/>
      <c r="P23" s="8" t="str">
        <f>IF(OR(N23="",N23="unsure"),"",INDEX(Labels!$B$2:$B$15,MATCH(N23,Labels!$A$2:$A$15,0)))</f>
        <v/>
      </c>
      <c r="Q23" s="8" t="str">
        <f t="shared" si="0"/>
        <v/>
      </c>
      <c r="R23" s="8" t="str">
        <f t="shared" si="1"/>
        <v/>
      </c>
      <c r="S23" s="8" t="str">
        <f t="shared" si="2"/>
        <v/>
      </c>
    </row>
    <row r="24" spans="1:19" ht="70" x14ac:dyDescent="0.35">
      <c r="A24" s="6">
        <v>23</v>
      </c>
      <c r="B24" s="6" t="s">
        <v>27</v>
      </c>
      <c r="C24" s="6" t="s">
        <v>28</v>
      </c>
      <c r="D24" s="6" t="s">
        <v>72</v>
      </c>
      <c r="E24" s="6" t="s">
        <v>73</v>
      </c>
      <c r="F24" s="6" t="s">
        <v>74</v>
      </c>
      <c r="G24" s="6" t="s">
        <v>29</v>
      </c>
      <c r="H24" s="6" t="s">
        <v>30</v>
      </c>
      <c r="I24" s="6" t="s">
        <v>31</v>
      </c>
      <c r="J24" s="6" t="s">
        <v>35</v>
      </c>
      <c r="K24" s="6">
        <v>0.15</v>
      </c>
      <c r="L24" s="6" t="s">
        <v>36</v>
      </c>
      <c r="M24" s="6">
        <v>98</v>
      </c>
      <c r="N24" s="7"/>
      <c r="O24" s="7"/>
      <c r="P24" s="8" t="str">
        <f>IF(OR(N24="",N24="unsure"),"",INDEX(Labels!$B$2:$B$15,MATCH(N24,Labels!$A$2:$A$15,0)))</f>
        <v/>
      </c>
      <c r="Q24" s="8" t="str">
        <f t="shared" si="0"/>
        <v/>
      </c>
      <c r="R24" s="8" t="str">
        <f t="shared" si="1"/>
        <v/>
      </c>
      <c r="S24" s="8" t="str">
        <f t="shared" si="2"/>
        <v/>
      </c>
    </row>
    <row r="25" spans="1:19" ht="98" x14ac:dyDescent="0.35">
      <c r="A25" s="6">
        <v>24</v>
      </c>
      <c r="B25" s="6" t="s">
        <v>27</v>
      </c>
      <c r="C25" s="6" t="s">
        <v>28</v>
      </c>
      <c r="D25" s="6" t="s">
        <v>64</v>
      </c>
      <c r="E25" s="6" t="s">
        <v>65</v>
      </c>
      <c r="F25" s="6" t="s">
        <v>66</v>
      </c>
      <c r="G25" s="6" t="s">
        <v>72</v>
      </c>
      <c r="H25" s="6" t="s">
        <v>73</v>
      </c>
      <c r="I25" s="6" t="s">
        <v>74</v>
      </c>
      <c r="J25" s="6" t="s">
        <v>35</v>
      </c>
      <c r="K25" s="6">
        <v>0.15</v>
      </c>
      <c r="L25" s="6" t="s">
        <v>36</v>
      </c>
      <c r="M25" s="6">
        <v>1456</v>
      </c>
      <c r="N25" s="7"/>
      <c r="O25" s="7"/>
      <c r="P25" s="8" t="str">
        <f>IF(OR(N25="",N25="unsure"),"",INDEX(Labels!$B$2:$B$15,MATCH(N25,Labels!$A$2:$A$15,0)))</f>
        <v/>
      </c>
      <c r="Q25" s="8" t="str">
        <f t="shared" si="0"/>
        <v/>
      </c>
      <c r="R25" s="8" t="str">
        <f t="shared" si="1"/>
        <v/>
      </c>
      <c r="S25" s="8" t="str">
        <f t="shared" si="2"/>
        <v/>
      </c>
    </row>
    <row r="26" spans="1:19" ht="98" x14ac:dyDescent="0.35">
      <c r="A26" s="6">
        <v>25</v>
      </c>
      <c r="B26" s="6" t="s">
        <v>37</v>
      </c>
      <c r="C26" s="6" t="s">
        <v>38</v>
      </c>
      <c r="D26" s="6" t="s">
        <v>86</v>
      </c>
      <c r="E26" s="6" t="s">
        <v>87</v>
      </c>
      <c r="F26" s="6" t="s">
        <v>88</v>
      </c>
      <c r="G26" s="6" t="s">
        <v>102</v>
      </c>
      <c r="H26" s="6" t="s">
        <v>103</v>
      </c>
      <c r="I26" s="6" t="s">
        <v>104</v>
      </c>
      <c r="J26" s="6" t="s">
        <v>37</v>
      </c>
      <c r="K26" s="6">
        <v>0</v>
      </c>
      <c r="L26" s="6"/>
      <c r="M26" s="6">
        <v>111</v>
      </c>
      <c r="N26" s="7"/>
      <c r="O26" s="7"/>
      <c r="P26" s="8" t="str">
        <f>IF(OR(N26="",N26="unsure"),"",INDEX(Labels!$B$2:$B$15,MATCH(N26,Labels!$A$2:$A$15,0)))</f>
        <v/>
      </c>
      <c r="Q26" s="8" t="str">
        <f t="shared" si="0"/>
        <v/>
      </c>
      <c r="R26" s="8" t="str">
        <f t="shared" si="1"/>
        <v/>
      </c>
      <c r="S26" s="8" t="str">
        <f t="shared" si="2"/>
        <v/>
      </c>
    </row>
    <row r="27" spans="1:19" ht="98" x14ac:dyDescent="0.35">
      <c r="A27" s="6">
        <v>26</v>
      </c>
      <c r="B27" s="6" t="s">
        <v>37</v>
      </c>
      <c r="C27" s="6" t="s">
        <v>38</v>
      </c>
      <c r="D27" s="6" t="s">
        <v>39</v>
      </c>
      <c r="E27" s="6" t="s">
        <v>40</v>
      </c>
      <c r="F27" s="6" t="s">
        <v>41</v>
      </c>
      <c r="G27" s="6" t="s">
        <v>64</v>
      </c>
      <c r="H27" s="6" t="s">
        <v>65</v>
      </c>
      <c r="I27" s="6" t="s">
        <v>66</v>
      </c>
      <c r="J27" s="6" t="s">
        <v>37</v>
      </c>
      <c r="K27" s="6">
        <v>0</v>
      </c>
      <c r="L27" s="6"/>
      <c r="M27" s="6">
        <v>11752</v>
      </c>
      <c r="N27" s="7"/>
      <c r="O27" s="7"/>
      <c r="P27" s="8" t="str">
        <f>IF(OR(N27="",N27="unsure"),"",INDEX(Labels!$B$2:$B$15,MATCH(N27,Labels!$A$2:$A$15,0)))</f>
        <v/>
      </c>
      <c r="Q27" s="8" t="str">
        <f t="shared" si="0"/>
        <v/>
      </c>
      <c r="R27" s="8" t="str">
        <f t="shared" si="1"/>
        <v/>
      </c>
      <c r="S27" s="8" t="str">
        <f t="shared" si="2"/>
        <v/>
      </c>
    </row>
    <row r="28" spans="1:19" ht="42" x14ac:dyDescent="0.35">
      <c r="A28" s="6">
        <v>27</v>
      </c>
      <c r="B28" s="6" t="s">
        <v>27</v>
      </c>
      <c r="C28" s="6" t="s">
        <v>20</v>
      </c>
      <c r="D28" s="6" t="s">
        <v>93</v>
      </c>
      <c r="E28" s="6" t="s">
        <v>94</v>
      </c>
      <c r="F28" s="6" t="s">
        <v>95</v>
      </c>
      <c r="G28" s="6" t="s">
        <v>105</v>
      </c>
      <c r="H28" s="6" t="s">
        <v>106</v>
      </c>
      <c r="I28" s="6" t="s">
        <v>107</v>
      </c>
      <c r="J28" s="6" t="s">
        <v>62</v>
      </c>
      <c r="K28" s="6">
        <v>0.5</v>
      </c>
      <c r="L28" s="6" t="s">
        <v>63</v>
      </c>
      <c r="M28" s="6">
        <v>510</v>
      </c>
      <c r="N28" s="7"/>
      <c r="O28" s="7"/>
      <c r="P28" s="8" t="str">
        <f>IF(OR(N28="",N28="unsure"),"",INDEX(Labels!$B$2:$B$15,MATCH(N28,Labels!$A$2:$A$15,0)))</f>
        <v/>
      </c>
      <c r="Q28" s="8" t="str">
        <f t="shared" si="0"/>
        <v/>
      </c>
      <c r="R28" s="8" t="str">
        <f t="shared" si="1"/>
        <v/>
      </c>
      <c r="S28" s="8" t="str">
        <f t="shared" si="2"/>
        <v/>
      </c>
    </row>
    <row r="29" spans="1:19" ht="98" x14ac:dyDescent="0.35">
      <c r="A29" s="6">
        <v>28</v>
      </c>
      <c r="B29" s="6" t="s">
        <v>19</v>
      </c>
      <c r="C29" s="6" t="s">
        <v>28</v>
      </c>
      <c r="D29" s="6" t="s">
        <v>64</v>
      </c>
      <c r="E29" s="6" t="s">
        <v>65</v>
      </c>
      <c r="F29" s="6" t="s">
        <v>66</v>
      </c>
      <c r="G29" s="6" t="s">
        <v>90</v>
      </c>
      <c r="H29" s="6" t="s">
        <v>91</v>
      </c>
      <c r="I29" s="6" t="s">
        <v>92</v>
      </c>
      <c r="J29" s="6" t="s">
        <v>19</v>
      </c>
      <c r="K29" s="6">
        <v>-0.25</v>
      </c>
      <c r="L29" s="6"/>
      <c r="M29" s="6">
        <v>3536</v>
      </c>
      <c r="N29" s="7"/>
      <c r="O29" s="7"/>
      <c r="P29" s="8" t="str">
        <f>IF(OR(N29="",N29="unsure"),"",INDEX(Labels!$B$2:$B$15,MATCH(N29,Labels!$A$2:$A$15,0)))</f>
        <v/>
      </c>
      <c r="Q29" s="8" t="str">
        <f t="shared" si="0"/>
        <v/>
      </c>
      <c r="R29" s="8" t="str">
        <f t="shared" si="1"/>
        <v/>
      </c>
      <c r="S29" s="8" t="str">
        <f t="shared" si="2"/>
        <v/>
      </c>
    </row>
    <row r="30" spans="1:19" ht="140" x14ac:dyDescent="0.35">
      <c r="A30" s="6">
        <v>29</v>
      </c>
      <c r="B30" s="6" t="s">
        <v>19</v>
      </c>
      <c r="C30" s="6" t="s">
        <v>20</v>
      </c>
      <c r="D30" s="6" t="s">
        <v>108</v>
      </c>
      <c r="E30" s="6" t="s">
        <v>109</v>
      </c>
      <c r="F30" s="6" t="s">
        <v>110</v>
      </c>
      <c r="G30" s="6" t="s">
        <v>96</v>
      </c>
      <c r="H30" s="6" t="s">
        <v>97</v>
      </c>
      <c r="I30" s="6" t="s">
        <v>98</v>
      </c>
      <c r="J30" s="6" t="s">
        <v>19</v>
      </c>
      <c r="K30" s="6">
        <v>-0.25</v>
      </c>
      <c r="L30" s="6"/>
      <c r="M30" s="6">
        <v>520</v>
      </c>
      <c r="N30" s="7"/>
      <c r="O30" s="7"/>
      <c r="P30" s="8" t="str">
        <f>IF(OR(N30="",N30="unsure"),"",INDEX(Labels!$B$2:$B$15,MATCH(N30,Labels!$A$2:$A$15,0)))</f>
        <v/>
      </c>
      <c r="Q30" s="8" t="str">
        <f t="shared" si="0"/>
        <v/>
      </c>
      <c r="R30" s="8" t="str">
        <f t="shared" si="1"/>
        <v/>
      </c>
      <c r="S30" s="8" t="str">
        <f t="shared" si="2"/>
        <v/>
      </c>
    </row>
    <row r="31" spans="1:19" ht="56" x14ac:dyDescent="0.35">
      <c r="A31" s="6">
        <v>30</v>
      </c>
      <c r="B31" s="6" t="s">
        <v>37</v>
      </c>
      <c r="C31" s="6" t="s">
        <v>38</v>
      </c>
      <c r="D31" s="6" t="s">
        <v>111</v>
      </c>
      <c r="E31" s="6" t="s">
        <v>112</v>
      </c>
      <c r="F31" s="6" t="s">
        <v>113</v>
      </c>
      <c r="G31" s="6" t="s">
        <v>114</v>
      </c>
      <c r="H31" s="6" t="s">
        <v>115</v>
      </c>
      <c r="I31" s="6" t="s">
        <v>116</v>
      </c>
      <c r="J31" s="6" t="s">
        <v>37</v>
      </c>
      <c r="K31" s="6">
        <v>0</v>
      </c>
      <c r="L31" s="6"/>
      <c r="M31" s="6">
        <v>1196</v>
      </c>
      <c r="N31" s="7"/>
      <c r="O31" s="7"/>
      <c r="P31" s="8" t="str">
        <f>IF(OR(N31="",N31="unsure"),"",INDEX(Labels!$B$2:$B$15,MATCH(N31,Labels!$A$2:$A$15,0)))</f>
        <v/>
      </c>
      <c r="Q31" s="8" t="str">
        <f t="shared" si="0"/>
        <v/>
      </c>
      <c r="R31" s="8" t="str">
        <f t="shared" si="1"/>
        <v/>
      </c>
      <c r="S31" s="8" t="str">
        <f t="shared" si="2"/>
        <v/>
      </c>
    </row>
    <row r="32" spans="1:19" ht="42" x14ac:dyDescent="0.35">
      <c r="A32" s="6">
        <v>31</v>
      </c>
      <c r="B32" s="6" t="s">
        <v>27</v>
      </c>
      <c r="C32" s="6" t="s">
        <v>20</v>
      </c>
      <c r="D32" s="6" t="s">
        <v>99</v>
      </c>
      <c r="E32" s="6" t="s">
        <v>100</v>
      </c>
      <c r="F32" s="6" t="s">
        <v>101</v>
      </c>
      <c r="G32" s="6" t="s">
        <v>105</v>
      </c>
      <c r="H32" s="6" t="s">
        <v>106</v>
      </c>
      <c r="I32" s="6" t="s">
        <v>107</v>
      </c>
      <c r="J32" s="6" t="s">
        <v>62</v>
      </c>
      <c r="K32" s="6">
        <v>0.5</v>
      </c>
      <c r="L32" s="6" t="s">
        <v>63</v>
      </c>
      <c r="M32" s="6">
        <v>612</v>
      </c>
      <c r="N32" s="7"/>
      <c r="O32" s="7"/>
      <c r="P32" s="8" t="str">
        <f>IF(OR(N32="",N32="unsure"),"",INDEX(Labels!$B$2:$B$15,MATCH(N32,Labels!$A$2:$A$15,0)))</f>
        <v/>
      </c>
      <c r="Q32" s="8" t="str">
        <f t="shared" si="0"/>
        <v/>
      </c>
      <c r="R32" s="8" t="str">
        <f t="shared" si="1"/>
        <v/>
      </c>
      <c r="S32" s="8" t="str">
        <f t="shared" si="2"/>
        <v/>
      </c>
    </row>
    <row r="33" spans="1:19" ht="112" x14ac:dyDescent="0.35">
      <c r="A33" s="6">
        <v>32</v>
      </c>
      <c r="B33" s="6" t="s">
        <v>37</v>
      </c>
      <c r="C33" s="6" t="s">
        <v>38</v>
      </c>
      <c r="D33" s="6" t="s">
        <v>117</v>
      </c>
      <c r="E33" s="6" t="s">
        <v>118</v>
      </c>
      <c r="F33" s="6" t="s">
        <v>119</v>
      </c>
      <c r="G33" s="6" t="s">
        <v>105</v>
      </c>
      <c r="H33" s="6" t="s">
        <v>106</v>
      </c>
      <c r="I33" s="6" t="s">
        <v>107</v>
      </c>
      <c r="J33" s="6" t="s">
        <v>37</v>
      </c>
      <c r="K33" s="6">
        <v>0</v>
      </c>
      <c r="L33" s="6"/>
      <c r="M33" s="6">
        <v>867</v>
      </c>
      <c r="N33" s="7"/>
      <c r="O33" s="7"/>
      <c r="P33" s="8" t="str">
        <f>IF(OR(N33="",N33="unsure"),"",INDEX(Labels!$B$2:$B$15,MATCH(N33,Labels!$A$2:$A$15,0)))</f>
        <v/>
      </c>
      <c r="Q33" s="8" t="str">
        <f t="shared" si="0"/>
        <v/>
      </c>
      <c r="R33" s="8" t="str">
        <f t="shared" si="1"/>
        <v/>
      </c>
      <c r="S33" s="8" t="str">
        <f t="shared" si="2"/>
        <v/>
      </c>
    </row>
    <row r="34" spans="1:19" ht="84" x14ac:dyDescent="0.35">
      <c r="A34" s="6">
        <v>33</v>
      </c>
      <c r="B34" s="6" t="s">
        <v>37</v>
      </c>
      <c r="C34" s="6" t="s">
        <v>38</v>
      </c>
      <c r="D34" s="6" t="s">
        <v>21</v>
      </c>
      <c r="E34" s="6" t="s">
        <v>22</v>
      </c>
      <c r="F34" s="6" t="s">
        <v>23</v>
      </c>
      <c r="G34" s="6" t="s">
        <v>69</v>
      </c>
      <c r="H34" s="6" t="s">
        <v>70</v>
      </c>
      <c r="I34" s="6" t="s">
        <v>71</v>
      </c>
      <c r="J34" s="6" t="s">
        <v>37</v>
      </c>
      <c r="K34" s="6">
        <v>0</v>
      </c>
      <c r="L34" s="6"/>
      <c r="M34" s="6">
        <v>1248</v>
      </c>
      <c r="N34" s="7"/>
      <c r="O34" s="7"/>
      <c r="P34" s="8" t="str">
        <f>IF(OR(N34="",N34="unsure"),"",INDEX(Labels!$B$2:$B$15,MATCH(N34,Labels!$A$2:$A$15,0)))</f>
        <v/>
      </c>
      <c r="Q34" s="8" t="str">
        <f t="shared" si="0"/>
        <v/>
      </c>
      <c r="R34" s="8" t="str">
        <f t="shared" si="1"/>
        <v/>
      </c>
      <c r="S34" s="8" t="str">
        <f t="shared" si="2"/>
        <v/>
      </c>
    </row>
    <row r="35" spans="1:19" ht="112" x14ac:dyDescent="0.35">
      <c r="A35" s="6">
        <v>34</v>
      </c>
      <c r="B35" s="6" t="s">
        <v>27</v>
      </c>
      <c r="C35" s="6" t="s">
        <v>28</v>
      </c>
      <c r="D35" s="6" t="s">
        <v>90</v>
      </c>
      <c r="E35" s="6" t="s">
        <v>91</v>
      </c>
      <c r="F35" s="6" t="s">
        <v>92</v>
      </c>
      <c r="G35" s="6" t="s">
        <v>117</v>
      </c>
      <c r="H35" s="6" t="s">
        <v>118</v>
      </c>
      <c r="I35" s="6" t="s">
        <v>119</v>
      </c>
      <c r="J35" s="6" t="s">
        <v>67</v>
      </c>
      <c r="K35" s="6">
        <v>0.8</v>
      </c>
      <c r="L35" s="6" t="s">
        <v>120</v>
      </c>
      <c r="M35" s="6">
        <v>578</v>
      </c>
      <c r="N35" s="7"/>
      <c r="O35" s="7"/>
      <c r="P35" s="8" t="str">
        <f>IF(OR(N35="",N35="unsure"),"",INDEX(Labels!$B$2:$B$15,MATCH(N35,Labels!$A$2:$A$15,0)))</f>
        <v/>
      </c>
      <c r="Q35" s="8" t="str">
        <f t="shared" si="0"/>
        <v/>
      </c>
      <c r="R35" s="8" t="str">
        <f t="shared" si="1"/>
        <v/>
      </c>
      <c r="S35" s="8" t="str">
        <f t="shared" si="2"/>
        <v/>
      </c>
    </row>
    <row r="36" spans="1:19" ht="98" x14ac:dyDescent="0.35">
      <c r="A36" s="6">
        <v>35</v>
      </c>
      <c r="B36" s="6" t="s">
        <v>19</v>
      </c>
      <c r="C36" s="6" t="s">
        <v>28</v>
      </c>
      <c r="D36" s="6" t="s">
        <v>86</v>
      </c>
      <c r="E36" s="6" t="s">
        <v>87</v>
      </c>
      <c r="F36" s="6" t="s">
        <v>88</v>
      </c>
      <c r="G36" s="6" t="s">
        <v>53</v>
      </c>
      <c r="H36" s="6" t="s">
        <v>54</v>
      </c>
      <c r="I36" s="6" t="s">
        <v>55</v>
      </c>
      <c r="J36" s="6" t="s">
        <v>19</v>
      </c>
      <c r="K36" s="6">
        <v>-0.25</v>
      </c>
      <c r="L36" s="6"/>
      <c r="M36" s="6">
        <v>3404</v>
      </c>
      <c r="N36" s="7"/>
      <c r="O36" s="7"/>
      <c r="P36" s="8" t="str">
        <f>IF(OR(N36="",N36="unsure"),"",INDEX(Labels!$B$2:$B$15,MATCH(N36,Labels!$A$2:$A$15,0)))</f>
        <v/>
      </c>
      <c r="Q36" s="8" t="str">
        <f t="shared" si="0"/>
        <v/>
      </c>
      <c r="R36" s="8" t="str">
        <f t="shared" si="1"/>
        <v/>
      </c>
      <c r="S36" s="8" t="str">
        <f t="shared" si="2"/>
        <v/>
      </c>
    </row>
    <row r="37" spans="1:19" ht="168" x14ac:dyDescent="0.35">
      <c r="A37" s="6">
        <v>36</v>
      </c>
      <c r="B37" s="6" t="s">
        <v>27</v>
      </c>
      <c r="C37" s="6" t="s">
        <v>28</v>
      </c>
      <c r="D37" s="6" t="s">
        <v>121</v>
      </c>
      <c r="E37" s="6" t="s">
        <v>122</v>
      </c>
      <c r="F37" s="6" t="s">
        <v>123</v>
      </c>
      <c r="G37" s="6" t="s">
        <v>124</v>
      </c>
      <c r="H37" s="6" t="s">
        <v>79</v>
      </c>
      <c r="I37" s="6" t="s">
        <v>125</v>
      </c>
      <c r="J37" s="6" t="s">
        <v>67</v>
      </c>
      <c r="K37" s="6">
        <v>0.8</v>
      </c>
      <c r="L37" s="6" t="s">
        <v>126</v>
      </c>
      <c r="M37" s="6">
        <v>2</v>
      </c>
      <c r="N37" s="7"/>
      <c r="O37" s="7"/>
      <c r="P37" s="8" t="str">
        <f>IF(OR(N37="",N37="unsure"),"",INDEX(Labels!$B$2:$B$15,MATCH(N37,Labels!$A$2:$A$15,0)))</f>
        <v/>
      </c>
      <c r="Q37" s="8" t="str">
        <f t="shared" si="0"/>
        <v/>
      </c>
      <c r="R37" s="8" t="str">
        <f t="shared" si="1"/>
        <v/>
      </c>
      <c r="S37" s="8" t="str">
        <f t="shared" si="2"/>
        <v/>
      </c>
    </row>
    <row r="38" spans="1:19" ht="140" x14ac:dyDescent="0.35">
      <c r="A38" s="6">
        <v>37</v>
      </c>
      <c r="B38" s="6" t="s">
        <v>19</v>
      </c>
      <c r="C38" s="6" t="s">
        <v>20</v>
      </c>
      <c r="D38" s="6" t="s">
        <v>96</v>
      </c>
      <c r="E38" s="6" t="s">
        <v>97</v>
      </c>
      <c r="F38" s="6" t="s">
        <v>98</v>
      </c>
      <c r="G38" s="6" t="s">
        <v>24</v>
      </c>
      <c r="H38" s="6" t="s">
        <v>25</v>
      </c>
      <c r="I38" s="6" t="s">
        <v>26</v>
      </c>
      <c r="J38" s="6" t="s">
        <v>19</v>
      </c>
      <c r="K38" s="6">
        <v>-0.25</v>
      </c>
      <c r="L38" s="6"/>
      <c r="M38" s="6">
        <v>16744</v>
      </c>
      <c r="N38" s="7"/>
      <c r="O38" s="7"/>
      <c r="P38" s="8" t="str">
        <f>IF(OR(N38="",N38="unsure"),"",INDEX(Labels!$B$2:$B$15,MATCH(N38,Labels!$A$2:$A$15,0)))</f>
        <v/>
      </c>
      <c r="Q38" s="8" t="str">
        <f t="shared" si="0"/>
        <v/>
      </c>
      <c r="R38" s="8" t="str">
        <f t="shared" si="1"/>
        <v/>
      </c>
      <c r="S38" s="8" t="str">
        <f t="shared" si="2"/>
        <v/>
      </c>
    </row>
    <row r="39" spans="1:19" ht="98" x14ac:dyDescent="0.35">
      <c r="A39" s="6">
        <v>38</v>
      </c>
      <c r="B39" s="6" t="s">
        <v>37</v>
      </c>
      <c r="C39" s="6" t="s">
        <v>38</v>
      </c>
      <c r="D39" s="6" t="s">
        <v>64</v>
      </c>
      <c r="E39" s="6" t="s">
        <v>65</v>
      </c>
      <c r="F39" s="6" t="s">
        <v>66</v>
      </c>
      <c r="G39" s="6" t="s">
        <v>105</v>
      </c>
      <c r="H39" s="6" t="s">
        <v>106</v>
      </c>
      <c r="I39" s="6" t="s">
        <v>107</v>
      </c>
      <c r="J39" s="6" t="s">
        <v>37</v>
      </c>
      <c r="K39" s="6">
        <v>0</v>
      </c>
      <c r="L39" s="6"/>
      <c r="M39" s="6">
        <v>5304</v>
      </c>
      <c r="N39" s="7"/>
      <c r="O39" s="7"/>
      <c r="P39" s="8" t="str">
        <f>IF(OR(N39="",N39="unsure"),"",INDEX(Labels!$B$2:$B$15,MATCH(N39,Labels!$A$2:$A$15,0)))</f>
        <v/>
      </c>
      <c r="Q39" s="8" t="str">
        <f t="shared" si="0"/>
        <v/>
      </c>
      <c r="R39" s="8" t="str">
        <f t="shared" si="1"/>
        <v/>
      </c>
      <c r="S39" s="8" t="str">
        <f t="shared" si="2"/>
        <v/>
      </c>
    </row>
    <row r="40" spans="1:19" ht="56" x14ac:dyDescent="0.35">
      <c r="A40" s="6">
        <v>39</v>
      </c>
      <c r="B40" s="6" t="s">
        <v>19</v>
      </c>
      <c r="C40" s="6" t="s">
        <v>20</v>
      </c>
      <c r="D40" s="6" t="s">
        <v>39</v>
      </c>
      <c r="E40" s="6" t="s">
        <v>40</v>
      </c>
      <c r="F40" s="6" t="s">
        <v>41</v>
      </c>
      <c r="G40" s="6" t="s">
        <v>24</v>
      </c>
      <c r="H40" s="6" t="s">
        <v>25</v>
      </c>
      <c r="I40" s="6" t="s">
        <v>26</v>
      </c>
      <c r="J40" s="6" t="s">
        <v>19</v>
      </c>
      <c r="K40" s="6">
        <v>-0.25</v>
      </c>
      <c r="L40" s="6"/>
      <c r="M40" s="6">
        <v>18193</v>
      </c>
      <c r="N40" s="7"/>
      <c r="O40" s="7"/>
      <c r="P40" s="8" t="str">
        <f>IF(OR(N40="",N40="unsure"),"",INDEX(Labels!$B$2:$B$15,MATCH(N40,Labels!$A$2:$A$15,0)))</f>
        <v/>
      </c>
      <c r="Q40" s="8" t="str">
        <f t="shared" si="0"/>
        <v/>
      </c>
      <c r="R40" s="8" t="str">
        <f t="shared" si="1"/>
        <v/>
      </c>
      <c r="S40" s="8" t="str">
        <f t="shared" si="2"/>
        <v/>
      </c>
    </row>
    <row r="41" spans="1:19" ht="42" x14ac:dyDescent="0.35">
      <c r="A41" s="6">
        <v>40</v>
      </c>
      <c r="B41" s="6" t="s">
        <v>27</v>
      </c>
      <c r="C41" s="6" t="s">
        <v>20</v>
      </c>
      <c r="D41" s="6" t="s">
        <v>78</v>
      </c>
      <c r="E41" s="6" t="s">
        <v>79</v>
      </c>
      <c r="F41" s="6" t="s">
        <v>80</v>
      </c>
      <c r="G41" s="6" t="s">
        <v>53</v>
      </c>
      <c r="H41" s="6" t="s">
        <v>54</v>
      </c>
      <c r="I41" s="6" t="s">
        <v>55</v>
      </c>
      <c r="J41" s="6" t="s">
        <v>51</v>
      </c>
      <c r="K41" s="6">
        <v>0.6</v>
      </c>
      <c r="L41" s="6" t="s">
        <v>82</v>
      </c>
      <c r="M41" s="6">
        <v>1748</v>
      </c>
      <c r="N41" s="7"/>
      <c r="O41" s="7"/>
      <c r="P41" s="8" t="str">
        <f>IF(OR(N41="",N41="unsure"),"",INDEX(Labels!$B$2:$B$15,MATCH(N41,Labels!$A$2:$A$15,0)))</f>
        <v/>
      </c>
      <c r="Q41" s="8" t="str">
        <f t="shared" si="0"/>
        <v/>
      </c>
      <c r="R41" s="8" t="str">
        <f t="shared" si="1"/>
        <v/>
      </c>
      <c r="S41" s="8" t="str">
        <f t="shared" si="2"/>
        <v/>
      </c>
    </row>
  </sheetData>
  <dataValidations count="1">
    <dataValidation type="list" allowBlank="1" sqref="N2:N41" xr:uid="{00000000-0002-0000-0100-000000000000}">
      <formula1>"same / equivalent,instance: A is B,subtype: A is a kind of B,subtype: B is a kind of A,subtype, two steps: A ... B,subtype, two steps: B ... A,part of: A in B,part of: B in A,can be the same entity,linked roles,sibling,different,unsure"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heetViews>
  <sheetFormatPr defaultRowHeight="14.5" x14ac:dyDescent="0.35"/>
  <cols>
    <col min="1" max="1" width="30" customWidth="1"/>
    <col min="2" max="8" width="14" customWidth="1"/>
  </cols>
  <sheetData>
    <row r="1" spans="1:8" ht="15.5" x14ac:dyDescent="0.35">
      <c r="A1" s="9" t="s">
        <v>143</v>
      </c>
    </row>
    <row r="3" spans="1:8" ht="28" x14ac:dyDescent="0.35">
      <c r="A3" s="4" t="s">
        <v>1</v>
      </c>
      <c r="B3" s="4" t="s">
        <v>144</v>
      </c>
      <c r="C3" s="4" t="s">
        <v>145</v>
      </c>
      <c r="D3" s="4" t="s">
        <v>146</v>
      </c>
      <c r="E3" s="4" t="s">
        <v>17</v>
      </c>
      <c r="F3" s="4" t="s">
        <v>147</v>
      </c>
      <c r="G3" s="4" t="s">
        <v>148</v>
      </c>
      <c r="H3" s="4" t="s">
        <v>149</v>
      </c>
    </row>
    <row r="4" spans="1:8" x14ac:dyDescent="0.35">
      <c r="A4" s="10" t="s">
        <v>27</v>
      </c>
      <c r="B4" s="10">
        <f>COUNTIF(Review!$B$2:$B$41,A4)</f>
        <v>16</v>
      </c>
      <c r="C4" s="10">
        <f>COUNTIFS(Review!$B$2:$B$41,A4,Review!$P$2:$P$41,"&gt;-2")</f>
        <v>0</v>
      </c>
      <c r="D4" s="11" t="str">
        <f>IF(C4=0,"",SUMIFS(Review!$Q$2:$Q$41,Review!$B$2:$B$41,A4)/C4)</f>
        <v/>
      </c>
      <c r="E4" s="11" t="str">
        <f>IF(C4=0,"",SUMIFS(Review!$R$2:$R$41,Review!$B$2:$B$41,A4)/C4)</f>
        <v/>
      </c>
      <c r="F4" s="11" t="str">
        <f>IF(C4=0,"",COUNTIFS(Review!$B$2:$B$41,A4,Review!$P$2:$P$41,"&gt;0")/C4)</f>
        <v/>
      </c>
      <c r="G4" s="12" t="str">
        <f>IF(C4=0,"",SUMIFS(Review!$S$2:$S$41,Review!$B$2:$B$41,A4)/C4)</f>
        <v/>
      </c>
      <c r="H4" s="13">
        <v>4.6899999999999997E-2</v>
      </c>
    </row>
    <row r="5" spans="1:8" x14ac:dyDescent="0.35">
      <c r="A5" s="10" t="s">
        <v>19</v>
      </c>
      <c r="B5" s="10">
        <f>COUNTIF(Review!$B$2:$B$41,A5)</f>
        <v>14</v>
      </c>
      <c r="C5" s="10">
        <f>COUNTIFS(Review!$B$2:$B$41,A5,Review!$P$2:$P$41,"&gt;-2")</f>
        <v>0</v>
      </c>
      <c r="D5" s="11" t="str">
        <f>IF(C5=0,"",SUMIFS(Review!$Q$2:$Q$41,Review!$B$2:$B$41,A5)/C5)</f>
        <v/>
      </c>
      <c r="E5" s="11" t="str">
        <f>IF(C5=0,"",SUMIFS(Review!$R$2:$R$41,Review!$B$2:$B$41,A5)/C5)</f>
        <v/>
      </c>
      <c r="F5" s="11" t="str">
        <f>IF(C5=0,"",COUNTIFS(Review!$B$2:$B$41,A5,Review!$P$2:$P$41,"&gt;0")/C5)</f>
        <v/>
      </c>
      <c r="G5" s="12" t="str">
        <f>IF(C5=0,"",SUMIFS(Review!$S$2:$S$41,Review!$B$2:$B$41,A5)/C5)</f>
        <v/>
      </c>
      <c r="H5" s="13">
        <v>0.63729999999999998</v>
      </c>
    </row>
    <row r="6" spans="1:8" x14ac:dyDescent="0.35">
      <c r="A6" s="10" t="s">
        <v>37</v>
      </c>
      <c r="B6" s="10">
        <f>COUNTIF(Review!$B$2:$B$41,A6)</f>
        <v>10</v>
      </c>
      <c r="C6" s="10">
        <f>COUNTIFS(Review!$B$2:$B$41,A6,Review!$P$2:$P$41,"&gt;-2")</f>
        <v>0</v>
      </c>
      <c r="D6" s="11" t="str">
        <f>IF(C6=0,"",SUMIFS(Review!$Q$2:$Q$41,Review!$B$2:$B$41,A6)/C6)</f>
        <v/>
      </c>
      <c r="E6" s="11" t="str">
        <f>IF(C6=0,"",SUMIFS(Review!$R$2:$R$41,Review!$B$2:$B$41,A6)/C6)</f>
        <v/>
      </c>
      <c r="F6" s="11" t="str">
        <f>IF(C6=0,"",COUNTIFS(Review!$B$2:$B$41,A6,Review!$P$2:$P$41,"&gt;0")/C6)</f>
        <v/>
      </c>
      <c r="G6" s="12" t="str">
        <f>IF(C6=0,"",SUMIFS(Review!$S$2:$S$41,Review!$B$2:$B$41,A6)/C6)</f>
        <v/>
      </c>
      <c r="H6" s="13">
        <v>0.31580000000000003</v>
      </c>
    </row>
    <row r="7" spans="1:8" x14ac:dyDescent="0.35">
      <c r="A7" s="14" t="s">
        <v>150</v>
      </c>
      <c r="B7" s="10">
        <f>SUM(B4:B6)</f>
        <v>40</v>
      </c>
      <c r="C7" s="10">
        <f>SUM(C4:C6)</f>
        <v>0</v>
      </c>
      <c r="D7" s="11" t="str">
        <f>IF(C7=0,"",SUM(Review!$Q$2:$Q$41)/C7)</f>
        <v/>
      </c>
      <c r="E7" s="11" t="str">
        <f>IF(C7=0,"",SUM(Review!$R$2:$R$41)/C7)</f>
        <v/>
      </c>
      <c r="F7" s="11" t="str">
        <f>IF(C7=0,"",COUNTIF(Review!$P$2:$P$41,"&gt;0")/C7)</f>
        <v/>
      </c>
      <c r="G7" s="12" t="str">
        <f>IF(C7=0,"",SUM(Review!$S$2:$S$41)/C7)</f>
        <v/>
      </c>
    </row>
    <row r="9" spans="1:8" x14ac:dyDescent="0.35">
      <c r="A9" s="14" t="s">
        <v>151</v>
      </c>
    </row>
    <row r="10" spans="1:8" x14ac:dyDescent="0.35">
      <c r="A10" s="10" t="s">
        <v>152</v>
      </c>
    </row>
    <row r="11" spans="1:8" x14ac:dyDescent="0.35">
      <c r="A11" s="10" t="s">
        <v>153</v>
      </c>
    </row>
    <row r="12" spans="1:8" x14ac:dyDescent="0.35">
      <c r="A12" s="10" t="s">
        <v>154</v>
      </c>
    </row>
    <row r="13" spans="1:8" x14ac:dyDescent="0.35">
      <c r="A13" s="10" t="s">
        <v>155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heetViews>
  <sheetFormatPr defaultRowHeight="14.5" x14ac:dyDescent="0.35"/>
  <cols>
    <col min="1" max="1" width="30" customWidth="1"/>
    <col min="2" max="2" width="8" customWidth="1"/>
    <col min="3" max="3" width="70" customWidth="1"/>
  </cols>
  <sheetData>
    <row r="1" spans="1:3" x14ac:dyDescent="0.35">
      <c r="A1" s="4" t="s">
        <v>156</v>
      </c>
      <c r="B1" s="4" t="s">
        <v>157</v>
      </c>
      <c r="C1" s="4" t="s">
        <v>158</v>
      </c>
    </row>
    <row r="2" spans="1:3" x14ac:dyDescent="0.35">
      <c r="A2" s="10" t="s">
        <v>159</v>
      </c>
      <c r="B2" s="10">
        <v>1</v>
      </c>
      <c r="C2" s="10" t="s">
        <v>160</v>
      </c>
    </row>
    <row r="3" spans="1:3" x14ac:dyDescent="0.35">
      <c r="A3" s="10" t="s">
        <v>161</v>
      </c>
      <c r="B3" s="10">
        <v>0.9</v>
      </c>
      <c r="C3" s="10" t="s">
        <v>162</v>
      </c>
    </row>
    <row r="4" spans="1:3" x14ac:dyDescent="0.35">
      <c r="A4" s="10" t="s">
        <v>67</v>
      </c>
      <c r="B4" s="10">
        <v>0.8</v>
      </c>
      <c r="C4" s="10" t="s">
        <v>163</v>
      </c>
    </row>
    <row r="5" spans="1:3" x14ac:dyDescent="0.35">
      <c r="A5" s="10" t="s">
        <v>164</v>
      </c>
      <c r="B5" s="10">
        <v>0.8</v>
      </c>
      <c r="C5" s="10" t="s">
        <v>165</v>
      </c>
    </row>
    <row r="6" spans="1:3" x14ac:dyDescent="0.35">
      <c r="A6" s="10" t="s">
        <v>51</v>
      </c>
      <c r="B6" s="10">
        <v>0.6</v>
      </c>
      <c r="C6" s="10" t="s">
        <v>166</v>
      </c>
    </row>
    <row r="7" spans="1:3" x14ac:dyDescent="0.35">
      <c r="A7" s="10" t="s">
        <v>167</v>
      </c>
      <c r="B7" s="10">
        <v>0.6</v>
      </c>
      <c r="C7" s="10" t="s">
        <v>168</v>
      </c>
    </row>
    <row r="8" spans="1:3" x14ac:dyDescent="0.35">
      <c r="A8" s="10" t="s">
        <v>62</v>
      </c>
      <c r="B8" s="10">
        <v>0.5</v>
      </c>
      <c r="C8" s="10" t="s">
        <v>169</v>
      </c>
    </row>
    <row r="9" spans="1:3" x14ac:dyDescent="0.35">
      <c r="A9" s="10" t="s">
        <v>170</v>
      </c>
      <c r="B9" s="10">
        <v>0.5</v>
      </c>
      <c r="C9" s="10" t="s">
        <v>171</v>
      </c>
    </row>
    <row r="10" spans="1:3" x14ac:dyDescent="0.35">
      <c r="A10" s="10" t="s">
        <v>172</v>
      </c>
      <c r="B10" s="10">
        <v>0.4</v>
      </c>
      <c r="C10" s="10" t="s">
        <v>173</v>
      </c>
    </row>
    <row r="11" spans="1:3" x14ac:dyDescent="0.35">
      <c r="A11" s="10" t="s">
        <v>174</v>
      </c>
      <c r="B11" s="10">
        <v>0.2</v>
      </c>
      <c r="C11" s="10" t="s">
        <v>175</v>
      </c>
    </row>
    <row r="12" spans="1:3" x14ac:dyDescent="0.35">
      <c r="A12" s="10" t="s">
        <v>35</v>
      </c>
      <c r="B12" s="10">
        <v>0.15</v>
      </c>
      <c r="C12" s="10" t="s">
        <v>176</v>
      </c>
    </row>
    <row r="13" spans="1:3" x14ac:dyDescent="0.35">
      <c r="A13" s="10" t="s">
        <v>19</v>
      </c>
      <c r="B13" s="10">
        <v>-0.25</v>
      </c>
      <c r="C13" s="10" t="s">
        <v>177</v>
      </c>
    </row>
    <row r="14" spans="1:3" x14ac:dyDescent="0.35">
      <c r="A14" s="10" t="s">
        <v>37</v>
      </c>
      <c r="B14" s="10">
        <v>0</v>
      </c>
      <c r="C14" s="10" t="s">
        <v>178</v>
      </c>
    </row>
    <row r="15" spans="1:3" x14ac:dyDescent="0.35">
      <c r="A15" s="10" t="s">
        <v>179</v>
      </c>
      <c r="B15" s="10"/>
      <c r="C15" s="10" t="s">
        <v>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Review</vt:lpstr>
      <vt:lpstr>Scores</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Silva</cp:lastModifiedBy>
  <dcterms:created xsi:type="dcterms:W3CDTF">2026-10-18T22:14:05Z</dcterms:created>
  <dcterms:modified xsi:type="dcterms:W3CDTF">2026-10-18T22:14:32Z</dcterms:modified>
</cp:coreProperties>
</file>