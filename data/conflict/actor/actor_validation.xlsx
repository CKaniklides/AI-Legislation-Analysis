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Scores" sheetId="3" state="visible" r:id="rId3"/>
    <sheet xmlns:r="http://schemas.openxmlformats.org/officeDocument/2006/relationships" name="Inventory" sheetId="4" state="visible" r:id="rId4"/>
  </sheets>
  <definedNames>
    <definedName name="_xlnm._FilterDatabase" localSheetId="1" hidden="1">'Review'!$A$1:$M$41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i val="1"/>
      <color rgb="00808080"/>
    </font>
    <font>
      <name val="Arial"/>
      <i val="1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0" pivotButton="0" quotePrefix="0" xfId="0"/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1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actor_validate</author>
  </authors>
  <commentList>
    <comment ref="G4" authorId="0" shapeId="0">
      <text>
        <t>Share of this match type among all actor unit uses in norm_actor_map.jsonl, computed by actor_validate.py when the sample was drawn. Used to weight the overall score.</t>
      </text>
    </comment>
    <comment ref="G5" authorId="0" shapeId="0">
      <text>
        <t>Share of this match type among all actor unit uses in norm_actor_map.jsonl, computed by actor_validate.py when the sample was drawn. Used to weight the overall score.</t>
      </text>
    </comment>
    <comment ref="G6" authorId="0" shapeId="0">
      <text>
        <t>Share of this match type among all actor unit uses in norm_actor_map.jsonl, computed by actor_validate.py when the sample was drawn. Used to weight the overall score.</t>
      </text>
    </comment>
    <comment ref="G7" authorId="0" shapeId="0">
      <text>
        <t>Share of this match type among all actor unit uses in norm_actor_map.jsonl, computed by actor_validate.py when the sample was drawn. Used to weight the overall score.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20" customWidth="1" min="1" max="1"/>
    <col width="12" customWidth="1" min="2" max="2"/>
    <col width="18" customWidth="1" min="3" max="3"/>
    <col width="20" customWidth="1" min="4" max="4"/>
    <col width="20" customWidth="1" min="5" max="5"/>
    <col width="20" customWidth="1" min="6" max="6"/>
    <col width="11" customWidth="1" min="7" max="7"/>
    <col width="20" customWidth="1" min="8" max="8"/>
    <col width="20" customWidth="1" min="9" max="9"/>
    <col width="12" customWidth="1" min="10" max="10"/>
    <col width="13" customWidth="1" min="11" max="11"/>
    <col width="20" customWidth="1" min="12" max="12"/>
    <col width="20" customWidth="1" min="13" max="13"/>
  </cols>
  <sheetData>
    <row r="1">
      <c r="A1" s="1" t="inlineStr">
        <is>
          <t>Actor mapping review</t>
        </is>
      </c>
    </row>
    <row r="2">
      <c r="A2" s="2" t="inlineStr"/>
    </row>
    <row r="3">
      <c r="A3" s="2" t="inlineStr">
        <is>
          <t>Each row of the Review sheet is one actor of a norm and the decision the system made for it. Judge the decision, using the norm text where it helps.</t>
        </is>
      </c>
    </row>
    <row r="4">
      <c r="A4" s="2" t="inlineStr"/>
    </row>
    <row r="5">
      <c r="A5" s="3" t="inlineStr">
        <is>
          <t>What the system decides (column G)</t>
        </is>
      </c>
    </row>
    <row r="6">
      <c r="A6" s="2" t="inlineStr">
        <is>
          <t>exact / shortened: the actor is the inventory entry in column H. 'shortened' means words were dropped to find it (e.g. 'bevoegde toezichthoudende autoriteit' -&gt; toezichthoudende autoriteit).</t>
        </is>
      </c>
    </row>
    <row r="7">
      <c r="A7" s="2" t="inlineStr">
        <is>
          <t>fallback: the unit is an actor, but none of the entries fits; only a broad class is given (column J).</t>
        </is>
      </c>
    </row>
    <row r="8">
      <c r="A8" s="2" t="inlineStr">
        <is>
          <t>not_actor: the unit is not an actor (a document, decision, system, ...).</t>
        </is>
      </c>
    </row>
    <row r="9">
      <c r="A9" s="2" t="inlineStr"/>
    </row>
    <row r="10">
      <c r="A10" s="3" t="inlineStr">
        <is>
          <t>What to fill in (yellow cells only)</t>
        </is>
      </c>
    </row>
    <row r="11">
      <c r="A11" s="2" t="inlineStr">
        <is>
          <t>K  system correct?  yes / no / unsure.</t>
        </is>
      </c>
    </row>
    <row r="12">
      <c r="A12" s="2" t="inlineStr">
        <is>
          <t xml:space="preserve">     exact/shortened: yes if the actor in the norm is this entry (a sub-role of it also counts as yes, e.g. 'betrokken aanbieder' -&gt; aanbieder).</t>
        </is>
      </c>
    </row>
    <row r="13">
      <c r="A13" s="2" t="inlineStr">
        <is>
          <t xml:space="preserve">     fallback: yes if it is an actor and no entry on the Inventory sheet fits it.</t>
        </is>
      </c>
    </row>
    <row r="14">
      <c r="A14" s="2" t="inlineStr">
        <is>
          <t xml:space="preserve">     not_actor: yes if the unit is indeed not an actor.</t>
        </is>
      </c>
    </row>
    <row r="15">
      <c r="A15" s="2" t="inlineStr">
        <is>
          <t>L  correct answer, only when K is 'no': an actor ID from the Inventory sheet, 'fallback' (an actor without a fitting entry) or 'not_actor'.</t>
        </is>
      </c>
    </row>
    <row r="16">
      <c r="A16" s="2" t="inlineStr">
        <is>
          <t>M  notes: anything useful, e.g. 'unit is cut wrongly by the cleaning step'.</t>
        </is>
      </c>
    </row>
    <row r="17">
      <c r="A17" s="2" t="inlineStr">
        <is>
          <t>Only entries valid for the row's document may be chosen: a document's defined terms apply only to its own norms (Inventory sheet, column 'valid for').</t>
        </is>
      </c>
    </row>
    <row r="18">
      <c r="A18" s="2" t="inlineStr"/>
    </row>
    <row r="19">
      <c r="A19" s="3" t="inlineStr">
        <is>
          <t>Example row (format only)</t>
        </is>
      </c>
    </row>
    <row r="20">
      <c r="A20" s="4" t="inlineStr">
        <is>
          <t>case</t>
        </is>
      </c>
      <c r="B20" s="4" t="inlineStr">
        <is>
          <t>document</t>
        </is>
      </c>
      <c r="C20" s="4" t="inlineStr">
        <is>
          <t>norm_id</t>
        </is>
      </c>
      <c r="D20" s="4" t="inlineStr">
        <is>
          <t>raw actor (as extracted)</t>
        </is>
      </c>
      <c r="E20" s="4" t="inlineStr">
        <is>
          <t>actor unit (cleaned)</t>
        </is>
      </c>
      <c r="F20" s="4" t="inlineStr">
        <is>
          <t>norm text</t>
        </is>
      </c>
      <c r="G20" s="4" t="inlineStr">
        <is>
          <t>system: match</t>
        </is>
      </c>
      <c r="H20" s="4" t="inlineStr">
        <is>
          <t>system: actor ID</t>
        </is>
      </c>
      <c r="I20" s="4" t="inlineStr">
        <is>
          <t>system: label</t>
        </is>
      </c>
      <c r="J20" s="4" t="inlineStr">
        <is>
          <t>system: fallback class</t>
        </is>
      </c>
      <c r="K20" s="4" t="inlineStr">
        <is>
          <t>REVIEW: system correct?</t>
        </is>
      </c>
      <c r="L20" s="4" t="inlineStr">
        <is>
          <t>REVIEW: correct answer (if no)</t>
        </is>
      </c>
      <c r="M20" s="4" t="inlineStr">
        <is>
          <t>REVIEW: notes</t>
        </is>
      </c>
    </row>
    <row r="21">
      <c r="A21" s="5" t="inlineStr">
        <is>
          <t>0</t>
        </is>
      </c>
      <c r="B21" s="5" t="inlineStr">
        <is>
          <t>32016R0679</t>
        </is>
      </c>
      <c r="C21" s="5" t="inlineStr">
        <is>
          <t>32016R0679:57:1:3</t>
        </is>
      </c>
      <c r="D21" s="5" t="inlineStr">
        <is>
          <t>De bevoegde toezichthoudende autoriteit</t>
        </is>
      </c>
      <c r="E21" s="5" t="inlineStr">
        <is>
          <t>bevoegde toezichthoudende autoriteit</t>
        </is>
      </c>
      <c r="F21" s="5" t="inlineStr">
        <is>
          <t>(norm text)</t>
        </is>
      </c>
      <c r="G21" s="5" t="inlineStr">
        <is>
          <t>shortened</t>
        </is>
      </c>
      <c r="H21" s="5" t="inlineStr">
        <is>
          <t>32016R0679:toezichthoudende_autoriteit</t>
        </is>
      </c>
      <c r="I21" s="5" t="inlineStr">
        <is>
          <t>toezichthoudende autoriteit</t>
        </is>
      </c>
      <c r="J21" s="5" t="inlineStr"/>
      <c r="K21" s="5" t="inlineStr">
        <is>
          <t>yes</t>
        </is>
      </c>
      <c r="L21" s="5" t="inlineStr"/>
      <c r="M21" s="5" t="inlineStr"/>
    </row>
    <row r="23">
      <c r="A23" s="6" t="inlineStr">
        <is>
          <t>The sample has 40 cases. Scores update on the Scores sheet as you fill in column K and 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34" customWidth="1" min="4" max="4"/>
    <col width="30" customWidth="1" min="5" max="5"/>
    <col width="60" customWidth="1" min="6" max="6"/>
    <col width="11" customWidth="1" min="7" max="7"/>
    <col width="34" customWidth="1" min="8" max="8"/>
    <col width="26" customWidth="1" min="9" max="9"/>
    <col width="12" customWidth="1" min="10" max="10"/>
    <col width="13" customWidth="1" min="11" max="11"/>
    <col width="34" customWidth="1" min="12" max="12"/>
    <col width="30" customWidth="1" min="13" max="13"/>
  </cols>
  <sheetData>
    <row r="1">
      <c r="A1" s="4" t="inlineStr">
        <is>
          <t>case</t>
        </is>
      </c>
      <c r="B1" s="4" t="inlineStr">
        <is>
          <t>document</t>
        </is>
      </c>
      <c r="C1" s="4" t="inlineStr">
        <is>
          <t>norm_id</t>
        </is>
      </c>
      <c r="D1" s="4" t="inlineStr">
        <is>
          <t>raw actor (as extracted)</t>
        </is>
      </c>
      <c r="E1" s="4" t="inlineStr">
        <is>
          <t>actor unit (cleaned)</t>
        </is>
      </c>
      <c r="F1" s="4" t="inlineStr">
        <is>
          <t>norm text</t>
        </is>
      </c>
      <c r="G1" s="4" t="inlineStr">
        <is>
          <t>system: match</t>
        </is>
      </c>
      <c r="H1" s="4" t="inlineStr">
        <is>
          <t>system: actor ID</t>
        </is>
      </c>
      <c r="I1" s="4" t="inlineStr">
        <is>
          <t>system: label</t>
        </is>
      </c>
      <c r="J1" s="4" t="inlineStr">
        <is>
          <t>system: fallback class</t>
        </is>
      </c>
      <c r="K1" s="4" t="inlineStr">
        <is>
          <t>REVIEW: system correct?</t>
        </is>
      </c>
      <c r="L1" s="4" t="inlineStr">
        <is>
          <t>REVIEW: correct answer (if no)</t>
        </is>
      </c>
      <c r="M1" s="4" t="inlineStr">
        <is>
          <t>REVIEW: notes</t>
        </is>
      </c>
    </row>
    <row r="2">
      <c r="A2" s="7" t="n">
        <v>1</v>
      </c>
      <c r="B2" s="7" t="inlineStr">
        <is>
          <t>32016R0679</t>
        </is>
      </c>
      <c r="C2" s="7" t="inlineStr">
        <is>
          <t>32016R0679:27:2:2</t>
        </is>
      </c>
      <c r="D2" s="7" t="inlineStr">
        <is>
          <t>incidentele verwerking</t>
        </is>
      </c>
      <c r="E2" s="7" t="inlineStr">
        <is>
          <t>incidentele verwerking</t>
        </is>
      </c>
      <c r="F2" s="7" t="inlineStr"/>
      <c r="G2" s="7" t="inlineStr">
        <is>
          <t>not_actor</t>
        </is>
      </c>
      <c r="H2" s="7" t="inlineStr"/>
      <c r="I2" s="7" t="inlineStr"/>
      <c r="J2" s="7" t="inlineStr"/>
      <c r="K2" s="8" t="n"/>
      <c r="L2" s="8" t="n"/>
      <c r="M2" s="8" t="n"/>
    </row>
    <row r="3">
      <c r="A3" s="7" t="n">
        <v>2</v>
      </c>
      <c r="B3" s="7" t="inlineStr">
        <is>
          <t>32024R1689</t>
        </is>
      </c>
      <c r="C3" s="7" t="inlineStr">
        <is>
          <t>32024R1689:73:1:1</t>
        </is>
      </c>
      <c r="D3" s="7" t="inlineStr">
        <is>
          <t>Aanbieders van in de Unie in de handel gebrachte AI-systemen met een hoog risico</t>
        </is>
      </c>
      <c r="E3" s="7" t="inlineStr">
        <is>
          <t>Aanbieders van in de Unie in de handel gebrachte AI-systemen met een hoog risico</t>
        </is>
      </c>
      <c r="F3" s="7" t="inlineStr"/>
      <c r="G3" s="7" t="inlineStr">
        <is>
          <t>shortened</t>
        </is>
      </c>
      <c r="H3" s="7" t="inlineStr">
        <is>
          <t>32024R1689:aanbieder</t>
        </is>
      </c>
      <c r="I3" s="7" t="inlineStr">
        <is>
          <t>aanbieder</t>
        </is>
      </c>
      <c r="J3" s="7" t="inlineStr"/>
      <c r="K3" s="8" t="n"/>
      <c r="L3" s="8" t="n"/>
      <c r="M3" s="8" t="n"/>
    </row>
    <row r="4">
      <c r="A4" s="7" t="n">
        <v>3</v>
      </c>
      <c r="B4" s="7" t="inlineStr">
        <is>
          <t>32016R0679</t>
        </is>
      </c>
      <c r="C4" s="7" t="inlineStr">
        <is>
          <t>32016R0679:28:4:5</t>
        </is>
      </c>
      <c r="D4" s="7" t="inlineStr">
        <is>
          <t>de eerste verwerker</t>
        </is>
      </c>
      <c r="E4" s="7" t="inlineStr">
        <is>
          <t>eerste verwerker</t>
        </is>
      </c>
      <c r="F4" s="7" t="inlineStr"/>
      <c r="G4" s="7" t="inlineStr">
        <is>
          <t>shortened</t>
        </is>
      </c>
      <c r="H4" s="7" t="inlineStr">
        <is>
          <t>32016R0679:verwerker</t>
        </is>
      </c>
      <c r="I4" s="7" t="inlineStr">
        <is>
          <t>verwerker</t>
        </is>
      </c>
      <c r="J4" s="7" t="inlineStr"/>
      <c r="K4" s="8" t="n"/>
      <c r="L4" s="8" t="n"/>
      <c r="M4" s="8" t="n"/>
    </row>
    <row r="5">
      <c r="A5" s="7" t="n">
        <v>4</v>
      </c>
      <c r="B5" s="7" t="inlineStr">
        <is>
          <t>32016R0679</t>
        </is>
      </c>
      <c r="C5" s="7" t="inlineStr">
        <is>
          <t>32016R0679:32:4:3</t>
        </is>
      </c>
      <c r="D5" s="7" t="inlineStr">
        <is>
          <t>iedere natuurlijke persoon die handelt onder het gezag van de verwerkingsverantwoordelijke of van de verwerker en toegang heeft tot persoonsgegevens</t>
        </is>
      </c>
      <c r="E5" s="7" t="inlineStr">
        <is>
          <t>natuurlijke persoon</t>
        </is>
      </c>
      <c r="F5" s="7" t="inlineStr"/>
      <c r="G5" s="7" t="inlineStr">
        <is>
          <t>fallback</t>
        </is>
      </c>
      <c r="H5" s="7" t="inlineStr"/>
      <c r="I5" s="7" t="inlineStr"/>
      <c r="J5" s="7" t="inlineStr">
        <is>
          <t>person</t>
        </is>
      </c>
      <c r="K5" s="8" t="n"/>
      <c r="L5" s="8" t="n"/>
      <c r="M5" s="8" t="n"/>
    </row>
    <row r="6">
      <c r="A6" s="7" t="n">
        <v>5</v>
      </c>
      <c r="B6" s="7" t="inlineStr">
        <is>
          <t>32024R1689</t>
        </is>
      </c>
      <c r="C6" s="7" t="inlineStr">
        <is>
          <t>32024R1689:37:4:7</t>
        </is>
      </c>
      <c r="D6" s="7" t="inlineStr">
        <is>
          <t>de aanmeldende lidstaat</t>
        </is>
      </c>
      <c r="E6" s="7" t="inlineStr">
        <is>
          <t>aanmeldende lidstaat</t>
        </is>
      </c>
      <c r="F6" s="7" t="inlineStr"/>
      <c r="G6" s="7" t="inlineStr">
        <is>
          <t>shortened</t>
        </is>
      </c>
      <c r="H6" s="7" t="inlineStr">
        <is>
          <t>KEY:EU:lidstaat</t>
        </is>
      </c>
      <c r="I6" s="7" t="inlineStr">
        <is>
          <t>lidstaat</t>
        </is>
      </c>
      <c r="J6" s="7" t="inlineStr"/>
      <c r="K6" s="8" t="n"/>
      <c r="L6" s="8" t="n"/>
      <c r="M6" s="8" t="n"/>
    </row>
    <row r="7">
      <c r="A7" s="7" t="n">
        <v>6</v>
      </c>
      <c r="B7" s="7" t="inlineStr">
        <is>
          <t>32016R0679</t>
        </is>
      </c>
      <c r="C7" s="7" t="inlineStr">
        <is>
          <t>32016R0679:75:3:2</t>
        </is>
      </c>
      <c r="D7" s="7" t="inlineStr">
        <is>
          <t>De personeelsleden van de Europese Toezichthouder voor gegevensbescherming die betrokken zijn bij de uitvoering van de krachtens deze verordening aan het Comité opgedragen taken</t>
        </is>
      </c>
      <c r="E7" s="7" t="inlineStr">
        <is>
          <t>personeelsleden van de Europese Toezichthouder voor gegevensbescherming</t>
        </is>
      </c>
      <c r="F7" s="7" t="inlineStr"/>
      <c r="G7" s="7" t="inlineStr">
        <is>
          <t>fallback</t>
        </is>
      </c>
      <c r="H7" s="7" t="inlineStr"/>
      <c r="I7" s="7" t="inlineStr"/>
      <c r="J7" s="7" t="inlineStr">
        <is>
          <t>office</t>
        </is>
      </c>
      <c r="K7" s="8" t="n"/>
      <c r="L7" s="8" t="n"/>
      <c r="M7" s="8" t="n"/>
    </row>
    <row r="8">
      <c r="A8" s="7" t="n">
        <v>7</v>
      </c>
      <c r="B8" s="7" t="inlineStr">
        <is>
          <t>32024R1689</t>
        </is>
      </c>
      <c r="C8" s="7" t="inlineStr">
        <is>
          <t>32024R1689:10:3:3</t>
        </is>
      </c>
      <c r="D8" s="7" t="inlineStr">
        <is>
          <t>Datasets voor training, validatie en tests</t>
        </is>
      </c>
      <c r="E8" s="7" t="inlineStr">
        <is>
          <t>Datasets voor training, validatie en tests</t>
        </is>
      </c>
      <c r="F8" s="7" t="inlineStr"/>
      <c r="G8" s="7" t="inlineStr">
        <is>
          <t>not_actor</t>
        </is>
      </c>
      <c r="H8" s="7" t="inlineStr"/>
      <c r="I8" s="7" t="inlineStr"/>
      <c r="J8" s="7" t="inlineStr"/>
      <c r="K8" s="8" t="n"/>
      <c r="L8" s="8" t="n"/>
      <c r="M8" s="8" t="n"/>
    </row>
    <row r="9">
      <c r="A9" s="7" t="n">
        <v>8</v>
      </c>
      <c r="B9" s="7" t="inlineStr">
        <is>
          <t>32024R1689</t>
        </is>
      </c>
      <c r="C9" s="7" t="inlineStr">
        <is>
          <t>32024R1689:56:5:5</t>
        </is>
      </c>
      <c r="D9" s="7" t="inlineStr">
        <is>
          <t>De kernprestatie-indicatoren en rapportageverplichtingen</t>
        </is>
      </c>
      <c r="E9" s="7" t="inlineStr">
        <is>
          <t>rapportageverplichtingen</t>
        </is>
      </c>
      <c r="F9" s="7" t="inlineStr"/>
      <c r="G9" s="7" t="inlineStr">
        <is>
          <t>not_actor</t>
        </is>
      </c>
      <c r="H9" s="7" t="inlineStr"/>
      <c r="I9" s="7" t="inlineStr"/>
      <c r="J9" s="7" t="inlineStr"/>
      <c r="K9" s="8" t="n"/>
      <c r="L9" s="8" t="n"/>
      <c r="M9" s="8" t="n"/>
    </row>
    <row r="10">
      <c r="A10" s="7" t="n">
        <v>9</v>
      </c>
      <c r="B10" s="7" t="inlineStr">
        <is>
          <t>32016R0679</t>
        </is>
      </c>
      <c r="C10" s="7" t="inlineStr">
        <is>
          <t>32016R0679:45:5:4</t>
        </is>
      </c>
      <c r="D10" s="7" t="inlineStr">
        <is>
          <t>De Commissie</t>
        </is>
      </c>
      <c r="E10" s="7" t="inlineStr">
        <is>
          <t>Commissie</t>
        </is>
      </c>
      <c r="F10" s="7" t="inlineStr"/>
      <c r="G10" s="7" t="inlineStr">
        <is>
          <t>exact</t>
        </is>
      </c>
      <c r="H10" s="7" t="inlineStr">
        <is>
          <t>KEY:EU:commissie</t>
        </is>
      </c>
      <c r="I10" s="7" t="inlineStr">
        <is>
          <t>Commissie</t>
        </is>
      </c>
      <c r="J10" s="7" t="inlineStr"/>
      <c r="K10" s="8" t="n"/>
      <c r="L10" s="8" t="n"/>
      <c r="M10" s="8" t="n"/>
    </row>
    <row r="11">
      <c r="A11" s="7" t="n">
        <v>10</v>
      </c>
      <c r="B11" s="7" t="inlineStr">
        <is>
          <t>32024R1689</t>
        </is>
      </c>
      <c r="C11" s="7" t="inlineStr">
        <is>
          <t>32024R1689:67:6:4</t>
        </is>
      </c>
      <c r="D11" s="7" t="inlineStr">
        <is>
          <t>Het adviesforum</t>
        </is>
      </c>
      <c r="E11" s="7" t="inlineStr">
        <is>
          <t>adviesforum</t>
        </is>
      </c>
      <c r="F11" s="7" t="inlineStr"/>
      <c r="G11" s="7" t="inlineStr">
        <is>
          <t>exact</t>
        </is>
      </c>
      <c r="H11" s="7" t="inlineStr">
        <is>
          <t>KEY:32024R1689:adviesforum</t>
        </is>
      </c>
      <c r="I11" s="7" t="inlineStr">
        <is>
          <t>adviesforum</t>
        </is>
      </c>
      <c r="J11" s="7" t="inlineStr"/>
      <c r="K11" s="8" t="n"/>
      <c r="L11" s="8" t="n"/>
      <c r="M11" s="8" t="n"/>
    </row>
    <row r="12">
      <c r="A12" s="7" t="n">
        <v>11</v>
      </c>
      <c r="B12" s="7" t="inlineStr">
        <is>
          <t>32024R1689</t>
        </is>
      </c>
      <c r="C12" s="7" t="inlineStr">
        <is>
          <t>32024R1689:33:3:4</t>
        </is>
      </c>
      <c r="D12" s="7" t="inlineStr">
        <is>
          <t>een onderaannemer of dochteronderneming</t>
        </is>
      </c>
      <c r="E12" s="7" t="inlineStr">
        <is>
          <t>onderaannemer</t>
        </is>
      </c>
      <c r="F12" s="7" t="inlineStr"/>
      <c r="G12" s="7" t="inlineStr">
        <is>
          <t>fallback</t>
        </is>
      </c>
      <c r="H12" s="7" t="inlineStr"/>
      <c r="I12" s="7" t="inlineStr"/>
      <c r="J12" s="7" t="inlineStr">
        <is>
          <t>party</t>
        </is>
      </c>
      <c r="K12" s="8" t="n"/>
      <c r="L12" s="8" t="n"/>
      <c r="M12" s="8" t="n"/>
    </row>
    <row r="13">
      <c r="A13" s="7" t="n">
        <v>12</v>
      </c>
      <c r="B13" s="7" t="inlineStr">
        <is>
          <t>32016R0679</t>
        </is>
      </c>
      <c r="C13" s="7" t="inlineStr">
        <is>
          <t>32016R0679:73:2:3</t>
        </is>
      </c>
      <c r="D13" s="7" t="inlineStr">
        <is>
          <t>De ambtstermijn van de voorzitter en de vicevoorzitters</t>
        </is>
      </c>
      <c r="E13" s="7" t="inlineStr">
        <is>
          <t>ambtstermijn van de voorzitter</t>
        </is>
      </c>
      <c r="F13" s="7" t="inlineStr"/>
      <c r="G13" s="7" t="inlineStr">
        <is>
          <t>not_actor</t>
        </is>
      </c>
      <c r="H13" s="7" t="inlineStr"/>
      <c r="I13" s="7" t="inlineStr"/>
      <c r="J13" s="7" t="inlineStr"/>
      <c r="K13" s="8" t="n"/>
      <c r="L13" s="8" t="n"/>
      <c r="M13" s="8" t="n"/>
    </row>
    <row r="14">
      <c r="A14" s="7" t="n">
        <v>13</v>
      </c>
      <c r="B14" s="7" t="inlineStr">
        <is>
          <t>32016R0679</t>
        </is>
      </c>
      <c r="C14" s="7" t="inlineStr">
        <is>
          <t>32016R0679:64:4:6</t>
        </is>
      </c>
      <c r="D14" s="7" t="inlineStr">
        <is>
          <t>De toezichthoudende autoriteiten en de Commissie</t>
        </is>
      </c>
      <c r="E14" s="7" t="inlineStr">
        <is>
          <t>toezichthoudende autoriteiten en de Commissie</t>
        </is>
      </c>
      <c r="F14" s="7" t="inlineStr"/>
      <c r="G14" s="7" t="inlineStr">
        <is>
          <t>shortened</t>
        </is>
      </c>
      <c r="H14" s="7" t="inlineStr">
        <is>
          <t>KEY:EU:commissie</t>
        </is>
      </c>
      <c r="I14" s="7" t="inlineStr">
        <is>
          <t>Commissie</t>
        </is>
      </c>
      <c r="J14" s="7" t="inlineStr"/>
      <c r="K14" s="8" t="n"/>
      <c r="L14" s="8" t="n"/>
      <c r="M14" s="8" t="n"/>
    </row>
    <row r="15">
      <c r="A15" s="7" t="n">
        <v>14</v>
      </c>
      <c r="B15" s="7" t="inlineStr">
        <is>
          <t>32024R1689</t>
        </is>
      </c>
      <c r="C15" s="7" t="inlineStr">
        <is>
          <t>32024R1689:31:7:8</t>
        </is>
      </c>
      <c r="D15" s="7" t="inlineStr">
        <is>
          <t>hun personeel, comités, dochterondernemingen, onderaannemers, geassocieerde instanties of personeel van externe instanties</t>
        </is>
      </c>
      <c r="E15" s="7" t="inlineStr">
        <is>
          <t>geassocieerde instanties</t>
        </is>
      </c>
      <c r="F15" s="7" t="inlineStr"/>
      <c r="G15" s="7" t="inlineStr">
        <is>
          <t>fallback</t>
        </is>
      </c>
      <c r="H15" s="7" t="inlineStr"/>
      <c r="I15" s="7" t="inlineStr"/>
      <c r="J15" s="7" t="inlineStr">
        <is>
          <t>body</t>
        </is>
      </c>
      <c r="K15" s="8" t="n"/>
      <c r="L15" s="8" t="n"/>
      <c r="M15" s="8" t="n"/>
    </row>
    <row r="16">
      <c r="A16" s="7" t="n">
        <v>15</v>
      </c>
      <c r="B16" s="7" t="inlineStr">
        <is>
          <t>32024R1689</t>
        </is>
      </c>
      <c r="C16" s="7" t="inlineStr">
        <is>
          <t>32024R1689:45:1:1</t>
        </is>
      </c>
      <c r="D16" s="7" t="inlineStr">
        <is>
          <t>Aangemelde instanties</t>
        </is>
      </c>
      <c r="E16" s="7" t="inlineStr">
        <is>
          <t>Aangemelde instanties</t>
        </is>
      </c>
      <c r="F16" s="7" t="inlineStr"/>
      <c r="G16" s="7" t="inlineStr">
        <is>
          <t>exact</t>
        </is>
      </c>
      <c r="H16" s="7" t="inlineStr">
        <is>
          <t>32024R1689:aangemelde_instantie</t>
        </is>
      </c>
      <c r="I16" s="7" t="inlineStr">
        <is>
          <t>aangemelde instantie</t>
        </is>
      </c>
      <c r="J16" s="7" t="inlineStr"/>
      <c r="K16" s="8" t="n"/>
      <c r="L16" s="8" t="n"/>
      <c r="M16" s="8" t="n"/>
    </row>
    <row r="17">
      <c r="A17" s="7" t="n">
        <v>16</v>
      </c>
      <c r="B17" s="7" t="inlineStr">
        <is>
          <t>32024R1689</t>
        </is>
      </c>
      <c r="C17" s="7" t="inlineStr">
        <is>
          <t>32024R1689:72:3:2</t>
        </is>
      </c>
      <c r="D17" s="7" t="inlineStr">
        <is>
          <t>Het plan voor monitoring na het in de handel brengen</t>
        </is>
      </c>
      <c r="E17" s="7" t="inlineStr">
        <is>
          <t>plan voor monitoring na het in de handel brengen</t>
        </is>
      </c>
      <c r="F17" s="7" t="inlineStr"/>
      <c r="G17" s="7" t="inlineStr">
        <is>
          <t>not_actor</t>
        </is>
      </c>
      <c r="H17" s="7" t="inlineStr"/>
      <c r="I17" s="7" t="inlineStr"/>
      <c r="J17" s="7" t="inlineStr"/>
      <c r="K17" s="8" t="n"/>
      <c r="L17" s="8" t="n"/>
      <c r="M17" s="8" t="n"/>
    </row>
    <row r="18">
      <c r="A18" s="7" t="n">
        <v>17</v>
      </c>
      <c r="B18" s="7" t="inlineStr">
        <is>
          <t>32024R1689</t>
        </is>
      </c>
      <c r="C18" s="7" t="inlineStr">
        <is>
          <t>32024R1689:5:6:15</t>
        </is>
      </c>
      <c r="D18" s="7" t="inlineStr">
        <is>
          <t>Nationale markttoezichtautoriteiten en nationale gegevensbeschermingsautoriteiten van lidstaten die op grond van lid 4 in kennis zijn gesteld van het gebruik van systemen voor biometrische identificatie op afstand in real time in openbare ruimten met het oog op de rechtshandhaving</t>
        </is>
      </c>
      <c r="E18" s="7" t="inlineStr">
        <is>
          <t>nationale gegevensbeschermingsautoriteiten van lidstaten</t>
        </is>
      </c>
      <c r="F18" s="7" t="inlineStr"/>
      <c r="G18" s="7" t="inlineStr">
        <is>
          <t>shortened</t>
        </is>
      </c>
      <c r="H18" s="7" t="inlineStr">
        <is>
          <t>KEY:32024R1689:gegevensbeschermingsautoriteit</t>
        </is>
      </c>
      <c r="I18" s="7" t="inlineStr">
        <is>
          <t>gegevensbeschermingsautoriteit</t>
        </is>
      </c>
      <c r="J18" s="7" t="inlineStr"/>
      <c r="K18" s="8" t="n"/>
      <c r="L18" s="8" t="n"/>
      <c r="M18" s="8" t="n"/>
    </row>
    <row r="19">
      <c r="A19" s="7" t="n">
        <v>18</v>
      </c>
      <c r="B19" s="7" t="inlineStr">
        <is>
          <t>32016R0679</t>
        </is>
      </c>
      <c r="C19" s="7" t="inlineStr">
        <is>
          <t>32016R0679:68:6:7</t>
        </is>
      </c>
      <c r="D19" s="7" t="inlineStr">
        <is>
          <t>de Europese Toezichthouder voor gegevensbescherming</t>
        </is>
      </c>
      <c r="E19" s="7" t="inlineStr">
        <is>
          <t>Europese Toezichthouder voor gegevensbescherming</t>
        </is>
      </c>
      <c r="F19" s="7" t="inlineStr"/>
      <c r="G19" s="7" t="inlineStr">
        <is>
          <t>exact</t>
        </is>
      </c>
      <c r="H19" s="7" t="inlineStr">
        <is>
          <t>KEY:EU:europese_toezichthouder_voor_gegevensbescherming</t>
        </is>
      </c>
      <c r="I19" s="7" t="inlineStr">
        <is>
          <t>Europese Toezichthouder voor gegevensbescherming</t>
        </is>
      </c>
      <c r="J19" s="7" t="inlineStr"/>
      <c r="K19" s="8" t="n"/>
      <c r="L19" s="8" t="n"/>
      <c r="M19" s="8" t="n"/>
    </row>
    <row r="20">
      <c r="A20" s="7" t="n">
        <v>19</v>
      </c>
      <c r="B20" s="7" t="inlineStr">
        <is>
          <t>32016R0679</t>
        </is>
      </c>
      <c r="C20" s="7" t="inlineStr">
        <is>
          <t>32016R0679:39:1:8</t>
        </is>
      </c>
      <c r="D20" s="7" t="inlineStr">
        <is>
          <t>de functionaris voor gegevensbescherming</t>
        </is>
      </c>
      <c r="E20" s="7" t="inlineStr">
        <is>
          <t>functionaris voor gegevensbescherming</t>
        </is>
      </c>
      <c r="F20" s="7" t="inlineStr"/>
      <c r="G20" s="7" t="inlineStr">
        <is>
          <t>exact</t>
        </is>
      </c>
      <c r="H20" s="7" t="inlineStr">
        <is>
          <t>KEY:32016R0679:functionaris_voor_gegevensbescherming</t>
        </is>
      </c>
      <c r="I20" s="7" t="inlineStr">
        <is>
          <t>functionaris voor gegevensbescherming</t>
        </is>
      </c>
      <c r="J20" s="7" t="inlineStr"/>
      <c r="K20" s="8" t="n"/>
      <c r="L20" s="8" t="n"/>
      <c r="M20" s="8" t="n"/>
    </row>
    <row r="21">
      <c r="A21" s="7" t="n">
        <v>20</v>
      </c>
      <c r="B21" s="7" t="inlineStr">
        <is>
          <t>32016R0679</t>
        </is>
      </c>
      <c r="C21" s="7" t="inlineStr">
        <is>
          <t>32016R0679:76:1:1</t>
        </is>
      </c>
      <c r="D21" s="7" t="inlineStr">
        <is>
          <t>het comité</t>
        </is>
      </c>
      <c r="E21" s="7" t="inlineStr">
        <is>
          <t>comité</t>
        </is>
      </c>
      <c r="F21" s="7" t="inlineStr"/>
      <c r="G21" s="7" t="inlineStr">
        <is>
          <t>exact</t>
        </is>
      </c>
      <c r="H21" s="7" t="inlineStr">
        <is>
          <t>KEY:32016R0679:comite</t>
        </is>
      </c>
      <c r="I21" s="7" t="inlineStr">
        <is>
          <t>Comité</t>
        </is>
      </c>
      <c r="J21" s="7" t="inlineStr"/>
      <c r="K21" s="8" t="n"/>
      <c r="L21" s="8" t="n"/>
      <c r="M21" s="8" t="n"/>
    </row>
    <row r="22">
      <c r="A22" s="7" t="n">
        <v>21</v>
      </c>
      <c r="B22" s="7" t="inlineStr">
        <is>
          <t>32016R0679</t>
        </is>
      </c>
      <c r="C22" s="7" t="inlineStr">
        <is>
          <t>32016R0679:42:7:7</t>
        </is>
      </c>
      <c r="D22" s="7" t="inlineStr">
        <is>
          <t>de in artikel 43 bedoelde certificerende organen of door de bevoegde toezichthoudende autoriteit</t>
        </is>
      </c>
      <c r="E22" s="7" t="inlineStr">
        <is>
          <t>certificerende organen</t>
        </is>
      </c>
      <c r="F22" s="7" t="inlineStr"/>
      <c r="G22" s="7" t="inlineStr">
        <is>
          <t>fallback</t>
        </is>
      </c>
      <c r="H22" s="7" t="inlineStr"/>
      <c r="I22" s="7" t="inlineStr"/>
      <c r="J22" s="7" t="inlineStr">
        <is>
          <t>body</t>
        </is>
      </c>
      <c r="K22" s="8" t="n"/>
      <c r="L22" s="8" t="n"/>
      <c r="M22" s="8" t="n"/>
    </row>
    <row r="23">
      <c r="A23" s="7" t="n">
        <v>22</v>
      </c>
      <c r="B23" s="7" t="inlineStr">
        <is>
          <t>32024R1689</t>
        </is>
      </c>
      <c r="C23" s="7" t="inlineStr">
        <is>
          <t>32024R1689:22:1:1</t>
        </is>
      </c>
      <c r="D23" s="7" t="inlineStr">
        <is>
          <t>Aanbieders die in derde landen zijn gevestigd</t>
        </is>
      </c>
      <c r="E23" s="7" t="inlineStr">
        <is>
          <t>Aanbieders</t>
        </is>
      </c>
      <c r="F23" s="7" t="inlineStr"/>
      <c r="G23" s="7" t="inlineStr">
        <is>
          <t>exact</t>
        </is>
      </c>
      <c r="H23" s="7" t="inlineStr">
        <is>
          <t>32024R1689:aanbieder</t>
        </is>
      </c>
      <c r="I23" s="7" t="inlineStr">
        <is>
          <t>aanbieder</t>
        </is>
      </c>
      <c r="J23" s="7" t="inlineStr"/>
      <c r="K23" s="8" t="n"/>
      <c r="L23" s="8" t="n"/>
      <c r="M23" s="8" t="n"/>
    </row>
    <row r="24">
      <c r="A24" s="7" t="n">
        <v>23</v>
      </c>
      <c r="B24" s="7" t="inlineStr">
        <is>
          <t>32024R1689</t>
        </is>
      </c>
      <c r="C24" s="7" t="inlineStr">
        <is>
          <t>32024R1689:74:6:5</t>
        </is>
      </c>
      <c r="D24" s="7" t="inlineStr">
        <is>
          <t>de relevante nationale autoriteit die verantwoordelijk is voor het financiële toezicht op die instellingen krachtens die wetgeving</t>
        </is>
      </c>
      <c r="E24" s="7" t="inlineStr">
        <is>
          <t>relevante nationale autoriteit</t>
        </is>
      </c>
      <c r="F24" s="7" t="inlineStr"/>
      <c r="G24" s="7" t="inlineStr">
        <is>
          <t>fallback</t>
        </is>
      </c>
      <c r="H24" s="7" t="inlineStr"/>
      <c r="I24" s="7" t="inlineStr"/>
      <c r="J24" s="7" t="inlineStr">
        <is>
          <t>authority</t>
        </is>
      </c>
      <c r="K24" s="8" t="n"/>
      <c r="L24" s="8" t="n"/>
      <c r="M24" s="8" t="n"/>
    </row>
    <row r="25">
      <c r="A25" s="7" t="n">
        <v>24</v>
      </c>
      <c r="B25" s="7" t="inlineStr">
        <is>
          <t>32024R1689</t>
        </is>
      </c>
      <c r="C25" s="7" t="inlineStr">
        <is>
          <t>32024R1689:54:5:5</t>
        </is>
      </c>
      <c r="D25" s="7" t="inlineStr">
        <is>
          <t>De gemachtigde</t>
        </is>
      </c>
      <c r="E25" s="7" t="inlineStr">
        <is>
          <t>gemachtigde</t>
        </is>
      </c>
      <c r="F25" s="7" t="inlineStr"/>
      <c r="G25" s="7" t="inlineStr">
        <is>
          <t>exact</t>
        </is>
      </c>
      <c r="H25" s="7" t="inlineStr">
        <is>
          <t>32024R1689:gemachtigde</t>
        </is>
      </c>
      <c r="I25" s="7" t="inlineStr">
        <is>
          <t>gemachtigde</t>
        </is>
      </c>
      <c r="J25" s="7" t="inlineStr"/>
      <c r="K25" s="8" t="n"/>
      <c r="L25" s="8" t="n"/>
      <c r="M25" s="8" t="n"/>
    </row>
    <row r="26">
      <c r="A26" s="7" t="n">
        <v>25</v>
      </c>
      <c r="B26" s="7" t="inlineStr">
        <is>
          <t>32024R1689</t>
        </is>
      </c>
      <c r="C26" s="7" t="inlineStr">
        <is>
          <t>32024R1689:24:5:11</t>
        </is>
      </c>
      <c r="D26" s="7" t="inlineStr">
        <is>
          <t>distributeurs van een AI-systeem met een hoog risico</t>
        </is>
      </c>
      <c r="E26" s="7" t="inlineStr">
        <is>
          <t>distributeurs van een AI-systeem met een hoog risico</t>
        </is>
      </c>
      <c r="F26" s="7" t="inlineStr"/>
      <c r="G26" s="7" t="inlineStr">
        <is>
          <t>shortened</t>
        </is>
      </c>
      <c r="H26" s="7" t="inlineStr">
        <is>
          <t>32024R1689:distributeur</t>
        </is>
      </c>
      <c r="I26" s="7" t="inlineStr">
        <is>
          <t>distributeur</t>
        </is>
      </c>
      <c r="J26" s="7" t="inlineStr"/>
      <c r="K26" s="8" t="n"/>
      <c r="L26" s="8" t="n"/>
      <c r="M26" s="8" t="n"/>
    </row>
    <row r="27">
      <c r="A27" s="7" t="n">
        <v>26</v>
      </c>
      <c r="B27" s="7" t="inlineStr">
        <is>
          <t>32016R0679</t>
        </is>
      </c>
      <c r="C27" s="7" t="inlineStr">
        <is>
          <t>32016R0679:33:5:6</t>
        </is>
      </c>
      <c r="D27" s="7" t="inlineStr">
        <is>
          <t>Die documentatie</t>
        </is>
      </c>
      <c r="E27" s="7" t="inlineStr">
        <is>
          <t>documentatie</t>
        </is>
      </c>
      <c r="F27" s="7" t="inlineStr"/>
      <c r="G27" s="7" t="inlineStr">
        <is>
          <t>not_actor</t>
        </is>
      </c>
      <c r="H27" s="7" t="inlineStr"/>
      <c r="I27" s="7" t="inlineStr"/>
      <c r="J27" s="7" t="inlineStr"/>
      <c r="K27" s="8" t="n"/>
      <c r="L27" s="8" t="n"/>
      <c r="M27" s="8" t="n"/>
    </row>
    <row r="28">
      <c r="A28" s="7" t="n">
        <v>27</v>
      </c>
      <c r="B28" s="7" t="inlineStr">
        <is>
          <t>32016R0679</t>
        </is>
      </c>
      <c r="C28" s="7" t="inlineStr">
        <is>
          <t>32016R0679:91:1:1</t>
        </is>
      </c>
      <c r="D28" s="7" t="inlineStr">
        <is>
          <t>kerken en religieuze verenigingen of gemeenschappen</t>
        </is>
      </c>
      <c r="E28" s="7" t="inlineStr">
        <is>
          <t>kerken</t>
        </is>
      </c>
      <c r="F28" s="7" t="inlineStr"/>
      <c r="G28" s="7" t="inlineStr">
        <is>
          <t>fallback</t>
        </is>
      </c>
      <c r="H28" s="7" t="inlineStr"/>
      <c r="I28" s="7" t="inlineStr"/>
      <c r="J28" s="7" t="inlineStr">
        <is>
          <t>party</t>
        </is>
      </c>
      <c r="K28" s="8" t="n"/>
      <c r="L28" s="8" t="n"/>
      <c r="M28" s="8" t="n"/>
    </row>
    <row r="29">
      <c r="A29" s="7" t="n">
        <v>28</v>
      </c>
      <c r="B29" s="7" t="inlineStr">
        <is>
          <t>32016R0679</t>
        </is>
      </c>
      <c r="C29" s="7" t="inlineStr">
        <is>
          <t>32016R0679:43:4:3</t>
        </is>
      </c>
      <c r="D29" s="7" t="inlineStr">
        <is>
          <t>De in lid 1 bedoelde certificeringsorganen</t>
        </is>
      </c>
      <c r="E29" s="7" t="inlineStr">
        <is>
          <t>certificeringsorganen</t>
        </is>
      </c>
      <c r="F29" s="7" t="inlineStr"/>
      <c r="G29" s="7" t="inlineStr">
        <is>
          <t>exact</t>
        </is>
      </c>
      <c r="H29" s="7" t="inlineStr">
        <is>
          <t>KEY:32016R0679:certificeringsorgaan</t>
        </is>
      </c>
      <c r="I29" s="7" t="inlineStr">
        <is>
          <t>certificeringsorgaan</t>
        </is>
      </c>
      <c r="J29" s="7" t="inlineStr"/>
      <c r="K29" s="8" t="n"/>
      <c r="L29" s="8" t="n"/>
      <c r="M29" s="8" t="n"/>
    </row>
    <row r="30">
      <c r="A30" s="7" t="n">
        <v>29</v>
      </c>
      <c r="B30" s="7" t="inlineStr">
        <is>
          <t>32024R1689</t>
        </is>
      </c>
      <c r="C30" s="7" t="inlineStr">
        <is>
          <t>32024R1689:99:1:3</t>
        </is>
      </c>
      <c r="D30" s="7" t="inlineStr">
        <is>
          <t>de sancties</t>
        </is>
      </c>
      <c r="E30" s="7" t="inlineStr">
        <is>
          <t>sancties</t>
        </is>
      </c>
      <c r="F30" s="7" t="inlineStr"/>
      <c r="G30" s="7" t="inlineStr">
        <is>
          <t>not_actor</t>
        </is>
      </c>
      <c r="H30" s="7" t="inlineStr"/>
      <c r="I30" s="7" t="inlineStr"/>
      <c r="J30" s="7" t="inlineStr"/>
      <c r="K30" s="8" t="n"/>
      <c r="L30" s="8" t="n"/>
      <c r="M30" s="8" t="n"/>
    </row>
    <row r="31">
      <c r="A31" s="7" t="n">
        <v>30</v>
      </c>
      <c r="B31" s="7" t="inlineStr">
        <is>
          <t>32016R0679</t>
        </is>
      </c>
      <c r="C31" s="7" t="inlineStr">
        <is>
          <t>32016R0679:92:3:3</t>
        </is>
      </c>
      <c r="D31" s="7" t="inlineStr">
        <is>
          <t>Het Europees Parlement of de Raad</t>
        </is>
      </c>
      <c r="E31" s="7" t="inlineStr">
        <is>
          <t>Raad</t>
        </is>
      </c>
      <c r="F31" s="7" t="inlineStr"/>
      <c r="G31" s="7" t="inlineStr">
        <is>
          <t>exact</t>
        </is>
      </c>
      <c r="H31" s="7" t="inlineStr">
        <is>
          <t>KEY:EU:raad</t>
        </is>
      </c>
      <c r="I31" s="7" t="inlineStr">
        <is>
          <t>Raad</t>
        </is>
      </c>
      <c r="J31" s="7" t="inlineStr"/>
      <c r="K31" s="8" t="n"/>
      <c r="L31" s="8" t="n"/>
      <c r="M31" s="8" t="n"/>
    </row>
    <row r="32">
      <c r="A32" s="7" t="n">
        <v>31</v>
      </c>
      <c r="B32" s="7" t="inlineStr">
        <is>
          <t>32016R0679</t>
        </is>
      </c>
      <c r="C32" s="7" t="inlineStr">
        <is>
          <t>32016R0679:62:5:9</t>
        </is>
      </c>
      <c r="D32" s="7" t="inlineStr">
        <is>
          <t>De lidstaat op het grondgebied waarvan de schade is veroorzaakt</t>
        </is>
      </c>
      <c r="E32" s="7" t="inlineStr">
        <is>
          <t>lidstaat op het grondgebied</t>
        </is>
      </c>
      <c r="F32" s="7" t="inlineStr"/>
      <c r="G32" s="7" t="inlineStr">
        <is>
          <t>shortened</t>
        </is>
      </c>
      <c r="H32" s="7" t="inlineStr">
        <is>
          <t>KEY:EU:lidstaat</t>
        </is>
      </c>
      <c r="I32" s="7" t="inlineStr">
        <is>
          <t>lidstaat</t>
        </is>
      </c>
      <c r="J32" s="7" t="inlineStr"/>
      <c r="K32" s="8" t="n"/>
      <c r="L32" s="8" t="n"/>
      <c r="M32" s="8" t="n"/>
    </row>
    <row r="33">
      <c r="A33" s="7" t="n">
        <v>32</v>
      </c>
      <c r="B33" s="7" t="inlineStr">
        <is>
          <t>32024R1689</t>
        </is>
      </c>
      <c r="C33" s="7" t="inlineStr">
        <is>
          <t>32024R1689:46:2:1</t>
        </is>
      </c>
      <c r="D33" s="7" t="inlineStr">
        <is>
          <t>rechtshandhavingsinstanties of civielebeschermingsautoriteiten</t>
        </is>
      </c>
      <c r="E33" s="7" t="inlineStr">
        <is>
          <t>civielebeschermingsautoriteiten</t>
        </is>
      </c>
      <c r="F33" s="7" t="inlineStr"/>
      <c r="G33" s="7" t="inlineStr">
        <is>
          <t>exact</t>
        </is>
      </c>
      <c r="H33" s="7" t="inlineStr">
        <is>
          <t>KEY:32024R1689:civielebeschermingsautoriteit</t>
        </is>
      </c>
      <c r="I33" s="7" t="inlineStr">
        <is>
          <t>civielebeschermingsautoriteit</t>
        </is>
      </c>
      <c r="J33" s="7" t="inlineStr"/>
      <c r="K33" s="8" t="n"/>
      <c r="L33" s="8" t="n"/>
      <c r="M33" s="8" t="n"/>
    </row>
    <row r="34">
      <c r="A34" s="7" t="n">
        <v>33</v>
      </c>
      <c r="B34" s="7" t="inlineStr">
        <is>
          <t>32024R1689</t>
        </is>
      </c>
      <c r="C34" s="7" t="inlineStr">
        <is>
          <t>32024R1689:36:3:5</t>
        </is>
      </c>
      <c r="D34" s="7" t="inlineStr">
        <is>
          <t>Die laatste aangemelde instantie</t>
        </is>
      </c>
      <c r="E34" s="7" t="inlineStr">
        <is>
          <t>laatste aangemelde instantie</t>
        </is>
      </c>
      <c r="F34" s="7" t="inlineStr"/>
      <c r="G34" s="7" t="inlineStr">
        <is>
          <t>shortened</t>
        </is>
      </c>
      <c r="H34" s="7" t="inlineStr">
        <is>
          <t>32024R1689:aangemelde_instantie</t>
        </is>
      </c>
      <c r="I34" s="7" t="inlineStr">
        <is>
          <t>aangemelde instantie</t>
        </is>
      </c>
      <c r="J34" s="7" t="inlineStr"/>
      <c r="K34" s="8" t="n"/>
      <c r="L34" s="8" t="n"/>
      <c r="M34" s="8" t="n"/>
    </row>
    <row r="35">
      <c r="A35" s="7" t="n">
        <v>34</v>
      </c>
      <c r="B35" s="7" t="inlineStr">
        <is>
          <t>32024R1689</t>
        </is>
      </c>
      <c r="C35" s="7" t="inlineStr">
        <is>
          <t>32024R1689:28:7:12</t>
        </is>
      </c>
      <c r="D35" s="7" t="inlineStr">
        <is>
          <t>Bekwame personeelsleden</t>
        </is>
      </c>
      <c r="E35" s="7" t="inlineStr">
        <is>
          <t>Bekwame personeelsleden</t>
        </is>
      </c>
      <c r="F35" s="7" t="inlineStr"/>
      <c r="G35" s="7" t="inlineStr">
        <is>
          <t>fallback</t>
        </is>
      </c>
      <c r="H35" s="7" t="inlineStr"/>
      <c r="I35" s="7" t="inlineStr"/>
      <c r="J35" s="7" t="inlineStr">
        <is>
          <t>office</t>
        </is>
      </c>
      <c r="K35" s="8" t="n"/>
      <c r="L35" s="8" t="n"/>
      <c r="M35" s="8" t="n"/>
    </row>
    <row r="36">
      <c r="A36" s="7" t="n">
        <v>35</v>
      </c>
      <c r="B36" s="7" t="inlineStr">
        <is>
          <t>32016R0679</t>
        </is>
      </c>
      <c r="C36" s="7" t="inlineStr">
        <is>
          <t>32016R0679:75:6:4</t>
        </is>
      </c>
      <c r="D36" s="7" t="inlineStr">
        <is>
          <t>Het secretariaat</t>
        </is>
      </c>
      <c r="E36" s="7" t="inlineStr">
        <is>
          <t>secretariaat</t>
        </is>
      </c>
      <c r="F36" s="7" t="inlineStr"/>
      <c r="G36" s="7" t="inlineStr">
        <is>
          <t>exact</t>
        </is>
      </c>
      <c r="H36" s="7" t="inlineStr">
        <is>
          <t>KEY:32016R0679:secretariaat</t>
        </is>
      </c>
      <c r="I36" s="7" t="inlineStr">
        <is>
          <t>secretariaat</t>
        </is>
      </c>
      <c r="J36" s="7" t="inlineStr"/>
      <c r="K36" s="8" t="n"/>
      <c r="L36" s="8" t="n"/>
      <c r="M36" s="8" t="n"/>
    </row>
    <row r="37">
      <c r="A37" s="7" t="n">
        <v>36</v>
      </c>
      <c r="B37" s="7" t="inlineStr">
        <is>
          <t>32016R0679</t>
        </is>
      </c>
      <c r="C37" s="7" t="inlineStr">
        <is>
          <t>32016R0679:26:2:1</t>
        </is>
      </c>
      <c r="D37" s="7" t="inlineStr">
        <is>
          <t>de gezamenlijke verwerkingsverantwoordelijken</t>
        </is>
      </c>
      <c r="E37" s="7" t="inlineStr">
        <is>
          <t>gezamenlijke verwerkingsverantwoordelijken</t>
        </is>
      </c>
      <c r="F37" s="7" t="inlineStr"/>
      <c r="G37" s="7" t="inlineStr">
        <is>
          <t>shortened</t>
        </is>
      </c>
      <c r="H37" s="7" t="inlineStr">
        <is>
          <t>32016R0679:verwerkingsverantwoordelijke</t>
        </is>
      </c>
      <c r="I37" s="7" t="inlineStr">
        <is>
          <t>verwerkingsverantwoordelijke</t>
        </is>
      </c>
      <c r="J37" s="7" t="inlineStr"/>
      <c r="K37" s="8" t="n"/>
      <c r="L37" s="8" t="n"/>
      <c r="M37" s="8" t="n"/>
    </row>
    <row r="38">
      <c r="A38" s="7" t="n">
        <v>37</v>
      </c>
      <c r="B38" s="7" t="inlineStr">
        <is>
          <t>32024R1689</t>
        </is>
      </c>
      <c r="C38" s="7" t="inlineStr">
        <is>
          <t>32024R1689:65:6:5</t>
        </is>
      </c>
      <c r="D38" s="7" t="inlineStr">
        <is>
          <t>De permanente subgroep voor markttoezicht</t>
        </is>
      </c>
      <c r="E38" s="7" t="inlineStr">
        <is>
          <t>permanente subgroep voor markttoezicht</t>
        </is>
      </c>
      <c r="F38" s="7" t="inlineStr"/>
      <c r="G38" s="7" t="inlineStr">
        <is>
          <t>exact</t>
        </is>
      </c>
      <c r="H38" s="7" t="inlineStr">
        <is>
          <t>KEY:32024R1689:permanente_subgroep_voor_markttoezicht</t>
        </is>
      </c>
      <c r="I38" s="7" t="inlineStr">
        <is>
          <t>permanente subgroep voor markttoezicht</t>
        </is>
      </c>
      <c r="J38" s="7" t="inlineStr"/>
      <c r="K38" s="8" t="n"/>
      <c r="L38" s="8" t="n"/>
      <c r="M38" s="8" t="n"/>
    </row>
    <row r="39">
      <c r="A39" s="7" t="n">
        <v>38</v>
      </c>
      <c r="B39" s="7" t="inlineStr">
        <is>
          <t>32024R1689</t>
        </is>
      </c>
      <c r="C39" s="7" t="inlineStr">
        <is>
          <t>32024R1689:46:2:1</t>
        </is>
      </c>
      <c r="D39" s="7" t="inlineStr">
        <is>
          <t>rechtshandhavingsinstanties of civielebeschermingsautoriteiten</t>
        </is>
      </c>
      <c r="E39" s="7" t="inlineStr">
        <is>
          <t>rechtshandhavingsinstanties</t>
        </is>
      </c>
      <c r="F39" s="7" t="inlineStr"/>
      <c r="G39" s="7" t="inlineStr">
        <is>
          <t>exact</t>
        </is>
      </c>
      <c r="H39" s="7" t="inlineStr">
        <is>
          <t>32024R1689:rechtshandhavingsinstantie</t>
        </is>
      </c>
      <c r="I39" s="7" t="inlineStr">
        <is>
          <t>rechtshandhavingsinstantie</t>
        </is>
      </c>
      <c r="J39" s="7" t="inlineStr"/>
      <c r="K39" s="8" t="n"/>
      <c r="L39" s="8" t="n"/>
      <c r="M39" s="8" t="n"/>
    </row>
    <row r="40">
      <c r="A40" s="7" t="n">
        <v>39</v>
      </c>
      <c r="B40" s="7" t="inlineStr">
        <is>
          <t>32016R0679</t>
        </is>
      </c>
      <c r="C40" s="7" t="inlineStr">
        <is>
          <t>32016R0679:61:3:5</t>
        </is>
      </c>
      <c r="D40" s="7" t="inlineStr">
        <is>
          <t>Verzoeken om bijstand</t>
        </is>
      </c>
      <c r="E40" s="7" t="inlineStr">
        <is>
          <t>Verzoeken om bijstand</t>
        </is>
      </c>
      <c r="F40" s="7" t="inlineStr"/>
      <c r="G40" s="7" t="inlineStr">
        <is>
          <t>not_actor</t>
        </is>
      </c>
      <c r="H40" s="7" t="inlineStr"/>
      <c r="I40" s="7" t="inlineStr"/>
      <c r="J40" s="7" t="inlineStr"/>
      <c r="K40" s="8" t="n"/>
      <c r="L40" s="8" t="n"/>
      <c r="M40" s="8" t="n"/>
    </row>
    <row r="41">
      <c r="A41" s="7" t="n">
        <v>40</v>
      </c>
      <c r="B41" s="7" t="inlineStr">
        <is>
          <t>32016R0679</t>
        </is>
      </c>
      <c r="C41" s="7" t="inlineStr">
        <is>
          <t>32016R0679:91:1:1</t>
        </is>
      </c>
      <c r="D41" s="7" t="inlineStr">
        <is>
          <t>kerken en religieuze verenigingen of gemeenschappen</t>
        </is>
      </c>
      <c r="E41" s="7" t="inlineStr">
        <is>
          <t>religieuze verenigingen</t>
        </is>
      </c>
      <c r="F41" s="7" t="inlineStr"/>
      <c r="G41" s="7" t="inlineStr">
        <is>
          <t>shortened</t>
        </is>
      </c>
      <c r="H41" s="7" t="inlineStr">
        <is>
          <t>KEY:32016R0679:vereniging</t>
        </is>
      </c>
      <c r="I41" s="7" t="inlineStr">
        <is>
          <t>vereniging</t>
        </is>
      </c>
      <c r="J41" s="7" t="inlineStr"/>
      <c r="K41" s="8" t="n"/>
      <c r="L41" s="8" t="n"/>
      <c r="M41" s="8" t="n"/>
    </row>
  </sheetData>
  <autoFilter ref="A1:M41"/>
  <dataValidations count="2">
    <dataValidation sqref="K2:K41" showDropDown="0" showInputMessage="0" showErrorMessage="0" allowBlank="1" error="Choose yes, no or unsure." type="list">
      <formula1>"yes,no,unsure"</formula1>
    </dataValidation>
    <dataValidation sqref="L2:L41" showDropDown="0" showInputMessage="0" showErrorMessage="0" allowBlank="1" error="Choose an ID from the Inventory sheet." type="list">
      <formula1>=Inventory!$A$2:$A$92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Validation scores (update as the Review sheet is filled in)</t>
        </is>
      </c>
    </row>
    <row r="3">
      <c r="A3" s="4" t="inlineStr">
        <is>
          <t>stratum (system match)</t>
        </is>
      </c>
      <c r="B3" s="4" t="inlineStr">
        <is>
          <t>cases</t>
        </is>
      </c>
      <c r="C3" s="4" t="inlineStr">
        <is>
          <t>reviewed (yes+no)</t>
        </is>
      </c>
      <c r="D3" s="4" t="inlineStr">
        <is>
          <t>correct (yes)</t>
        </is>
      </c>
      <c r="E3" s="4" t="inlineStr">
        <is>
          <t>accuracy</t>
        </is>
      </c>
      <c r="F3" s="4" t="inlineStr">
        <is>
          <t>unsure</t>
        </is>
      </c>
      <c r="G3" s="4" t="inlineStr">
        <is>
          <t>share of all unit uses</t>
        </is>
      </c>
      <c r="H3" s="4" t="inlineStr">
        <is>
          <t>accuracy x share</t>
        </is>
      </c>
    </row>
    <row r="4">
      <c r="A4" s="10" t="inlineStr">
        <is>
          <t>exact</t>
        </is>
      </c>
      <c r="B4" s="10">
        <f>COUNTIF(Review!$G$2:$G$41,A4)</f>
        <v/>
      </c>
      <c r="C4" s="10">
        <f>COUNTIFS(Review!$G$2:$G$41,A4,Review!$K$2:$K$41,"yes")+COUNTIFS(Review!$G$2:$G$41,A4,Review!$K$2:$K$41,"no")</f>
        <v/>
      </c>
      <c r="D4" s="10">
        <f>COUNTIFS(Review!$G$2:$G$41,A4,Review!$K$2:$K$41,"yes")</f>
        <v/>
      </c>
      <c r="E4" s="11">
        <f>IF(C4=0,"",D4/C4)</f>
        <v/>
      </c>
      <c r="F4" s="10">
        <f>COUNTIFS(Review!$G$2:$G$41,A4,Review!$K$2:$K$41,"unsure")</f>
        <v/>
      </c>
      <c r="G4" s="12" t="n">
        <v>0.731</v>
      </c>
      <c r="H4" s="11">
        <f>IF(C4=0,"",E4*G4)</f>
        <v/>
      </c>
    </row>
    <row r="5">
      <c r="A5" s="10" t="inlineStr">
        <is>
          <t>shortened</t>
        </is>
      </c>
      <c r="B5" s="10">
        <f>COUNTIF(Review!$G$2:$G$41,A5)</f>
        <v/>
      </c>
      <c r="C5" s="10">
        <f>COUNTIFS(Review!$G$2:$G$41,A5,Review!$K$2:$K$41,"yes")+COUNTIFS(Review!$G$2:$G$41,A5,Review!$K$2:$K$41,"no")</f>
        <v/>
      </c>
      <c r="D5" s="10">
        <f>COUNTIFS(Review!$G$2:$G$41,A5,Review!$K$2:$K$41,"yes")</f>
        <v/>
      </c>
      <c r="E5" s="11">
        <f>IF(C5=0,"",D5/C5)</f>
        <v/>
      </c>
      <c r="F5" s="10">
        <f>COUNTIFS(Review!$G$2:$G$41,A5,Review!$K$2:$K$41,"unsure")</f>
        <v/>
      </c>
      <c r="G5" s="12" t="n">
        <v>0.0953</v>
      </c>
      <c r="H5" s="11">
        <f>IF(C5=0,"",E5*G5)</f>
        <v/>
      </c>
    </row>
    <row r="6">
      <c r="A6" s="10" t="inlineStr">
        <is>
          <t>fallback</t>
        </is>
      </c>
      <c r="B6" s="10">
        <f>COUNTIF(Review!$G$2:$G$41,A6)</f>
        <v/>
      </c>
      <c r="C6" s="10">
        <f>COUNTIFS(Review!$G$2:$G$41,A6,Review!$K$2:$K$41,"yes")+COUNTIFS(Review!$G$2:$G$41,A6,Review!$K$2:$K$41,"no")</f>
        <v/>
      </c>
      <c r="D6" s="10">
        <f>COUNTIFS(Review!$G$2:$G$41,A6,Review!$K$2:$K$41,"yes")</f>
        <v/>
      </c>
      <c r="E6" s="11">
        <f>IF(C6=0,"",D6/C6)</f>
        <v/>
      </c>
      <c r="F6" s="10">
        <f>COUNTIFS(Review!$G$2:$G$41,A6,Review!$K$2:$K$41,"unsure")</f>
        <v/>
      </c>
      <c r="G6" s="12" t="n">
        <v>0.0636</v>
      </c>
      <c r="H6" s="11">
        <f>IF(C6=0,"",E6*G6)</f>
        <v/>
      </c>
    </row>
    <row r="7">
      <c r="A7" s="10" t="inlineStr">
        <is>
          <t>not_actor</t>
        </is>
      </c>
      <c r="B7" s="10">
        <f>COUNTIF(Review!$G$2:$G$41,A7)</f>
        <v/>
      </c>
      <c r="C7" s="10">
        <f>COUNTIFS(Review!$G$2:$G$41,A7,Review!$K$2:$K$41,"yes")+COUNTIFS(Review!$G$2:$G$41,A7,Review!$K$2:$K$41,"no")</f>
        <v/>
      </c>
      <c r="D7" s="10">
        <f>COUNTIFS(Review!$G$2:$G$41,A7,Review!$K$2:$K$41,"yes")</f>
        <v/>
      </c>
      <c r="E7" s="11">
        <f>IF(C7=0,"",D7/C7)</f>
        <v/>
      </c>
      <c r="F7" s="10">
        <f>COUNTIFS(Review!$G$2:$G$41,A7,Review!$K$2:$K$41,"unsure")</f>
        <v/>
      </c>
      <c r="G7" s="12" t="n">
        <v>0.1101</v>
      </c>
      <c r="H7" s="11">
        <f>IF(C7=0,"",E7*G7)</f>
        <v/>
      </c>
    </row>
    <row r="8">
      <c r="A8" s="13" t="inlineStr">
        <is>
          <t>all (unweighted)</t>
        </is>
      </c>
      <c r="B8" s="10">
        <f>SUM(B4:B7)</f>
        <v/>
      </c>
      <c r="C8" s="10">
        <f>SUM(C4:C7)</f>
        <v/>
      </c>
      <c r="D8" s="10">
        <f>SUM(D4:D7)</f>
        <v/>
      </c>
      <c r="E8" s="11">
        <f>IF(C8=0,"",D8/C8)</f>
        <v/>
      </c>
      <c r="F8" s="10">
        <f>SUM(F4:F7)</f>
        <v/>
      </c>
      <c r="G8" s="11">
        <f>SUM(G4:G7)</f>
        <v/>
      </c>
      <c r="H8" s="11" t="n"/>
    </row>
    <row r="9">
      <c r="A9" s="13" t="inlineStr">
        <is>
          <t>all (weighted to real shares)</t>
        </is>
      </c>
      <c r="B9" s="10" t="n"/>
      <c r="C9" s="10" t="n"/>
      <c r="D9" s="10" t="n"/>
      <c r="E9" s="11">
        <f>IF(SUMIFS(G4:G7,C4:C7,"&gt;0")=0,"",SUMPRODUCT(E4:E7,G4:G7)/SUMIFS(G4:G7,C4:C7,"&gt;0"))</f>
        <v/>
      </c>
      <c r="F9" s="10" t="n"/>
      <c r="G9" s="10" t="n"/>
      <c r="H9" s="11" t="n"/>
    </row>
    <row r="10">
      <c r="A10" s="13" t="inlineStr">
        <is>
          <t>95% interval, unweighted (Wilson)</t>
        </is>
      </c>
      <c r="B10" s="10" t="n"/>
      <c r="C10" s="10" t="n"/>
      <c r="D10" s="10" t="n"/>
      <c r="E10" s="11">
        <f>IF(C8=0,"",(E8+1.96^2/(2*C8)-1.96*SQRT(E8*(1-E8)/C8+1.96^2/(4*C8^2)))/(1+1.96^2/C8))</f>
        <v/>
      </c>
      <c r="F10" s="11">
        <f>IF(C8=0,"",(E8+1.96^2/(2*C8)+1.96*SQRT(E8*(1-E8)/C8+1.96^2/(4*C8^2)))/(1+1.96^2/C8))</f>
        <v/>
      </c>
      <c r="G10" s="10" t="inlineStr">
        <is>
          <t>low / high</t>
        </is>
      </c>
      <c r="H10" s="11" t="n"/>
    </row>
    <row r="12">
      <c r="A12" s="13" t="inlineStr">
        <is>
          <t>Errors by kind</t>
        </is>
      </c>
    </row>
    <row r="13">
      <c r="A13" s="10" t="inlineStr">
        <is>
          <t>wrong actor ID (exact/shortened, answer is another ID)</t>
        </is>
      </c>
      <c r="B13" s="10">
        <f>COUNTIFS(Review!$G$2:$G$41,"exact",Review!$K$2:$K$41,"no",Review!$L$2:$L$41,"&lt;&gt;fallback",Review!$L$2:$L$41,"&lt;&gt;not_actor",Review!$L$2:$L$41,"&lt;&gt;")+COUNTIFS(Review!$G$2:$G$41,"shortened",Review!$K$2:$K$41,"no",Review!$L$2:$L$41,"&lt;&gt;fallback",Review!$L$2:$L$41,"&lt;&gt;not_actor",Review!$L$2:$L$41,"&lt;&gt;")</f>
        <v/>
      </c>
    </row>
    <row r="14">
      <c r="A14" s="10" t="inlineStr">
        <is>
          <t>ID given, but should be fallback</t>
        </is>
      </c>
      <c r="B14" s="10">
        <f>COUNTIFS(Review!$G$2:$G$41,"exact",Review!$K$2:$K$41,"no",Review!$L$2:$L$41,"fallback")+COUNTIFS(Review!$G$2:$G$41,"shortened",Review!$K$2:$K$41,"no",Review!$L$2:$L$41,"fallback")</f>
        <v/>
      </c>
    </row>
    <row r="15">
      <c r="A15" s="10" t="inlineStr">
        <is>
          <t>taken for an actor, but is not one</t>
        </is>
      </c>
      <c r="B15" s="10">
        <f>COUNTIFS(Review!$G$2:$G$41,"&lt;&gt;not_actor",Review!$K$2:$K$41,"no",Review!$L$2:$L$41,"not_actor")</f>
        <v/>
      </c>
    </row>
    <row r="16">
      <c r="A16" s="10" t="inlineStr">
        <is>
          <t>fallback, but an entry fits</t>
        </is>
      </c>
      <c r="B16" s="10">
        <f>COUNTIFS(Review!$G$2:$G$41,"fallback",Review!$K$2:$K$41,"no",Review!$L$2:$L$41,"&lt;&gt;not_actor",Review!$L$2:$L$41,"&lt;&gt;fallback",Review!$L$2:$L$41,"&lt;&gt;")</f>
        <v/>
      </c>
    </row>
    <row r="17">
      <c r="A17" s="10" t="inlineStr">
        <is>
          <t>not_actor, but is an actor (missed)</t>
        </is>
      </c>
      <c r="B17" s="10">
        <f>COUNTIFS(Review!$G$2:$G$41,"not_actor",Review!$K$2:$K$41,"no")</f>
        <v/>
      </c>
    </row>
    <row r="18">
      <c r="A18" s="10" t="inlineStr">
        <is>
          <t>'no' without a correct answer in column L</t>
        </is>
      </c>
      <c r="B18" s="10">
        <f>COUNTIFS(Review!$K$2:$K$41,"no",Review!$L$2:$L$41,"")</f>
        <v/>
      </c>
    </row>
    <row r="20">
      <c r="A20" s="13" t="inlineStr">
        <is>
          <t>By document</t>
        </is>
      </c>
    </row>
    <row r="21">
      <c r="A21" s="4" t="inlineStr">
        <is>
          <t>document</t>
        </is>
      </c>
      <c r="B21" s="4" t="inlineStr">
        <is>
          <t>cases</t>
        </is>
      </c>
      <c r="C21" s="4" t="inlineStr">
        <is>
          <t>reviewed (yes+no)</t>
        </is>
      </c>
      <c r="D21" s="4" t="inlineStr">
        <is>
          <t>correct (yes)</t>
        </is>
      </c>
      <c r="E21" s="4" t="inlineStr">
        <is>
          <t>accuracy</t>
        </is>
      </c>
    </row>
    <row r="22">
      <c r="A22" s="10" t="inlineStr">
        <is>
          <t>32016R0679</t>
        </is>
      </c>
      <c r="B22" s="10">
        <f>COUNTIF(Review!$B$2:$B$41,A22)</f>
        <v/>
      </c>
      <c r="C22" s="10">
        <f>COUNTIFS(Review!$B$2:$B$41,A22,Review!$K$2:$K$41,"yes")+COUNTIFS(Review!$B$2:$B$41,A22,Review!$K$2:$K$41,"no")</f>
        <v/>
      </c>
      <c r="D22" s="10">
        <f>COUNTIFS(Review!$B$2:$B$41,A22,Review!$K$2:$K$41,"yes")</f>
        <v/>
      </c>
      <c r="E22" s="11">
        <f>IF(C22=0,"",D22/C22)</f>
        <v/>
      </c>
    </row>
    <row r="23">
      <c r="A23" s="10" t="inlineStr">
        <is>
          <t>32024R1689</t>
        </is>
      </c>
      <c r="B23" s="10">
        <f>COUNTIF(Review!$B$2:$B$41,A23)</f>
        <v/>
      </c>
      <c r="C23" s="10">
        <f>COUNTIFS(Review!$B$2:$B$41,A23,Review!$K$2:$K$41,"yes")+COUNTIFS(Review!$B$2:$B$41,A23,Review!$K$2:$K$41,"no")</f>
        <v/>
      </c>
      <c r="D23" s="10">
        <f>COUNTIFS(Review!$B$2:$B$41,A23,Review!$K$2:$K$41,"yes")</f>
        <v/>
      </c>
      <c r="E23" s="11">
        <f>IF(C23=0,"",D23/C23)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40" customWidth="1" min="3" max="3"/>
    <col width="9" customWidth="1" min="4" max="4"/>
    <col width="34" customWidth="1" min="5" max="5"/>
    <col width="12" customWidth="1" min="6" max="6"/>
  </cols>
  <sheetData>
    <row r="1">
      <c r="A1" s="4" t="inlineStr">
        <is>
          <t>actor ID</t>
        </is>
      </c>
      <c r="B1" s="4" t="inlineStr">
        <is>
          <t>label</t>
        </is>
      </c>
      <c r="C1" s="4" t="inlineStr">
        <is>
          <t>aliases</t>
        </is>
      </c>
      <c r="D1" s="4" t="inlineStr">
        <is>
          <t>kind</t>
        </is>
      </c>
      <c r="E1" s="4" t="inlineStr">
        <is>
          <t>valid for</t>
        </is>
      </c>
      <c r="F1" s="4" t="inlineStr">
        <is>
          <t>class</t>
        </is>
      </c>
    </row>
    <row r="2">
      <c r="A2" s="10" t="inlineStr">
        <is>
          <t>32024R1689:aanbieder</t>
        </is>
      </c>
      <c r="B2" s="10" t="inlineStr">
        <is>
          <t>aanbieder</t>
        </is>
      </c>
      <c r="C2" s="10" t="inlineStr"/>
      <c r="D2" s="10" t="inlineStr">
        <is>
          <t>defined</t>
        </is>
      </c>
      <c r="E2" s="10" t="inlineStr">
        <is>
          <t>32024R1689</t>
        </is>
      </c>
      <c r="F2" s="10" t="inlineStr">
        <is>
          <t>party</t>
        </is>
      </c>
    </row>
    <row r="3">
      <c r="A3" s="10" t="inlineStr">
        <is>
          <t>32024R1689:gebruiksverantwoordelijke</t>
        </is>
      </c>
      <c r="B3" s="10" t="inlineStr">
        <is>
          <t>gebruiksverantwoordelijke</t>
        </is>
      </c>
      <c r="C3" s="10" t="inlineStr"/>
      <c r="D3" s="10" t="inlineStr">
        <is>
          <t>defined</t>
        </is>
      </c>
      <c r="E3" s="10" t="inlineStr">
        <is>
          <t>32024R1689</t>
        </is>
      </c>
      <c r="F3" s="10" t="inlineStr">
        <is>
          <t>party</t>
        </is>
      </c>
    </row>
    <row r="4">
      <c r="A4" s="10" t="inlineStr">
        <is>
          <t>32024R1689:gemachtigde</t>
        </is>
      </c>
      <c r="B4" s="10" t="inlineStr">
        <is>
          <t>gemachtigde</t>
        </is>
      </c>
      <c r="C4" s="10" t="inlineStr"/>
      <c r="D4" s="10" t="inlineStr">
        <is>
          <t>defined</t>
        </is>
      </c>
      <c r="E4" s="10" t="inlineStr">
        <is>
          <t>32024R1689</t>
        </is>
      </c>
      <c r="F4" s="10" t="inlineStr">
        <is>
          <t>party</t>
        </is>
      </c>
    </row>
    <row r="5">
      <c r="A5" s="10" t="inlineStr">
        <is>
          <t>32024R1689:importeur</t>
        </is>
      </c>
      <c r="B5" s="10" t="inlineStr">
        <is>
          <t>importeur</t>
        </is>
      </c>
      <c r="C5" s="10" t="inlineStr"/>
      <c r="D5" s="10" t="inlineStr">
        <is>
          <t>defined</t>
        </is>
      </c>
      <c r="E5" s="10" t="inlineStr">
        <is>
          <t>32024R1689</t>
        </is>
      </c>
      <c r="F5" s="10" t="inlineStr">
        <is>
          <t>party</t>
        </is>
      </c>
    </row>
    <row r="6">
      <c r="A6" s="10" t="inlineStr">
        <is>
          <t>32024R1689:distributeur</t>
        </is>
      </c>
      <c r="B6" s="10" t="inlineStr">
        <is>
          <t>distributeur</t>
        </is>
      </c>
      <c r="C6" s="10" t="inlineStr"/>
      <c r="D6" s="10" t="inlineStr">
        <is>
          <t>defined</t>
        </is>
      </c>
      <c r="E6" s="10" t="inlineStr">
        <is>
          <t>32024R1689</t>
        </is>
      </c>
      <c r="F6" s="10" t="inlineStr">
        <is>
          <t>party</t>
        </is>
      </c>
    </row>
    <row r="7">
      <c r="A7" s="10" t="inlineStr">
        <is>
          <t>32024R1689:operator</t>
        </is>
      </c>
      <c r="B7" s="10" t="inlineStr">
        <is>
          <t>operator</t>
        </is>
      </c>
      <c r="C7" s="10" t="inlineStr"/>
      <c r="D7" s="10" t="inlineStr">
        <is>
          <t>defined</t>
        </is>
      </c>
      <c r="E7" s="10" t="inlineStr">
        <is>
          <t>32024R1689</t>
        </is>
      </c>
      <c r="F7" s="10" t="inlineStr">
        <is>
          <t>party</t>
        </is>
      </c>
    </row>
    <row r="8">
      <c r="A8" s="10" t="inlineStr">
        <is>
          <t>32024R1689:aanmeldende_autoriteit</t>
        </is>
      </c>
      <c r="B8" s="10" t="inlineStr">
        <is>
          <t>aanmeldende autoriteit</t>
        </is>
      </c>
      <c r="C8" s="10" t="inlineStr"/>
      <c r="D8" s="10" t="inlineStr">
        <is>
          <t>defined</t>
        </is>
      </c>
      <c r="E8" s="10" t="inlineStr">
        <is>
          <t>32024R1689</t>
        </is>
      </c>
      <c r="F8" s="10" t="inlineStr">
        <is>
          <t>authority</t>
        </is>
      </c>
    </row>
    <row r="9">
      <c r="A9" s="10" t="inlineStr">
        <is>
          <t>32024R1689:conformiteitsbeoordelingsinstantie</t>
        </is>
      </c>
      <c r="B9" s="10" t="inlineStr">
        <is>
          <t>conformiteitsbeoordelingsinstantie</t>
        </is>
      </c>
      <c r="C9" s="10" t="inlineStr"/>
      <c r="D9" s="10" t="inlineStr">
        <is>
          <t>defined</t>
        </is>
      </c>
      <c r="E9" s="10" t="inlineStr">
        <is>
          <t>32024R1689</t>
        </is>
      </c>
      <c r="F9" s="10" t="inlineStr">
        <is>
          <t>body</t>
        </is>
      </c>
    </row>
    <row r="10">
      <c r="A10" s="10" t="inlineStr">
        <is>
          <t>32024R1689:aangemelde_instantie</t>
        </is>
      </c>
      <c r="B10" s="10" t="inlineStr">
        <is>
          <t>aangemelde instantie</t>
        </is>
      </c>
      <c r="C10" s="10" t="inlineStr"/>
      <c r="D10" s="10" t="inlineStr">
        <is>
          <t>defined</t>
        </is>
      </c>
      <c r="E10" s="10" t="inlineStr">
        <is>
          <t>32024R1689</t>
        </is>
      </c>
      <c r="F10" s="10" t="inlineStr">
        <is>
          <t>body</t>
        </is>
      </c>
    </row>
    <row r="11">
      <c r="A11" s="10" t="inlineStr">
        <is>
          <t>32024R1689:markttoezichtautoriteit</t>
        </is>
      </c>
      <c r="B11" s="10" t="inlineStr">
        <is>
          <t>markttoezichtautoriteit</t>
        </is>
      </c>
      <c r="C11" s="10" t="inlineStr"/>
      <c r="D11" s="10" t="inlineStr">
        <is>
          <t>defined</t>
        </is>
      </c>
      <c r="E11" s="10" t="inlineStr">
        <is>
          <t>32024R1689</t>
        </is>
      </c>
      <c r="F11" s="10" t="inlineStr">
        <is>
          <t>authority</t>
        </is>
      </c>
    </row>
    <row r="12">
      <c r="A12" s="10" t="inlineStr">
        <is>
          <t>32024R1689:rechtshandhavingsinstantie</t>
        </is>
      </c>
      <c r="B12" s="10" t="inlineStr">
        <is>
          <t>rechtshandhavingsinstantie</t>
        </is>
      </c>
      <c r="C12" s="10" t="inlineStr"/>
      <c r="D12" s="10" t="inlineStr">
        <is>
          <t>defined</t>
        </is>
      </c>
      <c r="E12" s="10" t="inlineStr">
        <is>
          <t>32024R1689</t>
        </is>
      </c>
      <c r="F12" s="10" t="inlineStr">
        <is>
          <t>body</t>
        </is>
      </c>
    </row>
    <row r="13">
      <c r="A13" s="10" t="inlineStr">
        <is>
          <t>32024R1689:aibureau</t>
        </is>
      </c>
      <c r="B13" s="10" t="inlineStr">
        <is>
          <t>AI-bureau</t>
        </is>
      </c>
      <c r="C13" s="10" t="inlineStr"/>
      <c r="D13" s="10" t="inlineStr">
        <is>
          <t>defined</t>
        </is>
      </c>
      <c r="E13" s="10" t="inlineStr">
        <is>
          <t>32024R1689</t>
        </is>
      </c>
      <c r="F13" s="10" t="inlineStr">
        <is>
          <t>body</t>
        </is>
      </c>
    </row>
    <row r="14">
      <c r="A14" s="10" t="inlineStr">
        <is>
          <t>32024R1689:nationale_bevoegde_autoriteit</t>
        </is>
      </c>
      <c r="B14" s="10" t="inlineStr">
        <is>
          <t>nationale bevoegde autoriteit</t>
        </is>
      </c>
      <c r="C14" s="10" t="inlineStr"/>
      <c r="D14" s="10" t="inlineStr">
        <is>
          <t>defined</t>
        </is>
      </c>
      <c r="E14" s="10" t="inlineStr">
        <is>
          <t>32024R1689</t>
        </is>
      </c>
      <c r="F14" s="10" t="inlineStr">
        <is>
          <t>authority</t>
        </is>
      </c>
    </row>
    <row r="15">
      <c r="A15" s="10" t="inlineStr">
        <is>
          <t>32024R1689:aanbieder_verder_in_de_aiwaardeketen</t>
        </is>
      </c>
      <c r="B15" s="10" t="inlineStr">
        <is>
          <t>aanbieder verder in de AI-waardeketen</t>
        </is>
      </c>
      <c r="C15" s="10" t="inlineStr"/>
      <c r="D15" s="10" t="inlineStr">
        <is>
          <t>defined</t>
        </is>
      </c>
      <c r="E15" s="10" t="inlineStr">
        <is>
          <t>32024R1689</t>
        </is>
      </c>
      <c r="F15" s="10" t="inlineStr">
        <is>
          <t>party</t>
        </is>
      </c>
    </row>
    <row r="16">
      <c r="A16" s="10" t="inlineStr">
        <is>
          <t>32022R2554:derde_aanbieder_van_ictdiensten</t>
        </is>
      </c>
      <c r="B16" s="10" t="inlineStr">
        <is>
          <t>derde aanbieder van ICT-diensten</t>
        </is>
      </c>
      <c r="C16" s="10" t="inlineStr"/>
      <c r="D16" s="10" t="inlineStr">
        <is>
          <t>defined</t>
        </is>
      </c>
      <c r="E16" s="10" t="inlineStr">
        <is>
          <t>32022R2554</t>
        </is>
      </c>
      <c r="F16" s="10" t="inlineStr">
        <is>
          <t>party</t>
        </is>
      </c>
    </row>
    <row r="17">
      <c r="A17" s="10" t="inlineStr">
        <is>
          <t>32022R2554:aanbieder_van_ictdiensten_binnen_een_groep</t>
        </is>
      </c>
      <c r="B17" s="10" t="inlineStr">
        <is>
          <t>aanbieder van ICT-diensten binnen een groep</t>
        </is>
      </c>
      <c r="C17" s="10" t="inlineStr"/>
      <c r="D17" s="10" t="inlineStr">
        <is>
          <t>defined</t>
        </is>
      </c>
      <c r="E17" s="10" t="inlineStr">
        <is>
          <t>32022R2554</t>
        </is>
      </c>
      <c r="F17" s="10" t="inlineStr">
        <is>
          <t>party</t>
        </is>
      </c>
    </row>
    <row r="18">
      <c r="A18" s="10" t="inlineStr">
        <is>
          <t>32022R2554:kritieke_derde_aanbieder_van_ictdiensten</t>
        </is>
      </c>
      <c r="B18" s="10" t="inlineStr">
        <is>
          <t>kritieke derde aanbieder van ICT-diensten</t>
        </is>
      </c>
      <c r="C18" s="10" t="inlineStr"/>
      <c r="D18" s="10" t="inlineStr">
        <is>
          <t>defined</t>
        </is>
      </c>
      <c r="E18" s="10" t="inlineStr">
        <is>
          <t>32022R2554</t>
        </is>
      </c>
      <c r="F18" s="10" t="inlineStr">
        <is>
          <t>party</t>
        </is>
      </c>
    </row>
    <row r="19">
      <c r="A19" s="10" t="inlineStr">
        <is>
          <t>32022R2554:dochteronderneming</t>
        </is>
      </c>
      <c r="B19" s="10" t="inlineStr">
        <is>
          <t>dochteronderneming</t>
        </is>
      </c>
      <c r="C19" s="10" t="inlineStr"/>
      <c r="D19" s="10" t="inlineStr">
        <is>
          <t>defined</t>
        </is>
      </c>
      <c r="E19" s="10" t="inlineStr">
        <is>
          <t>32022R2554</t>
        </is>
      </c>
      <c r="F19" s="10" t="inlineStr">
        <is>
          <t>party</t>
        </is>
      </c>
    </row>
    <row r="20">
      <c r="A20" s="10" t="inlineStr">
        <is>
          <t>32022R2554:moederonderneming</t>
        </is>
      </c>
      <c r="B20" s="10" t="inlineStr">
        <is>
          <t>moederonderneming</t>
        </is>
      </c>
      <c r="C20" s="10" t="inlineStr"/>
      <c r="D20" s="10" t="inlineStr">
        <is>
          <t>defined</t>
        </is>
      </c>
      <c r="E20" s="10" t="inlineStr">
        <is>
          <t>32022R2554</t>
        </is>
      </c>
      <c r="F20" s="10" t="inlineStr">
        <is>
          <t>party</t>
        </is>
      </c>
    </row>
    <row r="21">
      <c r="A21" s="10" t="inlineStr">
        <is>
          <t>32022R2554:leidinggevend_orgaan</t>
        </is>
      </c>
      <c r="B21" s="10" t="inlineStr">
        <is>
          <t>leidinggevend orgaan</t>
        </is>
      </c>
      <c r="C21" s="10" t="inlineStr"/>
      <c r="D21" s="10" t="inlineStr">
        <is>
          <t>defined</t>
        </is>
      </c>
      <c r="E21" s="10" t="inlineStr">
        <is>
          <t>32022R2554</t>
        </is>
      </c>
      <c r="F21" s="10" t="inlineStr">
        <is>
          <t>body</t>
        </is>
      </c>
    </row>
    <row r="22">
      <c r="A22" s="10" t="inlineStr">
        <is>
          <t>32022R2554:kredietinstelling</t>
        </is>
      </c>
      <c r="B22" s="10" t="inlineStr">
        <is>
          <t>kredietinstelling</t>
        </is>
      </c>
      <c r="C22" s="10" t="inlineStr"/>
      <c r="D22" s="10" t="inlineStr">
        <is>
          <t>defined</t>
        </is>
      </c>
      <c r="E22" s="10" t="inlineStr">
        <is>
          <t>32022R2554</t>
        </is>
      </c>
      <c r="F22" s="10" t="inlineStr">
        <is>
          <t>body</t>
        </is>
      </c>
    </row>
    <row r="23">
      <c r="A23" s="10" t="inlineStr">
        <is>
          <t>32022R2554:bij_richtlijn_2013_36_eu_vrijgestelde_instelling</t>
        </is>
      </c>
      <c r="B23" s="10" t="inlineStr">
        <is>
          <t>bij Richtlijn 2013/36/EU vrijgestelde instelling</t>
        </is>
      </c>
      <c r="C23" s="10" t="inlineStr"/>
      <c r="D23" s="10" t="inlineStr">
        <is>
          <t>defined</t>
        </is>
      </c>
      <c r="E23" s="10" t="inlineStr">
        <is>
          <t>32022R2554</t>
        </is>
      </c>
      <c r="F23" s="10" t="inlineStr">
        <is>
          <t>body</t>
        </is>
      </c>
    </row>
    <row r="24">
      <c r="A24" s="10" t="inlineStr">
        <is>
          <t>32022R2554:beleggingsonderneming</t>
        </is>
      </c>
      <c r="B24" s="10" t="inlineStr">
        <is>
          <t>beleggingsonderneming</t>
        </is>
      </c>
      <c r="C24" s="10" t="inlineStr"/>
      <c r="D24" s="10" t="inlineStr">
        <is>
          <t>defined</t>
        </is>
      </c>
      <c r="E24" s="10" t="inlineStr">
        <is>
          <t>32022R2554</t>
        </is>
      </c>
      <c r="F24" s="10" t="inlineStr">
        <is>
          <t>party</t>
        </is>
      </c>
    </row>
    <row r="25">
      <c r="A25" s="10" t="inlineStr">
        <is>
          <t>32022R2554:kleine_en_nietverweven_beleggingsonderneming</t>
        </is>
      </c>
      <c r="B25" s="10" t="inlineStr">
        <is>
          <t>kleine en niet-verweven beleggingsonderneming</t>
        </is>
      </c>
      <c r="C25" s="10" t="inlineStr"/>
      <c r="D25" s="10" t="inlineStr">
        <is>
          <t>defined</t>
        </is>
      </c>
      <c r="E25" s="10" t="inlineStr">
        <is>
          <t>32022R2554</t>
        </is>
      </c>
      <c r="F25" s="10" t="inlineStr">
        <is>
          <t>party</t>
        </is>
      </c>
    </row>
    <row r="26">
      <c r="A26" s="10" t="inlineStr">
        <is>
          <t>32022R2554:betalingsinstelling</t>
        </is>
      </c>
      <c r="B26" s="10" t="inlineStr">
        <is>
          <t>betalingsinstelling</t>
        </is>
      </c>
      <c r="C26" s="10" t="inlineStr"/>
      <c r="D26" s="10" t="inlineStr">
        <is>
          <t>defined</t>
        </is>
      </c>
      <c r="E26" s="10" t="inlineStr">
        <is>
          <t>32022R2554</t>
        </is>
      </c>
      <c r="F26" s="10" t="inlineStr">
        <is>
          <t>body</t>
        </is>
      </c>
    </row>
    <row r="27">
      <c r="A27" s="10" t="inlineStr">
        <is>
          <t>32022R2554:bij_richtlijn_eu_2015_2366_vrijgestelde_betalingsinstelling</t>
        </is>
      </c>
      <c r="B27" s="10" t="inlineStr">
        <is>
          <t>bij Richtlijn (EU) 2015/2366 vrijgestelde betalingsinstelling</t>
        </is>
      </c>
      <c r="C27" s="10" t="inlineStr"/>
      <c r="D27" s="10" t="inlineStr">
        <is>
          <t>defined</t>
        </is>
      </c>
      <c r="E27" s="10" t="inlineStr">
        <is>
          <t>32022R2554</t>
        </is>
      </c>
      <c r="F27" s="10" t="inlineStr">
        <is>
          <t>body</t>
        </is>
      </c>
    </row>
    <row r="28">
      <c r="A28" s="10" t="inlineStr">
        <is>
          <t>32022R2554:aanbieder_van_rekeninginformatiediensten</t>
        </is>
      </c>
      <c r="B28" s="10" t="inlineStr">
        <is>
          <t>aanbieder van rekeninginformatiediensten</t>
        </is>
      </c>
      <c r="C28" s="10" t="inlineStr"/>
      <c r="D28" s="10" t="inlineStr">
        <is>
          <t>defined</t>
        </is>
      </c>
      <c r="E28" s="10" t="inlineStr">
        <is>
          <t>32022R2554</t>
        </is>
      </c>
      <c r="F28" s="10" t="inlineStr">
        <is>
          <t>party</t>
        </is>
      </c>
    </row>
    <row r="29">
      <c r="A29" s="10" t="inlineStr">
        <is>
          <t>32022R2554:instelling_voor_elektronisch_geld</t>
        </is>
      </c>
      <c r="B29" s="10" t="inlineStr">
        <is>
          <t>instelling voor elektronisch geld</t>
        </is>
      </c>
      <c r="C29" s="10" t="inlineStr"/>
      <c r="D29" s="10" t="inlineStr">
        <is>
          <t>defined</t>
        </is>
      </c>
      <c r="E29" s="10" t="inlineStr">
        <is>
          <t>32022R2554</t>
        </is>
      </c>
      <c r="F29" s="10" t="inlineStr">
        <is>
          <t>body</t>
        </is>
      </c>
    </row>
    <row r="30">
      <c r="A30" s="10" t="inlineStr">
        <is>
          <t>32022R2554:bij_richtlijn_2009_110_eg_vrijgestelde_instelling_voor_elektronisch_geld</t>
        </is>
      </c>
      <c r="B30" s="10" t="inlineStr">
        <is>
          <t>bij Richtlijn 2009/110/EG vrijgestelde instelling voor elektronisch geld</t>
        </is>
      </c>
      <c r="C30" s="10" t="inlineStr"/>
      <c r="D30" s="10" t="inlineStr">
        <is>
          <t>defined</t>
        </is>
      </c>
      <c r="E30" s="10" t="inlineStr">
        <is>
          <t>32022R2554</t>
        </is>
      </c>
      <c r="F30" s="10" t="inlineStr">
        <is>
          <t>body</t>
        </is>
      </c>
    </row>
    <row r="31">
      <c r="A31" s="10" t="inlineStr">
        <is>
          <t>32022R2554:centrale_tegenpartij</t>
        </is>
      </c>
      <c r="B31" s="10" t="inlineStr">
        <is>
          <t>centrale tegenpartij</t>
        </is>
      </c>
      <c r="C31" s="10" t="inlineStr"/>
      <c r="D31" s="10" t="inlineStr">
        <is>
          <t>defined</t>
        </is>
      </c>
      <c r="E31" s="10" t="inlineStr">
        <is>
          <t>32022R2554</t>
        </is>
      </c>
      <c r="F31" s="10" t="inlineStr">
        <is>
          <t>party</t>
        </is>
      </c>
    </row>
    <row r="32">
      <c r="A32" s="10" t="inlineStr">
        <is>
          <t>32022R2554:centrale_effectenbewaarinstelling</t>
        </is>
      </c>
      <c r="B32" s="10" t="inlineStr">
        <is>
          <t>centrale effectenbewaarinstelling</t>
        </is>
      </c>
      <c r="C32" s="10" t="inlineStr"/>
      <c r="D32" s="10" t="inlineStr">
        <is>
          <t>defined</t>
        </is>
      </c>
      <c r="E32" s="10" t="inlineStr">
        <is>
          <t>32022R2554</t>
        </is>
      </c>
      <c r="F32" s="10" t="inlineStr">
        <is>
          <t>body</t>
        </is>
      </c>
    </row>
    <row r="33">
      <c r="A33" s="10" t="inlineStr">
        <is>
          <t>32022R2554:beheerder_van_alternatieve_beleggingsinstellingen</t>
        </is>
      </c>
      <c r="B33" s="10" t="inlineStr">
        <is>
          <t>beheerder van alternatieve beleggingsinstellingen</t>
        </is>
      </c>
      <c r="C33" s="10" t="inlineStr"/>
      <c r="D33" s="10" t="inlineStr">
        <is>
          <t>defined</t>
        </is>
      </c>
      <c r="E33" s="10" t="inlineStr">
        <is>
          <t>32022R2554</t>
        </is>
      </c>
      <c r="F33" s="10" t="inlineStr">
        <is>
          <t>party</t>
        </is>
      </c>
    </row>
    <row r="34">
      <c r="A34" s="10" t="inlineStr">
        <is>
          <t>32022R2554:aanbieder_van_datarapporteringsdiensten</t>
        </is>
      </c>
      <c r="B34" s="10" t="inlineStr">
        <is>
          <t>aanbieder van datarapporteringsdiensten</t>
        </is>
      </c>
      <c r="C34" s="10" t="inlineStr"/>
      <c r="D34" s="10" t="inlineStr">
        <is>
          <t>defined</t>
        </is>
      </c>
      <c r="E34" s="10" t="inlineStr">
        <is>
          <t>32022R2554</t>
        </is>
      </c>
      <c r="F34" s="10" t="inlineStr">
        <is>
          <t>party</t>
        </is>
      </c>
    </row>
    <row r="35">
      <c r="A35" s="10" t="inlineStr">
        <is>
          <t>32022R2554:verzekeringsonderneming</t>
        </is>
      </c>
      <c r="B35" s="10" t="inlineStr">
        <is>
          <t>verzekeringsonderneming</t>
        </is>
      </c>
      <c r="C35" s="10" t="inlineStr"/>
      <c r="D35" s="10" t="inlineStr">
        <is>
          <t>defined</t>
        </is>
      </c>
      <c r="E35" s="10" t="inlineStr">
        <is>
          <t>32022R2554</t>
        </is>
      </c>
      <c r="F35" s="10" t="inlineStr">
        <is>
          <t>party</t>
        </is>
      </c>
    </row>
    <row r="36">
      <c r="A36" s="10" t="inlineStr">
        <is>
          <t>32022R2554:herverzekeringsonderneming</t>
        </is>
      </c>
      <c r="B36" s="10" t="inlineStr">
        <is>
          <t>herverzekeringsonderneming</t>
        </is>
      </c>
      <c r="C36" s="10" t="inlineStr"/>
      <c r="D36" s="10" t="inlineStr">
        <is>
          <t>defined</t>
        </is>
      </c>
      <c r="E36" s="10" t="inlineStr">
        <is>
          <t>32022R2554</t>
        </is>
      </c>
      <c r="F36" s="10" t="inlineStr">
        <is>
          <t>party</t>
        </is>
      </c>
    </row>
    <row r="37">
      <c r="A37" s="10" t="inlineStr">
        <is>
          <t>32022R2554:verzekeringstussenpersoon</t>
        </is>
      </c>
      <c r="B37" s="10" t="inlineStr">
        <is>
          <t>verzekeringstussenpersoon</t>
        </is>
      </c>
      <c r="C37" s="10" t="inlineStr"/>
      <c r="D37" s="10" t="inlineStr">
        <is>
          <t>defined</t>
        </is>
      </c>
      <c r="E37" s="10" t="inlineStr">
        <is>
          <t>32022R2554</t>
        </is>
      </c>
      <c r="F37" s="10" t="inlineStr">
        <is>
          <t>person</t>
        </is>
      </c>
    </row>
    <row r="38">
      <c r="A38" s="10" t="inlineStr">
        <is>
          <t>32022R2554:nevenverzekeringstussenpersoon</t>
        </is>
      </c>
      <c r="B38" s="10" t="inlineStr">
        <is>
          <t>nevenverzekeringstussenpersoon</t>
        </is>
      </c>
      <c r="C38" s="10" t="inlineStr"/>
      <c r="D38" s="10" t="inlineStr">
        <is>
          <t>defined</t>
        </is>
      </c>
      <c r="E38" s="10" t="inlineStr">
        <is>
          <t>32022R2554</t>
        </is>
      </c>
      <c r="F38" s="10" t="inlineStr">
        <is>
          <t>person</t>
        </is>
      </c>
    </row>
    <row r="39">
      <c r="A39" s="10" t="inlineStr">
        <is>
          <t>32022R2554:herverzekeringstussenpersoon</t>
        </is>
      </c>
      <c r="B39" s="10" t="inlineStr">
        <is>
          <t>herverzekeringstussenpersoon</t>
        </is>
      </c>
      <c r="C39" s="10" t="inlineStr"/>
      <c r="D39" s="10" t="inlineStr">
        <is>
          <t>defined</t>
        </is>
      </c>
      <c r="E39" s="10" t="inlineStr">
        <is>
          <t>32022R2554</t>
        </is>
      </c>
      <c r="F39" s="10" t="inlineStr">
        <is>
          <t>person</t>
        </is>
      </c>
    </row>
    <row r="40">
      <c r="A40" s="10" t="inlineStr">
        <is>
          <t>32022R2554:instelling_voor_bedrijfspensioenvoorziening</t>
        </is>
      </c>
      <c r="B40" s="10" t="inlineStr">
        <is>
          <t>instelling voor bedrijfspensioenvoorziening</t>
        </is>
      </c>
      <c r="C40" s="10" t="inlineStr"/>
      <c r="D40" s="10" t="inlineStr">
        <is>
          <t>defined</t>
        </is>
      </c>
      <c r="E40" s="10" t="inlineStr">
        <is>
          <t>32022R2554</t>
        </is>
      </c>
      <c r="F40" s="10" t="inlineStr">
        <is>
          <t>body</t>
        </is>
      </c>
    </row>
    <row r="41">
      <c r="A41" s="10" t="inlineStr">
        <is>
          <t>32022R2554:kleine_instelling_voor_bedrijfspensioenvoorziening</t>
        </is>
      </c>
      <c r="B41" s="10" t="inlineStr">
        <is>
          <t>kleine instelling voor bedrijfspensioenvoorziening</t>
        </is>
      </c>
      <c r="C41" s="10" t="inlineStr"/>
      <c r="D41" s="10" t="inlineStr">
        <is>
          <t>defined</t>
        </is>
      </c>
      <c r="E41" s="10" t="inlineStr">
        <is>
          <t>32022R2554</t>
        </is>
      </c>
      <c r="F41" s="10" t="inlineStr">
        <is>
          <t>body</t>
        </is>
      </c>
    </row>
    <row r="42">
      <c r="A42" s="10" t="inlineStr">
        <is>
          <t>32022R2554:ratingbureau</t>
        </is>
      </c>
      <c r="B42" s="10" t="inlineStr">
        <is>
          <t>ratingbureau</t>
        </is>
      </c>
      <c r="C42" s="10" t="inlineStr"/>
      <c r="D42" s="10" t="inlineStr">
        <is>
          <t>defined</t>
        </is>
      </c>
      <c r="E42" s="10" t="inlineStr">
        <is>
          <t>32022R2554</t>
        </is>
      </c>
      <c r="F42" s="10" t="inlineStr">
        <is>
          <t>body</t>
        </is>
      </c>
    </row>
    <row r="43">
      <c r="A43" s="10" t="inlineStr">
        <is>
          <t>32022R2554:aanbieder_van_cryptoactivadiensten</t>
        </is>
      </c>
      <c r="B43" s="10" t="inlineStr">
        <is>
          <t>aanbieder van cryptoactivadiensten</t>
        </is>
      </c>
      <c r="C43" s="10" t="inlineStr"/>
      <c r="D43" s="10" t="inlineStr">
        <is>
          <t>defined</t>
        </is>
      </c>
      <c r="E43" s="10" t="inlineStr">
        <is>
          <t>32022R2554</t>
        </is>
      </c>
      <c r="F43" s="10" t="inlineStr">
        <is>
          <t>party</t>
        </is>
      </c>
    </row>
    <row r="44">
      <c r="A44" s="10" t="inlineStr">
        <is>
          <t>32022R2554:beheerder_van_kritieke_benchmarks</t>
        </is>
      </c>
      <c r="B44" s="10" t="inlineStr">
        <is>
          <t>beheerder van kritieke benchmarks</t>
        </is>
      </c>
      <c r="C44" s="10" t="inlineStr"/>
      <c r="D44" s="10" t="inlineStr">
        <is>
          <t>defined</t>
        </is>
      </c>
      <c r="E44" s="10" t="inlineStr">
        <is>
          <t>32022R2554</t>
        </is>
      </c>
      <c r="F44" s="10" t="inlineStr">
        <is>
          <t>party</t>
        </is>
      </c>
    </row>
    <row r="45">
      <c r="A45" s="10" t="inlineStr">
        <is>
          <t>32022R2554:microonderneming</t>
        </is>
      </c>
      <c r="B45" s="10" t="inlineStr">
        <is>
          <t>micro-onderneming</t>
        </is>
      </c>
      <c r="C45" s="10" t="inlineStr"/>
      <c r="D45" s="10" t="inlineStr">
        <is>
          <t>defined</t>
        </is>
      </c>
      <c r="E45" s="10" t="inlineStr">
        <is>
          <t>32022R2554</t>
        </is>
      </c>
      <c r="F45" s="10" t="inlineStr">
        <is>
          <t>party</t>
        </is>
      </c>
    </row>
    <row r="46">
      <c r="A46" s="10" t="inlineStr">
        <is>
          <t>32022R2554:gemengd_comite</t>
        </is>
      </c>
      <c r="B46" s="10" t="inlineStr">
        <is>
          <t>Gemengd Comité</t>
        </is>
      </c>
      <c r="C46" s="10" t="inlineStr"/>
      <c r="D46" s="10" t="inlineStr">
        <is>
          <t>defined</t>
        </is>
      </c>
      <c r="E46" s="10" t="inlineStr">
        <is>
          <t>32022R2554</t>
        </is>
      </c>
      <c r="F46" s="10" t="inlineStr">
        <is>
          <t>body</t>
        </is>
      </c>
    </row>
    <row r="47">
      <c r="A47" s="10" t="inlineStr">
        <is>
          <t>32022R2554:kleine_onderneming</t>
        </is>
      </c>
      <c r="B47" s="10" t="inlineStr">
        <is>
          <t>kleine onderneming</t>
        </is>
      </c>
      <c r="C47" s="10" t="inlineStr"/>
      <c r="D47" s="10" t="inlineStr">
        <is>
          <t>defined</t>
        </is>
      </c>
      <c r="E47" s="10" t="inlineStr">
        <is>
          <t>32022R2554</t>
        </is>
      </c>
      <c r="F47" s="10" t="inlineStr">
        <is>
          <t>party</t>
        </is>
      </c>
    </row>
    <row r="48">
      <c r="A48" s="10" t="inlineStr">
        <is>
          <t>32022R2554:middelgrote_onderneming</t>
        </is>
      </c>
      <c r="B48" s="10" t="inlineStr">
        <is>
          <t>middelgrote onderneming</t>
        </is>
      </c>
      <c r="C48" s="10" t="inlineStr"/>
      <c r="D48" s="10" t="inlineStr">
        <is>
          <t>defined</t>
        </is>
      </c>
      <c r="E48" s="10" t="inlineStr">
        <is>
          <t>32022R2554</t>
        </is>
      </c>
      <c r="F48" s="10" t="inlineStr">
        <is>
          <t>party</t>
        </is>
      </c>
    </row>
    <row r="49">
      <c r="A49" s="10" t="inlineStr">
        <is>
          <t>32022R2554:overheidsinstantie</t>
        </is>
      </c>
      <c r="B49" s="10" t="inlineStr">
        <is>
          <t>overheidsinstantie</t>
        </is>
      </c>
      <c r="C49" s="10" t="inlineStr"/>
      <c r="D49" s="10" t="inlineStr">
        <is>
          <t>defined</t>
        </is>
      </c>
      <c r="E49" s="10" t="inlineStr">
        <is>
          <t>32022R2554</t>
        </is>
      </c>
      <c r="F49" s="10" t="inlineStr">
        <is>
          <t>authority</t>
        </is>
      </c>
    </row>
    <row r="50">
      <c r="A50" s="10" t="inlineStr">
        <is>
          <t>32022R2554:hof_van_justitie</t>
        </is>
      </c>
      <c r="B50" s="10" t="inlineStr">
        <is>
          <t>Hof van Justitie</t>
        </is>
      </c>
      <c r="C50" s="10" t="inlineStr"/>
      <c r="D50" s="10" t="inlineStr">
        <is>
          <t>defined</t>
        </is>
      </c>
      <c r="E50" s="10" t="inlineStr">
        <is>
          <t>32022R2554</t>
        </is>
      </c>
      <c r="F50" s="10" t="inlineStr">
        <is>
          <t>institution</t>
        </is>
      </c>
    </row>
    <row r="51">
      <c r="A51" s="10" t="inlineStr">
        <is>
          <t>32016R0679:verwerkingsverantwoordelijke</t>
        </is>
      </c>
      <c r="B51" s="10" t="inlineStr">
        <is>
          <t>verwerkingsverantwoordelijke</t>
        </is>
      </c>
      <c r="C51" s="10" t="inlineStr"/>
      <c r="D51" s="10" t="inlineStr">
        <is>
          <t>defined</t>
        </is>
      </c>
      <c r="E51" s="10" t="inlineStr">
        <is>
          <t>32016R0679</t>
        </is>
      </c>
      <c r="F51" s="10" t="inlineStr">
        <is>
          <t>party</t>
        </is>
      </c>
    </row>
    <row r="52">
      <c r="A52" s="10" t="inlineStr">
        <is>
          <t>32016R0679:verwerker</t>
        </is>
      </c>
      <c r="B52" s="10" t="inlineStr">
        <is>
          <t>verwerker</t>
        </is>
      </c>
      <c r="C52" s="10" t="inlineStr"/>
      <c r="D52" s="10" t="inlineStr">
        <is>
          <t>defined</t>
        </is>
      </c>
      <c r="E52" s="10" t="inlineStr">
        <is>
          <t>32016R0679</t>
        </is>
      </c>
      <c r="F52" s="10" t="inlineStr">
        <is>
          <t>party</t>
        </is>
      </c>
    </row>
    <row r="53">
      <c r="A53" s="10" t="inlineStr">
        <is>
          <t>32016R0679:ontvanger</t>
        </is>
      </c>
      <c r="B53" s="10" t="inlineStr">
        <is>
          <t>ontvanger</t>
        </is>
      </c>
      <c r="C53" s="10" t="inlineStr"/>
      <c r="D53" s="10" t="inlineStr">
        <is>
          <t>defined</t>
        </is>
      </c>
      <c r="E53" s="10" t="inlineStr">
        <is>
          <t>32016R0679</t>
        </is>
      </c>
      <c r="F53" s="10" t="inlineStr">
        <is>
          <t>party</t>
        </is>
      </c>
    </row>
    <row r="54">
      <c r="A54" s="10" t="inlineStr">
        <is>
          <t>32016R0679:derde</t>
        </is>
      </c>
      <c r="B54" s="10" t="inlineStr">
        <is>
          <t>derde</t>
        </is>
      </c>
      <c r="C54" s="10" t="inlineStr"/>
      <c r="D54" s="10" t="inlineStr">
        <is>
          <t>defined</t>
        </is>
      </c>
      <c r="E54" s="10" t="inlineStr">
        <is>
          <t>32016R0679</t>
        </is>
      </c>
      <c r="F54" s="10" t="inlineStr">
        <is>
          <t>party</t>
        </is>
      </c>
    </row>
    <row r="55">
      <c r="A55" s="10" t="inlineStr">
        <is>
          <t>32016R0679:vertegenwoordiger</t>
        </is>
      </c>
      <c r="B55" s="10" t="inlineStr">
        <is>
          <t>vertegenwoordiger</t>
        </is>
      </c>
      <c r="C55" s="10" t="inlineStr"/>
      <c r="D55" s="10" t="inlineStr">
        <is>
          <t>defined</t>
        </is>
      </c>
      <c r="E55" s="10" t="inlineStr">
        <is>
          <t>32016R0679</t>
        </is>
      </c>
      <c r="F55" s="10" t="inlineStr">
        <is>
          <t>party</t>
        </is>
      </c>
    </row>
    <row r="56">
      <c r="A56" s="10" t="inlineStr">
        <is>
          <t>32016R0679:onderneming</t>
        </is>
      </c>
      <c r="B56" s="10" t="inlineStr">
        <is>
          <t>onderneming</t>
        </is>
      </c>
      <c r="C56" s="10" t="inlineStr"/>
      <c r="D56" s="10" t="inlineStr">
        <is>
          <t>defined</t>
        </is>
      </c>
      <c r="E56" s="10" t="inlineStr">
        <is>
          <t>32016R0679</t>
        </is>
      </c>
      <c r="F56" s="10" t="inlineStr">
        <is>
          <t>party</t>
        </is>
      </c>
    </row>
    <row r="57">
      <c r="A57" s="10" t="inlineStr">
        <is>
          <t>32016R0679:concern</t>
        </is>
      </c>
      <c r="B57" s="10" t="inlineStr">
        <is>
          <t>concern</t>
        </is>
      </c>
      <c r="C57" s="10" t="inlineStr"/>
      <c r="D57" s="10" t="inlineStr">
        <is>
          <t>defined</t>
        </is>
      </c>
      <c r="E57" s="10" t="inlineStr">
        <is>
          <t>32016R0679</t>
        </is>
      </c>
      <c r="F57" s="10" t="inlineStr">
        <is>
          <t>party</t>
        </is>
      </c>
    </row>
    <row r="58">
      <c r="A58" s="10" t="inlineStr">
        <is>
          <t>32016R0679:toezichthoudende_autoriteit</t>
        </is>
      </c>
      <c r="B58" s="10" t="inlineStr">
        <is>
          <t>toezichthoudende autoriteit</t>
        </is>
      </c>
      <c r="C58" s="10" t="inlineStr"/>
      <c r="D58" s="10" t="inlineStr">
        <is>
          <t>defined</t>
        </is>
      </c>
      <c r="E58" s="10" t="inlineStr">
        <is>
          <t>32016R0679</t>
        </is>
      </c>
      <c r="F58" s="10" t="inlineStr">
        <is>
          <t>authority</t>
        </is>
      </c>
    </row>
    <row r="59">
      <c r="A59" s="10" t="inlineStr">
        <is>
          <t>32016R0679:betrokken_toezichthoudende_autoriteit</t>
        </is>
      </c>
      <c r="B59" s="10" t="inlineStr">
        <is>
          <t>betrokken toezichthoudende autoriteit</t>
        </is>
      </c>
      <c r="C59" s="10" t="inlineStr"/>
      <c r="D59" s="10" t="inlineStr">
        <is>
          <t>defined</t>
        </is>
      </c>
      <c r="E59" s="10" t="inlineStr">
        <is>
          <t>32016R0679</t>
        </is>
      </c>
      <c r="F59" s="10" t="inlineStr">
        <is>
          <t>authority</t>
        </is>
      </c>
    </row>
    <row r="60">
      <c r="A60" s="10" t="inlineStr">
        <is>
          <t>32016R0679:internationale_organisatie</t>
        </is>
      </c>
      <c r="B60" s="10" t="inlineStr">
        <is>
          <t>internationale organisatie</t>
        </is>
      </c>
      <c r="C60" s="10" t="inlineStr"/>
      <c r="D60" s="10" t="inlineStr">
        <is>
          <t>defined</t>
        </is>
      </c>
      <c r="E60" s="10" t="inlineStr">
        <is>
          <t>32016R0679</t>
        </is>
      </c>
      <c r="F60" s="10" t="inlineStr">
        <is>
          <t>party</t>
        </is>
      </c>
    </row>
    <row r="61">
      <c r="A61" s="10" t="inlineStr">
        <is>
          <t>32016R0679:de_betrokkene</t>
        </is>
      </c>
      <c r="B61" s="10" t="inlineStr">
        <is>
          <t>de betrokkene</t>
        </is>
      </c>
      <c r="C61" s="10" t="inlineStr"/>
      <c r="D61" s="10" t="inlineStr">
        <is>
          <t>defined</t>
        </is>
      </c>
      <c r="E61" s="10" t="inlineStr">
        <is>
          <t>32016R0679</t>
        </is>
      </c>
      <c r="F61" s="10" t="inlineStr">
        <is>
          <t>person</t>
        </is>
      </c>
    </row>
    <row r="62">
      <c r="A62" s="10" t="inlineStr">
        <is>
          <t>32022L2555:vertegenwoordiger</t>
        </is>
      </c>
      <c r="B62" s="10" t="inlineStr">
        <is>
          <t>vertegenwoordiger</t>
        </is>
      </c>
      <c r="C62" s="10" t="inlineStr"/>
      <c r="D62" s="10" t="inlineStr">
        <is>
          <t>defined</t>
        </is>
      </c>
      <c r="E62" s="10" t="inlineStr">
        <is>
          <t>32022L2555</t>
        </is>
      </c>
      <c r="F62" s="10" t="inlineStr">
        <is>
          <t>party</t>
        </is>
      </c>
    </row>
    <row r="63">
      <c r="A63" s="10" t="inlineStr">
        <is>
          <t>32022L2555:overheidsinstantie</t>
        </is>
      </c>
      <c r="B63" s="10" t="inlineStr">
        <is>
          <t>overheidsinstantie</t>
        </is>
      </c>
      <c r="C63" s="10" t="inlineStr"/>
      <c r="D63" s="10" t="inlineStr">
        <is>
          <t>defined</t>
        </is>
      </c>
      <c r="E63" s="10" t="inlineStr">
        <is>
          <t>32022L2555</t>
        </is>
      </c>
      <c r="F63" s="10" t="inlineStr">
        <is>
          <t>authority</t>
        </is>
      </c>
    </row>
    <row r="64">
      <c r="A64" s="10" t="inlineStr">
        <is>
          <t>32022L2555:aanbieder_van_beheerde_diensten</t>
        </is>
      </c>
      <c r="B64" s="10" t="inlineStr">
        <is>
          <t>aanbieder van beheerde diensten</t>
        </is>
      </c>
      <c r="C64" s="10" t="inlineStr"/>
      <c r="D64" s="10" t="inlineStr">
        <is>
          <t>defined</t>
        </is>
      </c>
      <c r="E64" s="10" t="inlineStr">
        <is>
          <t>32022L2555</t>
        </is>
      </c>
      <c r="F64" s="10" t="inlineStr">
        <is>
          <t>party</t>
        </is>
      </c>
    </row>
    <row r="65">
      <c r="A65" s="10" t="inlineStr">
        <is>
          <t>32022L2555:aanbieder_van_beheerde_beveiligingsdiensten</t>
        </is>
      </c>
      <c r="B65" s="10" t="inlineStr">
        <is>
          <t>aanbieder van beheerde beveiligingsdiensten</t>
        </is>
      </c>
      <c r="C65" s="10" t="inlineStr"/>
      <c r="D65" s="10" t="inlineStr">
        <is>
          <t>defined</t>
        </is>
      </c>
      <c r="E65" s="10" t="inlineStr">
        <is>
          <t>32022L2555</t>
        </is>
      </c>
      <c r="F65" s="10" t="inlineStr">
        <is>
          <t>party</t>
        </is>
      </c>
    </row>
    <row r="66">
      <c r="A66" s="10" t="inlineStr">
        <is>
          <t>32022L2555:onderzoeksorganisatie</t>
        </is>
      </c>
      <c r="B66" s="10" t="inlineStr">
        <is>
          <t>onderzoeksorganisatie</t>
        </is>
      </c>
      <c r="C66" s="10" t="inlineStr"/>
      <c r="D66" s="10" t="inlineStr">
        <is>
          <t>defined</t>
        </is>
      </c>
      <c r="E66" s="10" t="inlineStr">
        <is>
          <t>32022L2555</t>
        </is>
      </c>
      <c r="F66" s="10" t="inlineStr">
        <is>
          <t>party</t>
        </is>
      </c>
    </row>
    <row r="67">
      <c r="A67" s="10" t="inlineStr">
        <is>
          <t>KEY:EU:commissie</t>
        </is>
      </c>
      <c r="B67" s="10" t="inlineStr">
        <is>
          <t>Commissie</t>
        </is>
      </c>
      <c r="C67" s="10" t="inlineStr">
        <is>
          <t>Europese Commissie</t>
        </is>
      </c>
      <c r="D67" s="10" t="inlineStr">
        <is>
          <t>key</t>
        </is>
      </c>
      <c r="E67" s="10" t="inlineStr">
        <is>
          <t>eu</t>
        </is>
      </c>
      <c r="F67" s="10" t="inlineStr">
        <is>
          <t>institution</t>
        </is>
      </c>
    </row>
    <row r="68">
      <c r="A68" s="10" t="inlineStr">
        <is>
          <t>KEY:EU:lidstaat</t>
        </is>
      </c>
      <c r="B68" s="10" t="inlineStr">
        <is>
          <t>lidstaat</t>
        </is>
      </c>
      <c r="C68" s="10" t="inlineStr"/>
      <c r="D68" s="10" t="inlineStr">
        <is>
          <t>key</t>
        </is>
      </c>
      <c r="E68" s="10" t="inlineStr">
        <is>
          <t>eu</t>
        </is>
      </c>
      <c r="F68" s="10" t="inlineStr">
        <is>
          <t>state</t>
        </is>
      </c>
    </row>
    <row r="69">
      <c r="A69" s="10" t="inlineStr">
        <is>
          <t>KEY:EU:europees_parlement</t>
        </is>
      </c>
      <c r="B69" s="10" t="inlineStr">
        <is>
          <t>Europees Parlement</t>
        </is>
      </c>
      <c r="C69" s="10" t="inlineStr"/>
      <c r="D69" s="10" t="inlineStr">
        <is>
          <t>key</t>
        </is>
      </c>
      <c r="E69" s="10" t="inlineStr">
        <is>
          <t>eu</t>
        </is>
      </c>
      <c r="F69" s="10" t="inlineStr">
        <is>
          <t>institution</t>
        </is>
      </c>
    </row>
    <row r="70">
      <c r="A70" s="10" t="inlineStr">
        <is>
          <t>KEY:EU:raad</t>
        </is>
      </c>
      <c r="B70" s="10" t="inlineStr">
        <is>
          <t>Raad</t>
        </is>
      </c>
      <c r="C70" s="10" t="inlineStr">
        <is>
          <t>Raad van de Europese Unie</t>
        </is>
      </c>
      <c r="D70" s="10" t="inlineStr">
        <is>
          <t>key</t>
        </is>
      </c>
      <c r="E70" s="10" t="inlineStr">
        <is>
          <t>eu</t>
        </is>
      </c>
      <c r="F70" s="10" t="inlineStr">
        <is>
          <t>institution</t>
        </is>
      </c>
    </row>
    <row r="71">
      <c r="A71" s="10" t="inlineStr">
        <is>
          <t>KEY:EU:hof_van_justitie</t>
        </is>
      </c>
      <c r="B71" s="10" t="inlineStr">
        <is>
          <t>Hof van Justitie</t>
        </is>
      </c>
      <c r="C71" s="10" t="inlineStr">
        <is>
          <t>Hof van Justitie van de Europese Unie</t>
        </is>
      </c>
      <c r="D71" s="10" t="inlineStr">
        <is>
          <t>key</t>
        </is>
      </c>
      <c r="E71" s="10" t="inlineStr">
        <is>
          <t>eu (not in 32022R2554)</t>
        </is>
      </c>
      <c r="F71" s="10" t="inlineStr">
        <is>
          <t>institution</t>
        </is>
      </c>
    </row>
    <row r="72">
      <c r="A72" s="10" t="inlineStr">
        <is>
          <t>KEY:EU:europese_toezichthouder_voor_gegevensbescherming</t>
        </is>
      </c>
      <c r="B72" s="10" t="inlineStr">
        <is>
          <t>Europese Toezichthouder voor gegevensbescherming</t>
        </is>
      </c>
      <c r="C72" s="10" t="inlineStr"/>
      <c r="D72" s="10" t="inlineStr">
        <is>
          <t>key</t>
        </is>
      </c>
      <c r="E72" s="10" t="inlineStr">
        <is>
          <t>eu</t>
        </is>
      </c>
      <c r="F72" s="10" t="inlineStr">
        <is>
          <t>authority</t>
        </is>
      </c>
    </row>
    <row r="73">
      <c r="A73" s="10" t="inlineStr">
        <is>
          <t>KEY:EU:gerecht</t>
        </is>
      </c>
      <c r="B73" s="10" t="inlineStr">
        <is>
          <t>gerecht</t>
        </is>
      </c>
      <c r="C73" s="10" t="inlineStr">
        <is>
          <t>bevoegd gerecht; nationaal gerecht</t>
        </is>
      </c>
      <c r="D73" s="10" t="inlineStr">
        <is>
          <t>key</t>
        </is>
      </c>
      <c r="E73" s="10" t="inlineStr">
        <is>
          <t>eu</t>
        </is>
      </c>
      <c r="F73" s="10" t="inlineStr">
        <is>
          <t>institution</t>
        </is>
      </c>
    </row>
    <row r="74">
      <c r="A74" s="10" t="inlineStr">
        <is>
          <t>KEY:EU:overheidsinstantie</t>
        </is>
      </c>
      <c r="B74" s="10" t="inlineStr">
        <is>
          <t>overheidsinstantie</t>
        </is>
      </c>
      <c r="C74" s="10" t="inlineStr"/>
      <c r="D74" s="10" t="inlineStr">
        <is>
          <t>key</t>
        </is>
      </c>
      <c r="E74" s="10" t="inlineStr">
        <is>
          <t>eu (not in 32022L2555, 32022R2554)</t>
        </is>
      </c>
      <c r="F74" s="10" t="inlineStr">
        <is>
          <t>authority</t>
        </is>
      </c>
    </row>
    <row r="75">
      <c r="A75" s="10" t="inlineStr">
        <is>
          <t>KEY:EU:nationale_accreditatieinstantie</t>
        </is>
      </c>
      <c r="B75" s="10" t="inlineStr">
        <is>
          <t>nationale accreditatie-instantie</t>
        </is>
      </c>
      <c r="C75" s="10" t="inlineStr">
        <is>
          <t>accreditatie-instantie</t>
        </is>
      </c>
      <c r="D75" s="10" t="inlineStr">
        <is>
          <t>key</t>
        </is>
      </c>
      <c r="E75" s="10" t="inlineStr">
        <is>
          <t>eu</t>
        </is>
      </c>
      <c r="F75" s="10" t="inlineStr">
        <is>
          <t>body</t>
        </is>
      </c>
    </row>
    <row r="76">
      <c r="A76" s="10" t="inlineStr">
        <is>
          <t>KEY:32016R0679:comite</t>
        </is>
      </c>
      <c r="B76" s="10" t="inlineStr">
        <is>
          <t>Comité</t>
        </is>
      </c>
      <c r="C76" s="10" t="inlineStr">
        <is>
          <t>Europees Comité voor gegevensbescherming</t>
        </is>
      </c>
      <c r="D76" s="10" t="inlineStr">
        <is>
          <t>key</t>
        </is>
      </c>
      <c r="E76" s="10" t="inlineStr">
        <is>
          <t>32016R0679</t>
        </is>
      </c>
      <c r="F76" s="10" t="inlineStr">
        <is>
          <t>body</t>
        </is>
      </c>
    </row>
    <row r="77">
      <c r="A77" s="10" t="inlineStr">
        <is>
          <t>KEY:32016R0679:voorzitter</t>
        </is>
      </c>
      <c r="B77" s="10" t="inlineStr">
        <is>
          <t>voorzitter</t>
        </is>
      </c>
      <c r="C77" s="10" t="inlineStr">
        <is>
          <t>voorzitter van het Comité</t>
        </is>
      </c>
      <c r="D77" s="10" t="inlineStr">
        <is>
          <t>key</t>
        </is>
      </c>
      <c r="E77" s="10" t="inlineStr">
        <is>
          <t>32016R0679</t>
        </is>
      </c>
      <c r="F77" s="10" t="inlineStr">
        <is>
          <t>office</t>
        </is>
      </c>
    </row>
    <row r="78">
      <c r="A78" s="10" t="inlineStr">
        <is>
          <t>KEY:32016R0679:secretariaat</t>
        </is>
      </c>
      <c r="B78" s="10" t="inlineStr">
        <is>
          <t>secretariaat</t>
        </is>
      </c>
      <c r="C78" s="10" t="inlineStr">
        <is>
          <t>secretariaat van het Comité</t>
        </is>
      </c>
      <c r="D78" s="10" t="inlineStr">
        <is>
          <t>key</t>
        </is>
      </c>
      <c r="E78" s="10" t="inlineStr">
        <is>
          <t>32016R0679</t>
        </is>
      </c>
      <c r="F78" s="10" t="inlineStr">
        <is>
          <t>office</t>
        </is>
      </c>
    </row>
    <row r="79">
      <c r="A79" s="10" t="inlineStr">
        <is>
          <t>KEY:32016R0679:leidende_toezichthoudende_autoriteit</t>
        </is>
      </c>
      <c r="B79" s="10" t="inlineStr">
        <is>
          <t>leidende toezichthoudende autoriteit</t>
        </is>
      </c>
      <c r="C79" s="10" t="inlineStr"/>
      <c r="D79" s="10" t="inlineStr">
        <is>
          <t>key</t>
        </is>
      </c>
      <c r="E79" s="10" t="inlineStr">
        <is>
          <t>32016R0679</t>
        </is>
      </c>
      <c r="F79" s="10" t="inlineStr">
        <is>
          <t>authority</t>
        </is>
      </c>
    </row>
    <row r="80">
      <c r="A80" s="10" t="inlineStr">
        <is>
          <t>KEY:32016R0679:functionaris_voor_gegevensbescherming</t>
        </is>
      </c>
      <c r="B80" s="10" t="inlineStr">
        <is>
          <t>functionaris voor gegevensbescherming</t>
        </is>
      </c>
      <c r="C80" s="10" t="inlineStr"/>
      <c r="D80" s="10" t="inlineStr">
        <is>
          <t>key</t>
        </is>
      </c>
      <c r="E80" s="10" t="inlineStr">
        <is>
          <t>32016R0679</t>
        </is>
      </c>
      <c r="F80" s="10" t="inlineStr">
        <is>
          <t>office</t>
        </is>
      </c>
    </row>
    <row r="81">
      <c r="A81" s="10" t="inlineStr">
        <is>
          <t>KEY:32016R0679:certificeringsorgaan</t>
        </is>
      </c>
      <c r="B81" s="10" t="inlineStr">
        <is>
          <t>certificeringsorgaan</t>
        </is>
      </c>
      <c r="C81" s="10" t="inlineStr"/>
      <c r="D81" s="10" t="inlineStr">
        <is>
          <t>key</t>
        </is>
      </c>
      <c r="E81" s="10" t="inlineStr">
        <is>
          <t>32016R0679</t>
        </is>
      </c>
      <c r="F81" s="10" t="inlineStr">
        <is>
          <t>body</t>
        </is>
      </c>
    </row>
    <row r="82">
      <c r="A82" s="10" t="inlineStr">
        <is>
          <t>KEY:32016R0679:vereniging</t>
        </is>
      </c>
      <c r="B82" s="10" t="inlineStr">
        <is>
          <t>vereniging</t>
        </is>
      </c>
      <c r="C82" s="10" t="inlineStr">
        <is>
          <t>verenigingen en andere organen die categorieën van verwerkingsverantwoordelijken of verwerkers vertegenwoordigen</t>
        </is>
      </c>
      <c r="D82" s="10" t="inlineStr">
        <is>
          <t>key</t>
        </is>
      </c>
      <c r="E82" s="10" t="inlineStr">
        <is>
          <t>32016R0679</t>
        </is>
      </c>
      <c r="F82" s="10" t="inlineStr">
        <is>
          <t>party</t>
        </is>
      </c>
    </row>
    <row r="83">
      <c r="A83" s="10" t="inlineStr">
        <is>
          <t>KEY:32024R1689:aiboard</t>
        </is>
      </c>
      <c r="B83" s="10" t="inlineStr">
        <is>
          <t>AI-board</t>
        </is>
      </c>
      <c r="C83" s="10" t="inlineStr">
        <is>
          <t>Europese raad voor artificiële intelligentie</t>
        </is>
      </c>
      <c r="D83" s="10" t="inlineStr">
        <is>
          <t>key</t>
        </is>
      </c>
      <c r="E83" s="10" t="inlineStr">
        <is>
          <t>32024R1689</t>
        </is>
      </c>
      <c r="F83" s="10" t="inlineStr">
        <is>
          <t>body</t>
        </is>
      </c>
    </row>
    <row r="84">
      <c r="A84" s="10" t="inlineStr">
        <is>
          <t>KEY:32024R1689:adviesforum</t>
        </is>
      </c>
      <c r="B84" s="10" t="inlineStr">
        <is>
          <t>adviesforum</t>
        </is>
      </c>
      <c r="C84" s="10" t="inlineStr"/>
      <c r="D84" s="10" t="inlineStr">
        <is>
          <t>key</t>
        </is>
      </c>
      <c r="E84" s="10" t="inlineStr">
        <is>
          <t>32024R1689</t>
        </is>
      </c>
      <c r="F84" s="10" t="inlineStr">
        <is>
          <t>body</t>
        </is>
      </c>
    </row>
    <row r="85">
      <c r="A85" s="10" t="inlineStr">
        <is>
          <t>KEY:32024R1689:wetenschappelijk_panel</t>
        </is>
      </c>
      <c r="B85" s="10" t="inlineStr">
        <is>
          <t>wetenschappelijk panel</t>
        </is>
      </c>
      <c r="C85" s="10" t="inlineStr">
        <is>
          <t>wetenschappelijk panel van onafhankelijke deskundigen</t>
        </is>
      </c>
      <c r="D85" s="10" t="inlineStr">
        <is>
          <t>key</t>
        </is>
      </c>
      <c r="E85" s="10" t="inlineStr">
        <is>
          <t>32024R1689</t>
        </is>
      </c>
      <c r="F85" s="10" t="inlineStr">
        <is>
          <t>body</t>
        </is>
      </c>
    </row>
    <row r="86">
      <c r="A86" s="10" t="inlineStr">
        <is>
          <t>KEY:32024R1689:productfabrikant</t>
        </is>
      </c>
      <c r="B86" s="10" t="inlineStr">
        <is>
          <t>productfabrikant</t>
        </is>
      </c>
      <c r="C86" s="10" t="inlineStr"/>
      <c r="D86" s="10" t="inlineStr">
        <is>
          <t>key</t>
        </is>
      </c>
      <c r="E86" s="10" t="inlineStr">
        <is>
          <t>32024R1689</t>
        </is>
      </c>
      <c r="F86" s="10" t="inlineStr">
        <is>
          <t>party</t>
        </is>
      </c>
    </row>
    <row r="87">
      <c r="A87" s="10" t="inlineStr">
        <is>
          <t>KEY:32024R1689:permanente_subgroep_voor_markttoezicht</t>
        </is>
      </c>
      <c r="B87" s="10" t="inlineStr">
        <is>
          <t>permanente subgroep voor markttoezicht</t>
        </is>
      </c>
      <c r="C87" s="10" t="inlineStr">
        <is>
          <t>subgroep</t>
        </is>
      </c>
      <c r="D87" s="10" t="inlineStr">
        <is>
          <t>key</t>
        </is>
      </c>
      <c r="E87" s="10" t="inlineStr">
        <is>
          <t>32024R1689</t>
        </is>
      </c>
      <c r="F87" s="10" t="inlineStr">
        <is>
          <t>body</t>
        </is>
      </c>
    </row>
    <row r="88">
      <c r="A88" s="10" t="inlineStr">
        <is>
          <t>KEY:32024R1689:gegevensbeschermingsautoriteit</t>
        </is>
      </c>
      <c r="B88" s="10" t="inlineStr">
        <is>
          <t>gegevensbeschermingsautoriteit</t>
        </is>
      </c>
      <c r="C88" s="10" t="inlineStr">
        <is>
          <t>nationale gegevensbeschermingsautoriteit</t>
        </is>
      </c>
      <c r="D88" s="10" t="inlineStr">
        <is>
          <t>key</t>
        </is>
      </c>
      <c r="E88" s="10" t="inlineStr">
        <is>
          <t>32024R1689</t>
        </is>
      </c>
      <c r="F88" s="10" t="inlineStr">
        <is>
          <t>authority</t>
        </is>
      </c>
    </row>
    <row r="89">
      <c r="A89" s="10" t="inlineStr">
        <is>
          <t>KEY:32024R1689:civielebeschermingsautoriteit</t>
        </is>
      </c>
      <c r="B89" s="10" t="inlineStr">
        <is>
          <t>civielebeschermingsautoriteit</t>
        </is>
      </c>
      <c r="C89" s="10" t="inlineStr"/>
      <c r="D89" s="10" t="inlineStr">
        <is>
          <t>key</t>
        </is>
      </c>
      <c r="E89" s="10" t="inlineStr">
        <is>
          <t>32024R1689</t>
        </is>
      </c>
      <c r="F89" s="10" t="inlineStr">
        <is>
          <t>authority</t>
        </is>
      </c>
    </row>
    <row r="90">
      <c r="A90" s="10" t="inlineStr">
        <is>
          <t>KEY:32024R1689:kmo</t>
        </is>
      </c>
      <c r="B90" s="10" t="inlineStr">
        <is>
          <t>kmo</t>
        </is>
      </c>
      <c r="C90" s="10" t="inlineStr">
        <is>
          <t>kmo, met inbegrip van start-ups</t>
        </is>
      </c>
      <c r="D90" s="10" t="inlineStr">
        <is>
          <t>key</t>
        </is>
      </c>
      <c r="E90" s="10" t="inlineStr">
        <is>
          <t>32024R1689</t>
        </is>
      </c>
      <c r="F90" s="10" t="inlineStr">
        <is>
          <t>party</t>
        </is>
      </c>
    </row>
    <row r="91">
      <c r="A91" s="10" t="inlineStr">
        <is>
          <t>fallback</t>
        </is>
      </c>
      <c r="B91" s="10" t="inlineStr">
        <is>
          <t>an actor without a fitting entry</t>
        </is>
      </c>
      <c r="C91" s="10" t="inlineStr"/>
      <c r="D91" s="10" t="inlineStr"/>
      <c r="E91" s="10" t="inlineStr">
        <is>
          <t>all</t>
        </is>
      </c>
      <c r="F91" s="10" t="inlineStr"/>
    </row>
    <row r="92">
      <c r="A92" s="10" t="inlineStr">
        <is>
          <t>not_actor</t>
        </is>
      </c>
      <c r="B92" s="10" t="inlineStr">
        <is>
          <t>not an actor</t>
        </is>
      </c>
      <c r="C92" s="10" t="inlineStr"/>
      <c r="D92" s="10" t="inlineStr"/>
      <c r="E92" s="10" t="inlineStr">
        <is>
          <t>all</t>
        </is>
      </c>
      <c r="F92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2026-10-18T21:38:53Z</dcterms:created>
  <dcterms:modified xmlns:dcterms="http://purl.org/dc/terms/" xmlns:xsi="http://www.w3.org/2001/XMLSchema-instance" xsi:type="dcterms:W3CDTF">2026-10-18T21:38:53Z</dcterms:modified>
</cp:coreProperties>
</file>