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Review" sheetId="2" state="visible" r:id="rId2"/>
    <sheet xmlns:r="http://schemas.openxmlformats.org/officeDocument/2006/relationships" name="Inventory" sheetId="3" state="visible" r:id="rId3"/>
    <sheet xmlns:r="http://schemas.openxmlformats.org/officeDocument/2006/relationships" name="key" sheetId="4" state="hidden" r:id="rId4"/>
    <sheet xmlns:r="http://schemas.openxmlformats.org/officeDocument/2006/relationships" name="weights" sheetId="5" state="hidden" r:id="rId5"/>
    <sheet xmlns:r="http://schemas.openxmlformats.org/officeDocument/2006/relationships" name="Design" sheetId="6" state="visible" r:id="rId6"/>
    <sheet xmlns:r="http://schemas.openxmlformats.org/officeDocument/2006/relationships" name="Summary" sheetId="7" state="visible" r:id="rId7"/>
  </sheets>
  <definedNames>
    <definedName name="_xlnm._FilterDatabase" localSheetId="2" hidden="1">'Inventory'!$A$1:$H$90</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font>
    <font>
      <name val="Arial"/>
    </font>
    <font>
      <name val="Arial"/>
      <b val="1"/>
      <color rgb="00FFFFFF"/>
    </font>
    <font>
      <name val="Arial"/>
      <i val="1"/>
    </font>
    <font>
      <name val="Arial"/>
      <color rgb="000000FF"/>
    </font>
  </fonts>
  <fills count="4">
    <fill>
      <patternFill/>
    </fill>
    <fill>
      <patternFill patternType="gray125"/>
    </fill>
    <fill>
      <patternFill patternType="solid">
        <fgColor rgb="001F3864"/>
      </patternFill>
    </fill>
    <fill>
      <patternFill patternType="solid">
        <fgColor rgb="00FFFF00"/>
      </patternFill>
    </fill>
  </fills>
  <borders count="2">
    <border>
      <left/>
      <right/>
      <top/>
      <bottom/>
      <diagonal/>
    </border>
    <border>
      <bottom style="thin">
        <color rgb="00BFBFBF"/>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wrapText="1"/>
    </xf>
    <xf numFmtId="0" fontId="2"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3" fontId="2" fillId="0" borderId="0" applyAlignment="1" pivotButton="0" quotePrefix="0" xfId="0">
      <alignment vertical="top"/>
    </xf>
    <xf numFmtId="164" fontId="2" fillId="0" borderId="0" applyAlignment="1" pivotButton="0" quotePrefix="0" xfId="0">
      <alignment vertical="top"/>
    </xf>
    <xf numFmtId="3" fontId="1" fillId="0" borderId="0" applyAlignment="1" pivotButton="0" quotePrefix="0" xfId="0">
      <alignment vertical="top"/>
    </xf>
    <xf numFmtId="0" fontId="4" fillId="0" borderId="0" applyAlignment="1" pivotButton="0" quotePrefix="0" xfId="0">
      <alignment vertical="top"/>
    </xf>
    <xf numFmtId="0" fontId="1" fillId="0" borderId="0" pivotButton="0" quotePrefix="0" xfId="0"/>
    <xf numFmtId="9" fontId="2" fillId="0" borderId="0" applyAlignment="1" pivotButton="0" quotePrefix="0" xfId="0">
      <alignment vertical="top"/>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20" customWidth="1" min="1" max="1"/>
  </cols>
  <sheetData>
    <row r="1">
      <c r="A1" s="1" t="inlineStr">
        <is>
          <t>Actor mapping review</t>
        </is>
      </c>
    </row>
    <row r="2">
      <c r="A2" s="2" t="inlineStr">
        <is>
          <t>Each row of the Review sheet is an actor unit in a norm (census rows show up to 3 norms that use the same unit). 'Assigned' is what the system mapped the unit to. Judge whether that is right, from the norm text and the actor phrase. The Inventory sheet lists every known actor with its definition.</t>
        </is>
      </c>
    </row>
    <row r="3">
      <c r="A3" s="1" t="inlineStr">
        <is>
          <t>Assessment (yellow)</t>
        </is>
      </c>
    </row>
    <row r="4">
      <c r="A4" s="1" t="inlineStr">
        <is>
          <t>Assigned an actor [ID]:</t>
        </is>
      </c>
    </row>
    <row r="5">
      <c r="A5" s="2" t="inlineStr">
        <is>
          <t xml:space="preserve">  correct    the unit is this actor.</t>
        </is>
      </c>
    </row>
    <row r="6">
      <c r="A6" s="2" t="inlineStr">
        <is>
          <t xml:space="preserve">  partial    right actor family but too broad or too narrow (another entry fits better), or right for some census contexts only.</t>
        </is>
      </c>
    </row>
    <row r="7">
      <c r="A7" s="2" t="inlineStr">
        <is>
          <t xml:space="preserve">  wrong      another actor, or not an actor at all.</t>
        </is>
      </c>
    </row>
    <row r="8">
      <c r="A8" s="1" t="inlineStr">
        <is>
          <t>Assigned 'an actor of class X (no inventory entry)':</t>
        </is>
      </c>
    </row>
    <row r="9">
      <c r="A9" s="2" t="inlineStr">
        <is>
          <t xml:space="preserve">  correct    an actor, no inventory entry fits, and class X fits.</t>
        </is>
      </c>
    </row>
    <row r="10">
      <c r="A10" s="2" t="inlineStr">
        <is>
          <t xml:space="preserve">  partial    an actor and class X fits, but an inventory entry fits (missed entry).</t>
        </is>
      </c>
    </row>
    <row r="11">
      <c r="A11" s="2" t="inlineStr">
        <is>
          <t xml:space="preserve">  wrong      the class does not fit, or it is not an actor.</t>
        </is>
      </c>
    </row>
    <row r="12">
      <c r="A12" s="1" t="inlineStr">
        <is>
          <t>Assigned 'not an actor (dropped)':</t>
        </is>
      </c>
    </row>
    <row r="13">
      <c r="A13" s="2" t="inlineStr">
        <is>
          <t xml:space="preserve">  correct    indeed not an actor (a document, decision, system, abstraction ...).</t>
        </is>
      </c>
    </row>
    <row r="14">
      <c r="A14" s="2" t="inlineStr">
        <is>
          <t xml:space="preserve">  wrong      it is an actor (use 'partial' only for census groups that are actors in some contexts).</t>
        </is>
      </c>
    </row>
    <row r="15">
      <c r="A15" s="2" t="inlineStr">
        <is>
          <t xml:space="preserve">  unclear    cannot tell from the text (not counted).</t>
        </is>
      </c>
    </row>
    <row r="16">
      <c r="A16" s="1" t="inlineStr">
        <is>
          <t>What is wrong? (for partial or wrong)</t>
        </is>
      </c>
    </row>
    <row r="17">
      <c r="A17" s="2" t="inlineStr">
        <is>
          <t xml:space="preserve">  other actor / too broad / too narrow / missed entry (an inventory entry fits) / wrong class / not an actor / actor, not in inventory (a real actor that has no entry) / badly cut unit (the unit is a fragment or several actors in one).</t>
        </is>
      </c>
    </row>
    <row r="18">
      <c r="A18" s="2" t="inlineStr">
        <is>
          <t>Correct actor: the inventory label or ID that fits, or the name of the actor if it has no entry. This feeds the list of inventory additions.</t>
        </is>
      </c>
    </row>
    <row r="19">
      <c r="A19" s="2" t="inlineStr">
        <is>
          <t>The hidden 'key' sheet holds the system's details: leave it alone until you are done.</t>
        </is>
      </c>
    </row>
    <row r="20">
      <c r="A20" s="2" t="inlineStr">
        <is>
          <t>When finished, save and run: python actor_map_review.py review --xlsx &lt;this file&gt;</t>
        </is>
      </c>
    </row>
    <row r="21">
      <c r="A21" s="2" t="inlineStr"/>
    </row>
    <row r="22">
      <c r="A22" s="1" t="inlineStr">
        <is>
          <t>Example (format only; not part of the sample)</t>
        </is>
      </c>
    </row>
    <row r="23">
      <c r="A23" s="2" t="inlineStr">
        <is>
          <t>Unit: de Autoriteit Consument en Markt | Assigned: not an actor (dropped) | Assessment: wrong | What is wrong?: actor, not in inventory | Correct actor: Autoriteit Consument en Markt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34" customWidth="1" min="3" max="3"/>
    <col width="28" customWidth="1" min="4" max="4"/>
    <col width="34" customWidth="1" min="5" max="5"/>
    <col width="50" customWidth="1" min="6" max="6"/>
    <col width="13" customWidth="1" min="7" max="7"/>
    <col width="20" customWidth="1" min="8" max="8"/>
    <col width="26" customWidth="1" min="9" max="9"/>
    <col width="26" customWidth="1" min="10" max="10"/>
  </cols>
  <sheetData>
    <row r="1">
      <c r="A1" s="3" t="inlineStr">
        <is>
          <t>#</t>
        </is>
      </c>
      <c r="B1" s="3" t="inlineStr">
        <is>
          <t>Norm(s)</t>
        </is>
      </c>
      <c r="C1" s="3" t="inlineStr">
        <is>
          <t>Actor phrase</t>
        </is>
      </c>
      <c r="D1" s="3" t="inlineStr">
        <is>
          <t>Unit</t>
        </is>
      </c>
      <c r="E1" s="3" t="inlineStr">
        <is>
          <t>Assigned</t>
        </is>
      </c>
      <c r="F1" s="3" t="inlineStr">
        <is>
          <t>Assigned: definition or source</t>
        </is>
      </c>
      <c r="G1" s="3" t="inlineStr">
        <is>
          <t>Assessment</t>
        </is>
      </c>
      <c r="H1" s="3" t="inlineStr">
        <is>
          <t>What is wrong?</t>
        </is>
      </c>
      <c r="I1" s="3" t="inlineStr">
        <is>
          <t>Correct actor</t>
        </is>
      </c>
      <c r="J1" s="3" t="inlineStr">
        <is>
          <t>Note</t>
        </is>
      </c>
    </row>
    <row r="2">
      <c r="A2" s="4" t="n">
        <v>1</v>
      </c>
      <c r="B2" s="5" t="inlineStr">
        <is>
          <t>32016R0679:73:2:2</t>
        </is>
      </c>
      <c r="C2" s="5" t="inlineStr">
        <is>
          <t>De ambtstermijn van de voorzitter en de vicevoorzitters</t>
        </is>
      </c>
      <c r="D2" s="5" t="inlineStr">
        <is>
          <t>vicevoorzitters</t>
        </is>
      </c>
      <c r="E2" s="5" t="inlineStr">
        <is>
          <t>an actor of class 'office' (no inventory entry)</t>
        </is>
      </c>
      <c r="F2" s="5" t="inlineStr"/>
      <c r="G2" s="6" t="n"/>
      <c r="H2" s="6" t="n"/>
      <c r="I2" s="6" t="n"/>
      <c r="J2" s="6" t="n"/>
    </row>
    <row r="3">
      <c r="A3" s="4" t="n">
        <v>2</v>
      </c>
      <c r="B3" s="5" t="inlineStr">
        <is>
          <t>32024R1689:92:5:7</t>
        </is>
      </c>
      <c r="C3" s="5" t="inlineStr">
        <is>
          <t>de personen die krachtens de wet of hun statuten gemachtigd zijn om hen te vertegenwoordigen</t>
        </is>
      </c>
      <c r="D3" s="5" t="inlineStr">
        <is>
          <t>personen</t>
        </is>
      </c>
      <c r="E3" s="5" t="inlineStr">
        <is>
          <t>an actor of class 'person' (no inventory entry)</t>
        </is>
      </c>
      <c r="F3" s="5" t="inlineStr"/>
      <c r="G3" s="6" t="n"/>
      <c r="H3" s="6" t="n"/>
      <c r="I3" s="6" t="n"/>
      <c r="J3" s="6" t="n"/>
    </row>
    <row r="4">
      <c r="A4" s="4" t="n">
        <v>3</v>
      </c>
      <c r="B4" s="5" t="inlineStr">
        <is>
          <t>32024R1689:60:4:2</t>
        </is>
      </c>
      <c r="C4" s="5" t="inlineStr">
        <is>
          <t>Aanbieders of potentiële aanbieders</t>
        </is>
      </c>
      <c r="D4" s="5" t="inlineStr">
        <is>
          <t>Aanbieders</t>
        </is>
      </c>
      <c r="E4" s="5" t="inlineStr">
        <is>
          <t>aanbieder   [32024R1689:aanbieder]</t>
        </is>
      </c>
      <c r="F4" s="5" t="inlineStr">
        <is>
          <t>Defined in 32024R1689 art. 3: een natuurlijke of rechtspersoon, overheidsinstantie, agentschap of ander orgaan die/dat een AI-systeem of een AI-model voor algemene doeleinden ontwikkelt of laat ontwikkelen en dat systeem of model in de handel brengt of het AI-systeem in gebruik stelt onder de eigen naam of merk, al dan niet tegen betaling</t>
        </is>
      </c>
      <c r="G4" s="6" t="n"/>
      <c r="H4" s="6" t="n"/>
      <c r="I4" s="6" t="n"/>
      <c r="J4" s="6" t="n"/>
    </row>
    <row r="5">
      <c r="A5" s="4" t="n">
        <v>4</v>
      </c>
      <c r="B5" s="5" t="inlineStr">
        <is>
          <t>[1] 32024R1689:36:1:1
[2] 32024R1689:28:1:3
[3] 32024R1689:36:8:27</t>
        </is>
      </c>
      <c r="C5" s="5" t="inlineStr">
        <is>
          <t>[1] De aanmeldende autoriteit
[2] een aanmeldende autoriteit
[3] de aanmeldende autoriteit</t>
        </is>
      </c>
      <c r="D5" s="5" t="inlineStr">
        <is>
          <t>aanmeldende autoriteit</t>
        </is>
      </c>
      <c r="E5" s="5" t="inlineStr">
        <is>
          <t>aanmeldende autoriteit   [32024R1689:aanmeldende_autoriteit]</t>
        </is>
      </c>
      <c r="F5" s="5" t="inlineStr">
        <is>
          <t>Defined in 32024R1689 art. 3: de nationale autoriteit die verantwoordelijk is voor het opzetten en uitvoeren van de noodzakelijke procedures voor de beoordeling, aanwijzing en kennisgeving van de conformiteitsbeoordelingsinstanties en de monitoring hiervan</t>
        </is>
      </c>
      <c r="G5" s="6" t="n"/>
      <c r="H5" s="6" t="n"/>
      <c r="I5" s="6" t="n"/>
      <c r="J5" s="6" t="n"/>
    </row>
    <row r="6">
      <c r="A6" s="4" t="n">
        <v>5</v>
      </c>
      <c r="B6" s="5" t="inlineStr">
        <is>
          <t>32016R0679:65:6:15</t>
        </is>
      </c>
      <c r="C6" s="5" t="inlineStr">
        <is>
          <t>Het in lid 1 van dit artikel bedoelde besluit</t>
        </is>
      </c>
      <c r="D6" s="5" t="inlineStr">
        <is>
          <t>besluit</t>
        </is>
      </c>
      <c r="E6" s="5" t="inlineStr">
        <is>
          <t>not an actor (dropped)</t>
        </is>
      </c>
      <c r="F6" s="5" t="inlineStr"/>
      <c r="G6" s="6" t="n"/>
      <c r="H6" s="6" t="n"/>
      <c r="I6" s="6" t="n"/>
      <c r="J6" s="6" t="n"/>
    </row>
    <row r="7">
      <c r="A7" s="4" t="n">
        <v>6</v>
      </c>
      <c r="B7" s="5" t="inlineStr">
        <is>
          <t>32024R1689:26:8:16</t>
        </is>
      </c>
      <c r="C7" s="5" t="inlineStr">
        <is>
          <t>Gebruiksverantwoordelijken van AI-systemen met een hoog risico die de hoedanigheid van overheidsinstanties of instellingen, organen of instanties van de Unie hebben</t>
        </is>
      </c>
      <c r="D7" s="5" t="inlineStr">
        <is>
          <t>Gebruiksverantwoordelijken van AI-systemen met een hoog risico</t>
        </is>
      </c>
      <c r="E7" s="5" t="inlineStr">
        <is>
          <t>gebruiksverantwoordelijke   [32024R1689:gebruiksverantwoordelijke]</t>
        </is>
      </c>
      <c r="F7" s="5" t="inlineStr">
        <is>
          <t>Defined in 32024R1689 art. 3: een natuurlijke of rechtspersoon, overheidsinstantie, agentschap of ander orgaan die/dat een AI-systeem onder eigen verantwoordelijkheid gebruikt, tenzij het AI-systeem wordt gebruikt in het kader van een persoonlijke niet-beroepsactiviteit</t>
        </is>
      </c>
      <c r="G7" s="6" t="n"/>
      <c r="H7" s="6" t="n"/>
      <c r="I7" s="6" t="n"/>
      <c r="J7" s="6" t="n"/>
    </row>
    <row r="8">
      <c r="A8" s="4" t="n">
        <v>7</v>
      </c>
      <c r="B8" s="5" t="inlineStr">
        <is>
          <t>32016R0679:83:9:14</t>
        </is>
      </c>
      <c r="C8" s="5" t="inlineStr">
        <is>
          <t>De boeten</t>
        </is>
      </c>
      <c r="D8" s="5" t="inlineStr">
        <is>
          <t>boeten</t>
        </is>
      </c>
      <c r="E8" s="5" t="inlineStr">
        <is>
          <t>not an actor (dropped)</t>
        </is>
      </c>
      <c r="F8" s="5" t="inlineStr"/>
      <c r="G8" s="6" t="n"/>
      <c r="H8" s="6" t="n"/>
      <c r="I8" s="6" t="n"/>
      <c r="J8" s="6" t="n"/>
    </row>
    <row r="9">
      <c r="A9" s="4" t="n">
        <v>8</v>
      </c>
      <c r="B9" s="5" t="inlineStr">
        <is>
          <t>32016R0679:42:7:7</t>
        </is>
      </c>
      <c r="C9" s="5" t="inlineStr">
        <is>
          <t>de in artikel 43 bedoelde certificerende organen of door de bevoegde toezichthoudende autoriteit</t>
        </is>
      </c>
      <c r="D9" s="5" t="inlineStr">
        <is>
          <t>bevoegde toezichthoudende autoriteit</t>
        </is>
      </c>
      <c r="E9" s="5" t="inlineStr">
        <is>
          <t>toezichthoudende autoriteit   [32016R0679:toezichthoudende_autoriteit]</t>
        </is>
      </c>
      <c r="F9" s="5" t="inlineStr">
        <is>
          <t>Defined in 32016R0679 art. 4: een door een lidstaat ingevolge artikel 51 ingestelde onafhankelijke overheidsinstantie</t>
        </is>
      </c>
      <c r="G9" s="6" t="n"/>
      <c r="H9" s="6" t="n"/>
      <c r="I9" s="6" t="n"/>
      <c r="J9" s="6" t="n"/>
    </row>
    <row r="10">
      <c r="A10" s="4" t="n">
        <v>9</v>
      </c>
      <c r="B10" s="5" t="inlineStr">
        <is>
          <t>32024R1689:101:5:9</t>
        </is>
      </c>
      <c r="C10" s="5" t="inlineStr">
        <is>
          <t>Het Hof van Justitie van de Europese Unie</t>
        </is>
      </c>
      <c r="D10" s="5" t="inlineStr">
        <is>
          <t>Hof van Justitie van de Europese Unie</t>
        </is>
      </c>
      <c r="E10" s="5" t="inlineStr">
        <is>
          <t>Hof van Justitie   [KEY:EU:hof_van_justitie]</t>
        </is>
      </c>
      <c r="F10" s="5" t="inlineStr">
        <is>
          <t>Known actor (not defined), class institution, valid in eu. Aliases: Hof van Justitie van de Europese Unie.</t>
        </is>
      </c>
      <c r="G10" s="6" t="n"/>
      <c r="H10" s="6" t="n"/>
      <c r="I10" s="6" t="n"/>
      <c r="J10" s="6" t="n"/>
    </row>
    <row r="11">
      <c r="A11" s="4" t="n">
        <v>10</v>
      </c>
      <c r="B11" s="5" t="inlineStr">
        <is>
          <t>32024R1689:30:2:2</t>
        </is>
      </c>
      <c r="C11" s="5" t="inlineStr">
        <is>
          <t>Aanmeldende autoriteiten</t>
        </is>
      </c>
      <c r="D11" s="5" t="inlineStr">
        <is>
          <t>Aanmeldende autoriteiten</t>
        </is>
      </c>
      <c r="E11" s="5" t="inlineStr">
        <is>
          <t>aanmeldende autoriteit   [32024R1689:aanmeldende_autoriteit]</t>
        </is>
      </c>
      <c r="F11" s="5" t="inlineStr">
        <is>
          <t>Defined in 32024R1689 art. 3: de nationale autoriteit die verantwoordelijk is voor het opzetten en uitvoeren van de noodzakelijke procedures voor de beoordeling, aanwijzing en kennisgeving van de conformiteitsbeoordelingsinstanties en de monitoring hiervan</t>
        </is>
      </c>
      <c r="G11" s="6" t="n"/>
      <c r="H11" s="6" t="n"/>
      <c r="I11" s="6" t="n"/>
      <c r="J11" s="6" t="n"/>
    </row>
    <row r="12">
      <c r="A12" s="4" t="n">
        <v>11</v>
      </c>
      <c r="B12" s="5" t="inlineStr">
        <is>
          <t>[1] 32024R1689:56:6:10
[2] 32024R1689:56:6:7
[3] 32024R1689:56:9:20</t>
        </is>
      </c>
      <c r="C12" s="5" t="inlineStr">
        <is>
          <t>[1] Het AI-bureau en de AI-board
[2] Het AI-bureau en de AI-board
[3] Het AI-bureau</t>
        </is>
      </c>
      <c r="D12" s="5" t="inlineStr">
        <is>
          <t>AI-bureau</t>
        </is>
      </c>
      <c r="E12" s="5" t="inlineStr">
        <is>
          <t>AI-bureau   [32024R1689:aibureau]</t>
        </is>
      </c>
      <c r="F12" s="5" t="inlineStr">
        <is>
          <t>Defined in 32024R1689 art. 3: de taak van de Commissie waarbij zij bijdraagt aan de uitvoering van, de monitoring van en het toezicht op AI-systemen en AI-modellen voor algemene doeleinden, en AI-governance, als bepaald in het besluit van de Commissie van 24 januari 2024; verwijzingen in deze verordening naar het AI-bureau worden begrepen als verwijzingen naar de Commissie</t>
        </is>
      </c>
      <c r="G12" s="6" t="n"/>
      <c r="H12" s="6" t="n"/>
      <c r="I12" s="6" t="n"/>
      <c r="J12" s="6" t="n"/>
    </row>
    <row r="13">
      <c r="A13" s="4" t="n">
        <v>12</v>
      </c>
      <c r="B13" s="5" t="inlineStr">
        <is>
          <t>[1] 32024R1689:35:2:2
[2] 32024R1689:52:4:6
[3] 32024R1689:5:6:14</t>
        </is>
      </c>
      <c r="C13" s="5" t="inlineStr">
        <is>
          <t>[1] De Commissie
[2] De Commissie
[3] de Commissie</t>
        </is>
      </c>
      <c r="D13" s="5" t="inlineStr">
        <is>
          <t>Commissie</t>
        </is>
      </c>
      <c r="E13" s="5" t="inlineStr">
        <is>
          <t>Commissie   [KEY:EU:commissie]</t>
        </is>
      </c>
      <c r="F13" s="5" t="inlineStr">
        <is>
          <t>Known actor (not defined), class institution, valid in eu. Aliases: Europese Commissie.</t>
        </is>
      </c>
      <c r="G13" s="6" t="n"/>
      <c r="H13" s="6" t="n"/>
      <c r="I13" s="6" t="n"/>
      <c r="J13" s="6" t="n"/>
    </row>
    <row r="14">
      <c r="A14" s="4" t="n">
        <v>13</v>
      </c>
      <c r="B14" s="5" t="inlineStr">
        <is>
          <t>32016R0679:65:5:9</t>
        </is>
      </c>
      <c r="C14" s="5" t="inlineStr">
        <is>
          <t>De voorzitter van het Comité</t>
        </is>
      </c>
      <c r="D14" s="5" t="inlineStr">
        <is>
          <t>voorzitter van het Comité</t>
        </is>
      </c>
      <c r="E14" s="5" t="inlineStr">
        <is>
          <t>voorzitter   [KEY:32016R0679:voorzitter]</t>
        </is>
      </c>
      <c r="F14" s="5" t="inlineStr">
        <is>
          <t>Known actor (not defined), class office, valid in 32016R0679. Aliases: voorzitter van het Comité. Part of KEY:32016R0679:comite.</t>
        </is>
      </c>
      <c r="G14" s="6" t="n"/>
      <c r="H14" s="6" t="n"/>
      <c r="I14" s="6" t="n"/>
      <c r="J14" s="6" t="n"/>
    </row>
    <row r="15">
      <c r="A15" s="4" t="n">
        <v>14</v>
      </c>
      <c r="B15" s="5" t="inlineStr">
        <is>
          <t>32016R0679:89:1:1</t>
        </is>
      </c>
      <c r="C15" s="5" t="inlineStr">
        <is>
          <t>Die waarborgen</t>
        </is>
      </c>
      <c r="D15" s="5" t="inlineStr">
        <is>
          <t>waarborgen</t>
        </is>
      </c>
      <c r="E15" s="5" t="inlineStr">
        <is>
          <t>not an actor (dropped)</t>
        </is>
      </c>
      <c r="F15" s="5" t="inlineStr"/>
      <c r="G15" s="6" t="n"/>
      <c r="H15" s="6" t="n"/>
      <c r="I15" s="6" t="n"/>
      <c r="J15" s="6" t="n"/>
    </row>
    <row r="16">
      <c r="A16" s="4" t="n">
        <v>15</v>
      </c>
      <c r="B16" s="5" t="inlineStr">
        <is>
          <t>[1] 32024R1689:31:7:7
[2] 32024R1689:31:2:1
[3] 32024R1689:31:6:3</t>
        </is>
      </c>
      <c r="C16" s="5" t="inlineStr">
        <is>
          <t>[1] Aangemelde instanties
[2] Aangemelde instanties
[3] Aangemelde instanties</t>
        </is>
      </c>
      <c r="D16" s="5" t="inlineStr">
        <is>
          <t>Aangemelde instanties</t>
        </is>
      </c>
      <c r="E16" s="5" t="inlineStr">
        <is>
          <t>aangemelde instantie   [32024R1689:aangemelde_instantie]</t>
        </is>
      </c>
      <c r="F16" s="5" t="inlineStr">
        <is>
          <t>Defined in 32024R1689 art. 3: een conformiteitsbeoordelingsinstantie die overeenkomstig deze verordening en andere relevante harmonisatiewetgeving van de Unie, is aangemeld</t>
        </is>
      </c>
      <c r="G16" s="6" t="n"/>
      <c r="H16" s="6" t="n"/>
      <c r="I16" s="6" t="n"/>
      <c r="J16" s="6" t="n"/>
    </row>
    <row r="17">
      <c r="A17" s="4" t="n">
        <v>16</v>
      </c>
      <c r="B17" s="5" t="inlineStr">
        <is>
          <t>32024R1689:30:1:1</t>
        </is>
      </c>
      <c r="C17" s="5" t="inlineStr">
        <is>
          <t>Aanmeldende autoriteiten</t>
        </is>
      </c>
      <c r="D17" s="5" t="inlineStr">
        <is>
          <t>Aanmeldende autoriteiten</t>
        </is>
      </c>
      <c r="E17" s="5" t="inlineStr">
        <is>
          <t>aanmeldende autoriteit   [32024R1689:aanmeldende_autoriteit]</t>
        </is>
      </c>
      <c r="F17" s="5" t="inlineStr">
        <is>
          <t>Defined in 32024R1689 art. 3: de nationale autoriteit die verantwoordelijk is voor het opzetten en uitvoeren van de noodzakelijke procedures voor de beoordeling, aanwijzing en kennisgeving van de conformiteitsbeoordelingsinstanties en de monitoring hiervan</t>
        </is>
      </c>
      <c r="G17" s="6" t="n"/>
      <c r="H17" s="6" t="n"/>
      <c r="I17" s="6" t="n"/>
      <c r="J17" s="6" t="n"/>
    </row>
    <row r="18">
      <c r="A18" s="4" t="n">
        <v>17</v>
      </c>
      <c r="B18" s="5" t="inlineStr">
        <is>
          <t>32016R0679:74:1:3</t>
        </is>
      </c>
      <c r="C18" s="5" t="inlineStr">
        <is>
          <t>De voorzitter</t>
        </is>
      </c>
      <c r="D18" s="5" t="inlineStr">
        <is>
          <t>voorzitter</t>
        </is>
      </c>
      <c r="E18" s="5" t="inlineStr">
        <is>
          <t>voorzitter   [KEY:32016R0679:voorzitter]</t>
        </is>
      </c>
      <c r="F18" s="5" t="inlineStr">
        <is>
          <t>Known actor (not defined), class office, valid in 32016R0679. Aliases: voorzitter van het Comité. Part of KEY:32016R0679:comite.</t>
        </is>
      </c>
      <c r="G18" s="6" t="n"/>
      <c r="H18" s="6" t="n"/>
      <c r="I18" s="6" t="n"/>
      <c r="J18" s="6" t="n"/>
    </row>
    <row r="19">
      <c r="A19" s="4" t="n">
        <v>18</v>
      </c>
      <c r="B19" s="5" t="inlineStr">
        <is>
          <t>32024R1689:90:3:4</t>
        </is>
      </c>
      <c r="C19" s="5" t="inlineStr">
        <is>
          <t>Gekwalificeerde waarschuwingen</t>
        </is>
      </c>
      <c r="D19" s="5" t="inlineStr">
        <is>
          <t>Gekwalificeerde waarschuwingen</t>
        </is>
      </c>
      <c r="E19" s="5" t="inlineStr">
        <is>
          <t>not an actor (dropped)</t>
        </is>
      </c>
      <c r="F19" s="5" t="inlineStr"/>
      <c r="G19" s="6" t="n"/>
      <c r="H19" s="6" t="n"/>
      <c r="I19" s="6" t="n"/>
      <c r="J19" s="6" t="n"/>
    </row>
    <row r="20">
      <c r="A20" s="4" t="n">
        <v>19</v>
      </c>
      <c r="B20" s="5" t="inlineStr">
        <is>
          <t>32024R1689:57:7:10</t>
        </is>
      </c>
      <c r="C20" s="5" t="inlineStr">
        <is>
          <t>markttoezichtautoriteiten en aangemelde instanties</t>
        </is>
      </c>
      <c r="D20" s="5" t="inlineStr">
        <is>
          <t>markttoezichtautoriteiten en aangemelde instanties</t>
        </is>
      </c>
      <c r="E20" s="5" t="inlineStr">
        <is>
          <t>aangemelde instantie   [32024R1689:aangemelde_instantie]</t>
        </is>
      </c>
      <c r="F20" s="5" t="inlineStr">
        <is>
          <t>Defined in 32024R1689 art. 3: een conformiteitsbeoordelingsinstantie die overeenkomstig deze verordening en andere relevante harmonisatiewetgeving van de Unie, is aangemeld</t>
        </is>
      </c>
      <c r="G20" s="6" t="n"/>
      <c r="H20" s="6" t="n"/>
      <c r="I20" s="6" t="n"/>
      <c r="J20" s="6" t="n"/>
    </row>
    <row r="21">
      <c r="A21" s="4" t="n">
        <v>20</v>
      </c>
      <c r="B21" s="5" t="inlineStr">
        <is>
          <t>[1] 32016R0679:39:1:5
[2] 32016R0679:39:1:3
[3] 32016R0679:39:2:9</t>
        </is>
      </c>
      <c r="C21" s="5" t="inlineStr">
        <is>
          <t>[1] de functionaris voor gegevensbescherming
[2] de functionaris voor gegevensbescherming
[3] De functionaris voor gegevensbescherming</t>
        </is>
      </c>
      <c r="D21" s="5" t="inlineStr">
        <is>
          <t>functionaris voor gegevensbescherming</t>
        </is>
      </c>
      <c r="E21" s="5" t="inlineStr">
        <is>
          <t>functionaris voor gegevensbescherming   [KEY:32016R0679:functionaris_voor_gegevensbescherming]</t>
        </is>
      </c>
      <c r="F21" s="5" t="inlineStr">
        <is>
          <t>Known actor (not defined), class office, valid in 32016R0679.</t>
        </is>
      </c>
      <c r="G21" s="6" t="n"/>
      <c r="H21" s="6" t="n"/>
      <c r="I21" s="6" t="n"/>
      <c r="J21" s="6" t="n"/>
    </row>
    <row r="22">
      <c r="A22" s="4" t="n">
        <v>21</v>
      </c>
      <c r="B22" s="5" t="inlineStr">
        <is>
          <t>[1] 32024R1689:59:1:6
[2] 32024R1689:93:1:4
[3] 32024R1689:17:4:6</t>
        </is>
      </c>
      <c r="C22" s="5" t="inlineStr">
        <is>
          <t>[1] aanbieders
[2] aanbieders
[3] aanbieders die in de hoedanigheid van financiële instellingen onderworpen zijn aan eisen met betrekking tot hun interne governance, regelingen of processen uit hoofde van het desbetreffende Unierecht inzake financiële diensten</t>
        </is>
      </c>
      <c r="D22" s="5" t="inlineStr">
        <is>
          <t>aanbieders</t>
        </is>
      </c>
      <c r="E22" s="5" t="inlineStr">
        <is>
          <t>aanbieder   [32024R1689:aanbieder]</t>
        </is>
      </c>
      <c r="F22" s="5" t="inlineStr">
        <is>
          <t>Defined in 32024R1689 art. 3: een natuurlijke of rechtspersoon, overheidsinstantie, agentschap of ander orgaan die/dat een AI-systeem of een AI-model voor algemene doeleinden ontwikkelt of laat ontwikkelen en dat systeem of model in de handel brengt of het AI-systeem in gebruik stelt onder de eigen naam of merk, al dan niet tegen betaling</t>
        </is>
      </c>
      <c r="G22" s="6" t="n"/>
      <c r="H22" s="6" t="n"/>
      <c r="I22" s="6" t="n"/>
      <c r="J22" s="6" t="n"/>
    </row>
    <row r="23">
      <c r="A23" s="4" t="n">
        <v>22</v>
      </c>
      <c r="B23" s="5" t="inlineStr">
        <is>
          <t>32024R1689:78:2:2</t>
        </is>
      </c>
      <c r="C23" s="5" t="inlineStr">
        <is>
          <t>De autoriteiten die op grond van lid 1 bij de toepassing van deze verordening betrokken zijn</t>
        </is>
      </c>
      <c r="D23" s="5" t="inlineStr">
        <is>
          <t>autoriteiten</t>
        </is>
      </c>
      <c r="E23" s="5" t="inlineStr">
        <is>
          <t>an actor of class 'authority' (no inventory entry)</t>
        </is>
      </c>
      <c r="F23" s="5" t="inlineStr"/>
      <c r="G23" s="6" t="n"/>
      <c r="H23" s="6" t="n"/>
      <c r="I23" s="6" t="n"/>
      <c r="J23" s="6" t="n"/>
    </row>
    <row r="24">
      <c r="A24" s="4" t="n">
        <v>23</v>
      </c>
      <c r="B24" s="5" t="inlineStr">
        <is>
          <t>32024R1689:86:1:1</t>
        </is>
      </c>
      <c r="C24" s="5" t="inlineStr">
        <is>
          <t>Elke getroffen persoon</t>
        </is>
      </c>
      <c r="D24" s="5" t="inlineStr">
        <is>
          <t>getroffen persoon</t>
        </is>
      </c>
      <c r="E24" s="5" t="inlineStr">
        <is>
          <t>an actor of class 'person' (no inventory entry)</t>
        </is>
      </c>
      <c r="F24" s="5" t="inlineStr"/>
      <c r="G24" s="6" t="n"/>
      <c r="H24" s="6" t="n"/>
      <c r="I24" s="6" t="n"/>
      <c r="J24" s="6" t="n"/>
    </row>
    <row r="25">
      <c r="A25" s="4" t="n">
        <v>24</v>
      </c>
      <c r="B25" s="5" t="inlineStr">
        <is>
          <t>32024R1689:11:1:3</t>
        </is>
      </c>
      <c r="C25" s="5" t="inlineStr">
        <is>
          <t>Kmo’s, met inbegrip van start-ups, die ervoor kiezen de in bijlage IV vereiste informatie op vereenvoudigde wijze te verstrekken</t>
        </is>
      </c>
      <c r="D25" s="5" t="inlineStr">
        <is>
          <t>Kmo’s</t>
        </is>
      </c>
      <c r="E25" s="5" t="inlineStr">
        <is>
          <t>kmo   [KEY:32024R1689:kmo]</t>
        </is>
      </c>
      <c r="F25" s="5" t="inlineStr">
        <is>
          <t>Known actor (not defined), class party, valid in 32024R1689. Aliases: kmo, met inbegrip van start-ups.</t>
        </is>
      </c>
      <c r="G25" s="6" t="n"/>
      <c r="H25" s="6" t="n"/>
      <c r="I25" s="6" t="n"/>
      <c r="J25" s="6" t="n"/>
    </row>
    <row r="26">
      <c r="A26" s="4" t="n">
        <v>25</v>
      </c>
      <c r="B26" s="5" t="inlineStr">
        <is>
          <t>32024R1689:95:3:2</t>
        </is>
      </c>
      <c r="C26" s="5" t="inlineStr">
        <is>
          <t>Gedragscodes</t>
        </is>
      </c>
      <c r="D26" s="5" t="inlineStr">
        <is>
          <t>Gedragscodes</t>
        </is>
      </c>
      <c r="E26" s="5" t="inlineStr">
        <is>
          <t>not an actor (dropped)</t>
        </is>
      </c>
      <c r="F26" s="5" t="inlineStr"/>
      <c r="G26" s="6" t="n"/>
      <c r="H26" s="6" t="n"/>
      <c r="I26" s="6" t="n"/>
      <c r="J26" s="6" t="n"/>
    </row>
    <row r="27">
      <c r="A27" s="4" t="n">
        <v>26</v>
      </c>
      <c r="B27" s="5" t="inlineStr">
        <is>
          <t>[1] 32016R0679:60:9:21
[2] 32016R0679:60:9:19
[3] 32016R0679:56:6:6</t>
        </is>
      </c>
      <c r="C27" s="5" t="inlineStr">
        <is>
          <t>[1] De leidende toezichthoudende autoriteit
[2] De leidende toezichthoudende autoriteit
[3] De leidende toezichthoudende autoriteit</t>
        </is>
      </c>
      <c r="D27" s="5" t="inlineStr">
        <is>
          <t>leidende toezichthoudende autoriteit</t>
        </is>
      </c>
      <c r="E27" s="5" t="inlineStr">
        <is>
          <t>leidende toezichthoudende autoriteit   [KEY:32016R0679:leidende_toezichthoudende_autoriteit]</t>
        </is>
      </c>
      <c r="F27" s="5" t="inlineStr">
        <is>
          <t>Known actor (not defined), class authority, valid in 32016R0679.</t>
        </is>
      </c>
      <c r="G27" s="6" t="n"/>
      <c r="H27" s="6" t="n"/>
      <c r="I27" s="6" t="n"/>
      <c r="J27" s="6" t="n"/>
    </row>
    <row r="28">
      <c r="A28" s="4" t="n">
        <v>27</v>
      </c>
      <c r="B28" s="5" t="inlineStr">
        <is>
          <t>32024R1689:28:1:4</t>
        </is>
      </c>
      <c r="C28" s="5" t="inlineStr">
        <is>
          <t>Deze procedures</t>
        </is>
      </c>
      <c r="D28" s="5" t="inlineStr">
        <is>
          <t>procedures</t>
        </is>
      </c>
      <c r="E28" s="5" t="inlineStr">
        <is>
          <t>not an actor (dropped)</t>
        </is>
      </c>
      <c r="F28" s="5" t="inlineStr"/>
      <c r="G28" s="6" t="n"/>
      <c r="H28" s="6" t="n"/>
      <c r="I28" s="6" t="n"/>
      <c r="J28" s="6" t="n"/>
    </row>
    <row r="29">
      <c r="A29" s="4" t="n">
        <v>28</v>
      </c>
      <c r="B29" s="5" t="inlineStr">
        <is>
          <t>[1] 32016R0679:50:whole:6
[2] 32016R0679:63:whole:1
[3] 32016R0679:50:whole:2</t>
        </is>
      </c>
      <c r="C29" s="5" t="inlineStr">
        <is>
          <t>[1] de Commissie en de toezichthoudende autoriteiten
[2] de toezichthoudende autoriteiten
[3] de Commissie en de toezichthoudende autoriteiten</t>
        </is>
      </c>
      <c r="D29" s="5" t="inlineStr">
        <is>
          <t>toezichthoudende autoriteiten</t>
        </is>
      </c>
      <c r="E29" s="5" t="inlineStr">
        <is>
          <t>toezichthoudende autoriteit   [32016R0679:toezichthoudende_autoriteit]</t>
        </is>
      </c>
      <c r="F29" s="5" t="inlineStr">
        <is>
          <t>Defined in 32016R0679 art. 4: een door een lidstaat ingevolge artikel 51 ingestelde onafhankelijke overheidsinstantie</t>
        </is>
      </c>
      <c r="G29" s="6" t="n"/>
      <c r="H29" s="6" t="n"/>
      <c r="I29" s="6" t="n"/>
      <c r="J29" s="6" t="n"/>
    </row>
    <row r="30">
      <c r="A30" s="4" t="n">
        <v>29</v>
      </c>
      <c r="B30" s="5" t="inlineStr">
        <is>
          <t>32024R1689:57:12:26</t>
        </is>
      </c>
      <c r="C30" s="5" t="inlineStr">
        <is>
          <t>andere bevoegde autoriteiten die verantwoordelijk zijn voor ander Unierecht en nationaal recht</t>
        </is>
      </c>
      <c r="D30" s="5" t="inlineStr">
        <is>
          <t>bevoegde autoriteiten</t>
        </is>
      </c>
      <c r="E30" s="5" t="inlineStr">
        <is>
          <t>an actor of class 'authority' (no inventory entry)</t>
        </is>
      </c>
      <c r="F30" s="5" t="inlineStr"/>
      <c r="G30" s="6" t="n"/>
      <c r="H30" s="6" t="n"/>
      <c r="I30" s="6" t="n"/>
      <c r="J30" s="6" t="n"/>
    </row>
    <row r="31">
      <c r="A31" s="4" t="n">
        <v>30</v>
      </c>
      <c r="B31" s="5" t="inlineStr">
        <is>
          <t>32024R1689:37:4:7</t>
        </is>
      </c>
      <c r="C31" s="5" t="inlineStr">
        <is>
          <t>de aanmeldende lidstaat</t>
        </is>
      </c>
      <c r="D31" s="5" t="inlineStr">
        <is>
          <t>aanmeldende lidstaat</t>
        </is>
      </c>
      <c r="E31" s="5" t="inlineStr">
        <is>
          <t>lidstaat   [KEY:EU:lidstaat]</t>
        </is>
      </c>
      <c r="F31" s="5" t="inlineStr">
        <is>
          <t>Known actor (not defined), class state, valid in eu.</t>
        </is>
      </c>
      <c r="G31" s="6" t="n"/>
      <c r="H31" s="6" t="n"/>
      <c r="I31" s="6" t="n"/>
      <c r="J31" s="6" t="n"/>
    </row>
    <row r="32">
      <c r="A32" s="4" t="n">
        <v>31</v>
      </c>
      <c r="B32" s="5" t="inlineStr">
        <is>
          <t>[1] 32016R0679:70:1:11
[2] 32016R0679:40:11:18
[3] 32016R0679:72:2:2</t>
        </is>
      </c>
      <c r="C32" s="5" t="inlineStr">
        <is>
          <t>[1] Het Comité
[2] Het Comité
[3] Het Comité</t>
        </is>
      </c>
      <c r="D32" s="5" t="inlineStr">
        <is>
          <t>Comité</t>
        </is>
      </c>
      <c r="E32" s="5" t="inlineStr">
        <is>
          <t>Comité   [KEY:32016R0679:comite]</t>
        </is>
      </c>
      <c r="F32" s="5" t="inlineStr">
        <is>
          <t>Known actor (not defined), class body, valid in 32016R0679. Aliases: Europees Comité voor gegevensbescherming.</t>
        </is>
      </c>
      <c r="G32" s="6" t="n"/>
      <c r="H32" s="6" t="n"/>
      <c r="I32" s="6" t="n"/>
      <c r="J32" s="6" t="n"/>
    </row>
    <row r="33">
      <c r="A33" s="4" t="n">
        <v>32</v>
      </c>
      <c r="B33" s="5" t="inlineStr">
        <is>
          <t>32024R1689:46:3:5</t>
        </is>
      </c>
      <c r="C33" s="5" t="inlineStr">
        <is>
          <t>de markttoezichtautoriteit</t>
        </is>
      </c>
      <c r="D33" s="5" t="inlineStr">
        <is>
          <t>markttoezichtautoriteit</t>
        </is>
      </c>
      <c r="E33" s="5" t="inlineStr">
        <is>
          <t>markttoezichtautoriteit   [32024R1689:markttoezichtautoriteit]</t>
        </is>
      </c>
      <c r="F33" s="5" t="inlineStr">
        <is>
          <t>Defined in 32024R1689 art. 3: de nationale autoriteit die de activiteiten verricht en maatregelen neemt als bedoeld in Verordening (EU) 2019/1020</t>
        </is>
      </c>
      <c r="G33" s="6" t="n"/>
      <c r="H33" s="6" t="n"/>
      <c r="I33" s="6" t="n"/>
      <c r="J33" s="6" t="n"/>
    </row>
    <row r="34">
      <c r="A34" s="4" t="n">
        <v>33</v>
      </c>
      <c r="B34" s="5" t="inlineStr">
        <is>
          <t>32024R1689:50:2:2</t>
        </is>
      </c>
      <c r="C34" s="5" t="inlineStr">
        <is>
          <t>Aanbieders van AI-systemen, met inbegrip van AI-systemen voor algemene doeleinden</t>
        </is>
      </c>
      <c r="D34" s="5" t="inlineStr">
        <is>
          <t>Aanbieders van AI-systemen</t>
        </is>
      </c>
      <c r="E34" s="5" t="inlineStr">
        <is>
          <t>aanbieder   [32024R1689:aanbieder]</t>
        </is>
      </c>
      <c r="F34" s="5" t="inlineStr">
        <is>
          <t>Defined in 32024R1689 art. 3: een natuurlijke of rechtspersoon, overheidsinstantie, agentschap of ander orgaan die/dat een AI-systeem of een AI-model voor algemene doeleinden ontwikkelt of laat ontwikkelen en dat systeem of model in de handel brengt of het AI-systeem in gebruik stelt onder de eigen naam of merk, al dan niet tegen betaling</t>
        </is>
      </c>
      <c r="G34" s="6" t="n"/>
      <c r="H34" s="6" t="n"/>
      <c r="I34" s="6" t="n"/>
      <c r="J34" s="6" t="n"/>
    </row>
    <row r="35">
      <c r="A35" s="4" t="n">
        <v>34</v>
      </c>
      <c r="B35" s="5" t="inlineStr">
        <is>
          <t>32024R1689:97:3:3</t>
        </is>
      </c>
      <c r="C35" s="5" t="inlineStr">
        <is>
          <t>Het besluit tot intrekking</t>
        </is>
      </c>
      <c r="D35" s="5" t="inlineStr">
        <is>
          <t>besluit tot intrekking</t>
        </is>
      </c>
      <c r="E35" s="5" t="inlineStr">
        <is>
          <t>not an actor (dropped)</t>
        </is>
      </c>
      <c r="F35" s="5" t="inlineStr"/>
      <c r="G35" s="6" t="n"/>
      <c r="H35" s="6" t="n"/>
      <c r="I35" s="6" t="n"/>
      <c r="J35" s="6" t="n"/>
    </row>
    <row r="36">
      <c r="A36" s="4" t="n">
        <v>35</v>
      </c>
      <c r="B36" s="5" t="inlineStr">
        <is>
          <t>32016R0679:75:6:9</t>
        </is>
      </c>
      <c r="C36" s="5" t="inlineStr">
        <is>
          <t>Het secretariaat</t>
        </is>
      </c>
      <c r="D36" s="5" t="inlineStr">
        <is>
          <t>secretariaat</t>
        </is>
      </c>
      <c r="E36" s="5" t="inlineStr">
        <is>
          <t>secretariaat   [KEY:32016R0679:secretariaat]</t>
        </is>
      </c>
      <c r="F36" s="5" t="inlineStr">
        <is>
          <t>Known actor (not defined), class office, valid in 32016R0679. Aliases: secretariaat van het Comité. Part of KEY:32016R0679:comite.</t>
        </is>
      </c>
      <c r="G36" s="6" t="n"/>
      <c r="H36" s="6" t="n"/>
      <c r="I36" s="6" t="n"/>
      <c r="J36" s="6" t="n"/>
    </row>
    <row r="37">
      <c r="A37" s="4" t="n">
        <v>36</v>
      </c>
      <c r="B37" s="5" t="inlineStr">
        <is>
          <t>[1] 32016R0679:58:2:13
[2] 32016R0679:56:3:4
[3] 32016R0679:40:6:12</t>
        </is>
      </c>
      <c r="C37" s="5" t="inlineStr">
        <is>
          <t>[1] Elk toezichthoudende autoriteit
[2] de toezichthoudende autoriteit
[3] de toezichthoudende autoriteit</t>
        </is>
      </c>
      <c r="D37" s="5" t="inlineStr">
        <is>
          <t>toezichthoudende autoriteit</t>
        </is>
      </c>
      <c r="E37" s="5" t="inlineStr">
        <is>
          <t>toezichthoudende autoriteit   [32016R0679:toezichthoudende_autoriteit]</t>
        </is>
      </c>
      <c r="F37" s="5" t="inlineStr">
        <is>
          <t>Defined in 32016R0679 art. 4: een door een lidstaat ingevolge artikel 51 ingestelde onafhankelijke overheidsinstantie</t>
        </is>
      </c>
      <c r="G37" s="6" t="n"/>
      <c r="H37" s="6" t="n"/>
      <c r="I37" s="6" t="n"/>
      <c r="J37" s="6" t="n"/>
    </row>
    <row r="38">
      <c r="A38" s="4" t="n">
        <v>37</v>
      </c>
      <c r="B38" s="5" t="inlineStr">
        <is>
          <t>[1] 32016R0679:15:1:2
[2] 32016R0679:17:1:1
[3] 32016R0679:22:1:1</t>
        </is>
      </c>
      <c r="C38" s="5" t="inlineStr">
        <is>
          <t>[1] De betrokkene
[2] De betrokkene
[3] De betrokkene</t>
        </is>
      </c>
      <c r="D38" s="5" t="inlineStr">
        <is>
          <t>betrokkene</t>
        </is>
      </c>
      <c r="E38" s="5" t="inlineStr">
        <is>
          <t>de betrokkene   [32016R0679:de_betrokkene]</t>
        </is>
      </c>
      <c r="F38" s="5" t="inlineStr">
        <is>
          <t>Defined in 32016R0679 art. 4: alle informatie over een geïdentificeerde of identificeerbare natuurlijke persoon</t>
        </is>
      </c>
      <c r="G38" s="6" t="n"/>
      <c r="H38" s="6" t="n"/>
      <c r="I38" s="6" t="n"/>
      <c r="J38" s="6" t="n"/>
    </row>
    <row r="39">
      <c r="A39" s="4" t="n">
        <v>38</v>
      </c>
      <c r="B39" s="5" t="inlineStr">
        <is>
          <t>[1] 32016R0679:37:4:5
[2] 32016R0679:28:4:7
[3] 32016R0679:27:4:4</t>
        </is>
      </c>
      <c r="C39" s="5" t="inlineStr">
        <is>
          <t>[1] de verwerkingsverantwoordelijke of de verwerker of verenigingen en andere organen die categorieën van verwerkingsverantwoordelijken of verwerkers vertegenwoordigen
[2] de andere verwerker
[3] de verwerkingsverantwoordelijke of de verwerker</t>
        </is>
      </c>
      <c r="D39" s="5" t="inlineStr">
        <is>
          <t>verwerker</t>
        </is>
      </c>
      <c r="E39" s="5" t="inlineStr">
        <is>
          <t>verwerker   [32016R0679:verwerker]</t>
        </is>
      </c>
      <c r="F39" s="5" t="inlineStr">
        <is>
          <t>Defined in 32016R0679 art. 4: een natuurlijke persoon of rechtspersoon, een overheidsinstantie, een dienst of een ander orgaan die/dat ten behoeve van de verwerkingsverantwoordelijke persoonsgegevens verwerkt</t>
        </is>
      </c>
      <c r="G39" s="6" t="n"/>
      <c r="H39" s="6" t="n"/>
      <c r="I39" s="6" t="n"/>
      <c r="J39" s="6" t="n"/>
    </row>
    <row r="40">
      <c r="A40" s="4" t="n">
        <v>39</v>
      </c>
      <c r="B40" s="5" t="inlineStr">
        <is>
          <t>32016R0679:41:1:1</t>
        </is>
      </c>
      <c r="C40" s="5" t="inlineStr">
        <is>
          <t>een orgaan</t>
        </is>
      </c>
      <c r="D40" s="5" t="inlineStr">
        <is>
          <t>orgaan</t>
        </is>
      </c>
      <c r="E40" s="5" t="inlineStr">
        <is>
          <t>an actor of class 'body' (no inventory entry)</t>
        </is>
      </c>
      <c r="F40" s="5" t="inlineStr"/>
      <c r="G40" s="6" t="n"/>
      <c r="H40" s="6" t="n"/>
      <c r="I40" s="6" t="n"/>
      <c r="J40" s="6" t="n"/>
    </row>
    <row r="41">
      <c r="A41" s="4" t="n">
        <v>40</v>
      </c>
      <c r="B41" s="5" t="inlineStr">
        <is>
          <t>[1] 32024R1689:26:5:10
[2] 32024R1689:26:5:9
[3] 32024R1689:27:2:3</t>
        </is>
      </c>
      <c r="C41" s="5" t="inlineStr">
        <is>
          <t>[1] de gebruiksverantwoordelijke
[2] gebruiksverantwoordelijke
[3] de gebruiksverantwoordelijke</t>
        </is>
      </c>
      <c r="D41" s="5" t="inlineStr">
        <is>
          <t>gebruiksverantwoordelijke</t>
        </is>
      </c>
      <c r="E41" s="5" t="inlineStr">
        <is>
          <t>gebruiksverantwoordelijke   [32024R1689:gebruiksverantwoordelijke]</t>
        </is>
      </c>
      <c r="F41" s="5" t="inlineStr">
        <is>
          <t>Defined in 32024R1689 art. 3: een natuurlijke of rechtspersoon, overheidsinstantie, agentschap of ander orgaan die/dat een AI-systeem onder eigen verantwoordelijkheid gebruikt, tenzij het AI-systeem wordt gebruikt in het kader van een persoonlijke niet-beroepsactiviteit</t>
        </is>
      </c>
      <c r="G41" s="6" t="n"/>
      <c r="H41" s="6" t="n"/>
      <c r="I41" s="6" t="n"/>
      <c r="J41" s="6" t="n"/>
    </row>
    <row r="42">
      <c r="A42" s="4" t="n">
        <v>41</v>
      </c>
      <c r="B42" s="5" t="inlineStr">
        <is>
          <t>32024R1689:77:1:2</t>
        </is>
      </c>
      <c r="C42" s="5" t="inlineStr">
        <is>
          <t>De overheidsinstantie of het overheidsorgaan in kwestie</t>
        </is>
      </c>
      <c r="D42" s="5" t="inlineStr">
        <is>
          <t>overheidsorgaan</t>
        </is>
      </c>
      <c r="E42" s="5" t="inlineStr">
        <is>
          <t>an actor of class 'body' (no inventory entry)</t>
        </is>
      </c>
      <c r="F42" s="5" t="inlineStr"/>
      <c r="G42" s="6" t="n"/>
      <c r="H42" s="6" t="n"/>
      <c r="I42" s="6" t="n"/>
      <c r="J42" s="6" t="n"/>
    </row>
    <row r="43">
      <c r="A43" s="4" t="n">
        <v>42</v>
      </c>
      <c r="B43" s="5" t="inlineStr">
        <is>
          <t>32024R1689:80:8:8</t>
        </is>
      </c>
      <c r="C43" s="5" t="inlineStr">
        <is>
          <t>markttoezichtautoriteiten</t>
        </is>
      </c>
      <c r="D43" s="5" t="inlineStr">
        <is>
          <t>markttoezichtautoriteiten</t>
        </is>
      </c>
      <c r="E43" s="5" t="inlineStr">
        <is>
          <t>markttoezichtautoriteit   [32024R1689:markttoezichtautoriteit]</t>
        </is>
      </c>
      <c r="F43" s="5" t="inlineStr">
        <is>
          <t>Defined in 32024R1689 art. 3: de nationale autoriteit die de activiteiten verricht en maatregelen neemt als bedoeld in Verordening (EU) 2019/1020</t>
        </is>
      </c>
      <c r="G43" s="6" t="n"/>
      <c r="H43" s="6" t="n"/>
      <c r="I43" s="6" t="n"/>
      <c r="J43" s="6" t="n"/>
    </row>
    <row r="44">
      <c r="A44" s="4" t="n">
        <v>43</v>
      </c>
      <c r="B44" s="5" t="inlineStr">
        <is>
          <t>[1] 32024R1689:99:2:6
[2] 32024R1689:69:2:2
[3] 32024R1689:99:1:1</t>
        </is>
      </c>
      <c r="C44" s="5" t="inlineStr">
        <is>
          <t>[1] De lidstaten
[2] De lidstaten
[3] de lidstaten</t>
        </is>
      </c>
      <c r="D44" s="5" t="inlineStr">
        <is>
          <t>lidstaten</t>
        </is>
      </c>
      <c r="E44" s="5" t="inlineStr">
        <is>
          <t>lidstaat   [KEY:EU:lidstaat]</t>
        </is>
      </c>
      <c r="F44" s="5" t="inlineStr">
        <is>
          <t>Known actor (not defined), class state, valid in eu.</t>
        </is>
      </c>
      <c r="G44" s="6" t="n"/>
      <c r="H44" s="6" t="n"/>
      <c r="I44" s="6" t="n"/>
      <c r="J44" s="6" t="n"/>
    </row>
    <row r="45">
      <c r="A45" s="4" t="n">
        <v>44</v>
      </c>
      <c r="B45" s="5" t="inlineStr">
        <is>
          <t>32016R0679:26:2:1</t>
        </is>
      </c>
      <c r="C45" s="5" t="inlineStr">
        <is>
          <t>de gezamenlijke verwerkingsverantwoordelijken</t>
        </is>
      </c>
      <c r="D45" s="5" t="inlineStr">
        <is>
          <t>gezamenlijke verwerkingsverantwoordelijken</t>
        </is>
      </c>
      <c r="E45" s="5" t="inlineStr">
        <is>
          <t>verwerkingsverantwoordelijke   [32016R0679:verwerkingsverantwoordelijke]</t>
        </is>
      </c>
      <c r="F45" s="5" t="inlineStr">
        <is>
          <t>Defined in 32016R0679 art. 4: een natuurlijke persoon of rechtspersoon, een overheidsinstantie, een dienst of een ander orgaan die/dat, alleen of samen met anderen, het doel van en de middelen voor de verwerking van persoonsgegevens vaststelt; wanneer de doelstellingen van en de middelen voor deze verwerking in het Unierecht of het lidstatelijke recht worden vastgesteld, kan daarin worden bepaald wie de verwerkingsverantwoordelijke is of volgens welke criteria deze wordt aangewezen</t>
        </is>
      </c>
      <c r="G45" s="6" t="n"/>
      <c r="H45" s="6" t="n"/>
      <c r="I45" s="6" t="n"/>
      <c r="J45" s="6" t="n"/>
    </row>
    <row r="46">
      <c r="A46" s="4" t="n">
        <v>45</v>
      </c>
      <c r="B46" s="5" t="inlineStr">
        <is>
          <t>32024R1689:58:1:2</t>
        </is>
      </c>
      <c r="C46" s="5" t="inlineStr">
        <is>
          <t>de uitvoeringshandelingen</t>
        </is>
      </c>
      <c r="D46" s="5" t="inlineStr">
        <is>
          <t>uitvoeringshandelingen</t>
        </is>
      </c>
      <c r="E46" s="5" t="inlineStr">
        <is>
          <t>not an actor (dropped)</t>
        </is>
      </c>
      <c r="F46" s="5" t="inlineStr"/>
      <c r="G46" s="6" t="n"/>
      <c r="H46" s="6" t="n"/>
      <c r="I46" s="6" t="n"/>
      <c r="J46" s="6" t="n"/>
    </row>
    <row r="47">
      <c r="A47" s="4" t="n">
        <v>46</v>
      </c>
      <c r="B47" s="5" t="inlineStr">
        <is>
          <t>32024R1689:92:6:9</t>
        </is>
      </c>
      <c r="C47" s="5" t="inlineStr">
        <is>
          <t>Die uitvoeringshandelingen</t>
        </is>
      </c>
      <c r="D47" s="5" t="inlineStr">
        <is>
          <t>uitvoeringshandelingen</t>
        </is>
      </c>
      <c r="E47" s="5" t="inlineStr">
        <is>
          <t>not an actor (dropped)</t>
        </is>
      </c>
      <c r="F47" s="5" t="inlineStr"/>
      <c r="G47" s="6" t="n"/>
      <c r="H47" s="6" t="n"/>
      <c r="I47" s="6" t="n"/>
      <c r="J47" s="6" t="n"/>
    </row>
    <row r="48">
      <c r="A48" s="4" t="n">
        <v>47</v>
      </c>
      <c r="B48" s="5" t="inlineStr">
        <is>
          <t>32016R0679:62:3:6</t>
        </is>
      </c>
      <c r="C48" s="5" t="inlineStr">
        <is>
          <t>De leden of de personeelsleden van de ondersteunende toezichthoudende autoriteit</t>
        </is>
      </c>
      <c r="D48" s="5" t="inlineStr">
        <is>
          <t>personeelsleden van de ondersteunende toezichthoudende autoriteit</t>
        </is>
      </c>
      <c r="E48" s="5" t="inlineStr">
        <is>
          <t>an actor of class 'office' (no inventory entry)</t>
        </is>
      </c>
      <c r="F48" s="5" t="inlineStr"/>
      <c r="G48" s="6" t="n"/>
      <c r="H48" s="6" t="n"/>
      <c r="I48" s="6" t="n"/>
      <c r="J48" s="6" t="n"/>
    </row>
    <row r="49">
      <c r="A49" s="4" t="n">
        <v>48</v>
      </c>
      <c r="B49" s="5" t="inlineStr">
        <is>
          <t>32024R1689:5:6:15</t>
        </is>
      </c>
      <c r="C49" s="5" t="inlineStr">
        <is>
          <t>Nationale markttoezichtautoriteiten en nationale gegevensbeschermingsautoriteiten van lidstaten die op grond van lid 4 in kennis zijn gesteld van het gebruik van systemen voor biometrische identificatie op afstand in real time in openbare ruimten met het oog op de rechtshandhaving</t>
        </is>
      </c>
      <c r="D49" s="5" t="inlineStr">
        <is>
          <t>Nationale markttoezichtautoriteiten</t>
        </is>
      </c>
      <c r="E49" s="5" t="inlineStr">
        <is>
          <t>markttoezichtautoriteit   [32024R1689:markttoezichtautoriteit]</t>
        </is>
      </c>
      <c r="F49" s="5" t="inlineStr">
        <is>
          <t>Defined in 32024R1689 art. 3: de nationale autoriteit die de activiteiten verricht en maatregelen neemt als bedoeld in Verordening (EU) 2019/1020</t>
        </is>
      </c>
      <c r="G49" s="6" t="n"/>
      <c r="H49" s="6" t="n"/>
      <c r="I49" s="6" t="n"/>
      <c r="J49" s="6" t="n"/>
    </row>
    <row r="50">
      <c r="A50" s="4" t="n">
        <v>49</v>
      </c>
      <c r="B50" s="5" t="inlineStr">
        <is>
          <t>32024R1689:85:whole:1</t>
        </is>
      </c>
      <c r="C50" s="5" t="inlineStr">
        <is>
          <t>de relevante markttoezichtautoriteit</t>
        </is>
      </c>
      <c r="D50" s="5" t="inlineStr">
        <is>
          <t>relevante markttoezichtautoriteit</t>
        </is>
      </c>
      <c r="E50" s="5" t="inlineStr">
        <is>
          <t>markttoezichtautoriteit   [32024R1689:markttoezichtautoriteit]</t>
        </is>
      </c>
      <c r="F50" s="5" t="inlineStr">
        <is>
          <t>Defined in 32024R1689 art. 3: de nationale autoriteit die de activiteiten verricht en maatregelen neemt als bedoeld in Verordening (EU) 2019/1020</t>
        </is>
      </c>
      <c r="G50" s="6" t="n"/>
      <c r="H50" s="6" t="n"/>
      <c r="I50" s="6" t="n"/>
      <c r="J50" s="6" t="n"/>
    </row>
    <row r="51">
      <c r="A51" s="4" t="n">
        <v>50</v>
      </c>
      <c r="B51" s="5" t="inlineStr">
        <is>
          <t>32016R0679:64:5:10</t>
        </is>
      </c>
      <c r="C51" s="5" t="inlineStr">
        <is>
          <t>De voorzitter van het Comité</t>
        </is>
      </c>
      <c r="D51" s="5" t="inlineStr">
        <is>
          <t>voorzitter van het Comité</t>
        </is>
      </c>
      <c r="E51" s="5" t="inlineStr">
        <is>
          <t>voorzitter   [KEY:32016R0679:voorzitter]</t>
        </is>
      </c>
      <c r="F51" s="5" t="inlineStr">
        <is>
          <t>Known actor (not defined), class office, valid in 32016R0679. Aliases: voorzitter van het Comité. Part of KEY:32016R0679:comite.</t>
        </is>
      </c>
      <c r="G51" s="6" t="n"/>
      <c r="H51" s="6" t="n"/>
      <c r="I51" s="6" t="n"/>
      <c r="J51" s="6" t="n"/>
    </row>
    <row r="52">
      <c r="A52" s="4" t="n">
        <v>51</v>
      </c>
      <c r="B52" s="5" t="inlineStr">
        <is>
          <t>32016R0679:52:3:5</t>
        </is>
      </c>
      <c r="C52" s="5" t="inlineStr">
        <is>
          <t>De leden van toezichthoudende autoriteiten</t>
        </is>
      </c>
      <c r="D52" s="5" t="inlineStr">
        <is>
          <t>leden van toezichthoudende autoriteiten</t>
        </is>
      </c>
      <c r="E52" s="5" t="inlineStr">
        <is>
          <t>an actor of class 'office' (no inventory entry)</t>
        </is>
      </c>
      <c r="F52" s="5" t="inlineStr"/>
      <c r="G52" s="6" t="n"/>
      <c r="H52" s="6" t="n"/>
      <c r="I52" s="6" t="n"/>
      <c r="J52" s="6" t="n"/>
    </row>
    <row r="53">
      <c r="A53" s="4" t="n">
        <v>52</v>
      </c>
      <c r="B53" s="5" t="inlineStr">
        <is>
          <t>[1] 32024R1689:16:whole:12
[2] 32024R1689:16:whole:10
[3] 32024R1689:19:1:1</t>
        </is>
      </c>
      <c r="C53" s="5" t="inlineStr">
        <is>
          <t>[1] Aanbieders van AI-systemen met een hoog risico
[2] Aanbieders van AI-systemen met een hoog risico
[3] Aanbieders van AI-systemen met een hoog risico</t>
        </is>
      </c>
      <c r="D53" s="5" t="inlineStr">
        <is>
          <t>Aanbieders van AI-systemen met een hoog risico</t>
        </is>
      </c>
      <c r="E53" s="5" t="inlineStr">
        <is>
          <t>aanbieder   [32024R1689:aanbieder]</t>
        </is>
      </c>
      <c r="F53" s="5" t="inlineStr">
        <is>
          <t>Defined in 32024R1689 art. 3: een natuurlijke of rechtspersoon, overheidsinstantie, agentschap of ander orgaan die/dat een AI-systeem of een AI-model voor algemene doeleinden ontwikkelt of laat ontwikkelen en dat systeem of model in de handel brengt of het AI-systeem in gebruik stelt onder de eigen naam of merk, al dan niet tegen betaling</t>
        </is>
      </c>
      <c r="G53" s="6" t="n"/>
      <c r="H53" s="6" t="n"/>
      <c r="I53" s="6" t="n"/>
      <c r="J53" s="6" t="n"/>
    </row>
    <row r="54">
      <c r="A54" s="4" t="n">
        <v>53</v>
      </c>
      <c r="B54" s="5" t="inlineStr">
        <is>
          <t>32016R0679:40:5:8</t>
        </is>
      </c>
      <c r="C54" s="5" t="inlineStr">
        <is>
          <t>De in lid 2 van dit artikel bedoelde verenigingen en andere organen</t>
        </is>
      </c>
      <c r="D54" s="5" t="inlineStr">
        <is>
          <t>verenigingen</t>
        </is>
      </c>
      <c r="E54" s="5" t="inlineStr">
        <is>
          <t>vereniging   [KEY:32016R0679:vereniging]</t>
        </is>
      </c>
      <c r="F54" s="5" t="inlineStr">
        <is>
          <t>Known actor (not defined), class party, valid in 32016R0679. Aliases: verenigingen en andere organen die categorieën van verwerkingsverantwoordelijken of verwerkers vertegenwoordigen.</t>
        </is>
      </c>
      <c r="G54" s="6" t="n"/>
      <c r="H54" s="6" t="n"/>
      <c r="I54" s="6" t="n"/>
      <c r="J54" s="6" t="n"/>
    </row>
    <row r="55">
      <c r="A55" s="4" t="n">
        <v>54</v>
      </c>
      <c r="B55" s="5" t="inlineStr">
        <is>
          <t>[1] 32016R0679:54:1:7
[2] 32024R1689:99:8:13
[3] 32016R0679:83:7:8</t>
        </is>
      </c>
      <c r="C55" s="5" t="inlineStr">
        <is>
          <t>[1] Elke lidstaat
[2] Elke lidstaat
[3] elke lidstaat</t>
        </is>
      </c>
      <c r="D55" s="5" t="inlineStr">
        <is>
          <t>lidstaat</t>
        </is>
      </c>
      <c r="E55" s="5" t="inlineStr">
        <is>
          <t>lidstaat   [KEY:EU:lidstaat]</t>
        </is>
      </c>
      <c r="F55" s="5" t="inlineStr">
        <is>
          <t>Known actor (not defined), class state, valid in eu.</t>
        </is>
      </c>
      <c r="G55" s="6" t="n"/>
      <c r="H55" s="6" t="n"/>
      <c r="I55" s="6" t="n"/>
      <c r="J55" s="6" t="n"/>
    </row>
    <row r="56">
      <c r="A56" s="4" t="n">
        <v>55</v>
      </c>
      <c r="B56" s="5" t="inlineStr">
        <is>
          <t>32024R1689:95:3:1</t>
        </is>
      </c>
      <c r="C56" s="5" t="inlineStr">
        <is>
          <t>individuele aanbieders of gebruiksverantwoordelijken van AI-systemen of door organisaties die hen vertegenwoordigen, of allebei</t>
        </is>
      </c>
      <c r="D56" s="5" t="inlineStr">
        <is>
          <t>organisaties</t>
        </is>
      </c>
      <c r="E56" s="5" t="inlineStr">
        <is>
          <t>an actor of class 'party' (no inventory entry)</t>
        </is>
      </c>
      <c r="F56" s="5" t="inlineStr"/>
      <c r="G56" s="6" t="n"/>
      <c r="H56" s="6" t="n"/>
      <c r="I56" s="6" t="n"/>
      <c r="J56" s="6" t="n"/>
    </row>
    <row r="57">
      <c r="A57" s="4" t="n">
        <v>56</v>
      </c>
      <c r="B57" s="5" t="inlineStr">
        <is>
          <t>32024R1689:57:12:24</t>
        </is>
      </c>
      <c r="C57" s="5" t="inlineStr">
        <is>
          <t>Aanbieders en potentiële aanbieders die deelnemen aan de AI-testomgeving voor regelgeving</t>
        </is>
      </c>
      <c r="D57" s="5" t="inlineStr">
        <is>
          <t>potentiële aanbieders</t>
        </is>
      </c>
      <c r="E57" s="5" t="inlineStr">
        <is>
          <t>aanbieder   [32024R1689:aanbieder]</t>
        </is>
      </c>
      <c r="F57" s="5" t="inlineStr">
        <is>
          <t>Defined in 32024R1689 art. 3: een natuurlijke of rechtspersoon, overheidsinstantie, agentschap of ander orgaan die/dat een AI-systeem of een AI-model voor algemene doeleinden ontwikkelt of laat ontwikkelen en dat systeem of model in de handel brengt of het AI-systeem in gebruik stelt onder de eigen naam of merk, al dan niet tegen betaling</t>
        </is>
      </c>
      <c r="G57" s="6" t="n"/>
      <c r="H57" s="6" t="n"/>
      <c r="I57" s="6" t="n"/>
      <c r="J57" s="6" t="n"/>
    </row>
    <row r="58">
      <c r="A58" s="4" t="n">
        <v>57</v>
      </c>
      <c r="B58" s="5" t="inlineStr">
        <is>
          <t>32016R0679:46:5:6</t>
        </is>
      </c>
      <c r="C58" s="5" t="inlineStr">
        <is>
          <t>Toestemmingen die een lidstaat of een toezichthoudende autoriteit op grond van artikel 26, lid 2, van Richtlijn 95/46/EG heeft verleend</t>
        </is>
      </c>
      <c r="D58" s="5" t="inlineStr">
        <is>
          <t>Toestemmingen</t>
        </is>
      </c>
      <c r="E58" s="5" t="inlineStr">
        <is>
          <t>not an actor (dropped)</t>
        </is>
      </c>
      <c r="F58" s="5" t="inlineStr"/>
      <c r="G58" s="6" t="n"/>
      <c r="H58" s="6" t="n"/>
      <c r="I58" s="6" t="n"/>
      <c r="J58" s="6" t="n"/>
    </row>
    <row r="59">
      <c r="A59" s="4" t="n">
        <v>58</v>
      </c>
      <c r="B59" s="5" t="inlineStr">
        <is>
          <t>32024R1689:33:3:4</t>
        </is>
      </c>
      <c r="C59" s="5" t="inlineStr">
        <is>
          <t>een onderaannemer of dochteronderneming</t>
        </is>
      </c>
      <c r="D59" s="5" t="inlineStr">
        <is>
          <t>dochteronderneming</t>
        </is>
      </c>
      <c r="E59" s="5" t="inlineStr">
        <is>
          <t>an actor of class 'party' (no inventory entry)</t>
        </is>
      </c>
      <c r="F59" s="5" t="inlineStr"/>
      <c r="G59" s="6" t="n"/>
      <c r="H59" s="6" t="n"/>
      <c r="I59" s="6" t="n"/>
      <c r="J59" s="6" t="n"/>
    </row>
    <row r="60">
      <c r="A60" s="4" t="n">
        <v>59</v>
      </c>
      <c r="B60" s="5" t="inlineStr">
        <is>
          <t>32024R1689:50:3:5</t>
        </is>
      </c>
      <c r="C60" s="5" t="inlineStr">
        <is>
          <t>Gebruiksverantwoordelijken van een systeem voor het herkennen van emoties of een systeem voor biometrische categorisering</t>
        </is>
      </c>
      <c r="D60" s="5" t="inlineStr">
        <is>
          <t>Gebruiksverantwoordelijken van een systeem voor het herkennen van emoties of een systeem voor biometrische categorisering</t>
        </is>
      </c>
      <c r="E60" s="5" t="inlineStr">
        <is>
          <t>gebruiksverantwoordelijke   [32024R1689:gebruiksverantwoordelijke]</t>
        </is>
      </c>
      <c r="F60" s="5" t="inlineStr">
        <is>
          <t>Defined in 32024R1689 art. 3: een natuurlijke of rechtspersoon, overheidsinstantie, agentschap of ander orgaan die/dat een AI-systeem onder eigen verantwoordelijkheid gebruikt, tenzij het AI-systeem wordt gebruikt in het kader van een persoonlijke niet-beroepsactiviteit</t>
        </is>
      </c>
      <c r="G60" s="6" t="n"/>
      <c r="H60" s="6" t="n"/>
      <c r="I60" s="6" t="n"/>
      <c r="J60" s="6" t="n"/>
    </row>
    <row r="61">
      <c r="A61" s="4" t="n">
        <v>60</v>
      </c>
      <c r="B61" s="5" t="inlineStr">
        <is>
          <t>[1] 32024R1689:70:8:14
[2] 32024R1689:57:11:19
[3] 32024R1689:70:3:7</t>
        </is>
      </c>
      <c r="C61" s="5" t="inlineStr">
        <is>
          <t>[1] de nationale bevoegde autoriteiten
[2] De nationale bevoegde autoriteiten
[3] De nationale bevoegde autoriteiten</t>
        </is>
      </c>
      <c r="D61" s="5" t="inlineStr">
        <is>
          <t>nationale bevoegde autoriteiten</t>
        </is>
      </c>
      <c r="E61" s="5" t="inlineStr">
        <is>
          <t>nationale bevoegde autoriteit   [32024R1689:nationale_bevoegde_autoriteit]</t>
        </is>
      </c>
      <c r="F61" s="5" t="inlineStr">
        <is>
          <t>Defined in 32024R1689 art. 3: een aanmeldende autoriteit of een de markttoezichtautoriteit; wat betreft AI-systemen die door instellingen, organen en instanties van de EU in gebruik worden gesteld of worden gebruikt, worden verwijzingen naar nationale bevoegde autoriteiten of markttoezichtautoriteiten in deze verordening begrepen als verwijzingen naar de Europese Toezichthouder voor gegevensbescherming</t>
        </is>
      </c>
      <c r="G61" s="6" t="n"/>
      <c r="H61" s="6" t="n"/>
      <c r="I61" s="6" t="n"/>
      <c r="J61" s="6" t="n"/>
    </row>
    <row r="62">
      <c r="A62" s="4" t="n">
        <v>61</v>
      </c>
      <c r="B62" s="5" t="inlineStr">
        <is>
          <t>32024R1689:25:1:1</t>
        </is>
      </c>
      <c r="C62" s="5" t="inlineStr">
        <is>
          <t>een distributeur, importeur, gebruiksverantwoordelijke of derde</t>
        </is>
      </c>
      <c r="D62" s="5" t="inlineStr">
        <is>
          <t>importeur</t>
        </is>
      </c>
      <c r="E62" s="5" t="inlineStr">
        <is>
          <t>importeur   [32024R1689:importeur]</t>
        </is>
      </c>
      <c r="F62" s="5" t="inlineStr">
        <is>
          <t>Defined in 32024R1689 art. 3: een natuurlijke of rechtspersoon die zich bevindt of gevestigd is in de Unie die een AI-systeem in de handel brengt dat de naam of het merk van een in een derde land gevestigde natuurlijke of rechtspersoon draagt</t>
        </is>
      </c>
      <c r="G62" s="6" t="n"/>
      <c r="H62" s="6" t="n"/>
      <c r="I62" s="6" t="n"/>
      <c r="J62" s="6" t="n"/>
    </row>
    <row r="63">
      <c r="A63" s="4" t="n">
        <v>62</v>
      </c>
      <c r="B63" s="5" t="inlineStr">
        <is>
          <t>32024R1689:74:5:4</t>
        </is>
      </c>
      <c r="C63" s="5" t="inlineStr">
        <is>
          <t>markttoezichtautoriteiten</t>
        </is>
      </c>
      <c r="D63" s="5" t="inlineStr">
        <is>
          <t>markttoezichtautoriteiten</t>
        </is>
      </c>
      <c r="E63" s="5" t="inlineStr">
        <is>
          <t>markttoezichtautoriteit   [32024R1689:markttoezichtautoriteit]</t>
        </is>
      </c>
      <c r="F63" s="5" t="inlineStr">
        <is>
          <t>Defined in 32024R1689 art. 3: de nationale autoriteit die de activiteiten verricht en maatregelen neemt als bedoeld in Verordening (EU) 2019/1020</t>
        </is>
      </c>
      <c r="G63" s="6" t="n"/>
      <c r="H63" s="6" t="n"/>
      <c r="I63" s="6" t="n"/>
      <c r="J63" s="6" t="n"/>
    </row>
    <row r="64">
      <c r="A64" s="4" t="n">
        <v>63</v>
      </c>
      <c r="B64" s="5" t="inlineStr">
        <is>
          <t>32024R1689:10:5:7</t>
        </is>
      </c>
      <c r="C64" s="5" t="inlineStr">
        <is>
          <t>de bijzondere categorieën persoonsgegevens</t>
        </is>
      </c>
      <c r="D64" s="5" t="inlineStr">
        <is>
          <t>bijzondere categorieën persoonsgegevens</t>
        </is>
      </c>
      <c r="E64" s="5" t="inlineStr">
        <is>
          <t>not an actor (dropped)</t>
        </is>
      </c>
      <c r="F64" s="5" t="inlineStr"/>
      <c r="G64" s="6" t="n"/>
      <c r="H64" s="6" t="n"/>
      <c r="I64" s="6" t="n"/>
      <c r="J64" s="6" t="n"/>
    </row>
    <row r="65">
      <c r="A65" s="4" t="n">
        <v>64</v>
      </c>
      <c r="B65" s="5" t="inlineStr">
        <is>
          <t>32024R1689:36:3:4</t>
        </is>
      </c>
      <c r="C65" s="5" t="inlineStr">
        <is>
          <t>De certificaten van de aangemelde instantie</t>
        </is>
      </c>
      <c r="D65" s="5" t="inlineStr">
        <is>
          <t>certificaten van de aangemelde instantie</t>
        </is>
      </c>
      <c r="E65" s="5" t="inlineStr">
        <is>
          <t>not an actor (dropped)</t>
        </is>
      </c>
      <c r="F65" s="5" t="inlineStr"/>
      <c r="G65" s="6" t="n"/>
      <c r="H65" s="6" t="n"/>
      <c r="I65" s="6" t="n"/>
      <c r="J65" s="6" t="n"/>
    </row>
    <row r="66">
      <c r="A66" s="4" t="n">
        <v>65</v>
      </c>
      <c r="B66" s="5" t="inlineStr">
        <is>
          <t>32016R0679:75:6:5</t>
        </is>
      </c>
      <c r="C66" s="5" t="inlineStr">
        <is>
          <t>Het secretariaat</t>
        </is>
      </c>
      <c r="D66" s="5" t="inlineStr">
        <is>
          <t>secretariaat</t>
        </is>
      </c>
      <c r="E66" s="5" t="inlineStr">
        <is>
          <t>secretariaat   [KEY:32016R0679:secretariaat]</t>
        </is>
      </c>
      <c r="F66" s="5" t="inlineStr">
        <is>
          <t>Known actor (not defined), class office, valid in 32016R0679. Aliases: secretariaat van het Comité. Part of KEY:32016R0679:comite.</t>
        </is>
      </c>
      <c r="G66" s="6" t="n"/>
      <c r="H66" s="6" t="n"/>
      <c r="I66" s="6" t="n"/>
      <c r="J66" s="6" t="n"/>
    </row>
    <row r="67">
      <c r="A67" s="4" t="n">
        <v>66</v>
      </c>
      <c r="B67" s="5" t="inlineStr">
        <is>
          <t>[1] 32024R1689:45:2:7
[2] 32024R1689:45:2:10
[3] 32024R1689:31:11:13</t>
        </is>
      </c>
      <c r="C67" s="5" t="inlineStr">
        <is>
          <t>[1] Elke aangemelde instantie
[2] Elke aangemelde instantie
[3] De aangemelde instantie</t>
        </is>
      </c>
      <c r="D67" s="5" t="inlineStr">
        <is>
          <t>aangemelde instantie</t>
        </is>
      </c>
      <c r="E67" s="5" t="inlineStr">
        <is>
          <t>aangemelde instantie   [32024R1689:aangemelde_instantie]</t>
        </is>
      </c>
      <c r="F67" s="5" t="inlineStr">
        <is>
          <t>Defined in 32024R1689 art. 3: een conformiteitsbeoordelingsinstantie die overeenkomstig deze verordening en andere relevante harmonisatiewetgeving van de Unie, is aangemeld</t>
        </is>
      </c>
      <c r="G67" s="6" t="n"/>
      <c r="H67" s="6" t="n"/>
      <c r="I67" s="6" t="n"/>
      <c r="J67" s="6" t="n"/>
    </row>
    <row r="68">
      <c r="A68" s="4" t="n">
        <v>67</v>
      </c>
      <c r="B68" s="5" t="inlineStr">
        <is>
          <t>32024R1689:52:1:1</t>
        </is>
      </c>
      <c r="C68" s="5" t="inlineStr">
        <is>
          <t>de betrokken aanbieder</t>
        </is>
      </c>
      <c r="D68" s="5" t="inlineStr">
        <is>
          <t>betrokken aanbieder</t>
        </is>
      </c>
      <c r="E68" s="5" t="inlineStr">
        <is>
          <t>aanbieder   [32024R1689:aanbieder]</t>
        </is>
      </c>
      <c r="F68" s="5" t="inlineStr">
        <is>
          <t>Defined in 32024R1689 art. 3: een natuurlijke of rechtspersoon, overheidsinstantie, agentschap of ander orgaan die/dat een AI-systeem of een AI-model voor algemene doeleinden ontwikkelt of laat ontwikkelen en dat systeem of model in de handel brengt of het AI-systeem in gebruik stelt onder de eigen naam of merk, al dan niet tegen betaling</t>
        </is>
      </c>
      <c r="G68" s="6" t="n"/>
      <c r="H68" s="6" t="n"/>
      <c r="I68" s="6" t="n"/>
      <c r="J68" s="6" t="n"/>
    </row>
    <row r="69">
      <c r="A69" s="4" t="n">
        <v>68</v>
      </c>
      <c r="B69" s="5" t="inlineStr">
        <is>
          <t>[1] 32016R0679:82:4:5
[2] 32016R0679:32:1:1
[3] 32016R0679:35:1:1</t>
        </is>
      </c>
      <c r="C69" s="5" t="inlineStr">
        <is>
          <t>[1] elke verwerkingsverantwoordelijke of verwerker
[2] de verwerkingsverantwoordelijke en de verwerker
[3] de verwerkingsverantwoordelijke</t>
        </is>
      </c>
      <c r="D69" s="5" t="inlineStr">
        <is>
          <t>verwerkingsverantwoordelijke</t>
        </is>
      </c>
      <c r="E69" s="5" t="inlineStr">
        <is>
          <t>verwerkingsverantwoordelijke   [32016R0679:verwerkingsverantwoordelijke]</t>
        </is>
      </c>
      <c r="F69" s="5" t="inlineStr">
        <is>
          <t>Defined in 32016R0679 art. 4: een natuurlijke persoon of rechtspersoon, een overheidsinstantie, een dienst of een ander orgaan die/dat, alleen of samen met anderen, het doel van en de middelen voor de verwerking van persoonsgegevens vaststelt; wanneer de doelstellingen van en de middelen voor deze verwerking in het Unierecht of het lidstatelijke recht worden vastgesteld, kan daarin worden bepaald wie de verwerkingsverantwoordelijke is of volgens welke criteria deze wordt aangewezen</t>
        </is>
      </c>
      <c r="G69" s="6" t="n"/>
      <c r="H69" s="6" t="n"/>
      <c r="I69" s="6" t="n"/>
      <c r="J69" s="6" t="n"/>
    </row>
    <row r="70">
      <c r="A70" s="4" t="n">
        <v>69</v>
      </c>
      <c r="B70" s="5" t="inlineStr">
        <is>
          <t>32024R1689:112:3:7</t>
        </is>
      </c>
      <c r="C70" s="5" t="inlineStr">
        <is>
          <t>dat verslag</t>
        </is>
      </c>
      <c r="D70" s="5" t="inlineStr">
        <is>
          <t>verslag</t>
        </is>
      </c>
      <c r="E70" s="5" t="inlineStr">
        <is>
          <t>not an actor (dropped)</t>
        </is>
      </c>
      <c r="F70" s="5" t="inlineStr"/>
      <c r="G70" s="6" t="n"/>
      <c r="H70" s="6" t="n"/>
      <c r="I70" s="6" t="n"/>
      <c r="J70" s="6" t="n"/>
    </row>
    <row r="71">
      <c r="A71" s="4" t="n">
        <v>70</v>
      </c>
      <c r="B71" s="5" t="inlineStr">
        <is>
          <t>[1] 32024R1689:25:2:6
[2] 32024R1689:49:2:2
[3] 32024R1689:6:4:3</t>
        </is>
      </c>
      <c r="C71" s="5" t="inlineStr">
        <is>
          <t>[1] de aanbieder die het AI-systeem voor het eerst in de handel heeft gebracht of in gebruik heeft gesteld
[2] die aanbieder of in voorkomend geval de gemachtigde
[3] Een aanbieder</t>
        </is>
      </c>
      <c r="D71" s="5" t="inlineStr">
        <is>
          <t>aanbieder</t>
        </is>
      </c>
      <c r="E71" s="5" t="inlineStr">
        <is>
          <t>aanbieder   [32024R1689:aanbieder]</t>
        </is>
      </c>
      <c r="F71" s="5" t="inlineStr">
        <is>
          <t>Defined in 32024R1689 art. 3: een natuurlijke of rechtspersoon, overheidsinstantie, agentschap of ander orgaan die/dat een AI-systeem of een AI-model voor algemene doeleinden ontwikkelt of laat ontwikkelen en dat systeem of model in de handel brengt of het AI-systeem in gebruik stelt onder de eigen naam of merk, al dan niet tegen betaling</t>
        </is>
      </c>
      <c r="G71" s="6" t="n"/>
      <c r="H71" s="6" t="n"/>
      <c r="I71" s="6" t="n"/>
      <c r="J71" s="6" t="n"/>
    </row>
  </sheetData>
  <dataValidations count="2">
    <dataValidation sqref="G2:G71" showDropDown="0" showInputMessage="0" showErrorMessage="0" allowBlank="1" type="list">
      <formula1>"correct,partial,wrong,unclear"</formula1>
    </dataValidation>
    <dataValidation sqref="H2:H71" showDropDown="0" showInputMessage="0" showErrorMessage="0" allowBlank="1" type="list">
      <formula1>"other actor,too broad,too narrow,missed entry,wrong class,not an actor,actor, not in inventory,badly cut unit"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30" customWidth="1" min="2" max="2"/>
    <col width="30" customWidth="1" min="3" max="3"/>
    <col width="9" customWidth="1" min="4" max="4"/>
    <col width="16" customWidth="1" min="5" max="5"/>
    <col width="12" customWidth="1" min="6" max="6"/>
    <col width="24" customWidth="1" min="7" max="7"/>
    <col width="70" customWidth="1" min="8" max="8"/>
  </cols>
  <sheetData>
    <row r="1">
      <c r="A1" s="3" t="inlineStr">
        <is>
          <t>id</t>
        </is>
      </c>
      <c r="B1" s="3" t="inlineStr">
        <is>
          <t>label</t>
        </is>
      </c>
      <c r="C1" s="3" t="inlineStr">
        <is>
          <t>aliases</t>
        </is>
      </c>
      <c r="D1" s="3" t="inlineStr">
        <is>
          <t>kind</t>
        </is>
      </c>
      <c r="E1" s="3" t="inlineStr">
        <is>
          <t>valid in</t>
        </is>
      </c>
      <c r="F1" s="3" t="inlineStr">
        <is>
          <t>class</t>
        </is>
      </c>
      <c r="G1" s="3" t="inlineStr">
        <is>
          <t>part of</t>
        </is>
      </c>
      <c r="H1" s="3" t="inlineStr">
        <is>
          <t>definition or source</t>
        </is>
      </c>
    </row>
    <row r="2">
      <c r="A2" s="2" t="inlineStr">
        <is>
          <t>32024R1689:aanbieder</t>
        </is>
      </c>
      <c r="B2" s="2" t="inlineStr">
        <is>
          <t>aanbieder</t>
        </is>
      </c>
      <c r="C2" s="2" t="inlineStr"/>
      <c r="D2" s="2" t="inlineStr">
        <is>
          <t>defined</t>
        </is>
      </c>
      <c r="E2" s="2" t="inlineStr">
        <is>
          <t>32024R1689</t>
        </is>
      </c>
      <c r="F2" s="2" t="inlineStr">
        <is>
          <t>party</t>
        </is>
      </c>
      <c r="G2" s="2" t="n"/>
      <c r="H2" s="2" t="inlineStr">
        <is>
          <t>een natuurlijke of rechtspersoon, overheidsinstantie, agentschap of ander orgaan die/dat een AI-systeem of een AI-model voor algemene doeleinden ontwikkelt of laat ontwikkelen en dat systeem of model in de handel brengt of het AI-systeem in gebruik stelt onder de eigen naam of merk, al dan niet tegen betaling</t>
        </is>
      </c>
    </row>
    <row r="3">
      <c r="A3" s="2" t="inlineStr">
        <is>
          <t>32024R1689:gebruiksverantwoordelijke</t>
        </is>
      </c>
      <c r="B3" s="2" t="inlineStr">
        <is>
          <t>gebruiksverantwoordelijke</t>
        </is>
      </c>
      <c r="C3" s="2" t="inlineStr"/>
      <c r="D3" s="2" t="inlineStr">
        <is>
          <t>defined</t>
        </is>
      </c>
      <c r="E3" s="2" t="inlineStr">
        <is>
          <t>32024R1689</t>
        </is>
      </c>
      <c r="F3" s="2" t="inlineStr">
        <is>
          <t>party</t>
        </is>
      </c>
      <c r="G3" s="2" t="n"/>
      <c r="H3" s="2" t="inlineStr">
        <is>
          <t>een natuurlijke of rechtspersoon, overheidsinstantie, agentschap of ander orgaan die/dat een AI-systeem onder eigen verantwoordelijkheid gebruikt, tenzij het AI-systeem wordt gebruikt in het kader van een persoonlijke niet-beroepsactiviteit</t>
        </is>
      </c>
    </row>
    <row r="4">
      <c r="A4" s="2" t="inlineStr">
        <is>
          <t>32024R1689:gemachtigde</t>
        </is>
      </c>
      <c r="B4" s="2" t="inlineStr">
        <is>
          <t>gemachtigde</t>
        </is>
      </c>
      <c r="C4" s="2" t="inlineStr"/>
      <c r="D4" s="2" t="inlineStr">
        <is>
          <t>defined</t>
        </is>
      </c>
      <c r="E4" s="2" t="inlineStr">
        <is>
          <t>32024R1689</t>
        </is>
      </c>
      <c r="F4" s="2" t="inlineStr">
        <is>
          <t>party</t>
        </is>
      </c>
      <c r="G4" s="2" t="n"/>
      <c r="H4" s="2" t="inlineStr">
        <is>
          <t>een natuurlijke of rechtspersoon die zich bevindt of gevestigd is in de Unie die een schriftelijke machtiging heeft gekregen en aanvaard van een aanbieder van een AI-systeem of een AI-model voor algemene doeleinden om namens die aanbieder de verplichtingen en procedures van deze verordening respectievelijk na te komen en uit te voeren</t>
        </is>
      </c>
    </row>
    <row r="5">
      <c r="A5" s="2" t="inlineStr">
        <is>
          <t>32024R1689:importeur</t>
        </is>
      </c>
      <c r="B5" s="2" t="inlineStr">
        <is>
          <t>importeur</t>
        </is>
      </c>
      <c r="C5" s="2" t="inlineStr"/>
      <c r="D5" s="2" t="inlineStr">
        <is>
          <t>defined</t>
        </is>
      </c>
      <c r="E5" s="2" t="inlineStr">
        <is>
          <t>32024R1689</t>
        </is>
      </c>
      <c r="F5" s="2" t="inlineStr">
        <is>
          <t>party</t>
        </is>
      </c>
      <c r="G5" s="2" t="n"/>
      <c r="H5" s="2" t="inlineStr">
        <is>
          <t>een natuurlijke of rechtspersoon die zich bevindt of gevestigd is in de Unie die een AI-systeem in de handel brengt dat de naam of het merk van een in een derde land gevestigde natuurlijke of rechtspersoon draagt</t>
        </is>
      </c>
    </row>
    <row r="6">
      <c r="A6" s="2" t="inlineStr">
        <is>
          <t>32024R1689:distributeur</t>
        </is>
      </c>
      <c r="B6" s="2" t="inlineStr">
        <is>
          <t>distributeur</t>
        </is>
      </c>
      <c r="C6" s="2" t="inlineStr"/>
      <c r="D6" s="2" t="inlineStr">
        <is>
          <t>defined</t>
        </is>
      </c>
      <c r="E6" s="2" t="inlineStr">
        <is>
          <t>32024R1689</t>
        </is>
      </c>
      <c r="F6" s="2" t="inlineStr">
        <is>
          <t>party</t>
        </is>
      </c>
      <c r="G6" s="2" t="n"/>
      <c r="H6" s="2" t="inlineStr">
        <is>
          <t>een andere natuurlijke persoon of rechtspersoon in de toeleveringsketen dan de aanbieder of de importeur, die een AI-systeem in de Unie op de markt aanbiedt</t>
        </is>
      </c>
    </row>
    <row r="7">
      <c r="A7" s="2" t="inlineStr">
        <is>
          <t>32024R1689:operator</t>
        </is>
      </c>
      <c r="B7" s="2" t="inlineStr">
        <is>
          <t>operator</t>
        </is>
      </c>
      <c r="C7" s="2" t="inlineStr"/>
      <c r="D7" s="2" t="inlineStr">
        <is>
          <t>defined</t>
        </is>
      </c>
      <c r="E7" s="2" t="inlineStr">
        <is>
          <t>32024R1689</t>
        </is>
      </c>
      <c r="F7" s="2" t="inlineStr">
        <is>
          <t>party</t>
        </is>
      </c>
      <c r="G7" s="2" t="n"/>
      <c r="H7" s="2" t="inlineStr">
        <is>
          <t>een aanbieder, productfabrikant, gebruiksverantwoordelijke, gemachtigde, importeur of distributeur</t>
        </is>
      </c>
    </row>
    <row r="8">
      <c r="A8" s="2" t="inlineStr">
        <is>
          <t>32024R1689:aanmeldende_autoriteit</t>
        </is>
      </c>
      <c r="B8" s="2" t="inlineStr">
        <is>
          <t>aanmeldende autoriteit</t>
        </is>
      </c>
      <c r="C8" s="2" t="inlineStr"/>
      <c r="D8" s="2" t="inlineStr">
        <is>
          <t>defined</t>
        </is>
      </c>
      <c r="E8" s="2" t="inlineStr">
        <is>
          <t>32024R1689</t>
        </is>
      </c>
      <c r="F8" s="2" t="inlineStr">
        <is>
          <t>authority</t>
        </is>
      </c>
      <c r="G8" s="2" t="n"/>
      <c r="H8" s="2" t="inlineStr">
        <is>
          <t>de nationale autoriteit die verantwoordelijk is voor het opzetten en uitvoeren van de noodzakelijke procedures voor de beoordeling, aanwijzing en kennisgeving van de conformiteitsbeoordelingsinstanties en de monitoring hiervan</t>
        </is>
      </c>
    </row>
    <row r="9">
      <c r="A9" s="2" t="inlineStr">
        <is>
          <t>32024R1689:conformiteitsbeoordelingsinstantie</t>
        </is>
      </c>
      <c r="B9" s="2" t="inlineStr">
        <is>
          <t>conformiteitsbeoordelingsinstantie</t>
        </is>
      </c>
      <c r="C9" s="2" t="inlineStr"/>
      <c r="D9" s="2" t="inlineStr">
        <is>
          <t>defined</t>
        </is>
      </c>
      <c r="E9" s="2" t="inlineStr">
        <is>
          <t>32024R1689</t>
        </is>
      </c>
      <c r="F9" s="2" t="inlineStr">
        <is>
          <t>body</t>
        </is>
      </c>
      <c r="G9" s="2" t="n"/>
      <c r="H9" s="2" t="inlineStr">
        <is>
          <t>een instantie die als derde partij conformiteits-beoordelingsactiviteiten verricht, zoals onder meer testen, certificeren en inspecteren</t>
        </is>
      </c>
    </row>
    <row r="10">
      <c r="A10" s="2" t="inlineStr">
        <is>
          <t>32024R1689:aangemelde_instantie</t>
        </is>
      </c>
      <c r="B10" s="2" t="inlineStr">
        <is>
          <t>aangemelde instantie</t>
        </is>
      </c>
      <c r="C10" s="2" t="inlineStr"/>
      <c r="D10" s="2" t="inlineStr">
        <is>
          <t>defined</t>
        </is>
      </c>
      <c r="E10" s="2" t="inlineStr">
        <is>
          <t>32024R1689</t>
        </is>
      </c>
      <c r="F10" s="2" t="inlineStr">
        <is>
          <t>body</t>
        </is>
      </c>
      <c r="G10" s="2" t="n"/>
      <c r="H10" s="2" t="inlineStr">
        <is>
          <t>een conformiteitsbeoordelingsinstantie die overeenkomstig deze verordening en andere relevante harmonisatiewetgeving van de Unie, is aangemeld</t>
        </is>
      </c>
    </row>
    <row r="11">
      <c r="A11" s="2" t="inlineStr">
        <is>
          <t>32024R1689:markttoezichtautoriteit</t>
        </is>
      </c>
      <c r="B11" s="2" t="inlineStr">
        <is>
          <t>markttoezichtautoriteit</t>
        </is>
      </c>
      <c r="C11" s="2" t="inlineStr"/>
      <c r="D11" s="2" t="inlineStr">
        <is>
          <t>defined</t>
        </is>
      </c>
      <c r="E11" s="2" t="inlineStr">
        <is>
          <t>32024R1689</t>
        </is>
      </c>
      <c r="F11" s="2" t="inlineStr">
        <is>
          <t>authority</t>
        </is>
      </c>
      <c r="G11" s="2" t="n"/>
      <c r="H11" s="2" t="inlineStr">
        <is>
          <t>de nationale autoriteit die de activiteiten verricht en maatregelen neemt als bedoeld in Verordening (EU) 2019/1020</t>
        </is>
      </c>
    </row>
    <row r="12">
      <c r="A12" s="2" t="inlineStr">
        <is>
          <t>32024R1689:rechtshandhavingsinstantie</t>
        </is>
      </c>
      <c r="B12" s="2" t="inlineStr">
        <is>
          <t>rechtshandhavingsinstantie</t>
        </is>
      </c>
      <c r="C12" s="2" t="inlineStr"/>
      <c r="D12" s="2" t="inlineStr">
        <is>
          <t>defined</t>
        </is>
      </c>
      <c r="E12" s="2" t="inlineStr">
        <is>
          <t>32024R1689</t>
        </is>
      </c>
      <c r="F12" s="2" t="inlineStr">
        <is>
          <t>body</t>
        </is>
      </c>
      <c r="G12" s="2" t="n"/>
      <c r="H12" s="2" t="inlineStr">
        <is>
          <t>a) iedere overheidsinstantie die bevoegd is voor de voorkoming van, het onderzoek naar, de opsporing en de vervolging van strafbare feiten of de uitvoering van straffen, met inbegrip van de bescherming tegen en de voorkoming van gevaren voor de openbare veiligheid, of b) ieder ander orgaan dat of iedere andere entiteit die krachtens het recht van de lidstaten is gemachtigd openbaar gezag en openbare bevoegdheden uit te oefenen met het oog op de voorkoming van, het onderzoek naar, de opsporing en</t>
        </is>
      </c>
    </row>
    <row r="13">
      <c r="A13" s="2" t="inlineStr">
        <is>
          <t>32024R1689:aibureau</t>
        </is>
      </c>
      <c r="B13" s="2" t="inlineStr">
        <is>
          <t>AI-bureau</t>
        </is>
      </c>
      <c r="C13" s="2" t="inlineStr"/>
      <c r="D13" s="2" t="inlineStr">
        <is>
          <t>defined</t>
        </is>
      </c>
      <c r="E13" s="2" t="inlineStr">
        <is>
          <t>32024R1689</t>
        </is>
      </c>
      <c r="F13" s="2" t="inlineStr">
        <is>
          <t>body</t>
        </is>
      </c>
      <c r="G13" s="2" t="n"/>
      <c r="H13" s="2" t="inlineStr">
        <is>
          <t>de taak van de Commissie waarbij zij bijdraagt aan de uitvoering van, de monitoring van en het toezicht op AI-systemen en AI-modellen voor algemene doeleinden, en AI-governance, als bepaald in het besluit van de Commissie van 24 januari 2024; verwijzingen in deze verordening naar het AI-bureau worden begrepen als verwijzingen naar de Commissie</t>
        </is>
      </c>
    </row>
    <row r="14">
      <c r="A14" s="2" t="inlineStr">
        <is>
          <t>32024R1689:nationale_bevoegde_autoriteit</t>
        </is>
      </c>
      <c r="B14" s="2" t="inlineStr">
        <is>
          <t>nationale bevoegde autoriteit</t>
        </is>
      </c>
      <c r="C14" s="2" t="inlineStr"/>
      <c r="D14" s="2" t="inlineStr">
        <is>
          <t>defined</t>
        </is>
      </c>
      <c r="E14" s="2" t="inlineStr">
        <is>
          <t>32024R1689</t>
        </is>
      </c>
      <c r="F14" s="2" t="inlineStr">
        <is>
          <t>authority</t>
        </is>
      </c>
      <c r="G14" s="2" t="n"/>
      <c r="H14" s="2" t="inlineStr">
        <is>
          <t>een aanmeldende autoriteit of een de markttoezichtautoriteit; wat betreft AI-systemen die door instellingen, organen en instanties van de EU in gebruik worden gesteld of worden gebruikt, worden verwijzingen naar nationale bevoegde autoriteiten of markttoezichtautoriteiten in deze verordening begrepen als verwijzingen naar de Europese Toezichthouder voor gegevensbescherming</t>
        </is>
      </c>
    </row>
    <row r="15">
      <c r="A15" s="2" t="inlineStr">
        <is>
          <t>32024R1689:aanbieder_verder_in_de_aiwaardeketen</t>
        </is>
      </c>
      <c r="B15" s="2" t="inlineStr">
        <is>
          <t>aanbieder verder in de AI-waardeketen</t>
        </is>
      </c>
      <c r="C15" s="2" t="inlineStr"/>
      <c r="D15" s="2" t="inlineStr">
        <is>
          <t>defined</t>
        </is>
      </c>
      <c r="E15" s="2" t="inlineStr">
        <is>
          <t>32024R1689</t>
        </is>
      </c>
      <c r="F15" s="2" t="inlineStr">
        <is>
          <t>party</t>
        </is>
      </c>
      <c r="G15" s="2" t="n"/>
      <c r="H15" s="2" t="inlineStr">
        <is>
          <t>een aanbieder van een AI-systeem, met inbegrip van een AI-systeem voor algemene doeleinden, waarin een AI-model is geïntegreerd, ongeacht of het AI-model door hemzelf wordt verstrekt en verticaal geïntegreerd is of door een andere entiteit wordt aangeboden op basis van contractuele betrekkingen.</t>
        </is>
      </c>
    </row>
    <row r="16">
      <c r="A16" s="2" t="inlineStr">
        <is>
          <t>32022R2554:derde_aanbieder_van_ictdiensten</t>
        </is>
      </c>
      <c r="B16" s="2" t="inlineStr">
        <is>
          <t>derde aanbieder van ICT-diensten</t>
        </is>
      </c>
      <c r="C16" s="2" t="inlineStr"/>
      <c r="D16" s="2" t="inlineStr">
        <is>
          <t>defined</t>
        </is>
      </c>
      <c r="E16" s="2" t="inlineStr">
        <is>
          <t>32022R2554</t>
        </is>
      </c>
      <c r="F16" s="2" t="inlineStr">
        <is>
          <t>party</t>
        </is>
      </c>
      <c r="G16" s="2" t="n"/>
      <c r="H16" s="2" t="inlineStr">
        <is>
          <t>een onderneming die ICT-diensten verleent</t>
        </is>
      </c>
    </row>
    <row r="17">
      <c r="A17" s="2" t="inlineStr">
        <is>
          <t>32022R2554:aanbieder_van_ictdiensten_binnen_een_groep</t>
        </is>
      </c>
      <c r="B17" s="2" t="inlineStr">
        <is>
          <t>aanbieder van ICT-diensten binnen een groep</t>
        </is>
      </c>
      <c r="C17" s="2" t="inlineStr"/>
      <c r="D17" s="2" t="inlineStr">
        <is>
          <t>defined</t>
        </is>
      </c>
      <c r="E17" s="2" t="inlineStr">
        <is>
          <t>32022R2554</t>
        </is>
      </c>
      <c r="F17" s="2" t="inlineStr">
        <is>
          <t>party</t>
        </is>
      </c>
      <c r="G17" s="2" t="n"/>
      <c r="H17" s="2" t="inlineStr">
        <is>
          <t>een onderneming die deel uitmaakt van een financiële groep en hoofdzakelijk ICT-diensten verleent aan financiële entiteiten binnen dezelfde groep of aan financiële entiteiten die tot hetzelfde institutionele protectiestelsel behoren, met inbegrip van hun moedermaatschappijen, dochterondernemingen, bijkantoren of andere entiteiten die gezamenlijk eigendom zijn of onder gezamenlijke zeggenschap staan</t>
        </is>
      </c>
    </row>
    <row r="18">
      <c r="A18" s="2" t="inlineStr">
        <is>
          <t>32022R2554:kritieke_derde_aanbieder_van_ictdiensten</t>
        </is>
      </c>
      <c r="B18" s="2" t="inlineStr">
        <is>
          <t>kritieke derde aanbieder van ICT-diensten</t>
        </is>
      </c>
      <c r="C18" s="2" t="inlineStr"/>
      <c r="D18" s="2" t="inlineStr">
        <is>
          <t>defined</t>
        </is>
      </c>
      <c r="E18" s="2" t="inlineStr">
        <is>
          <t>32022R2554</t>
        </is>
      </c>
      <c r="F18" s="2" t="inlineStr">
        <is>
          <t>party</t>
        </is>
      </c>
      <c r="G18" s="2" t="n"/>
      <c r="H18" s="2" t="inlineStr">
        <is>
          <t>een derde aanbieder van ICT-diensten die overeenkomstig artikel 31 is aangewezen als cruciaal; 24) “in een derde land gevestigde derde aanbieder van ICT-diensten”: een derde aanbieder van ICT-diensten die een in een derde land gevestigde rechtspersoon is en die een contractuele overeenkomst met een financiële entiteit heeft gesloten voor de levering van ICT-diensten</t>
        </is>
      </c>
    </row>
    <row r="19">
      <c r="A19" s="2" t="inlineStr">
        <is>
          <t>32022R2554:dochteronderneming</t>
        </is>
      </c>
      <c r="B19" s="2" t="inlineStr">
        <is>
          <t>dochteronderneming</t>
        </is>
      </c>
      <c r="C19" s="2" t="inlineStr"/>
      <c r="D19" s="2" t="inlineStr">
        <is>
          <t>defined</t>
        </is>
      </c>
      <c r="E19" s="2" t="inlineStr">
        <is>
          <t>32022R2554</t>
        </is>
      </c>
      <c r="F19" s="2" t="inlineStr">
        <is>
          <t>party</t>
        </is>
      </c>
      <c r="G19" s="2" t="n"/>
      <c r="H19" s="2" t="inlineStr">
        <is>
          <t>een dochteronderneming in de zin van artikel 2, punt 10), en artikel 22 van Richtlijn 2013/34/EU</t>
        </is>
      </c>
    </row>
    <row r="20">
      <c r="A20" s="2" t="inlineStr">
        <is>
          <t>32022R2554:moederonderneming</t>
        </is>
      </c>
      <c r="B20" s="2" t="inlineStr">
        <is>
          <t>moederonderneming</t>
        </is>
      </c>
      <c r="C20" s="2" t="inlineStr"/>
      <c r="D20" s="2" t="inlineStr">
        <is>
          <t>defined</t>
        </is>
      </c>
      <c r="E20" s="2" t="inlineStr">
        <is>
          <t>32022R2554</t>
        </is>
      </c>
      <c r="F20" s="2" t="inlineStr">
        <is>
          <t>party</t>
        </is>
      </c>
      <c r="G20" s="2" t="n"/>
      <c r="H20" s="2" t="inlineStr">
        <is>
          <t>een moederonderneming in de zin van artikel 2, punt 9), en artikel 22 van Richtlijn 2013/34/EU</t>
        </is>
      </c>
    </row>
    <row r="21">
      <c r="A21" s="2" t="inlineStr">
        <is>
          <t>32022R2554:leidinggevend_orgaan</t>
        </is>
      </c>
      <c r="B21" s="2" t="inlineStr">
        <is>
          <t>leidinggevend orgaan</t>
        </is>
      </c>
      <c r="C21" s="2" t="inlineStr"/>
      <c r="D21" s="2" t="inlineStr">
        <is>
          <t>defined</t>
        </is>
      </c>
      <c r="E21" s="2" t="inlineStr">
        <is>
          <t>32022R2554</t>
        </is>
      </c>
      <c r="F21" s="2" t="inlineStr">
        <is>
          <t>body</t>
        </is>
      </c>
      <c r="G21" s="2" t="n"/>
      <c r="H21" s="2" t="inlineStr">
        <is>
          <t>een leidinggevend orgaan in de zin van artikel 4, lid 1, punt 36), van Richtlijn 2014/65/EU, artikel 3, lid 1, punt 7), van Richtlijn 2013/36/EU, artikel 2, lid 1, punt s), van Richtlijn 2009/65/EG van het Europees Parlement en de Raad (31), artikel 2, lid 1, punt 45), van Verordening (EU) nr. 909/2014, artikel 3, lid 1, punt 20), van Verordening (EU) 2016/1011, en in de relevante bepaling van de verordening betreffende markten in cryptoactiva, of de gelijkwaardige personen die de entiteit daadw</t>
        </is>
      </c>
    </row>
    <row r="22">
      <c r="A22" s="2" t="inlineStr">
        <is>
          <t>32022R2554:kredietinstelling</t>
        </is>
      </c>
      <c r="B22" s="2" t="inlineStr">
        <is>
          <t>kredietinstelling</t>
        </is>
      </c>
      <c r="C22" s="2" t="inlineStr"/>
      <c r="D22" s="2" t="inlineStr">
        <is>
          <t>defined</t>
        </is>
      </c>
      <c r="E22" s="2" t="inlineStr">
        <is>
          <t>32022R2554</t>
        </is>
      </c>
      <c r="F22" s="2" t="inlineStr">
        <is>
          <t>body</t>
        </is>
      </c>
      <c r="G22" s="2" t="n"/>
      <c r="H22" s="2" t="inlineStr">
        <is>
          <t>een kredietinstelling in de zin van artikel 4, lid 1, punt 1, van Verordening (EU) nr. 575/2013 van het Europees Parlement en de Raad (32)</t>
        </is>
      </c>
    </row>
    <row r="23">
      <c r="A23" s="2" t="inlineStr">
        <is>
          <t>32022R2554:bij_richtlijn_2013_36_eu_vrijgestelde_instelling</t>
        </is>
      </c>
      <c r="B23" s="2" t="inlineStr">
        <is>
          <t>bij Richtlijn 2013/36/EU vrijgestelde instelling</t>
        </is>
      </c>
      <c r="C23" s="2" t="inlineStr"/>
      <c r="D23" s="2" t="inlineStr">
        <is>
          <t>defined</t>
        </is>
      </c>
      <c r="E23" s="2" t="inlineStr">
        <is>
          <t>32022R2554</t>
        </is>
      </c>
      <c r="F23" s="2" t="inlineStr">
        <is>
          <t>body</t>
        </is>
      </c>
      <c r="G23" s="2" t="n"/>
      <c r="H23" s="2" t="inlineStr">
        <is>
          <t>een entiteit zoals vermeld in artikel 2, lid 5, punten 4) tot en met 23), van Richtlijn 2013/36/EU</t>
        </is>
      </c>
    </row>
    <row r="24">
      <c r="A24" s="2" t="inlineStr">
        <is>
          <t>32022R2554:beleggingsonderneming</t>
        </is>
      </c>
      <c r="B24" s="2" t="inlineStr">
        <is>
          <t>beleggingsonderneming</t>
        </is>
      </c>
      <c r="C24" s="2" t="inlineStr"/>
      <c r="D24" s="2" t="inlineStr">
        <is>
          <t>defined</t>
        </is>
      </c>
      <c r="E24" s="2" t="inlineStr">
        <is>
          <t>32022R2554</t>
        </is>
      </c>
      <c r="F24" s="2" t="inlineStr">
        <is>
          <t>party</t>
        </is>
      </c>
      <c r="G24" s="2" t="n"/>
      <c r="H24" s="2" t="inlineStr">
        <is>
          <t>een beleggingsonderneming in de zin van artikel 4, lid 1, punt 1, van Richtlijn 2014/65/EU</t>
        </is>
      </c>
    </row>
    <row r="25">
      <c r="A25" s="2" t="inlineStr">
        <is>
          <t>32022R2554:kleine_en_nietverweven_beleggingsonderneming</t>
        </is>
      </c>
      <c r="B25" s="2" t="inlineStr">
        <is>
          <t>kleine en niet-verweven beleggingsonderneming</t>
        </is>
      </c>
      <c r="C25" s="2" t="inlineStr"/>
      <c r="D25" s="2" t="inlineStr">
        <is>
          <t>defined</t>
        </is>
      </c>
      <c r="E25" s="2" t="inlineStr">
        <is>
          <t>32022R2554</t>
        </is>
      </c>
      <c r="F25" s="2" t="inlineStr">
        <is>
          <t>party</t>
        </is>
      </c>
      <c r="G25" s="2" t="n"/>
      <c r="H25" s="2" t="inlineStr">
        <is>
          <t>een beleggingsonderneming die voldoet aan de voorwaarden in artikel 12, lid 1, van Verordening (EU) 2019/2033 van het Europees Parlement en de Raad (33)</t>
        </is>
      </c>
    </row>
    <row r="26">
      <c r="A26" s="2" t="inlineStr">
        <is>
          <t>32022R2554:betalingsinstelling</t>
        </is>
      </c>
      <c r="B26" s="2" t="inlineStr">
        <is>
          <t>betalingsinstelling</t>
        </is>
      </c>
      <c r="C26" s="2" t="inlineStr"/>
      <c r="D26" s="2" t="inlineStr">
        <is>
          <t>defined</t>
        </is>
      </c>
      <c r="E26" s="2" t="inlineStr">
        <is>
          <t>32022R2554</t>
        </is>
      </c>
      <c r="F26" s="2" t="inlineStr">
        <is>
          <t>body</t>
        </is>
      </c>
      <c r="G26" s="2" t="n"/>
      <c r="H26" s="2" t="inlineStr">
        <is>
          <t>een betalingsinstelling in de zin van artikel 4, punt 4), van Richtlijn (EU) 2015/2366</t>
        </is>
      </c>
    </row>
    <row r="27">
      <c r="A27" s="2" t="inlineStr">
        <is>
          <t>32022R2554:bij_richtlijn_eu_2015_2366_vrijgestelde_betalingsinstelling</t>
        </is>
      </c>
      <c r="B27" s="2" t="inlineStr">
        <is>
          <t>bij Richtlijn (EU) 2015/2366 vrijgestelde betalingsinstelling</t>
        </is>
      </c>
      <c r="C27" s="2" t="inlineStr"/>
      <c r="D27" s="2" t="inlineStr">
        <is>
          <t>defined</t>
        </is>
      </c>
      <c r="E27" s="2" t="inlineStr">
        <is>
          <t>32022R2554</t>
        </is>
      </c>
      <c r="F27" s="2" t="inlineStr">
        <is>
          <t>body</t>
        </is>
      </c>
      <c r="G27" s="2" t="n"/>
      <c r="H27" s="2" t="inlineStr">
        <is>
          <t>een betalingsinstelling die is vrijgesteld op grond van artikel 32, lid 1, van Richtlijn (EU) 2015/2366</t>
        </is>
      </c>
    </row>
    <row r="28">
      <c r="A28" s="2" t="inlineStr">
        <is>
          <t>32022R2554:aanbieder_van_rekeninginformatiediensten</t>
        </is>
      </c>
      <c r="B28" s="2" t="inlineStr">
        <is>
          <t>aanbieder van rekeninginformatiediensten</t>
        </is>
      </c>
      <c r="C28" s="2" t="inlineStr"/>
      <c r="D28" s="2" t="inlineStr">
        <is>
          <t>defined</t>
        </is>
      </c>
      <c r="E28" s="2" t="inlineStr">
        <is>
          <t>32022R2554</t>
        </is>
      </c>
      <c r="F28" s="2" t="inlineStr">
        <is>
          <t>party</t>
        </is>
      </c>
      <c r="G28" s="2" t="n"/>
      <c r="H28" s="2" t="inlineStr">
        <is>
          <t>een aanbieder van rekeninginformatiediensten als bedoeld in artikel 33, lid 1, van Richtlijn (EU) 2015/2366</t>
        </is>
      </c>
    </row>
    <row r="29">
      <c r="A29" s="2" t="inlineStr">
        <is>
          <t>32022R2554:instelling_voor_elektronisch_geld</t>
        </is>
      </c>
      <c r="B29" s="2" t="inlineStr">
        <is>
          <t>instelling voor elektronisch geld</t>
        </is>
      </c>
      <c r="C29" s="2" t="inlineStr"/>
      <c r="D29" s="2" t="inlineStr">
        <is>
          <t>defined</t>
        </is>
      </c>
      <c r="E29" s="2" t="inlineStr">
        <is>
          <t>32022R2554</t>
        </is>
      </c>
      <c r="F29" s="2" t="inlineStr">
        <is>
          <t>body</t>
        </is>
      </c>
      <c r="G29" s="2" t="n"/>
      <c r="H29" s="2" t="inlineStr">
        <is>
          <t>een instelling voor elektronisch geld in de zin van artikel 2, punt 1), van Richtlijn 2009/110/EG van het Europees Parlement en de Raad</t>
        </is>
      </c>
    </row>
    <row r="30">
      <c r="A30" s="2" t="inlineStr">
        <is>
          <t>32022R2554:bij_richtlijn_2009_110_eg_vrijgestelde_instelling_voor_elektronisch_geld</t>
        </is>
      </c>
      <c r="B30" s="2" t="inlineStr">
        <is>
          <t>bij Richtlijn 2009/110/EG vrijgestelde instelling voor elektronisch geld</t>
        </is>
      </c>
      <c r="C30" s="2" t="inlineStr"/>
      <c r="D30" s="2" t="inlineStr">
        <is>
          <t>defined</t>
        </is>
      </c>
      <c r="E30" s="2" t="inlineStr">
        <is>
          <t>32022R2554</t>
        </is>
      </c>
      <c r="F30" s="2" t="inlineStr">
        <is>
          <t>body</t>
        </is>
      </c>
      <c r="G30" s="2" t="n"/>
      <c r="H30" s="2" t="inlineStr">
        <is>
          <t>een instelling voor elektronisch geld waaraan een ontheffing is verleend als bedoeld in artikel 9, lid 1, van Richtlijn 2009/110/EG</t>
        </is>
      </c>
    </row>
    <row r="31">
      <c r="A31" s="2" t="inlineStr">
        <is>
          <t>32022R2554:centrale_tegenpartij</t>
        </is>
      </c>
      <c r="B31" s="2" t="inlineStr">
        <is>
          <t>centrale tegenpartij</t>
        </is>
      </c>
      <c r="C31" s="2" t="inlineStr"/>
      <c r="D31" s="2" t="inlineStr">
        <is>
          <t>defined</t>
        </is>
      </c>
      <c r="E31" s="2" t="inlineStr">
        <is>
          <t>32022R2554</t>
        </is>
      </c>
      <c r="F31" s="2" t="inlineStr">
        <is>
          <t>party</t>
        </is>
      </c>
      <c r="G31" s="2" t="n"/>
      <c r="H31" s="2" t="inlineStr">
        <is>
          <t>een centrale tegenpartij in de zin van artikel 2, punt 1), van Verordening (EU) nr. 648/2012</t>
        </is>
      </c>
    </row>
    <row r="32">
      <c r="A32" s="2" t="inlineStr">
        <is>
          <t>32022R2554:centrale_effectenbewaarinstelling</t>
        </is>
      </c>
      <c r="B32" s="2" t="inlineStr">
        <is>
          <t>centrale effectenbewaarinstelling</t>
        </is>
      </c>
      <c r="C32" s="2" t="inlineStr"/>
      <c r="D32" s="2" t="inlineStr">
        <is>
          <t>defined</t>
        </is>
      </c>
      <c r="E32" s="2" t="inlineStr">
        <is>
          <t>32022R2554</t>
        </is>
      </c>
      <c r="F32" s="2" t="inlineStr">
        <is>
          <t>body</t>
        </is>
      </c>
      <c r="G32" s="2" t="n"/>
      <c r="H32" s="2" t="inlineStr">
        <is>
          <t>een centrale effectenbewaarinstelling in de zin van artikel 2, lid 1, punt 1), van Verordening (EU) nr. 909/2014; 43) “handelsplatform” een handelsplatform in de zin van artikel 4, lid 1, punt 24, van Richtlijn 2014/65/EU</t>
        </is>
      </c>
    </row>
    <row r="33">
      <c r="A33" s="2" t="inlineStr">
        <is>
          <t>32022R2554:beheerder_van_alternatieve_beleggingsinstellingen</t>
        </is>
      </c>
      <c r="B33" s="2" t="inlineStr">
        <is>
          <t>beheerder van alternatieve beleggingsinstellingen</t>
        </is>
      </c>
      <c r="C33" s="2" t="inlineStr"/>
      <c r="D33" s="2" t="inlineStr">
        <is>
          <t>defined</t>
        </is>
      </c>
      <c r="E33" s="2" t="inlineStr">
        <is>
          <t>32022R2554</t>
        </is>
      </c>
      <c r="F33" s="2" t="inlineStr">
        <is>
          <t>party</t>
        </is>
      </c>
      <c r="G33" s="2" t="n"/>
      <c r="H33" s="2" t="inlineStr">
        <is>
          <t>een beheerder van alternatieve beleggingsinstellingen in de zin van artikel 4, lid 1, punt b), van Richtlijn 2011/61/EU</t>
        </is>
      </c>
    </row>
    <row r="34">
      <c r="A34" s="2" t="inlineStr">
        <is>
          <t>32022R2554:aanbieder_van_datarapporteringsdiensten</t>
        </is>
      </c>
      <c r="B34" s="2" t="inlineStr">
        <is>
          <t>aanbieder van datarapporteringsdiensten</t>
        </is>
      </c>
      <c r="C34" s="2" t="inlineStr"/>
      <c r="D34" s="2" t="inlineStr">
        <is>
          <t>defined</t>
        </is>
      </c>
      <c r="E34" s="2" t="inlineStr">
        <is>
          <t>32022R2554</t>
        </is>
      </c>
      <c r="F34" s="2" t="inlineStr">
        <is>
          <t>party</t>
        </is>
      </c>
      <c r="G34" s="2" t="n"/>
      <c r="H34" s="2" t="inlineStr">
        <is>
          <t>een aanbieder van datarapporteringsdiensten in de zin van Verordening (EU) nr. 600/2014, als bedoeld in artikel 2, lid 1, punten 34 tot en met 36, van die verordening</t>
        </is>
      </c>
    </row>
    <row r="35">
      <c r="A35" s="2" t="inlineStr">
        <is>
          <t>32022R2554:verzekeringsonderneming</t>
        </is>
      </c>
      <c r="B35" s="2" t="inlineStr">
        <is>
          <t>verzekeringsonderneming</t>
        </is>
      </c>
      <c r="C35" s="2" t="inlineStr"/>
      <c r="D35" s="2" t="inlineStr">
        <is>
          <t>defined</t>
        </is>
      </c>
      <c r="E35" s="2" t="inlineStr">
        <is>
          <t>32022R2554</t>
        </is>
      </c>
      <c r="F35" s="2" t="inlineStr">
        <is>
          <t>party</t>
        </is>
      </c>
      <c r="G35" s="2" t="n"/>
      <c r="H35" s="2" t="inlineStr">
        <is>
          <t>een verzekeringsonderneming in de zin van artikel 13, punt 1, van Richtlijn 2009/138/EG</t>
        </is>
      </c>
    </row>
    <row r="36">
      <c r="A36" s="2" t="inlineStr">
        <is>
          <t>32022R2554:herverzekeringsonderneming</t>
        </is>
      </c>
      <c r="B36" s="2" t="inlineStr">
        <is>
          <t>herverzekeringsonderneming</t>
        </is>
      </c>
      <c r="C36" s="2" t="inlineStr"/>
      <c r="D36" s="2" t="inlineStr">
        <is>
          <t>defined</t>
        </is>
      </c>
      <c r="E36" s="2" t="inlineStr">
        <is>
          <t>32022R2554</t>
        </is>
      </c>
      <c r="F36" s="2" t="inlineStr">
        <is>
          <t>party</t>
        </is>
      </c>
      <c r="G36" s="2" t="n"/>
      <c r="H36" s="2" t="inlineStr">
        <is>
          <t>een herverzekeringsonderneming in de zin van artikel 13, punt 4, van Richtlijn 2009/138/EG</t>
        </is>
      </c>
    </row>
    <row r="37">
      <c r="A37" s="2" t="inlineStr">
        <is>
          <t>32022R2554:verzekeringstussenpersoon</t>
        </is>
      </c>
      <c r="B37" s="2" t="inlineStr">
        <is>
          <t>verzekeringstussenpersoon</t>
        </is>
      </c>
      <c r="C37" s="2" t="inlineStr"/>
      <c r="D37" s="2" t="inlineStr">
        <is>
          <t>defined</t>
        </is>
      </c>
      <c r="E37" s="2" t="inlineStr">
        <is>
          <t>32022R2554</t>
        </is>
      </c>
      <c r="F37" s="2" t="inlineStr">
        <is>
          <t>person</t>
        </is>
      </c>
      <c r="G37" s="2" t="n"/>
      <c r="H37" s="2" t="inlineStr">
        <is>
          <t>een verzekeringstussenpersoon in de zin van artikel 2, lid 1, punt 3, van Richtlijn (EU) 2016/97 van het Europees Parlement en de Raad (34)</t>
        </is>
      </c>
    </row>
    <row r="38">
      <c r="A38" s="2" t="inlineStr">
        <is>
          <t>32022R2554:nevenverzekeringstussenpersoon</t>
        </is>
      </c>
      <c r="B38" s="2" t="inlineStr">
        <is>
          <t>nevenverzekeringstussenpersoon</t>
        </is>
      </c>
      <c r="C38" s="2" t="inlineStr"/>
      <c r="D38" s="2" t="inlineStr">
        <is>
          <t>defined</t>
        </is>
      </c>
      <c r="E38" s="2" t="inlineStr">
        <is>
          <t>32022R2554</t>
        </is>
      </c>
      <c r="F38" s="2" t="inlineStr">
        <is>
          <t>person</t>
        </is>
      </c>
      <c r="G38" s="2" t="n"/>
      <c r="H38" s="2" t="inlineStr">
        <is>
          <t>een nevenverzekeringstussenpersoon in de zin van artikel 2, lid 1, punt 4, van Richtlijn (EU) 2016/97</t>
        </is>
      </c>
    </row>
    <row r="39">
      <c r="A39" s="2" t="inlineStr">
        <is>
          <t>32022R2554:herverzekeringstussenpersoon</t>
        </is>
      </c>
      <c r="B39" s="2" t="inlineStr">
        <is>
          <t>herverzekeringstussenpersoon</t>
        </is>
      </c>
      <c r="C39" s="2" t="inlineStr"/>
      <c r="D39" s="2" t="inlineStr">
        <is>
          <t>defined</t>
        </is>
      </c>
      <c r="E39" s="2" t="inlineStr">
        <is>
          <t>32022R2554</t>
        </is>
      </c>
      <c r="F39" s="2" t="inlineStr">
        <is>
          <t>person</t>
        </is>
      </c>
      <c r="G39" s="2" t="n"/>
      <c r="H39" s="2" t="inlineStr">
        <is>
          <t>een herverzekeringstussenpersoon in de zin van artikel 2, lid 1, punt 5, van Richtlijn (EU) 2016/97</t>
        </is>
      </c>
    </row>
    <row r="40">
      <c r="A40" s="2" t="inlineStr">
        <is>
          <t>32022R2554:instelling_voor_bedrijfspensioenvoorziening</t>
        </is>
      </c>
      <c r="B40" s="2" t="inlineStr">
        <is>
          <t>instelling voor bedrijfspensioenvoorziening</t>
        </is>
      </c>
      <c r="C40" s="2" t="inlineStr"/>
      <c r="D40" s="2" t="inlineStr">
        <is>
          <t>defined</t>
        </is>
      </c>
      <c r="E40" s="2" t="inlineStr">
        <is>
          <t>32022R2554</t>
        </is>
      </c>
      <c r="F40" s="2" t="inlineStr">
        <is>
          <t>body</t>
        </is>
      </c>
      <c r="G40" s="2" t="n"/>
      <c r="H40" s="2" t="inlineStr">
        <is>
          <t>een instelling voor bedrijfspensioenvoorziening in de zin van artikel 6, punt 1), van Richtlijn (EU) 2016/2341</t>
        </is>
      </c>
    </row>
    <row r="41">
      <c r="A41" s="2" t="inlineStr">
        <is>
          <t>32022R2554:kleine_instelling_voor_bedrijfspensioenvoorziening</t>
        </is>
      </c>
      <c r="B41" s="2" t="inlineStr">
        <is>
          <t>kleine instelling voor bedrijfspensioenvoorziening</t>
        </is>
      </c>
      <c r="C41" s="2" t="inlineStr"/>
      <c r="D41" s="2" t="inlineStr">
        <is>
          <t>defined</t>
        </is>
      </c>
      <c r="E41" s="2" t="inlineStr">
        <is>
          <t>32022R2554</t>
        </is>
      </c>
      <c r="F41" s="2" t="inlineStr">
        <is>
          <t>body</t>
        </is>
      </c>
      <c r="G41" s="2" t="n"/>
      <c r="H41" s="2" t="inlineStr">
        <is>
          <t>een instelling voor bedrijfspensioenvoorziening die pensioenregelingen uitvoert die samen minder dan 100 leden hebben</t>
        </is>
      </c>
    </row>
    <row r="42">
      <c r="A42" s="2" t="inlineStr">
        <is>
          <t>32022R2554:ratingbureau</t>
        </is>
      </c>
      <c r="B42" s="2" t="inlineStr">
        <is>
          <t>ratingbureau</t>
        </is>
      </c>
      <c r="C42" s="2" t="inlineStr"/>
      <c r="D42" s="2" t="inlineStr">
        <is>
          <t>defined</t>
        </is>
      </c>
      <c r="E42" s="2" t="inlineStr">
        <is>
          <t>32022R2554</t>
        </is>
      </c>
      <c r="F42" s="2" t="inlineStr">
        <is>
          <t>body</t>
        </is>
      </c>
      <c r="G42" s="2" t="n"/>
      <c r="H42" s="2" t="inlineStr">
        <is>
          <t>een ratingbureau in de zin van artikel 3, lid 1, punt b), van Verordening (EG) nr. 1060/2009</t>
        </is>
      </c>
    </row>
    <row r="43">
      <c r="A43" s="2" t="inlineStr">
        <is>
          <t>32022R2554:aanbieder_van_cryptoactivadiensten</t>
        </is>
      </c>
      <c r="B43" s="2" t="inlineStr">
        <is>
          <t>aanbieder van cryptoactivadiensten</t>
        </is>
      </c>
      <c r="C43" s="2" t="inlineStr"/>
      <c r="D43" s="2" t="inlineStr">
        <is>
          <t>defined</t>
        </is>
      </c>
      <c r="E43" s="2" t="inlineStr">
        <is>
          <t>32022R2554</t>
        </is>
      </c>
      <c r="F43" s="2" t="inlineStr">
        <is>
          <t>party</t>
        </is>
      </c>
      <c r="G43" s="2" t="n"/>
      <c r="H43" s="2" t="inlineStr">
        <is>
          <t>een aanbieder van cryptoactivadiensten in de zin van de relevante bepaling van de verordening betreffende markten in cryptoactiva</t>
        </is>
      </c>
    </row>
    <row r="44">
      <c r="A44" s="2" t="inlineStr">
        <is>
          <t>32022R2554:beheerder_van_kritieke_benchmarks</t>
        </is>
      </c>
      <c r="B44" s="2" t="inlineStr">
        <is>
          <t>beheerder van kritieke benchmarks</t>
        </is>
      </c>
      <c r="C44" s="2" t="inlineStr"/>
      <c r="D44" s="2" t="inlineStr">
        <is>
          <t>defined</t>
        </is>
      </c>
      <c r="E44" s="2" t="inlineStr">
        <is>
          <t>32022R2554</t>
        </is>
      </c>
      <c r="F44" s="2" t="inlineStr">
        <is>
          <t>party</t>
        </is>
      </c>
      <c r="G44" s="2" t="n"/>
      <c r="H44" s="2" t="inlineStr">
        <is>
          <t>een beheerder van kritieke benchmarks in de zin van artikel 3, lid 1, punt 25), van Verordening (EU) 2016/1011</t>
        </is>
      </c>
    </row>
    <row r="45">
      <c r="A45" s="2" t="inlineStr">
        <is>
          <t>32022R2554:microonderneming</t>
        </is>
      </c>
      <c r="B45" s="2" t="inlineStr">
        <is>
          <t>micro-onderneming</t>
        </is>
      </c>
      <c r="C45" s="2" t="inlineStr"/>
      <c r="D45" s="2" t="inlineStr">
        <is>
          <t>defined</t>
        </is>
      </c>
      <c r="E45" s="2" t="inlineStr">
        <is>
          <t>32022R2554</t>
        </is>
      </c>
      <c r="F45" s="2" t="inlineStr">
        <is>
          <t>party</t>
        </is>
      </c>
      <c r="G45" s="2" t="n"/>
      <c r="H45" s="2" t="inlineStr">
        <is>
          <t>een financiële entiteit die geen handelsplatform, centrale tegenpartij, transactieregister of centrale effectenbewaarinstelling is, en waar minder dan 10 personen werkzaam zijn en waarvan de jaaromzet en/of het jaarlijkse balanstotaal niet hoger liggen dan 2 miljoen EUR</t>
        </is>
      </c>
    </row>
    <row r="46">
      <c r="A46" s="2" t="inlineStr">
        <is>
          <t>32022R2554:gemengd_comite</t>
        </is>
      </c>
      <c r="B46" s="2" t="inlineStr">
        <is>
          <t>Gemengd Comité</t>
        </is>
      </c>
      <c r="C46" s="2" t="inlineStr"/>
      <c r="D46" s="2" t="inlineStr">
        <is>
          <t>defined</t>
        </is>
      </c>
      <c r="E46" s="2" t="inlineStr">
        <is>
          <t>32022R2554</t>
        </is>
      </c>
      <c r="F46" s="2" t="inlineStr">
        <is>
          <t>body</t>
        </is>
      </c>
      <c r="G46" s="2" t="n"/>
      <c r="H46" s="2" t="inlineStr">
        <is>
          <t>het in artikel 54 van de Verordeningen (EU) nr. 1093/2010, (EU) nr. 1094/2010 en (EU) nr. 1095/2010 bedoelde comité</t>
        </is>
      </c>
    </row>
    <row r="47">
      <c r="A47" s="2" t="inlineStr">
        <is>
          <t>32022R2554:kleine_onderneming</t>
        </is>
      </c>
      <c r="B47" s="2" t="inlineStr">
        <is>
          <t>kleine onderneming</t>
        </is>
      </c>
      <c r="C47" s="2" t="inlineStr"/>
      <c r="D47" s="2" t="inlineStr">
        <is>
          <t>defined</t>
        </is>
      </c>
      <c r="E47" s="2" t="inlineStr">
        <is>
          <t>32022R2554</t>
        </is>
      </c>
      <c r="F47" s="2" t="inlineStr">
        <is>
          <t>party</t>
        </is>
      </c>
      <c r="G47" s="2" t="n"/>
      <c r="H47" s="2" t="inlineStr">
        <is>
          <t>een financiële entiteit met 10 of meer werknemers, maar minder dan 50 werknemers, en een jaaromzet en/of een jaarlijks balanstotaal van meer dan 2 miljoen EUR, maar van ten hoogste 10 miljoen EUR</t>
        </is>
      </c>
    </row>
    <row r="48">
      <c r="A48" s="2" t="inlineStr">
        <is>
          <t>32022R2554:middelgrote_onderneming</t>
        </is>
      </c>
      <c r="B48" s="2" t="inlineStr">
        <is>
          <t>middelgrote onderneming</t>
        </is>
      </c>
      <c r="C48" s="2" t="inlineStr"/>
      <c r="D48" s="2" t="inlineStr">
        <is>
          <t>defined</t>
        </is>
      </c>
      <c r="E48" s="2" t="inlineStr">
        <is>
          <t>32022R2554</t>
        </is>
      </c>
      <c r="F48" s="2" t="inlineStr">
        <is>
          <t>party</t>
        </is>
      </c>
      <c r="G48" s="2" t="n"/>
      <c r="H48" s="2" t="inlineStr">
        <is>
          <t>een financiële entiteit die geen kleine onderneming is, minder dan 250 personen in dienst heeft en een jaaromzet van ten hoogste 50 miljoen EUR en/of een jaarlijkse balans van ten hoogste 43 miljoen EUR heeft</t>
        </is>
      </c>
    </row>
    <row r="49">
      <c r="A49" s="2" t="inlineStr">
        <is>
          <t>32022R2554:overheidsinstantie</t>
        </is>
      </c>
      <c r="B49" s="2" t="inlineStr">
        <is>
          <t>overheidsinstantie</t>
        </is>
      </c>
      <c r="C49" s="2" t="inlineStr"/>
      <c r="D49" s="2" t="inlineStr">
        <is>
          <t>defined</t>
        </is>
      </c>
      <c r="E49" s="2" t="inlineStr">
        <is>
          <t>32022R2554</t>
        </is>
      </c>
      <c r="F49" s="2" t="inlineStr">
        <is>
          <t>authority</t>
        </is>
      </c>
      <c r="G49" s="2" t="n"/>
      <c r="H49" s="2" t="inlineStr">
        <is>
          <t>een regerings- of andere overheidsinstantie, met inbegrip van nationale centrale banken.</t>
        </is>
      </c>
    </row>
    <row r="50">
      <c r="A50" s="2" t="inlineStr">
        <is>
          <t>32022R2554:hof_van_justitie</t>
        </is>
      </c>
      <c r="B50" s="2" t="inlineStr">
        <is>
          <t>Hof van Justitie</t>
        </is>
      </c>
      <c r="C50" s="2" t="inlineStr"/>
      <c r="D50" s="2" t="inlineStr">
        <is>
          <t>defined</t>
        </is>
      </c>
      <c r="E50" s="2" t="inlineStr">
        <is>
          <t>32022R2554</t>
        </is>
      </c>
      <c r="F50" s="2" t="inlineStr">
        <is>
          <t>institution</t>
        </is>
      </c>
      <c r="G50" s="2" t="n"/>
      <c r="H50" s="2" t="inlineStr">
        <is>
          <t>hij vermeldt dat tegen het besluit bezwaar kan worden aangetekend bij de bezwaarcommissie van de ETA’s en dat bij het Hof van Justitie van de Europese Unie</t>
        </is>
      </c>
    </row>
    <row r="51">
      <c r="A51" s="2" t="inlineStr">
        <is>
          <t>32016R0679:verwerkingsverantwoordelijke</t>
        </is>
      </c>
      <c r="B51" s="2" t="inlineStr">
        <is>
          <t>verwerkingsverantwoordelijke</t>
        </is>
      </c>
      <c r="C51" s="2" t="inlineStr"/>
      <c r="D51" s="2" t="inlineStr">
        <is>
          <t>defined</t>
        </is>
      </c>
      <c r="E51" s="2" t="inlineStr">
        <is>
          <t>32016R0679</t>
        </is>
      </c>
      <c r="F51" s="2" t="inlineStr">
        <is>
          <t>party</t>
        </is>
      </c>
      <c r="G51" s="2" t="n"/>
      <c r="H51" s="2" t="inlineStr">
        <is>
          <t>een natuurlijke persoon of rechtspersoon, een overheidsinstantie, een dienst of een ander orgaan die/dat, alleen of samen met anderen, het doel van en de middelen voor de verwerking van persoonsgegevens vaststelt; wanneer de doelstellingen van en de middelen voor deze verwerking in het Unierecht of het lidstatelijke recht worden vastgesteld, kan daarin worden bepaald wie de verwerkingsverantwoordelijke is of volgens welke criteria deze wordt aangewezen</t>
        </is>
      </c>
    </row>
    <row r="52">
      <c r="A52" s="2" t="inlineStr">
        <is>
          <t>32016R0679:verwerker</t>
        </is>
      </c>
      <c r="B52" s="2" t="inlineStr">
        <is>
          <t>verwerker</t>
        </is>
      </c>
      <c r="C52" s="2" t="inlineStr"/>
      <c r="D52" s="2" t="inlineStr">
        <is>
          <t>defined</t>
        </is>
      </c>
      <c r="E52" s="2" t="inlineStr">
        <is>
          <t>32016R0679</t>
        </is>
      </c>
      <c r="F52" s="2" t="inlineStr">
        <is>
          <t>party</t>
        </is>
      </c>
      <c r="G52" s="2" t="n"/>
      <c r="H52" s="2" t="inlineStr">
        <is>
          <t>een natuurlijke persoon of rechtspersoon, een overheidsinstantie, een dienst of een ander orgaan die/dat ten behoeve van de verwerkingsverantwoordelijke persoonsgegevens verwerkt</t>
        </is>
      </c>
    </row>
    <row r="53">
      <c r="A53" s="2" t="inlineStr">
        <is>
          <t>32016R0679:ontvanger</t>
        </is>
      </c>
      <c r="B53" s="2" t="inlineStr">
        <is>
          <t>ontvanger</t>
        </is>
      </c>
      <c r="C53" s="2" t="inlineStr"/>
      <c r="D53" s="2" t="inlineStr">
        <is>
          <t>defined</t>
        </is>
      </c>
      <c r="E53" s="2" t="inlineStr">
        <is>
          <t>32016R0679</t>
        </is>
      </c>
      <c r="F53" s="2" t="inlineStr">
        <is>
          <t>party</t>
        </is>
      </c>
      <c r="G53" s="2" t="n"/>
      <c r="H53" s="2" t="inlineStr">
        <is>
          <t>een natuurlijke persoon of rechtspersoon, een overheidsinstantie, een dienst of een ander orgaan, al dan niet een derde, aan wie/waaraan de persoonsgegevens worden verstrekt. Overheidsinstanties die mogelijk persoonsgegevens ontvangen in het kader van een bijzonder onderzoek overeenkomstig het Unierecht of het lidstatelijke recht gelden echter niet als ontvangers; de verwerking van die gegevens door die overheidsinstanties strookt met de gegevensbeschermingsregels die op het betreffende verwerki</t>
        </is>
      </c>
    </row>
    <row r="54">
      <c r="A54" s="2" t="inlineStr">
        <is>
          <t>32016R0679:derde</t>
        </is>
      </c>
      <c r="B54" s="2" t="inlineStr">
        <is>
          <t>derde</t>
        </is>
      </c>
      <c r="C54" s="2" t="inlineStr"/>
      <c r="D54" s="2" t="inlineStr">
        <is>
          <t>defined</t>
        </is>
      </c>
      <c r="E54" s="2" t="inlineStr">
        <is>
          <t>32016R0679</t>
        </is>
      </c>
      <c r="F54" s="2" t="inlineStr">
        <is>
          <t>party</t>
        </is>
      </c>
      <c r="G54" s="2" t="n"/>
      <c r="H54" s="2" t="inlineStr">
        <is>
          <t>een natuurlijke persoon of rechtspersoon, een overheidsinstantie, een dienst of een ander orgaan, niet zijnde de betrokkene, noch de verwerkingsverantwoordelijke, noch de verwerker, noch de personen die onder rechtstreeks gezag van de verwerkingsverantwoordelijke of de verwerker gemachtigd zijn om de persoonsgegevens te verwerken</t>
        </is>
      </c>
    </row>
    <row r="55">
      <c r="A55" s="2" t="inlineStr">
        <is>
          <t>32016R0679:vertegenwoordiger</t>
        </is>
      </c>
      <c r="B55" s="2" t="inlineStr">
        <is>
          <t>vertegenwoordiger</t>
        </is>
      </c>
      <c r="C55" s="2" t="inlineStr"/>
      <c r="D55" s="2" t="inlineStr">
        <is>
          <t>defined</t>
        </is>
      </c>
      <c r="E55" s="2" t="inlineStr">
        <is>
          <t>32016R0679</t>
        </is>
      </c>
      <c r="F55" s="2" t="inlineStr">
        <is>
          <t>party</t>
        </is>
      </c>
      <c r="G55" s="2" t="n"/>
      <c r="H55" s="2" t="inlineStr">
        <is>
          <t>een in de Unie gevestigde natuurlijke persoon of rechtspersoon die uit hoofde van artikel 27 schriftelijk door de verwerkingsverantwoordelijke of de verwerker is aangewezen om de verwerkingsverantwoordelijke of de verwerker te vertegenwoordigen in verband met hun respectieve verplichtingen krachtens deze verordening</t>
        </is>
      </c>
    </row>
    <row r="56">
      <c r="A56" s="2" t="inlineStr">
        <is>
          <t>32016R0679:onderneming</t>
        </is>
      </c>
      <c r="B56" s="2" t="inlineStr">
        <is>
          <t>onderneming</t>
        </is>
      </c>
      <c r="C56" s="2" t="inlineStr"/>
      <c r="D56" s="2" t="inlineStr">
        <is>
          <t>defined</t>
        </is>
      </c>
      <c r="E56" s="2" t="inlineStr">
        <is>
          <t>32016R0679</t>
        </is>
      </c>
      <c r="F56" s="2" t="inlineStr">
        <is>
          <t>party</t>
        </is>
      </c>
      <c r="G56" s="2" t="n"/>
      <c r="H56" s="2" t="inlineStr">
        <is>
          <t>een natuurlijke persoon of rechtspersoon die een economische activiteit uitoefent, ongeacht de rechtsvorm ervan, met inbegrip van maatschappen en persoonsvennootschappen of verenigingen die regelmatig een economische activiteit uitoefenen</t>
        </is>
      </c>
    </row>
    <row r="57">
      <c r="A57" s="2" t="inlineStr">
        <is>
          <t>32016R0679:concern</t>
        </is>
      </c>
      <c r="B57" s="2" t="inlineStr">
        <is>
          <t>concern</t>
        </is>
      </c>
      <c r="C57" s="2" t="inlineStr"/>
      <c r="D57" s="2" t="inlineStr">
        <is>
          <t>defined</t>
        </is>
      </c>
      <c r="E57" s="2" t="inlineStr">
        <is>
          <t>32016R0679</t>
        </is>
      </c>
      <c r="F57" s="2" t="inlineStr">
        <is>
          <t>party</t>
        </is>
      </c>
      <c r="G57" s="2" t="n"/>
      <c r="H57" s="2" t="inlineStr">
        <is>
          <t>een onderneming die zeggenschap uitoefent en de ondernemingen waarover die zeggenschap wordt uitgeoefend</t>
        </is>
      </c>
    </row>
    <row r="58">
      <c r="A58" s="2" t="inlineStr">
        <is>
          <t>32016R0679:toezichthoudende_autoriteit</t>
        </is>
      </c>
      <c r="B58" s="2" t="inlineStr">
        <is>
          <t>toezichthoudende autoriteit</t>
        </is>
      </c>
      <c r="C58" s="2" t="inlineStr"/>
      <c r="D58" s="2" t="inlineStr">
        <is>
          <t>defined</t>
        </is>
      </c>
      <c r="E58" s="2" t="inlineStr">
        <is>
          <t>32016R0679</t>
        </is>
      </c>
      <c r="F58" s="2" t="inlineStr">
        <is>
          <t>authority</t>
        </is>
      </c>
      <c r="G58" s="2" t="n"/>
      <c r="H58" s="2" t="inlineStr">
        <is>
          <t>een door een lidstaat ingevolge artikel 51 ingestelde onafhankelijke overheidsinstantie</t>
        </is>
      </c>
    </row>
    <row r="59">
      <c r="A59" s="2" t="inlineStr">
        <is>
          <t>32016R0679:betrokken_toezichthoudende_autoriteit</t>
        </is>
      </c>
      <c r="B59" s="2" t="inlineStr">
        <is>
          <t>betrokken toezichthoudende autoriteit</t>
        </is>
      </c>
      <c r="C59" s="2" t="inlineStr"/>
      <c r="D59" s="2" t="inlineStr">
        <is>
          <t>defined</t>
        </is>
      </c>
      <c r="E59" s="2" t="inlineStr">
        <is>
          <t>32016R0679</t>
        </is>
      </c>
      <c r="F59" s="2" t="inlineStr">
        <is>
          <t>authority</t>
        </is>
      </c>
      <c r="G59" s="2" t="n"/>
      <c r="H59" s="2" t="inlineStr">
        <is>
          <t>een toezichthoudende autoriteit die betrokken is bij de verwerking van persoonsgegevens omdat: a) de verwerkingsverantwoordelijke of de verwerker op het grondgebied van de lidstaat van die toezichthoudende autoriteit is gevestigd; b) de betrokkenen die in de lidstaat van die toezichthoudende autoriteit verblijven, door de verwerking wezenlijke gevolgen ondervinden of waarschijnlijk zullen ondervinden; of c) bij die toezichthoudende autoriteit een klacht is ingediend</t>
        </is>
      </c>
    </row>
    <row r="60">
      <c r="A60" s="2" t="inlineStr">
        <is>
          <t>32016R0679:internationale_organisatie</t>
        </is>
      </c>
      <c r="B60" s="2" t="inlineStr">
        <is>
          <t>internationale organisatie</t>
        </is>
      </c>
      <c r="C60" s="2" t="inlineStr"/>
      <c r="D60" s="2" t="inlineStr">
        <is>
          <t>defined</t>
        </is>
      </c>
      <c r="E60" s="2" t="inlineStr">
        <is>
          <t>32016R0679</t>
        </is>
      </c>
      <c r="F60" s="2" t="inlineStr">
        <is>
          <t>party</t>
        </is>
      </c>
      <c r="G60" s="2" t="n"/>
      <c r="H60" s="2" t="inlineStr">
        <is>
          <t>een organisatie en de daaronder vallende internationaalpubliekrechtelijke organen of andere organen die zijn opgericht bij of op grond van een overeenkomst tussen twee of meer landen.</t>
        </is>
      </c>
    </row>
    <row r="61">
      <c r="A61" s="2" t="inlineStr">
        <is>
          <t>32016R0679:de_betrokkene</t>
        </is>
      </c>
      <c r="B61" s="2" t="inlineStr">
        <is>
          <t>de betrokkene</t>
        </is>
      </c>
      <c r="C61" s="2" t="inlineStr"/>
      <c r="D61" s="2" t="inlineStr">
        <is>
          <t>defined</t>
        </is>
      </c>
      <c r="E61" s="2" t="inlineStr">
        <is>
          <t>32016R0679</t>
        </is>
      </c>
      <c r="F61" s="2" t="inlineStr">
        <is>
          <t>person</t>
        </is>
      </c>
      <c r="G61" s="2" t="n"/>
      <c r="H61" s="2" t="inlineStr">
        <is>
          <t>alle informatie over een geïdentificeerde of identificeerbare natuurlijke persoon</t>
        </is>
      </c>
    </row>
    <row r="62">
      <c r="A62" s="2" t="inlineStr">
        <is>
          <t>32022L2555:vertegenwoordiger</t>
        </is>
      </c>
      <c r="B62" s="2" t="inlineStr">
        <is>
          <t>vertegenwoordiger</t>
        </is>
      </c>
      <c r="C62" s="2" t="inlineStr"/>
      <c r="D62" s="2" t="inlineStr">
        <is>
          <t>defined</t>
        </is>
      </c>
      <c r="E62" s="2" t="inlineStr">
        <is>
          <t>32022L2555</t>
        </is>
      </c>
      <c r="F62" s="2" t="inlineStr">
        <is>
          <t>party</t>
        </is>
      </c>
      <c r="G62" s="2" t="n"/>
      <c r="H62" s="2" t="inlineStr">
        <is>
          <t xml:space="preserve">een in de Unie gevestigde natuurlijke of rechtspersoon die uitdrukkelijk is aangewezen om op te treden namens een DNS-dienstverlener, een register voor topleveldomeinnamen, een entiteit die domeinnaamregistratiediensten verleent, een aanbieder van cloudcomputingdiensten, een aanbieder van datacentrumdiensten, een aanbieder van een netwerk voor de levering van inhoud, een aanbieder van beheerde diensten, een aanbieder van beheerde beveiligingsdiensten, of een aanbieder van een onlinemarktplaats, </t>
        </is>
      </c>
    </row>
    <row r="63">
      <c r="A63" s="2" t="inlineStr">
        <is>
          <t>32022L2555:overheidsinstantie</t>
        </is>
      </c>
      <c r="B63" s="2" t="inlineStr">
        <is>
          <t>overheidsinstantie</t>
        </is>
      </c>
      <c r="C63" s="2" t="inlineStr"/>
      <c r="D63" s="2" t="inlineStr">
        <is>
          <t>defined</t>
        </is>
      </c>
      <c r="E63" s="2" t="inlineStr">
        <is>
          <t>32022L2555</t>
        </is>
      </c>
      <c r="F63" s="2" t="inlineStr">
        <is>
          <t>authority</t>
        </is>
      </c>
      <c r="G63" s="2" t="n"/>
      <c r="H63" s="2" t="inlineStr">
        <is>
          <t xml:space="preserve">een entiteit die overeenkomstig het nationale recht als zodanig in een lidstaat is erkend, met uitzondering van de rechterlijke macht, parlementen en centrale banken, en die aan de volgende criteria voldoet: a) zij is opgericht om te voorzien in behoeften van algemeen belang en heeft geen industrieel of commercieel karakter; b) zij heeft rechtspersoonlijkheid of mag volgens de wet namens een andere entiteit met rechtspersoonlijkheid optreden; c) zij wordt grotendeels gefinancierd door de staat, </t>
        </is>
      </c>
    </row>
    <row r="64">
      <c r="A64" s="2" t="inlineStr">
        <is>
          <t>32022L2555:aanbieder_van_beheerde_diensten</t>
        </is>
      </c>
      <c r="B64" s="2" t="inlineStr">
        <is>
          <t>aanbieder van beheerde diensten</t>
        </is>
      </c>
      <c r="C64" s="2" t="inlineStr"/>
      <c r="D64" s="2" t="inlineStr">
        <is>
          <t>defined</t>
        </is>
      </c>
      <c r="E64" s="2" t="inlineStr">
        <is>
          <t>32022L2555</t>
        </is>
      </c>
      <c r="F64" s="2" t="inlineStr">
        <is>
          <t>party</t>
        </is>
      </c>
      <c r="G64" s="2" t="n"/>
      <c r="H64" s="2" t="inlineStr">
        <is>
          <t>een entiteit die diensten verleent die verband houden met de installatie, het beheer, de exploitatie of het onderhoud van ICT-producten, -netwerken, -infrastructuur, -toepassingen of andere netwerk- en informatiesystemen, via bijstand of actieve administratie bij de consument ter plaatse of op afstand</t>
        </is>
      </c>
    </row>
    <row r="65">
      <c r="A65" s="2" t="inlineStr">
        <is>
          <t>32022L2555:aanbieder_van_beheerde_beveiligingsdiensten</t>
        </is>
      </c>
      <c r="B65" s="2" t="inlineStr">
        <is>
          <t>aanbieder van beheerde beveiligingsdiensten</t>
        </is>
      </c>
      <c r="C65" s="2" t="inlineStr"/>
      <c r="D65" s="2" t="inlineStr">
        <is>
          <t>defined</t>
        </is>
      </c>
      <c r="E65" s="2" t="inlineStr">
        <is>
          <t>32022L2555</t>
        </is>
      </c>
      <c r="F65" s="2" t="inlineStr">
        <is>
          <t>party</t>
        </is>
      </c>
      <c r="G65" s="2" t="n"/>
      <c r="H65" s="2" t="inlineStr">
        <is>
          <t>een aanbieder van beheerde diensten die bijstand biedt of verleent voor activiteiten die verband houden met risicobeheer op het gebied van cyberbeveiliging</t>
        </is>
      </c>
    </row>
    <row r="66">
      <c r="A66" s="2" t="inlineStr">
        <is>
          <t>32022L2555:onderzoeksorganisatie</t>
        </is>
      </c>
      <c r="B66" s="2" t="inlineStr">
        <is>
          <t>onderzoeksorganisatie</t>
        </is>
      </c>
      <c r="C66" s="2" t="inlineStr"/>
      <c r="D66" s="2" t="inlineStr">
        <is>
          <t>defined</t>
        </is>
      </c>
      <c r="E66" s="2" t="inlineStr">
        <is>
          <t>32022L2555</t>
        </is>
      </c>
      <c r="F66" s="2" t="inlineStr">
        <is>
          <t>party</t>
        </is>
      </c>
      <c r="G66" s="2" t="n"/>
      <c r="H66" s="2" t="inlineStr">
        <is>
          <t>een entiteit die als hoofddoel heeft het verrichten van toegepast onderzoek of experimentele ontwikkeling met het oog op de exploitatie van de resultaten van dat onderzoek voor commerciële doeleinden, met uitsluiting van onderwijsinstellingen.</t>
        </is>
      </c>
    </row>
    <row r="67">
      <c r="A67" s="2" t="inlineStr">
        <is>
          <t>KEY:EU:commissie</t>
        </is>
      </c>
      <c r="B67" s="2" t="inlineStr">
        <is>
          <t>Commissie</t>
        </is>
      </c>
      <c r="C67" s="2" t="inlineStr">
        <is>
          <t>Europese Commissie</t>
        </is>
      </c>
      <c r="D67" s="2" t="inlineStr">
        <is>
          <t>key</t>
        </is>
      </c>
      <c r="E67" s="2" t="inlineStr">
        <is>
          <t>eu</t>
        </is>
      </c>
      <c r="F67" s="2" t="inlineStr">
        <is>
          <t>institution</t>
        </is>
      </c>
      <c r="G67" s="2" t="n"/>
      <c r="H67" s="2" t="inlineStr">
        <is>
          <t>curated</t>
        </is>
      </c>
    </row>
    <row r="68">
      <c r="A68" s="2" t="inlineStr">
        <is>
          <t>KEY:EU:lidstaat</t>
        </is>
      </c>
      <c r="B68" s="2" t="inlineStr">
        <is>
          <t>lidstaat</t>
        </is>
      </c>
      <c r="C68" s="2" t="inlineStr"/>
      <c r="D68" s="2" t="inlineStr">
        <is>
          <t>key</t>
        </is>
      </c>
      <c r="E68" s="2" t="inlineStr">
        <is>
          <t>eu</t>
        </is>
      </c>
      <c r="F68" s="2" t="inlineStr">
        <is>
          <t>state</t>
        </is>
      </c>
      <c r="G68" s="2" t="n"/>
      <c r="H68" s="2" t="inlineStr">
        <is>
          <t>curated</t>
        </is>
      </c>
    </row>
    <row r="69">
      <c r="A69" s="2" t="inlineStr">
        <is>
          <t>KEY:EU:europees_parlement</t>
        </is>
      </c>
      <c r="B69" s="2" t="inlineStr">
        <is>
          <t>Europees Parlement</t>
        </is>
      </c>
      <c r="C69" s="2" t="inlineStr"/>
      <c r="D69" s="2" t="inlineStr">
        <is>
          <t>key</t>
        </is>
      </c>
      <c r="E69" s="2" t="inlineStr">
        <is>
          <t>eu</t>
        </is>
      </c>
      <c r="F69" s="2" t="inlineStr">
        <is>
          <t>institution</t>
        </is>
      </c>
      <c r="G69" s="2" t="n"/>
      <c r="H69" s="2" t="inlineStr">
        <is>
          <t>curated</t>
        </is>
      </c>
    </row>
    <row r="70">
      <c r="A70" s="2" t="inlineStr">
        <is>
          <t>KEY:EU:raad</t>
        </is>
      </c>
      <c r="B70" s="2" t="inlineStr">
        <is>
          <t>Raad</t>
        </is>
      </c>
      <c r="C70" s="2" t="inlineStr">
        <is>
          <t>Raad van de Europese Unie</t>
        </is>
      </c>
      <c r="D70" s="2" t="inlineStr">
        <is>
          <t>key</t>
        </is>
      </c>
      <c r="E70" s="2" t="inlineStr">
        <is>
          <t>eu</t>
        </is>
      </c>
      <c r="F70" s="2" t="inlineStr">
        <is>
          <t>institution</t>
        </is>
      </c>
      <c r="G70" s="2" t="n"/>
      <c r="H70" s="2" t="inlineStr">
        <is>
          <t>curated</t>
        </is>
      </c>
    </row>
    <row r="71">
      <c r="A71" s="2" t="inlineStr">
        <is>
          <t>KEY:EU:hof_van_justitie</t>
        </is>
      </c>
      <c r="B71" s="2" t="inlineStr">
        <is>
          <t>Hof van Justitie</t>
        </is>
      </c>
      <c r="C71" s="2" t="inlineStr">
        <is>
          <t>Hof van Justitie van de Europese Unie</t>
        </is>
      </c>
      <c r="D71" s="2" t="inlineStr">
        <is>
          <t>key</t>
        </is>
      </c>
      <c r="E71" s="2" t="inlineStr">
        <is>
          <t>eu</t>
        </is>
      </c>
      <c r="F71" s="2" t="inlineStr">
        <is>
          <t>institution</t>
        </is>
      </c>
      <c r="G71" s="2" t="n"/>
      <c r="H71" s="2" t="inlineStr">
        <is>
          <t>curated</t>
        </is>
      </c>
    </row>
    <row r="72">
      <c r="A72" s="2" t="inlineStr">
        <is>
          <t>KEY:EU:europese_toezichthouder_voor_gegevensbescherming</t>
        </is>
      </c>
      <c r="B72" s="2" t="inlineStr">
        <is>
          <t>Europese Toezichthouder voor gegevensbescherming</t>
        </is>
      </c>
      <c r="C72" s="2" t="inlineStr"/>
      <c r="D72" s="2" t="inlineStr">
        <is>
          <t>key</t>
        </is>
      </c>
      <c r="E72" s="2" t="inlineStr">
        <is>
          <t>eu</t>
        </is>
      </c>
      <c r="F72" s="2" t="inlineStr">
        <is>
          <t>authority</t>
        </is>
      </c>
      <c r="G72" s="2" t="n"/>
      <c r="H72" s="2" t="inlineStr">
        <is>
          <t>curated</t>
        </is>
      </c>
    </row>
    <row r="73">
      <c r="A73" s="2" t="inlineStr">
        <is>
          <t>KEY:EU:gerecht</t>
        </is>
      </c>
      <c r="B73" s="2" t="inlineStr">
        <is>
          <t>gerecht</t>
        </is>
      </c>
      <c r="C73" s="2" t="inlineStr">
        <is>
          <t>bevoegd gerecht; nationaal gerecht</t>
        </is>
      </c>
      <c r="D73" s="2" t="inlineStr">
        <is>
          <t>key</t>
        </is>
      </c>
      <c r="E73" s="2" t="inlineStr">
        <is>
          <t>eu</t>
        </is>
      </c>
      <c r="F73" s="2" t="inlineStr">
        <is>
          <t>institution</t>
        </is>
      </c>
      <c r="G73" s="2" t="n"/>
      <c r="H73" s="2" t="inlineStr">
        <is>
          <t>curated</t>
        </is>
      </c>
    </row>
    <row r="74">
      <c r="A74" s="2" t="inlineStr">
        <is>
          <t>KEY:EU:overheidsinstantie</t>
        </is>
      </c>
      <c r="B74" s="2" t="inlineStr">
        <is>
          <t>overheidsinstantie</t>
        </is>
      </c>
      <c r="C74" s="2" t="inlineStr"/>
      <c r="D74" s="2" t="inlineStr">
        <is>
          <t>key</t>
        </is>
      </c>
      <c r="E74" s="2" t="inlineStr">
        <is>
          <t>eu</t>
        </is>
      </c>
      <c r="F74" s="2" t="inlineStr">
        <is>
          <t>authority</t>
        </is>
      </c>
      <c r="G74" s="2" t="n"/>
      <c r="H74" s="2" t="inlineStr">
        <is>
          <t>curated</t>
        </is>
      </c>
    </row>
    <row r="75">
      <c r="A75" s="2" t="inlineStr">
        <is>
          <t>KEY:EU:nationale_accreditatieinstantie</t>
        </is>
      </c>
      <c r="B75" s="2" t="inlineStr">
        <is>
          <t>nationale accreditatie-instantie</t>
        </is>
      </c>
      <c r="C75" s="2" t="inlineStr">
        <is>
          <t>accreditatie-instantie</t>
        </is>
      </c>
      <c r="D75" s="2" t="inlineStr">
        <is>
          <t>key</t>
        </is>
      </c>
      <c r="E75" s="2" t="inlineStr">
        <is>
          <t>eu</t>
        </is>
      </c>
      <c r="F75" s="2" t="inlineStr">
        <is>
          <t>body</t>
        </is>
      </c>
      <c r="G75" s="2" t="n"/>
      <c r="H75" s="2" t="inlineStr">
        <is>
          <t>curated</t>
        </is>
      </c>
    </row>
    <row r="76">
      <c r="A76" s="2" t="inlineStr">
        <is>
          <t>KEY:32016R0679:comite</t>
        </is>
      </c>
      <c r="B76" s="2" t="inlineStr">
        <is>
          <t>Comité</t>
        </is>
      </c>
      <c r="C76" s="2" t="inlineStr">
        <is>
          <t>Europees Comité voor gegevensbescherming</t>
        </is>
      </c>
      <c r="D76" s="2" t="inlineStr">
        <is>
          <t>key</t>
        </is>
      </c>
      <c r="E76" s="2" t="inlineStr">
        <is>
          <t>32016R0679</t>
        </is>
      </c>
      <c r="F76" s="2" t="inlineStr">
        <is>
          <t>body</t>
        </is>
      </c>
      <c r="G76" s="2" t="n"/>
      <c r="H76" s="2" t="inlineStr">
        <is>
          <t>curated</t>
        </is>
      </c>
    </row>
    <row r="77">
      <c r="A77" s="2" t="inlineStr">
        <is>
          <t>KEY:32016R0679:voorzitter</t>
        </is>
      </c>
      <c r="B77" s="2" t="inlineStr">
        <is>
          <t>voorzitter</t>
        </is>
      </c>
      <c r="C77" s="2" t="inlineStr">
        <is>
          <t>voorzitter van het Comité</t>
        </is>
      </c>
      <c r="D77" s="2" t="inlineStr">
        <is>
          <t>key</t>
        </is>
      </c>
      <c r="E77" s="2" t="inlineStr">
        <is>
          <t>32016R0679</t>
        </is>
      </c>
      <c r="F77" s="2" t="inlineStr">
        <is>
          <t>office</t>
        </is>
      </c>
      <c r="G77" s="2" t="inlineStr">
        <is>
          <t>KEY:32016R0679:comite</t>
        </is>
      </c>
      <c r="H77" s="2" t="inlineStr">
        <is>
          <t>curated</t>
        </is>
      </c>
    </row>
    <row r="78">
      <c r="A78" s="2" t="inlineStr">
        <is>
          <t>KEY:32016R0679:secretariaat</t>
        </is>
      </c>
      <c r="B78" s="2" t="inlineStr">
        <is>
          <t>secretariaat</t>
        </is>
      </c>
      <c r="C78" s="2" t="inlineStr">
        <is>
          <t>secretariaat van het Comité</t>
        </is>
      </c>
      <c r="D78" s="2" t="inlineStr">
        <is>
          <t>key</t>
        </is>
      </c>
      <c r="E78" s="2" t="inlineStr">
        <is>
          <t>32016R0679</t>
        </is>
      </c>
      <c r="F78" s="2" t="inlineStr">
        <is>
          <t>office</t>
        </is>
      </c>
      <c r="G78" s="2" t="inlineStr">
        <is>
          <t>KEY:32016R0679:comite</t>
        </is>
      </c>
      <c r="H78" s="2" t="inlineStr">
        <is>
          <t>curated</t>
        </is>
      </c>
    </row>
    <row r="79">
      <c r="A79" s="2" t="inlineStr">
        <is>
          <t>KEY:32016R0679:leidende_toezichthoudende_autoriteit</t>
        </is>
      </c>
      <c r="B79" s="2" t="inlineStr">
        <is>
          <t>leidende toezichthoudende autoriteit</t>
        </is>
      </c>
      <c r="C79" s="2" t="inlineStr"/>
      <c r="D79" s="2" t="inlineStr">
        <is>
          <t>key</t>
        </is>
      </c>
      <c r="E79" s="2" t="inlineStr">
        <is>
          <t>32016R0679</t>
        </is>
      </c>
      <c r="F79" s="2" t="inlineStr">
        <is>
          <t>authority</t>
        </is>
      </c>
      <c r="G79" s="2" t="n"/>
      <c r="H79" s="2" t="inlineStr">
        <is>
          <t>curated</t>
        </is>
      </c>
    </row>
    <row r="80">
      <c r="A80" s="2" t="inlineStr">
        <is>
          <t>KEY:32016R0679:functionaris_voor_gegevensbescherming</t>
        </is>
      </c>
      <c r="B80" s="2" t="inlineStr">
        <is>
          <t>functionaris voor gegevensbescherming</t>
        </is>
      </c>
      <c r="C80" s="2" t="inlineStr"/>
      <c r="D80" s="2" t="inlineStr">
        <is>
          <t>key</t>
        </is>
      </c>
      <c r="E80" s="2" t="inlineStr">
        <is>
          <t>32016R0679</t>
        </is>
      </c>
      <c r="F80" s="2" t="inlineStr">
        <is>
          <t>office</t>
        </is>
      </c>
      <c r="G80" s="2" t="n"/>
      <c r="H80" s="2" t="inlineStr">
        <is>
          <t>curated</t>
        </is>
      </c>
    </row>
    <row r="81">
      <c r="A81" s="2" t="inlineStr">
        <is>
          <t>KEY:32016R0679:certificeringsorgaan</t>
        </is>
      </c>
      <c r="B81" s="2" t="inlineStr">
        <is>
          <t>certificeringsorgaan</t>
        </is>
      </c>
      <c r="C81" s="2" t="inlineStr"/>
      <c r="D81" s="2" t="inlineStr">
        <is>
          <t>key</t>
        </is>
      </c>
      <c r="E81" s="2" t="inlineStr">
        <is>
          <t>32016R0679</t>
        </is>
      </c>
      <c r="F81" s="2" t="inlineStr">
        <is>
          <t>body</t>
        </is>
      </c>
      <c r="G81" s="2" t="n"/>
      <c r="H81" s="2" t="inlineStr">
        <is>
          <t>curated</t>
        </is>
      </c>
    </row>
    <row r="82">
      <c r="A82" s="2" t="inlineStr">
        <is>
          <t>KEY:32016R0679:vereniging</t>
        </is>
      </c>
      <c r="B82" s="2" t="inlineStr">
        <is>
          <t>vereniging</t>
        </is>
      </c>
      <c r="C82" s="2" t="inlineStr">
        <is>
          <t>verenigingen en andere organen die categorieën van verwerkingsverantwoordelijken of verwerkers vertegenwoordigen</t>
        </is>
      </c>
      <c r="D82" s="2" t="inlineStr">
        <is>
          <t>key</t>
        </is>
      </c>
      <c r="E82" s="2" t="inlineStr">
        <is>
          <t>32016R0679</t>
        </is>
      </c>
      <c r="F82" s="2" t="inlineStr">
        <is>
          <t>party</t>
        </is>
      </c>
      <c r="G82" s="2" t="n"/>
      <c r="H82" s="2" t="inlineStr">
        <is>
          <t>curated</t>
        </is>
      </c>
    </row>
    <row r="83">
      <c r="A83" s="2" t="inlineStr">
        <is>
          <t>KEY:32024R1689:aiboard</t>
        </is>
      </c>
      <c r="B83" s="2" t="inlineStr">
        <is>
          <t>AI-board</t>
        </is>
      </c>
      <c r="C83" s="2" t="inlineStr">
        <is>
          <t>Europese raad voor artificiële intelligentie</t>
        </is>
      </c>
      <c r="D83" s="2" t="inlineStr">
        <is>
          <t>key</t>
        </is>
      </c>
      <c r="E83" s="2" t="inlineStr">
        <is>
          <t>32024R1689</t>
        </is>
      </c>
      <c r="F83" s="2" t="inlineStr">
        <is>
          <t>body</t>
        </is>
      </c>
      <c r="G83" s="2" t="n"/>
      <c r="H83" s="2" t="inlineStr">
        <is>
          <t>curated</t>
        </is>
      </c>
    </row>
    <row r="84">
      <c r="A84" s="2" t="inlineStr">
        <is>
          <t>KEY:32024R1689:adviesforum</t>
        </is>
      </c>
      <c r="B84" s="2" t="inlineStr">
        <is>
          <t>adviesforum</t>
        </is>
      </c>
      <c r="C84" s="2" t="inlineStr"/>
      <c r="D84" s="2" t="inlineStr">
        <is>
          <t>key</t>
        </is>
      </c>
      <c r="E84" s="2" t="inlineStr">
        <is>
          <t>32024R1689</t>
        </is>
      </c>
      <c r="F84" s="2" t="inlineStr">
        <is>
          <t>body</t>
        </is>
      </c>
      <c r="G84" s="2" t="n"/>
      <c r="H84" s="2" t="inlineStr">
        <is>
          <t>curated</t>
        </is>
      </c>
    </row>
    <row r="85">
      <c r="A85" s="2" t="inlineStr">
        <is>
          <t>KEY:32024R1689:wetenschappelijk_panel</t>
        </is>
      </c>
      <c r="B85" s="2" t="inlineStr">
        <is>
          <t>wetenschappelijk panel</t>
        </is>
      </c>
      <c r="C85" s="2" t="inlineStr">
        <is>
          <t>wetenschappelijk panel van onafhankelijke deskundigen</t>
        </is>
      </c>
      <c r="D85" s="2" t="inlineStr">
        <is>
          <t>key</t>
        </is>
      </c>
      <c r="E85" s="2" t="inlineStr">
        <is>
          <t>32024R1689</t>
        </is>
      </c>
      <c r="F85" s="2" t="inlineStr">
        <is>
          <t>body</t>
        </is>
      </c>
      <c r="G85" s="2" t="n"/>
      <c r="H85" s="2" t="inlineStr">
        <is>
          <t>curated</t>
        </is>
      </c>
    </row>
    <row r="86">
      <c r="A86" s="2" t="inlineStr">
        <is>
          <t>KEY:32024R1689:productfabrikant</t>
        </is>
      </c>
      <c r="B86" s="2" t="inlineStr">
        <is>
          <t>productfabrikant</t>
        </is>
      </c>
      <c r="C86" s="2" t="inlineStr"/>
      <c r="D86" s="2" t="inlineStr">
        <is>
          <t>key</t>
        </is>
      </c>
      <c r="E86" s="2" t="inlineStr">
        <is>
          <t>32024R1689</t>
        </is>
      </c>
      <c r="F86" s="2" t="inlineStr">
        <is>
          <t>party</t>
        </is>
      </c>
      <c r="G86" s="2" t="n"/>
      <c r="H86" s="2" t="inlineStr">
        <is>
          <t>curated</t>
        </is>
      </c>
    </row>
    <row r="87">
      <c r="A87" s="2" t="inlineStr">
        <is>
          <t>KEY:32024R1689:permanente_subgroep_voor_markttoezicht</t>
        </is>
      </c>
      <c r="B87" s="2" t="inlineStr">
        <is>
          <t>permanente subgroep voor markttoezicht</t>
        </is>
      </c>
      <c r="C87" s="2" t="inlineStr">
        <is>
          <t>subgroep</t>
        </is>
      </c>
      <c r="D87" s="2" t="inlineStr">
        <is>
          <t>key</t>
        </is>
      </c>
      <c r="E87" s="2" t="inlineStr">
        <is>
          <t>32024R1689</t>
        </is>
      </c>
      <c r="F87" s="2" t="inlineStr">
        <is>
          <t>body</t>
        </is>
      </c>
      <c r="G87" s="2" t="inlineStr">
        <is>
          <t>KEY:32024R1689:aiboard</t>
        </is>
      </c>
      <c r="H87" s="2" t="inlineStr">
        <is>
          <t>curated</t>
        </is>
      </c>
    </row>
    <row r="88">
      <c r="A88" s="2" t="inlineStr">
        <is>
          <t>KEY:32024R1689:gegevensbeschermingsautoriteit</t>
        </is>
      </c>
      <c r="B88" s="2" t="inlineStr">
        <is>
          <t>gegevensbeschermingsautoriteit</t>
        </is>
      </c>
      <c r="C88" s="2" t="inlineStr">
        <is>
          <t>nationale gegevensbeschermingsautoriteit</t>
        </is>
      </c>
      <c r="D88" s="2" t="inlineStr">
        <is>
          <t>key</t>
        </is>
      </c>
      <c r="E88" s="2" t="inlineStr">
        <is>
          <t>32024R1689</t>
        </is>
      </c>
      <c r="F88" s="2" t="inlineStr">
        <is>
          <t>authority</t>
        </is>
      </c>
      <c r="G88" s="2" t="n"/>
      <c r="H88" s="2" t="inlineStr">
        <is>
          <t>curated</t>
        </is>
      </c>
    </row>
    <row r="89">
      <c r="A89" s="2" t="inlineStr">
        <is>
          <t>KEY:32024R1689:civielebeschermingsautoriteit</t>
        </is>
      </c>
      <c r="B89" s="2" t="inlineStr">
        <is>
          <t>civielebeschermingsautoriteit</t>
        </is>
      </c>
      <c r="C89" s="2" t="inlineStr"/>
      <c r="D89" s="2" t="inlineStr">
        <is>
          <t>key</t>
        </is>
      </c>
      <c r="E89" s="2" t="inlineStr">
        <is>
          <t>32024R1689</t>
        </is>
      </c>
      <c r="F89" s="2" t="inlineStr">
        <is>
          <t>authority</t>
        </is>
      </c>
      <c r="G89" s="2" t="n"/>
      <c r="H89" s="2" t="inlineStr">
        <is>
          <t>curated</t>
        </is>
      </c>
    </row>
    <row r="90">
      <c r="A90" s="2" t="inlineStr">
        <is>
          <t>KEY:32024R1689:kmo</t>
        </is>
      </c>
      <c r="B90" s="2" t="inlineStr">
        <is>
          <t>kmo</t>
        </is>
      </c>
      <c r="C90" s="2" t="inlineStr">
        <is>
          <t>kmo, met inbegrip van start-ups</t>
        </is>
      </c>
      <c r="D90" s="2" t="inlineStr">
        <is>
          <t>key</t>
        </is>
      </c>
      <c r="E90" s="2" t="inlineStr">
        <is>
          <t>32024R1689</t>
        </is>
      </c>
      <c r="F90" s="2" t="inlineStr">
        <is>
          <t>party</t>
        </is>
      </c>
      <c r="G90" s="2" t="n"/>
      <c r="H90" s="2" t="inlineStr">
        <is>
          <t>curated</t>
        </is>
      </c>
    </row>
  </sheetData>
  <autoFilter ref="A1:H9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1"/>
  <sheetViews>
    <sheetView workbookViewId="0">
      <selection activeCell="A1" sqref="A1"/>
    </sheetView>
  </sheetViews>
  <sheetFormatPr baseColWidth="8" defaultRowHeight="15"/>
  <sheetData>
    <row r="1">
      <c r="A1" s="7" t="inlineStr">
        <is>
          <t>#</t>
        </is>
      </c>
      <c r="B1" s="7" t="inlineStr">
        <is>
          <t>stratum</t>
        </is>
      </c>
      <c r="C1" s="7" t="inlineStr">
        <is>
          <t>kind</t>
        </is>
      </c>
      <c r="D1" s="7" t="inlineStr">
        <is>
          <t>source</t>
        </is>
      </c>
      <c r="E1" s="7" t="inlineStr">
        <is>
          <t>level</t>
        </is>
      </c>
      <c r="F1" s="7" t="inlineStr">
        <is>
          <t>unit</t>
        </is>
      </c>
      <c r="G1" s="7" t="inlineStr">
        <is>
          <t>result</t>
        </is>
      </c>
      <c r="H1" s="7" t="inlineStr">
        <is>
          <t>actor_id</t>
        </is>
      </c>
      <c r="I1" s="7" t="inlineStr">
        <is>
          <t>fallback_class</t>
        </is>
      </c>
      <c r="J1" s="7" t="inlineStr">
        <is>
          <t>role_keys</t>
        </is>
      </c>
      <c r="K1" s="7" t="inlineStr">
        <is>
          <t>occ_EU</t>
        </is>
      </c>
      <c r="L1" s="7" t="inlineStr">
        <is>
          <t>occ_NL</t>
        </is>
      </c>
      <c r="M1" s="7" t="inlineStr">
        <is>
          <t>group_occ</t>
        </is>
      </c>
      <c r="N1" s="7" t="inlineStr">
        <is>
          <t>norm_ids</t>
        </is>
      </c>
    </row>
    <row r="2">
      <c r="A2" s="7" t="n">
        <v>1</v>
      </c>
      <c r="B2" s="7" t="inlineStr">
        <is>
          <t>EU | fallback</t>
        </is>
      </c>
      <c r="C2" s="7" t="inlineStr">
        <is>
          <t>sample</t>
        </is>
      </c>
      <c r="D2" s="7" t="inlineStr">
        <is>
          <t>EU</t>
        </is>
      </c>
      <c r="E2" s="7" t="inlineStr">
        <is>
          <t>fallback</t>
        </is>
      </c>
      <c r="F2" s="7" t="inlineStr">
        <is>
          <t>vicevoorzitters</t>
        </is>
      </c>
      <c r="G2" s="7" t="inlineStr">
        <is>
          <t>class:office</t>
        </is>
      </c>
      <c r="H2" s="7" t="n"/>
      <c r="I2" s="7" t="inlineStr">
        <is>
          <t>office</t>
        </is>
      </c>
      <c r="J2" s="7" t="inlineStr">
        <is>
          <t>vicevoorzitter</t>
        </is>
      </c>
      <c r="K2" s="7" t="n">
        <v>0</v>
      </c>
      <c r="L2" s="7" t="n">
        <v>0</v>
      </c>
      <c r="M2" s="7" t="n">
        <v>2</v>
      </c>
      <c r="N2" s="7" t="inlineStr">
        <is>
          <t>32016R0679:73:2:2</t>
        </is>
      </c>
    </row>
    <row r="3">
      <c r="A3" s="7" t="n">
        <v>2</v>
      </c>
      <c r="B3" s="7" t="inlineStr">
        <is>
          <t>EU | fallback</t>
        </is>
      </c>
      <c r="C3" s="7" t="inlineStr">
        <is>
          <t>sample</t>
        </is>
      </c>
      <c r="D3" s="7" t="inlineStr">
        <is>
          <t>EU</t>
        </is>
      </c>
      <c r="E3" s="7" t="inlineStr">
        <is>
          <t>fallback</t>
        </is>
      </c>
      <c r="F3" s="7" t="inlineStr">
        <is>
          <t>personen</t>
        </is>
      </c>
      <c r="G3" s="7" t="inlineStr">
        <is>
          <t>class:person</t>
        </is>
      </c>
      <c r="H3" s="7" t="n"/>
      <c r="I3" s="7" t="inlineStr">
        <is>
          <t>person</t>
        </is>
      </c>
      <c r="J3" s="7" t="inlineStr">
        <is>
          <t>person</t>
        </is>
      </c>
      <c r="K3" s="7" t="n">
        <v>0</v>
      </c>
      <c r="L3" s="7" t="n">
        <v>0</v>
      </c>
      <c r="M3" s="7" t="n">
        <v>1</v>
      </c>
      <c r="N3" s="7" t="inlineStr">
        <is>
          <t>32024R1689:92:5:7</t>
        </is>
      </c>
    </row>
    <row r="4">
      <c r="A4" s="7" t="n">
        <v>3</v>
      </c>
      <c r="B4" s="7" t="inlineStr">
        <is>
          <t>EU | exact</t>
        </is>
      </c>
      <c r="C4" s="7" t="inlineStr">
        <is>
          <t>sample</t>
        </is>
      </c>
      <c r="D4" s="7" t="inlineStr">
        <is>
          <t>EU</t>
        </is>
      </c>
      <c r="E4" s="7" t="inlineStr">
        <is>
          <t>exact</t>
        </is>
      </c>
      <c r="F4" s="7" t="inlineStr">
        <is>
          <t>Aanbieders</t>
        </is>
      </c>
      <c r="G4" s="7" t="inlineStr">
        <is>
          <t>32024R1689:aanbieder</t>
        </is>
      </c>
      <c r="H4" s="7" t="inlineStr">
        <is>
          <t>32024R1689:aanbieder</t>
        </is>
      </c>
      <c r="I4" s="7" t="n"/>
      <c r="J4" s="7" t="inlineStr">
        <is>
          <t>aanbieder</t>
        </is>
      </c>
      <c r="K4" s="7" t="n">
        <v>0</v>
      </c>
      <c r="L4" s="7" t="n">
        <v>0</v>
      </c>
      <c r="M4" s="7" t="n">
        <v>12</v>
      </c>
      <c r="N4" s="7" t="inlineStr">
        <is>
          <t>32024R1689:60:4:2</t>
        </is>
      </c>
    </row>
    <row r="5">
      <c r="A5" s="7" t="n">
        <v>4</v>
      </c>
      <c r="B5" s="7" t="inlineStr">
        <is>
          <t>census</t>
        </is>
      </c>
      <c r="C5" s="7" t="inlineStr">
        <is>
          <t>census</t>
        </is>
      </c>
      <c r="D5" s="7" t="inlineStr">
        <is>
          <t>EU</t>
        </is>
      </c>
      <c r="E5" s="7" t="inlineStr">
        <is>
          <t>exact</t>
        </is>
      </c>
      <c r="F5" s="7" t="inlineStr">
        <is>
          <t>aanmeldende autoriteit</t>
        </is>
      </c>
      <c r="G5" s="7" t="inlineStr">
        <is>
          <t>32024R1689:aanmeldende_autoriteit</t>
        </is>
      </c>
      <c r="H5" s="7" t="inlineStr">
        <is>
          <t>32024R1689:aanmeldende_autoriteit</t>
        </is>
      </c>
      <c r="I5" s="7" t="n"/>
      <c r="J5" s="7" t="inlineStr">
        <is>
          <t>aanmeld autoriteit / autoriteit</t>
        </is>
      </c>
      <c r="K5" s="7" t="n">
        <v>23</v>
      </c>
      <c r="L5" s="7" t="n">
        <v>0</v>
      </c>
      <c r="M5" s="7" t="n">
        <v>23</v>
      </c>
      <c r="N5" s="7" t="inlineStr">
        <is>
          <t>32024R1689:36:1:1, 32024R1689:28:1:3, 32024R1689:36:8:27</t>
        </is>
      </c>
    </row>
    <row r="6">
      <c r="A6" s="7" t="n">
        <v>5</v>
      </c>
      <c r="B6" s="7" t="inlineStr">
        <is>
          <t>EU | not_actor</t>
        </is>
      </c>
      <c r="C6" s="7" t="inlineStr">
        <is>
          <t>sample</t>
        </is>
      </c>
      <c r="D6" s="7" t="inlineStr">
        <is>
          <t>EU</t>
        </is>
      </c>
      <c r="E6" s="7" t="inlineStr">
        <is>
          <t>not_actor</t>
        </is>
      </c>
      <c r="F6" s="7" t="inlineStr">
        <is>
          <t>besluit</t>
        </is>
      </c>
      <c r="G6" s="7" t="inlineStr">
        <is>
          <t>not_actor</t>
        </is>
      </c>
      <c r="H6" s="7" t="n"/>
      <c r="I6" s="7" t="n"/>
      <c r="J6" s="7" t="inlineStr">
        <is>
          <t>besluit</t>
        </is>
      </c>
      <c r="K6" s="7" t="n">
        <v>0</v>
      </c>
      <c r="L6" s="7" t="n">
        <v>0</v>
      </c>
      <c r="M6" s="7" t="n">
        <v>2</v>
      </c>
      <c r="N6" s="7" t="inlineStr">
        <is>
          <t>32016R0679:65:6:15</t>
        </is>
      </c>
    </row>
    <row r="7">
      <c r="A7" s="7" t="n">
        <v>6</v>
      </c>
      <c r="B7" s="7" t="inlineStr">
        <is>
          <t>EU | shortened</t>
        </is>
      </c>
      <c r="C7" s="7" t="inlineStr">
        <is>
          <t>sample</t>
        </is>
      </c>
      <c r="D7" s="7" t="inlineStr">
        <is>
          <t>EU</t>
        </is>
      </c>
      <c r="E7" s="7" t="inlineStr">
        <is>
          <t>shortened</t>
        </is>
      </c>
      <c r="F7" s="7" t="inlineStr">
        <is>
          <t>Gebruiksverantwoordelijken van AI-systemen met een hoog risico</t>
        </is>
      </c>
      <c r="G7" s="7" t="inlineStr">
        <is>
          <t>32024R1689:gebruiksverantwoordelijke</t>
        </is>
      </c>
      <c r="H7" s="7" t="inlineStr">
        <is>
          <t>32024R1689:gebruiksverantwoordelijke</t>
        </is>
      </c>
      <c r="I7" s="7" t="n"/>
      <c r="J7" s="7" t="inlineStr">
        <is>
          <t>gebruiksverantwoord aisystem hog risico / gebruiksverantwoord aisystem hog / gebruiksverantwoord aisystem / gebruiksverantwoord</t>
        </is>
      </c>
      <c r="K7" s="7" t="n">
        <v>0</v>
      </c>
      <c r="L7" s="7" t="n">
        <v>0</v>
      </c>
      <c r="M7" s="7" t="n">
        <v>3</v>
      </c>
      <c r="N7" s="7" t="inlineStr">
        <is>
          <t>32024R1689:26:8:16</t>
        </is>
      </c>
    </row>
    <row r="8">
      <c r="A8" s="7" t="n">
        <v>7</v>
      </c>
      <c r="B8" s="7" t="inlineStr">
        <is>
          <t>EU | not_actor</t>
        </is>
      </c>
      <c r="C8" s="7" t="inlineStr">
        <is>
          <t>sample</t>
        </is>
      </c>
      <c r="D8" s="7" t="inlineStr">
        <is>
          <t>EU</t>
        </is>
      </c>
      <c r="E8" s="7" t="inlineStr">
        <is>
          <t>not_actor</t>
        </is>
      </c>
      <c r="F8" s="7" t="inlineStr">
        <is>
          <t>boeten</t>
        </is>
      </c>
      <c r="G8" s="7" t="inlineStr">
        <is>
          <t>not_actor</t>
        </is>
      </c>
      <c r="H8" s="7" t="n"/>
      <c r="I8" s="7" t="n"/>
      <c r="J8" s="7" t="inlineStr">
        <is>
          <t>boet</t>
        </is>
      </c>
      <c r="K8" s="7" t="n">
        <v>0</v>
      </c>
      <c r="L8" s="7" t="n">
        <v>0</v>
      </c>
      <c r="M8" s="7" t="n">
        <v>1</v>
      </c>
      <c r="N8" s="7" t="inlineStr">
        <is>
          <t>32016R0679:83:9:14</t>
        </is>
      </c>
    </row>
    <row r="9">
      <c r="A9" s="7" t="n">
        <v>8</v>
      </c>
      <c r="B9" s="7" t="inlineStr">
        <is>
          <t>EU | shortened</t>
        </is>
      </c>
      <c r="C9" s="7" t="inlineStr">
        <is>
          <t>sample</t>
        </is>
      </c>
      <c r="D9" s="7" t="inlineStr">
        <is>
          <t>EU</t>
        </is>
      </c>
      <c r="E9" s="7" t="inlineStr">
        <is>
          <t>shortened</t>
        </is>
      </c>
      <c r="F9" s="7" t="inlineStr">
        <is>
          <t>bevoegde toezichthoudende autoriteit</t>
        </is>
      </c>
      <c r="G9" s="7" t="inlineStr">
        <is>
          <t>32016R0679:toezichthoudende_autoriteit</t>
        </is>
      </c>
      <c r="H9" s="7" t="inlineStr">
        <is>
          <t>32016R0679:toezichthoudende_autoriteit</t>
        </is>
      </c>
      <c r="I9" s="7" t="n"/>
      <c r="J9" s="7" t="inlineStr">
        <is>
          <t>bevoegd toezichthoud autoriteit / toezichthoud autoriteit / autoriteit</t>
        </is>
      </c>
      <c r="K9" s="7" t="n">
        <v>0</v>
      </c>
      <c r="L9" s="7" t="n">
        <v>0</v>
      </c>
      <c r="M9" s="7" t="n">
        <v>10</v>
      </c>
      <c r="N9" s="7" t="inlineStr">
        <is>
          <t>32016R0679:42:7:7</t>
        </is>
      </c>
    </row>
    <row r="10">
      <c r="A10" s="7" t="n">
        <v>9</v>
      </c>
      <c r="B10" s="7" t="inlineStr">
        <is>
          <t>EU | exact</t>
        </is>
      </c>
      <c r="C10" s="7" t="inlineStr">
        <is>
          <t>sample</t>
        </is>
      </c>
      <c r="D10" s="7" t="inlineStr">
        <is>
          <t>EU</t>
        </is>
      </c>
      <c r="E10" s="7" t="inlineStr">
        <is>
          <t>exact</t>
        </is>
      </c>
      <c r="F10" s="7" t="inlineStr">
        <is>
          <t>Hof van Justitie van de Europese Unie</t>
        </is>
      </c>
      <c r="G10" s="7" t="inlineStr">
        <is>
          <t>KEY:EU:hof_van_justitie</t>
        </is>
      </c>
      <c r="H10" s="7" t="inlineStr">
        <is>
          <t>KEY:EU:hof_van_justitie</t>
        </is>
      </c>
      <c r="I10" s="7" t="n"/>
      <c r="J10" s="7" t="inlineStr">
        <is>
          <t>hof justitie europes unie / hof justitie europes / hof justitie / hof</t>
        </is>
      </c>
      <c r="K10" s="7" t="n">
        <v>0</v>
      </c>
      <c r="L10" s="7" t="n">
        <v>0</v>
      </c>
      <c r="M10" s="7" t="n">
        <v>3</v>
      </c>
      <c r="N10" s="7" t="inlineStr">
        <is>
          <t>32024R1689:101:5:9</t>
        </is>
      </c>
    </row>
    <row r="11">
      <c r="A11" s="7" t="n">
        <v>10</v>
      </c>
      <c r="B11" s="7" t="inlineStr">
        <is>
          <t>EU | exact</t>
        </is>
      </c>
      <c r="C11" s="7" t="inlineStr">
        <is>
          <t>sample</t>
        </is>
      </c>
      <c r="D11" s="7" t="inlineStr">
        <is>
          <t>EU</t>
        </is>
      </c>
      <c r="E11" s="7" t="inlineStr">
        <is>
          <t>exact</t>
        </is>
      </c>
      <c r="F11" s="7" t="inlineStr">
        <is>
          <t>Aanmeldende autoriteiten</t>
        </is>
      </c>
      <c r="G11" s="7" t="inlineStr">
        <is>
          <t>32024R1689:aanmeldende_autoriteit</t>
        </is>
      </c>
      <c r="H11" s="7" t="inlineStr">
        <is>
          <t>32024R1689:aanmeldende_autoriteit</t>
        </is>
      </c>
      <c r="I11" s="7" t="n"/>
      <c r="J11" s="7" t="inlineStr">
        <is>
          <t>aanmeld autoriteit / autoriteit</t>
        </is>
      </c>
      <c r="K11" s="7" t="n">
        <v>0</v>
      </c>
      <c r="L11" s="7" t="n">
        <v>0</v>
      </c>
      <c r="M11" s="7" t="n">
        <v>9</v>
      </c>
      <c r="N11" s="7" t="inlineStr">
        <is>
          <t>32024R1689:30:2:2</t>
        </is>
      </c>
    </row>
    <row r="12">
      <c r="A12" s="7" t="n">
        <v>11</v>
      </c>
      <c r="B12" s="7" t="inlineStr">
        <is>
          <t>census</t>
        </is>
      </c>
      <c r="C12" s="7" t="inlineStr">
        <is>
          <t>census</t>
        </is>
      </c>
      <c r="D12" s="7" t="inlineStr">
        <is>
          <t>EU</t>
        </is>
      </c>
      <c r="E12" s="7" t="inlineStr">
        <is>
          <t>exact</t>
        </is>
      </c>
      <c r="F12" s="7" t="inlineStr">
        <is>
          <t>AI-bureau</t>
        </is>
      </c>
      <c r="G12" s="7" t="inlineStr">
        <is>
          <t>32024R1689:aibureau</t>
        </is>
      </c>
      <c r="H12" s="7" t="inlineStr">
        <is>
          <t>32024R1689:aibureau</t>
        </is>
      </c>
      <c r="I12" s="7" t="n"/>
      <c r="J12" s="7" t="inlineStr">
        <is>
          <t>aibureau</t>
        </is>
      </c>
      <c r="K12" s="7" t="n">
        <v>37</v>
      </c>
      <c r="L12" s="7" t="n">
        <v>0</v>
      </c>
      <c r="M12" s="7" t="n">
        <v>37</v>
      </c>
      <c r="N12" s="7" t="inlineStr">
        <is>
          <t>32024R1689:56:6:10, 32024R1689:56:6:7, 32024R1689:56:9:20</t>
        </is>
      </c>
    </row>
    <row r="13">
      <c r="A13" s="7" t="n">
        <v>12</v>
      </c>
      <c r="B13" s="7" t="inlineStr">
        <is>
          <t>census</t>
        </is>
      </c>
      <c r="C13" s="7" t="inlineStr">
        <is>
          <t>census</t>
        </is>
      </c>
      <c r="D13" s="7" t="inlineStr">
        <is>
          <t>EU</t>
        </is>
      </c>
      <c r="E13" s="7" t="inlineStr">
        <is>
          <t>exact</t>
        </is>
      </c>
      <c r="F13" s="7" t="inlineStr">
        <is>
          <t>Commissie</t>
        </is>
      </c>
      <c r="G13" s="7" t="inlineStr">
        <is>
          <t>KEY:EU:commissie</t>
        </is>
      </c>
      <c r="H13" s="7" t="inlineStr">
        <is>
          <t>KEY:EU:commissie</t>
        </is>
      </c>
      <c r="I13" s="7" t="n"/>
      <c r="J13" s="7" t="inlineStr">
        <is>
          <t>commissie</t>
        </is>
      </c>
      <c r="K13" s="7" t="n">
        <v>160</v>
      </c>
      <c r="L13" s="7" t="n">
        <v>0</v>
      </c>
      <c r="M13" s="7" t="n">
        <v>160</v>
      </c>
      <c r="N13" s="7" t="inlineStr">
        <is>
          <t>32024R1689:35:2:2, 32024R1689:52:4:6, 32024R1689:5:6:14</t>
        </is>
      </c>
    </row>
    <row r="14">
      <c r="A14" s="7" t="n">
        <v>13</v>
      </c>
      <c r="B14" s="7" t="inlineStr">
        <is>
          <t>EU | exact</t>
        </is>
      </c>
      <c r="C14" s="7" t="inlineStr">
        <is>
          <t>sample</t>
        </is>
      </c>
      <c r="D14" s="7" t="inlineStr">
        <is>
          <t>EU</t>
        </is>
      </c>
      <c r="E14" s="7" t="inlineStr">
        <is>
          <t>exact</t>
        </is>
      </c>
      <c r="F14" s="7" t="inlineStr">
        <is>
          <t>voorzitter van het Comité</t>
        </is>
      </c>
      <c r="G14" s="7" t="inlineStr">
        <is>
          <t>KEY:32016R0679:voorzitter</t>
        </is>
      </c>
      <c r="H14" s="7" t="inlineStr">
        <is>
          <t>KEY:32016R0679:voorzitter</t>
        </is>
      </c>
      <c r="I14" s="7" t="n"/>
      <c r="J14" s="7" t="inlineStr">
        <is>
          <t>voorzitter comit / voorzitter</t>
        </is>
      </c>
      <c r="K14" s="7" t="n">
        <v>0</v>
      </c>
      <c r="L14" s="7" t="n">
        <v>0</v>
      </c>
      <c r="M14" s="7" t="n">
        <v>6</v>
      </c>
      <c r="N14" s="7" t="inlineStr">
        <is>
          <t>32016R0679:65:5:9</t>
        </is>
      </c>
    </row>
    <row r="15">
      <c r="A15" s="7" t="n">
        <v>14</v>
      </c>
      <c r="B15" s="7" t="inlineStr">
        <is>
          <t>EU | not_actor</t>
        </is>
      </c>
      <c r="C15" s="7" t="inlineStr">
        <is>
          <t>sample</t>
        </is>
      </c>
      <c r="D15" s="7" t="inlineStr">
        <is>
          <t>EU</t>
        </is>
      </c>
      <c r="E15" s="7" t="inlineStr">
        <is>
          <t>not_actor</t>
        </is>
      </c>
      <c r="F15" s="7" t="inlineStr">
        <is>
          <t>waarborgen</t>
        </is>
      </c>
      <c r="G15" s="7" t="inlineStr">
        <is>
          <t>not_actor</t>
        </is>
      </c>
      <c r="H15" s="7" t="n"/>
      <c r="I15" s="7" t="n"/>
      <c r="J15" s="7" t="inlineStr">
        <is>
          <t>waarborg</t>
        </is>
      </c>
      <c r="K15" s="7" t="n">
        <v>0</v>
      </c>
      <c r="L15" s="7" t="n">
        <v>0</v>
      </c>
      <c r="M15" s="7" t="n">
        <v>1</v>
      </c>
      <c r="N15" s="7" t="inlineStr">
        <is>
          <t>32016R0679:89:1:1</t>
        </is>
      </c>
    </row>
    <row r="16">
      <c r="A16" s="7" t="n">
        <v>15</v>
      </c>
      <c r="B16" s="7" t="inlineStr">
        <is>
          <t>census</t>
        </is>
      </c>
      <c r="C16" s="7" t="inlineStr">
        <is>
          <t>census</t>
        </is>
      </c>
      <c r="D16" s="7" t="inlineStr">
        <is>
          <t>EU</t>
        </is>
      </c>
      <c r="E16" s="7" t="inlineStr">
        <is>
          <t>exact</t>
        </is>
      </c>
      <c r="F16" s="7" t="inlineStr">
        <is>
          <t>Aangemelde instanties</t>
        </is>
      </c>
      <c r="G16" s="7" t="inlineStr">
        <is>
          <t>32024R1689:aangemelde_instantie</t>
        </is>
      </c>
      <c r="H16" s="7" t="inlineStr">
        <is>
          <t>32024R1689:aangemelde_instantie</t>
        </is>
      </c>
      <c r="I16" s="7" t="n"/>
      <c r="J16" s="7" t="inlineStr">
        <is>
          <t>aangemeld instantie / instantie</t>
        </is>
      </c>
      <c r="K16" s="7" t="n">
        <v>24</v>
      </c>
      <c r="L16" s="7" t="n">
        <v>0</v>
      </c>
      <c r="M16" s="7" t="n">
        <v>24</v>
      </c>
      <c r="N16" s="7" t="inlineStr">
        <is>
          <t>32024R1689:31:7:7, 32024R1689:31:2:1, 32024R1689:31:6:3</t>
        </is>
      </c>
    </row>
    <row r="17">
      <c r="A17" s="7" t="n">
        <v>16</v>
      </c>
      <c r="B17" s="7" t="inlineStr">
        <is>
          <t>EU | exact</t>
        </is>
      </c>
      <c r="C17" s="7" t="inlineStr">
        <is>
          <t>sample</t>
        </is>
      </c>
      <c r="D17" s="7" t="inlineStr">
        <is>
          <t>EU</t>
        </is>
      </c>
      <c r="E17" s="7" t="inlineStr">
        <is>
          <t>exact</t>
        </is>
      </c>
      <c r="F17" s="7" t="inlineStr">
        <is>
          <t>Aanmeldende autoriteiten</t>
        </is>
      </c>
      <c r="G17" s="7" t="inlineStr">
        <is>
          <t>32024R1689:aanmeldende_autoriteit</t>
        </is>
      </c>
      <c r="H17" s="7" t="inlineStr">
        <is>
          <t>32024R1689:aanmeldende_autoriteit</t>
        </is>
      </c>
      <c r="I17" s="7" t="n"/>
      <c r="J17" s="7" t="inlineStr">
        <is>
          <t>aanmeld autoriteit / autoriteit</t>
        </is>
      </c>
      <c r="K17" s="7" t="n">
        <v>0</v>
      </c>
      <c r="L17" s="7" t="n">
        <v>0</v>
      </c>
      <c r="M17" s="7" t="n">
        <v>9</v>
      </c>
      <c r="N17" s="7" t="inlineStr">
        <is>
          <t>32024R1689:30:1:1</t>
        </is>
      </c>
    </row>
    <row r="18">
      <c r="A18" s="7" t="n">
        <v>17</v>
      </c>
      <c r="B18" s="7" t="inlineStr">
        <is>
          <t>EU | exact</t>
        </is>
      </c>
      <c r="C18" s="7" t="inlineStr">
        <is>
          <t>sample</t>
        </is>
      </c>
      <c r="D18" s="7" t="inlineStr">
        <is>
          <t>EU</t>
        </is>
      </c>
      <c r="E18" s="7" t="inlineStr">
        <is>
          <t>exact</t>
        </is>
      </c>
      <c r="F18" s="7" t="inlineStr">
        <is>
          <t>voorzitter</t>
        </is>
      </c>
      <c r="G18" s="7" t="inlineStr">
        <is>
          <t>KEY:32016R0679:voorzitter</t>
        </is>
      </c>
      <c r="H18" s="7" t="inlineStr">
        <is>
          <t>KEY:32016R0679:voorzitter</t>
        </is>
      </c>
      <c r="I18" s="7" t="n"/>
      <c r="J18" s="7" t="inlineStr">
        <is>
          <t>voorzitter</t>
        </is>
      </c>
      <c r="K18" s="7" t="n">
        <v>0</v>
      </c>
      <c r="L18" s="7" t="n">
        <v>0</v>
      </c>
      <c r="M18" s="7" t="n">
        <v>6</v>
      </c>
      <c r="N18" s="7" t="inlineStr">
        <is>
          <t>32016R0679:74:1:3</t>
        </is>
      </c>
    </row>
    <row r="19">
      <c r="A19" s="7" t="n">
        <v>18</v>
      </c>
      <c r="B19" s="7" t="inlineStr">
        <is>
          <t>EU | not_actor</t>
        </is>
      </c>
      <c r="C19" s="7" t="inlineStr">
        <is>
          <t>sample</t>
        </is>
      </c>
      <c r="D19" s="7" t="inlineStr">
        <is>
          <t>EU</t>
        </is>
      </c>
      <c r="E19" s="7" t="inlineStr">
        <is>
          <t>not_actor</t>
        </is>
      </c>
      <c r="F19" s="7" t="inlineStr">
        <is>
          <t>Gekwalificeerde waarschuwingen</t>
        </is>
      </c>
      <c r="G19" s="7" t="inlineStr">
        <is>
          <t>not_actor</t>
        </is>
      </c>
      <c r="H19" s="7" t="n"/>
      <c r="I19" s="7" t="n"/>
      <c r="J19" s="7" t="inlineStr">
        <is>
          <t>gekwalificeerd waarschuw / waarschuw</t>
        </is>
      </c>
      <c r="K19" s="7" t="n">
        <v>0</v>
      </c>
      <c r="L19" s="7" t="n">
        <v>0</v>
      </c>
      <c r="M19" s="7" t="n">
        <v>2</v>
      </c>
      <c r="N19" s="7" t="inlineStr">
        <is>
          <t>32024R1689:90:3:4</t>
        </is>
      </c>
    </row>
    <row r="20">
      <c r="A20" s="7" t="n">
        <v>19</v>
      </c>
      <c r="B20" s="7" t="inlineStr">
        <is>
          <t>EU | shortened</t>
        </is>
      </c>
      <c r="C20" s="7" t="inlineStr">
        <is>
          <t>sample</t>
        </is>
      </c>
      <c r="D20" s="7" t="inlineStr">
        <is>
          <t>EU</t>
        </is>
      </c>
      <c r="E20" s="7" t="inlineStr">
        <is>
          <t>shortened</t>
        </is>
      </c>
      <c r="F20" s="7" t="inlineStr">
        <is>
          <t>markttoezichtautoriteiten en aangemelde instanties</t>
        </is>
      </c>
      <c r="G20" s="7" t="inlineStr">
        <is>
          <t>32024R1689:aangemelde_instantie</t>
        </is>
      </c>
      <c r="H20" s="7" t="inlineStr">
        <is>
          <t>32024R1689:aangemelde_instantie</t>
        </is>
      </c>
      <c r="I20" s="7" t="n"/>
      <c r="J20" s="7" t="inlineStr">
        <is>
          <t>markttoezichtautoriteit aangemeld instantie / aangemeld instantie / instantie</t>
        </is>
      </c>
      <c r="K20" s="7" t="n">
        <v>0</v>
      </c>
      <c r="L20" s="7" t="n">
        <v>0</v>
      </c>
      <c r="M20" s="7" t="n">
        <v>1</v>
      </c>
      <c r="N20" s="7" t="inlineStr">
        <is>
          <t>32024R1689:57:7:10</t>
        </is>
      </c>
    </row>
    <row r="21">
      <c r="A21" s="7" t="n">
        <v>20</v>
      </c>
      <c r="B21" s="7" t="inlineStr">
        <is>
          <t>census</t>
        </is>
      </c>
      <c r="C21" s="7" t="inlineStr">
        <is>
          <t>census</t>
        </is>
      </c>
      <c r="D21" s="7" t="inlineStr">
        <is>
          <t>EU</t>
        </is>
      </c>
      <c r="E21" s="7" t="inlineStr">
        <is>
          <t>exact</t>
        </is>
      </c>
      <c r="F21" s="7" t="inlineStr">
        <is>
          <t>functionaris voor gegevensbescherming</t>
        </is>
      </c>
      <c r="G21" s="7" t="inlineStr">
        <is>
          <t>KEY:32016R0679:functionaris_voor_gegevensbescherming</t>
        </is>
      </c>
      <c r="H21" s="7" t="inlineStr">
        <is>
          <t>KEY:32016R0679:functionaris_voor_gegevensbescherming</t>
        </is>
      </c>
      <c r="I21" s="7" t="n"/>
      <c r="J21" s="7" t="inlineStr">
        <is>
          <t>functionari gegevensbescherm / functionari</t>
        </is>
      </c>
      <c r="K21" s="7" t="n">
        <v>15</v>
      </c>
      <c r="L21" s="7" t="n">
        <v>0</v>
      </c>
      <c r="M21" s="7" t="n">
        <v>15</v>
      </c>
      <c r="N21" s="7" t="inlineStr">
        <is>
          <t>32016R0679:39:1:5, 32016R0679:39:1:3, 32016R0679:39:2:9</t>
        </is>
      </c>
    </row>
    <row r="22">
      <c r="A22" s="7" t="n">
        <v>21</v>
      </c>
      <c r="B22" s="7" t="inlineStr">
        <is>
          <t>census</t>
        </is>
      </c>
      <c r="C22" s="7" t="inlineStr">
        <is>
          <t>census</t>
        </is>
      </c>
      <c r="D22" s="7" t="inlineStr">
        <is>
          <t>EU</t>
        </is>
      </c>
      <c r="E22" s="7" t="inlineStr">
        <is>
          <t>exact</t>
        </is>
      </c>
      <c r="F22" s="7" t="inlineStr">
        <is>
          <t>aanbieders</t>
        </is>
      </c>
      <c r="G22" s="7" t="inlineStr">
        <is>
          <t>32024R1689:aanbieder</t>
        </is>
      </c>
      <c r="H22" s="7" t="inlineStr">
        <is>
          <t>32024R1689:aanbieder</t>
        </is>
      </c>
      <c r="I22" s="7" t="n"/>
      <c r="J22" s="7" t="inlineStr">
        <is>
          <t>aanbieder</t>
        </is>
      </c>
      <c r="K22" s="7" t="n">
        <v>17</v>
      </c>
      <c r="L22" s="7" t="n">
        <v>0</v>
      </c>
      <c r="M22" s="7" t="n">
        <v>17</v>
      </c>
      <c r="N22" s="7" t="inlineStr">
        <is>
          <t>32024R1689:59:1:6, 32024R1689:93:1:4, 32024R1689:17:4:6</t>
        </is>
      </c>
    </row>
    <row r="23">
      <c r="A23" s="7" t="n">
        <v>22</v>
      </c>
      <c r="B23" s="7" t="inlineStr">
        <is>
          <t>EU | fallback</t>
        </is>
      </c>
      <c r="C23" s="7" t="inlineStr">
        <is>
          <t>sample</t>
        </is>
      </c>
      <c r="D23" s="7" t="inlineStr">
        <is>
          <t>EU</t>
        </is>
      </c>
      <c r="E23" s="7" t="inlineStr">
        <is>
          <t>fallback</t>
        </is>
      </c>
      <c r="F23" s="7" t="inlineStr">
        <is>
          <t>autoriteiten</t>
        </is>
      </c>
      <c r="G23" s="7" t="inlineStr">
        <is>
          <t>class:authority</t>
        </is>
      </c>
      <c r="H23" s="7" t="n"/>
      <c r="I23" s="7" t="inlineStr">
        <is>
          <t>authority</t>
        </is>
      </c>
      <c r="J23" s="7" t="inlineStr">
        <is>
          <t>autoriteit</t>
        </is>
      </c>
      <c r="K23" s="7" t="n">
        <v>0</v>
      </c>
      <c r="L23" s="7" t="n">
        <v>0</v>
      </c>
      <c r="M23" s="7" t="n">
        <v>3</v>
      </c>
      <c r="N23" s="7" t="inlineStr">
        <is>
          <t>32024R1689:78:2:2</t>
        </is>
      </c>
    </row>
    <row r="24">
      <c r="A24" s="7" t="n">
        <v>23</v>
      </c>
      <c r="B24" s="7" t="inlineStr">
        <is>
          <t>EU | fallback</t>
        </is>
      </c>
      <c r="C24" s="7" t="inlineStr">
        <is>
          <t>sample</t>
        </is>
      </c>
      <c r="D24" s="7" t="inlineStr">
        <is>
          <t>EU</t>
        </is>
      </c>
      <c r="E24" s="7" t="inlineStr">
        <is>
          <t>fallback</t>
        </is>
      </c>
      <c r="F24" s="7" t="inlineStr">
        <is>
          <t>getroffen persoon</t>
        </is>
      </c>
      <c r="G24" s="7" t="inlineStr">
        <is>
          <t>class:person</t>
        </is>
      </c>
      <c r="H24" s="7" t="n"/>
      <c r="I24" s="7" t="inlineStr">
        <is>
          <t>person</t>
        </is>
      </c>
      <c r="J24" s="7" t="inlineStr">
        <is>
          <t>getroff person / person</t>
        </is>
      </c>
      <c r="K24" s="7" t="n">
        <v>0</v>
      </c>
      <c r="L24" s="7" t="n">
        <v>0</v>
      </c>
      <c r="M24" s="7" t="n">
        <v>1</v>
      </c>
      <c r="N24" s="7" t="inlineStr">
        <is>
          <t>32024R1689:86:1:1</t>
        </is>
      </c>
    </row>
    <row r="25">
      <c r="A25" s="7" t="n">
        <v>24</v>
      </c>
      <c r="B25" s="7" t="inlineStr">
        <is>
          <t>EU | exact</t>
        </is>
      </c>
      <c r="C25" s="7" t="inlineStr">
        <is>
          <t>sample</t>
        </is>
      </c>
      <c r="D25" s="7" t="inlineStr">
        <is>
          <t>EU</t>
        </is>
      </c>
      <c r="E25" s="7" t="inlineStr">
        <is>
          <t>exact</t>
        </is>
      </c>
      <c r="F25" s="7" t="inlineStr">
        <is>
          <t>Kmo’s</t>
        </is>
      </c>
      <c r="G25" s="7" t="inlineStr">
        <is>
          <t>KEY:32024R1689:kmo</t>
        </is>
      </c>
      <c r="H25" s="7" t="inlineStr">
        <is>
          <t>KEY:32024R1689:kmo</t>
        </is>
      </c>
      <c r="I25" s="7" t="n"/>
      <c r="J25" s="7" t="inlineStr">
        <is>
          <t>kmo</t>
        </is>
      </c>
      <c r="K25" s="7" t="n">
        <v>0</v>
      </c>
      <c r="L25" s="7" t="n">
        <v>0</v>
      </c>
      <c r="M25" s="7" t="n">
        <v>2</v>
      </c>
      <c r="N25" s="7" t="inlineStr">
        <is>
          <t>32024R1689:11:1:3</t>
        </is>
      </c>
    </row>
    <row r="26">
      <c r="A26" s="7" t="n">
        <v>25</v>
      </c>
      <c r="B26" s="7" t="inlineStr">
        <is>
          <t>EU | not_actor</t>
        </is>
      </c>
      <c r="C26" s="7" t="inlineStr">
        <is>
          <t>sample</t>
        </is>
      </c>
      <c r="D26" s="7" t="inlineStr">
        <is>
          <t>EU</t>
        </is>
      </c>
      <c r="E26" s="7" t="inlineStr">
        <is>
          <t>not_actor</t>
        </is>
      </c>
      <c r="F26" s="7" t="inlineStr">
        <is>
          <t>Gedragscodes</t>
        </is>
      </c>
      <c r="G26" s="7" t="inlineStr">
        <is>
          <t>not_actor</t>
        </is>
      </c>
      <c r="H26" s="7" t="n"/>
      <c r="I26" s="7" t="n"/>
      <c r="J26" s="7" t="inlineStr">
        <is>
          <t>gedragscod</t>
        </is>
      </c>
      <c r="K26" s="7" t="n">
        <v>0</v>
      </c>
      <c r="L26" s="7" t="n">
        <v>0</v>
      </c>
      <c r="M26" s="7" t="n">
        <v>1</v>
      </c>
      <c r="N26" s="7" t="inlineStr">
        <is>
          <t>32024R1689:95:3:2</t>
        </is>
      </c>
    </row>
    <row r="27">
      <c r="A27" s="7" t="n">
        <v>26</v>
      </c>
      <c r="B27" s="7" t="inlineStr">
        <is>
          <t>census</t>
        </is>
      </c>
      <c r="C27" s="7" t="inlineStr">
        <is>
          <t>census</t>
        </is>
      </c>
      <c r="D27" s="7" t="inlineStr">
        <is>
          <t>EU</t>
        </is>
      </c>
      <c r="E27" s="7" t="inlineStr">
        <is>
          <t>exact</t>
        </is>
      </c>
      <c r="F27" s="7" t="inlineStr">
        <is>
          <t>leidende toezichthoudende autoriteit</t>
        </is>
      </c>
      <c r="G27" s="7" t="inlineStr">
        <is>
          <t>KEY:32016R0679:leidende_toezichthoudende_autoriteit</t>
        </is>
      </c>
      <c r="H27" s="7" t="inlineStr">
        <is>
          <t>KEY:32016R0679:leidende_toezichthoudende_autoriteit</t>
        </is>
      </c>
      <c r="I27" s="7" t="n"/>
      <c r="J27" s="7" t="inlineStr">
        <is>
          <t>leidend toezichthoud autoriteit / toezichthoud autoriteit / autoriteit</t>
        </is>
      </c>
      <c r="K27" s="7" t="n">
        <v>19</v>
      </c>
      <c r="L27" s="7" t="n">
        <v>0</v>
      </c>
      <c r="M27" s="7" t="n">
        <v>19</v>
      </c>
      <c r="N27" s="7" t="inlineStr">
        <is>
          <t>32016R0679:60:9:21, 32016R0679:60:9:19, 32016R0679:56:6:6</t>
        </is>
      </c>
    </row>
    <row r="28">
      <c r="A28" s="7" t="n">
        <v>27</v>
      </c>
      <c r="B28" s="7" t="inlineStr">
        <is>
          <t>EU | not_actor</t>
        </is>
      </c>
      <c r="C28" s="7" t="inlineStr">
        <is>
          <t>sample</t>
        </is>
      </c>
      <c r="D28" s="7" t="inlineStr">
        <is>
          <t>EU</t>
        </is>
      </c>
      <c r="E28" s="7" t="inlineStr">
        <is>
          <t>not_actor</t>
        </is>
      </c>
      <c r="F28" s="7" t="inlineStr">
        <is>
          <t>procedures</t>
        </is>
      </c>
      <c r="G28" s="7" t="inlineStr">
        <is>
          <t>not_actor</t>
        </is>
      </c>
      <c r="H28" s="7" t="n"/>
      <c r="I28" s="7" t="n"/>
      <c r="J28" s="7" t="inlineStr">
        <is>
          <t>procedur</t>
        </is>
      </c>
      <c r="K28" s="7" t="n">
        <v>0</v>
      </c>
      <c r="L28" s="7" t="n">
        <v>0</v>
      </c>
      <c r="M28" s="7" t="n">
        <v>1</v>
      </c>
      <c r="N28" s="7" t="inlineStr">
        <is>
          <t>32024R1689:28:1:4</t>
        </is>
      </c>
    </row>
    <row r="29">
      <c r="A29" s="7" t="n">
        <v>28</v>
      </c>
      <c r="B29" s="7" t="inlineStr">
        <is>
          <t>census</t>
        </is>
      </c>
      <c r="C29" s="7" t="inlineStr">
        <is>
          <t>census</t>
        </is>
      </c>
      <c r="D29" s="7" t="inlineStr">
        <is>
          <t>EU</t>
        </is>
      </c>
      <c r="E29" s="7" t="inlineStr">
        <is>
          <t>exact</t>
        </is>
      </c>
      <c r="F29" s="7" t="inlineStr">
        <is>
          <t>toezichthoudende autoriteiten</t>
        </is>
      </c>
      <c r="G29" s="7" t="inlineStr">
        <is>
          <t>32016R0679:toezichthoudende_autoriteit</t>
        </is>
      </c>
      <c r="H29" s="7" t="inlineStr">
        <is>
          <t>32016R0679:toezichthoudende_autoriteit</t>
        </is>
      </c>
      <c r="I29" s="7" t="n"/>
      <c r="J29" s="7" t="inlineStr">
        <is>
          <t>toezichthoud autoriteit / autoriteit</t>
        </is>
      </c>
      <c r="K29" s="7" t="n">
        <v>16</v>
      </c>
      <c r="L29" s="7" t="n">
        <v>0</v>
      </c>
      <c r="M29" s="7" t="n">
        <v>16</v>
      </c>
      <c r="N29" s="7" t="inlineStr">
        <is>
          <t>32016R0679:50:whole:6, 32016R0679:63:whole:1, 32016R0679:50:whole:2</t>
        </is>
      </c>
    </row>
    <row r="30">
      <c r="A30" s="7" t="n">
        <v>29</v>
      </c>
      <c r="B30" s="7" t="inlineStr">
        <is>
          <t>EU | fallback</t>
        </is>
      </c>
      <c r="C30" s="7" t="inlineStr">
        <is>
          <t>sample</t>
        </is>
      </c>
      <c r="D30" s="7" t="inlineStr">
        <is>
          <t>EU</t>
        </is>
      </c>
      <c r="E30" s="7" t="inlineStr">
        <is>
          <t>fallback</t>
        </is>
      </c>
      <c r="F30" s="7" t="inlineStr">
        <is>
          <t>bevoegde autoriteiten</t>
        </is>
      </c>
      <c r="G30" s="7" t="inlineStr">
        <is>
          <t>class:authority</t>
        </is>
      </c>
      <c r="H30" s="7" t="n"/>
      <c r="I30" s="7" t="inlineStr">
        <is>
          <t>authority</t>
        </is>
      </c>
      <c r="J30" s="7" t="inlineStr">
        <is>
          <t>bevoegd autoriteit / autoriteit</t>
        </is>
      </c>
      <c r="K30" s="7" t="n">
        <v>0</v>
      </c>
      <c r="L30" s="7" t="n">
        <v>0</v>
      </c>
      <c r="M30" s="7" t="n">
        <v>3</v>
      </c>
      <c r="N30" s="7" t="inlineStr">
        <is>
          <t>32024R1689:57:12:26</t>
        </is>
      </c>
    </row>
    <row r="31">
      <c r="A31" s="7" t="n">
        <v>30</v>
      </c>
      <c r="B31" s="7" t="inlineStr">
        <is>
          <t>EU | shortened</t>
        </is>
      </c>
      <c r="C31" s="7" t="inlineStr">
        <is>
          <t>sample</t>
        </is>
      </c>
      <c r="D31" s="7" t="inlineStr">
        <is>
          <t>EU</t>
        </is>
      </c>
      <c r="E31" s="7" t="inlineStr">
        <is>
          <t>shortened</t>
        </is>
      </c>
      <c r="F31" s="7" t="inlineStr">
        <is>
          <t>aanmeldende lidstaat</t>
        </is>
      </c>
      <c r="G31" s="7" t="inlineStr">
        <is>
          <t>KEY:EU:lidstaat</t>
        </is>
      </c>
      <c r="H31" s="7" t="inlineStr">
        <is>
          <t>KEY:EU:lidstaat</t>
        </is>
      </c>
      <c r="I31" s="7" t="n"/>
      <c r="J31" s="7" t="inlineStr">
        <is>
          <t>aanmeld lidstat / lidstat</t>
        </is>
      </c>
      <c r="K31" s="7" t="n">
        <v>0</v>
      </c>
      <c r="L31" s="7" t="n">
        <v>0</v>
      </c>
      <c r="M31" s="7" t="n">
        <v>3</v>
      </c>
      <c r="N31" s="7" t="inlineStr">
        <is>
          <t>32024R1689:37:4:7</t>
        </is>
      </c>
    </row>
    <row r="32">
      <c r="A32" s="7" t="n">
        <v>31</v>
      </c>
      <c r="B32" s="7" t="inlineStr">
        <is>
          <t>census</t>
        </is>
      </c>
      <c r="C32" s="7" t="inlineStr">
        <is>
          <t>census</t>
        </is>
      </c>
      <c r="D32" s="7" t="inlineStr">
        <is>
          <t>EU</t>
        </is>
      </c>
      <c r="E32" s="7" t="inlineStr">
        <is>
          <t>exact</t>
        </is>
      </c>
      <c r="F32" s="7" t="inlineStr">
        <is>
          <t>Comité</t>
        </is>
      </c>
      <c r="G32" s="7" t="inlineStr">
        <is>
          <t>KEY:32016R0679:comite</t>
        </is>
      </c>
      <c r="H32" s="7" t="inlineStr">
        <is>
          <t>KEY:32016R0679:comite</t>
        </is>
      </c>
      <c r="I32" s="7" t="n"/>
      <c r="J32" s="7" t="inlineStr">
        <is>
          <t>comit</t>
        </is>
      </c>
      <c r="K32" s="7" t="n">
        <v>50</v>
      </c>
      <c r="L32" s="7" t="n">
        <v>0</v>
      </c>
      <c r="M32" s="7" t="n">
        <v>50</v>
      </c>
      <c r="N32" s="7" t="inlineStr">
        <is>
          <t>32016R0679:70:1:11, 32016R0679:40:11:18, 32016R0679:72:2:2</t>
        </is>
      </c>
    </row>
    <row r="33">
      <c r="A33" s="7" t="n">
        <v>32</v>
      </c>
      <c r="B33" s="7" t="inlineStr">
        <is>
          <t>EU | exact</t>
        </is>
      </c>
      <c r="C33" s="7" t="inlineStr">
        <is>
          <t>sample</t>
        </is>
      </c>
      <c r="D33" s="7" t="inlineStr">
        <is>
          <t>EU</t>
        </is>
      </c>
      <c r="E33" s="7" t="inlineStr">
        <is>
          <t>exact</t>
        </is>
      </c>
      <c r="F33" s="7" t="inlineStr">
        <is>
          <t>markttoezichtautoriteit</t>
        </is>
      </c>
      <c r="G33" s="7" t="inlineStr">
        <is>
          <t>32024R1689:markttoezichtautoriteit</t>
        </is>
      </c>
      <c r="H33" s="7" t="inlineStr">
        <is>
          <t>32024R1689:markttoezichtautoriteit</t>
        </is>
      </c>
      <c r="I33" s="7" t="n"/>
      <c r="J33" s="7" t="inlineStr">
        <is>
          <t>markttoezichtautoriteit</t>
        </is>
      </c>
      <c r="K33" s="7" t="n">
        <v>0</v>
      </c>
      <c r="L33" s="7" t="n">
        <v>0</v>
      </c>
      <c r="M33" s="7" t="n">
        <v>15</v>
      </c>
      <c r="N33" s="7" t="inlineStr">
        <is>
          <t>32024R1689:46:3:5</t>
        </is>
      </c>
    </row>
    <row r="34">
      <c r="A34" s="7" t="n">
        <v>33</v>
      </c>
      <c r="B34" s="7" t="inlineStr">
        <is>
          <t>EU | shortened</t>
        </is>
      </c>
      <c r="C34" s="7" t="inlineStr">
        <is>
          <t>sample</t>
        </is>
      </c>
      <c r="D34" s="7" t="inlineStr">
        <is>
          <t>EU</t>
        </is>
      </c>
      <c r="E34" s="7" t="inlineStr">
        <is>
          <t>shortened</t>
        </is>
      </c>
      <c r="F34" s="7" t="inlineStr">
        <is>
          <t>Aanbieders van AI-systemen</t>
        </is>
      </c>
      <c r="G34" s="7" t="inlineStr">
        <is>
          <t>32024R1689:aanbieder</t>
        </is>
      </c>
      <c r="H34" s="7" t="inlineStr">
        <is>
          <t>32024R1689:aanbieder</t>
        </is>
      </c>
      <c r="I34" s="7" t="n"/>
      <c r="J34" s="7" t="inlineStr">
        <is>
          <t>aanbieder aisystem / aanbieder</t>
        </is>
      </c>
      <c r="K34" s="7" t="n">
        <v>0</v>
      </c>
      <c r="L34" s="7" t="n">
        <v>0</v>
      </c>
      <c r="M34" s="7" t="n">
        <v>3</v>
      </c>
      <c r="N34" s="7" t="inlineStr">
        <is>
          <t>32024R1689:50:2:2</t>
        </is>
      </c>
    </row>
    <row r="35">
      <c r="A35" s="7" t="n">
        <v>34</v>
      </c>
      <c r="B35" s="7" t="inlineStr">
        <is>
          <t>EU | not_actor</t>
        </is>
      </c>
      <c r="C35" s="7" t="inlineStr">
        <is>
          <t>sample</t>
        </is>
      </c>
      <c r="D35" s="7" t="inlineStr">
        <is>
          <t>EU</t>
        </is>
      </c>
      <c r="E35" s="7" t="inlineStr">
        <is>
          <t>not_actor</t>
        </is>
      </c>
      <c r="F35" s="7" t="inlineStr">
        <is>
          <t>besluit tot intrekking</t>
        </is>
      </c>
      <c r="G35" s="7" t="inlineStr">
        <is>
          <t>not_actor</t>
        </is>
      </c>
      <c r="H35" s="7" t="n"/>
      <c r="I35" s="7" t="n"/>
      <c r="J35" s="7" t="inlineStr">
        <is>
          <t>besluit intrek / besluit</t>
        </is>
      </c>
      <c r="K35" s="7" t="n">
        <v>0</v>
      </c>
      <c r="L35" s="7" t="n">
        <v>0</v>
      </c>
      <c r="M35" s="7" t="n">
        <v>2</v>
      </c>
      <c r="N35" s="7" t="inlineStr">
        <is>
          <t>32024R1689:97:3:3</t>
        </is>
      </c>
    </row>
    <row r="36">
      <c r="A36" s="7" t="n">
        <v>35</v>
      </c>
      <c r="B36" s="7" t="inlineStr">
        <is>
          <t>EU | exact</t>
        </is>
      </c>
      <c r="C36" s="7" t="inlineStr">
        <is>
          <t>sample</t>
        </is>
      </c>
      <c r="D36" s="7" t="inlineStr">
        <is>
          <t>EU</t>
        </is>
      </c>
      <c r="E36" s="7" t="inlineStr">
        <is>
          <t>exact</t>
        </is>
      </c>
      <c r="F36" s="7" t="inlineStr">
        <is>
          <t>secretariaat</t>
        </is>
      </c>
      <c r="G36" s="7" t="inlineStr">
        <is>
          <t>KEY:32016R0679:secretariaat</t>
        </is>
      </c>
      <c r="H36" s="7" t="inlineStr">
        <is>
          <t>KEY:32016R0679:secretariaat</t>
        </is>
      </c>
      <c r="I36" s="7" t="n"/>
      <c r="J36" s="7" t="inlineStr">
        <is>
          <t>secretariaat</t>
        </is>
      </c>
      <c r="K36" s="7" t="n">
        <v>0</v>
      </c>
      <c r="L36" s="7" t="n">
        <v>0</v>
      </c>
      <c r="M36" s="7" t="n">
        <v>9</v>
      </c>
      <c r="N36" s="7" t="inlineStr">
        <is>
          <t>32016R0679:75:6:9</t>
        </is>
      </c>
    </row>
    <row r="37">
      <c r="A37" s="7" t="n">
        <v>36</v>
      </c>
      <c r="B37" s="7" t="inlineStr">
        <is>
          <t>census</t>
        </is>
      </c>
      <c r="C37" s="7" t="inlineStr">
        <is>
          <t>census</t>
        </is>
      </c>
      <c r="D37" s="7" t="inlineStr">
        <is>
          <t>EU</t>
        </is>
      </c>
      <c r="E37" s="7" t="inlineStr">
        <is>
          <t>exact</t>
        </is>
      </c>
      <c r="F37" s="7" t="inlineStr">
        <is>
          <t>toezichthoudende autoriteit</t>
        </is>
      </c>
      <c r="G37" s="7" t="inlineStr">
        <is>
          <t>32016R0679:toezichthoudende_autoriteit</t>
        </is>
      </c>
      <c r="H37" s="7" t="inlineStr">
        <is>
          <t>32016R0679:toezichthoudende_autoriteit</t>
        </is>
      </c>
      <c r="I37" s="7" t="n"/>
      <c r="J37" s="7" t="inlineStr">
        <is>
          <t>toezichthoud autoriteit / autoriteit</t>
        </is>
      </c>
      <c r="K37" s="7" t="n">
        <v>80</v>
      </c>
      <c r="L37" s="7" t="n">
        <v>0</v>
      </c>
      <c r="M37" s="7" t="n">
        <v>80</v>
      </c>
      <c r="N37" s="7" t="inlineStr">
        <is>
          <t>32016R0679:58:2:13, 32016R0679:56:3:4, 32016R0679:40:6:12</t>
        </is>
      </c>
    </row>
    <row r="38">
      <c r="A38" s="7" t="n">
        <v>37</v>
      </c>
      <c r="B38" s="7" t="inlineStr">
        <is>
          <t>census</t>
        </is>
      </c>
      <c r="C38" s="7" t="inlineStr">
        <is>
          <t>census</t>
        </is>
      </c>
      <c r="D38" s="7" t="inlineStr">
        <is>
          <t>EU</t>
        </is>
      </c>
      <c r="E38" s="7" t="inlineStr">
        <is>
          <t>exact</t>
        </is>
      </c>
      <c r="F38" s="7" t="inlineStr">
        <is>
          <t>betrokkene</t>
        </is>
      </c>
      <c r="G38" s="7" t="inlineStr">
        <is>
          <t>32016R0679:de_betrokkene</t>
        </is>
      </c>
      <c r="H38" s="7" t="inlineStr">
        <is>
          <t>32016R0679:de_betrokkene</t>
        </is>
      </c>
      <c r="I38" s="7" t="n"/>
      <c r="J38" s="7" t="inlineStr">
        <is>
          <t>betrok</t>
        </is>
      </c>
      <c r="K38" s="7" t="n">
        <v>26</v>
      </c>
      <c r="L38" s="7" t="n">
        <v>0</v>
      </c>
      <c r="M38" s="7" t="n">
        <v>26</v>
      </c>
      <c r="N38" s="7" t="inlineStr">
        <is>
          <t>32016R0679:15:1:2, 32016R0679:17:1:1, 32016R0679:22:1:1</t>
        </is>
      </c>
    </row>
    <row r="39">
      <c r="A39" s="7" t="n">
        <v>38</v>
      </c>
      <c r="B39" s="7" t="inlineStr">
        <is>
          <t>census</t>
        </is>
      </c>
      <c r="C39" s="7" t="inlineStr">
        <is>
          <t>census</t>
        </is>
      </c>
      <c r="D39" s="7" t="inlineStr">
        <is>
          <t>EU</t>
        </is>
      </c>
      <c r="E39" s="7" t="inlineStr">
        <is>
          <t>exact</t>
        </is>
      </c>
      <c r="F39" s="7" t="inlineStr">
        <is>
          <t>verwerker</t>
        </is>
      </c>
      <c r="G39" s="7" t="inlineStr">
        <is>
          <t>32016R0679:verwerker</t>
        </is>
      </c>
      <c r="H39" s="7" t="inlineStr">
        <is>
          <t>32016R0679:verwerker</t>
        </is>
      </c>
      <c r="I39" s="7" t="n"/>
      <c r="J39" s="7" t="inlineStr">
        <is>
          <t>verwerker</t>
        </is>
      </c>
      <c r="K39" s="7" t="n">
        <v>36</v>
      </c>
      <c r="L39" s="7" t="n">
        <v>0</v>
      </c>
      <c r="M39" s="7" t="n">
        <v>36</v>
      </c>
      <c r="N39" s="7" t="inlineStr">
        <is>
          <t>32016R0679:37:4:5, 32016R0679:28:4:7, 32016R0679:27:4:4</t>
        </is>
      </c>
    </row>
    <row r="40">
      <c r="A40" s="7" t="n">
        <v>39</v>
      </c>
      <c r="B40" s="7" t="inlineStr">
        <is>
          <t>EU | fallback</t>
        </is>
      </c>
      <c r="C40" s="7" t="inlineStr">
        <is>
          <t>sample</t>
        </is>
      </c>
      <c r="D40" s="7" t="inlineStr">
        <is>
          <t>EU</t>
        </is>
      </c>
      <c r="E40" s="7" t="inlineStr">
        <is>
          <t>fallback</t>
        </is>
      </c>
      <c r="F40" s="7" t="inlineStr">
        <is>
          <t>orgaan</t>
        </is>
      </c>
      <c r="G40" s="7" t="inlineStr">
        <is>
          <t>class:body</t>
        </is>
      </c>
      <c r="H40" s="7" t="n"/>
      <c r="I40" s="7" t="inlineStr">
        <is>
          <t>body</t>
        </is>
      </c>
      <c r="J40" s="7" t="inlineStr">
        <is>
          <t>organ</t>
        </is>
      </c>
      <c r="K40" s="7" t="n">
        <v>0</v>
      </c>
      <c r="L40" s="7" t="n">
        <v>0</v>
      </c>
      <c r="M40" s="7" t="n">
        <v>5</v>
      </c>
      <c r="N40" s="7" t="inlineStr">
        <is>
          <t>32016R0679:41:1:1</t>
        </is>
      </c>
    </row>
    <row r="41">
      <c r="A41" s="7" t="n">
        <v>40</v>
      </c>
      <c r="B41" s="7" t="inlineStr">
        <is>
          <t>census</t>
        </is>
      </c>
      <c r="C41" s="7" t="inlineStr">
        <is>
          <t>census</t>
        </is>
      </c>
      <c r="D41" s="7" t="inlineStr">
        <is>
          <t>EU</t>
        </is>
      </c>
      <c r="E41" s="7" t="inlineStr">
        <is>
          <t>exact</t>
        </is>
      </c>
      <c r="F41" s="7" t="inlineStr">
        <is>
          <t>gebruiksverantwoordelijke</t>
        </is>
      </c>
      <c r="G41" s="7" t="inlineStr">
        <is>
          <t>32024R1689:gebruiksverantwoordelijke</t>
        </is>
      </c>
      <c r="H41" s="7" t="inlineStr">
        <is>
          <t>32024R1689:gebruiksverantwoordelijke</t>
        </is>
      </c>
      <c r="I41" s="7" t="n"/>
      <c r="J41" s="7" t="inlineStr">
        <is>
          <t>gebruiksverantwoord</t>
        </is>
      </c>
      <c r="K41" s="7" t="n">
        <v>15</v>
      </c>
      <c r="L41" s="7" t="n">
        <v>0</v>
      </c>
      <c r="M41" s="7" t="n">
        <v>15</v>
      </c>
      <c r="N41" s="7" t="inlineStr">
        <is>
          <t>32024R1689:26:5:10, 32024R1689:26:5:9, 32024R1689:27:2:3</t>
        </is>
      </c>
    </row>
    <row r="42">
      <c r="A42" s="7" t="n">
        <v>41</v>
      </c>
      <c r="B42" s="7" t="inlineStr">
        <is>
          <t>EU | fallback</t>
        </is>
      </c>
      <c r="C42" s="7" t="inlineStr">
        <is>
          <t>sample</t>
        </is>
      </c>
      <c r="D42" s="7" t="inlineStr">
        <is>
          <t>EU</t>
        </is>
      </c>
      <c r="E42" s="7" t="inlineStr">
        <is>
          <t>fallback</t>
        </is>
      </c>
      <c r="F42" s="7" t="inlineStr">
        <is>
          <t>overheidsorgaan</t>
        </is>
      </c>
      <c r="G42" s="7" t="inlineStr">
        <is>
          <t>class:body</t>
        </is>
      </c>
      <c r="H42" s="7" t="n"/>
      <c r="I42" s="7" t="inlineStr">
        <is>
          <t>body</t>
        </is>
      </c>
      <c r="J42" s="7" t="inlineStr">
        <is>
          <t>overheidsorgan</t>
        </is>
      </c>
      <c r="K42" s="7" t="n">
        <v>0</v>
      </c>
      <c r="L42" s="7" t="n">
        <v>0</v>
      </c>
      <c r="M42" s="7" t="n">
        <v>1</v>
      </c>
      <c r="N42" s="7" t="inlineStr">
        <is>
          <t>32024R1689:77:1:2</t>
        </is>
      </c>
    </row>
    <row r="43">
      <c r="A43" s="7" t="n">
        <v>42</v>
      </c>
      <c r="B43" s="7" t="inlineStr">
        <is>
          <t>EU | exact</t>
        </is>
      </c>
      <c r="C43" s="7" t="inlineStr">
        <is>
          <t>sample</t>
        </is>
      </c>
      <c r="D43" s="7" t="inlineStr">
        <is>
          <t>EU</t>
        </is>
      </c>
      <c r="E43" s="7" t="inlineStr">
        <is>
          <t>exact</t>
        </is>
      </c>
      <c r="F43" s="7" t="inlineStr">
        <is>
          <t>markttoezichtautoriteiten</t>
        </is>
      </c>
      <c r="G43" s="7" t="inlineStr">
        <is>
          <t>32024R1689:markttoezichtautoriteit</t>
        </is>
      </c>
      <c r="H43" s="7" t="inlineStr">
        <is>
          <t>32024R1689:markttoezichtautoriteit</t>
        </is>
      </c>
      <c r="I43" s="7" t="n"/>
      <c r="J43" s="7" t="inlineStr">
        <is>
          <t>markttoezichtautoriteit</t>
        </is>
      </c>
      <c r="K43" s="7" t="n">
        <v>0</v>
      </c>
      <c r="L43" s="7" t="n">
        <v>0</v>
      </c>
      <c r="M43" s="7" t="n">
        <v>9</v>
      </c>
      <c r="N43" s="7" t="inlineStr">
        <is>
          <t>32024R1689:80:8:8</t>
        </is>
      </c>
    </row>
    <row r="44">
      <c r="A44" s="7" t="n">
        <v>43</v>
      </c>
      <c r="B44" s="7" t="inlineStr">
        <is>
          <t>census</t>
        </is>
      </c>
      <c r="C44" s="7" t="inlineStr">
        <is>
          <t>census</t>
        </is>
      </c>
      <c r="D44" s="7" t="inlineStr">
        <is>
          <t>EU</t>
        </is>
      </c>
      <c r="E44" s="7" t="inlineStr">
        <is>
          <t>exact</t>
        </is>
      </c>
      <c r="F44" s="7" t="inlineStr">
        <is>
          <t>lidstaten</t>
        </is>
      </c>
      <c r="G44" s="7" t="inlineStr">
        <is>
          <t>KEY:EU:lidstaat</t>
        </is>
      </c>
      <c r="H44" s="7" t="inlineStr">
        <is>
          <t>KEY:EU:lidstaat</t>
        </is>
      </c>
      <c r="I44" s="7" t="n"/>
      <c r="J44" s="7" t="inlineStr">
        <is>
          <t>lidstat</t>
        </is>
      </c>
      <c r="K44" s="7" t="n">
        <v>45</v>
      </c>
      <c r="L44" s="7" t="n">
        <v>0</v>
      </c>
      <c r="M44" s="7" t="n">
        <v>45</v>
      </c>
      <c r="N44" s="7" t="inlineStr">
        <is>
          <t>32024R1689:99:2:6, 32024R1689:69:2:2, 32024R1689:99:1:1</t>
        </is>
      </c>
    </row>
    <row r="45">
      <c r="A45" s="7" t="n">
        <v>44</v>
      </c>
      <c r="B45" s="7" t="inlineStr">
        <is>
          <t>EU | shortened</t>
        </is>
      </c>
      <c r="C45" s="7" t="inlineStr">
        <is>
          <t>sample</t>
        </is>
      </c>
      <c r="D45" s="7" t="inlineStr">
        <is>
          <t>EU</t>
        </is>
      </c>
      <c r="E45" s="7" t="inlineStr">
        <is>
          <t>shortened</t>
        </is>
      </c>
      <c r="F45" s="7" t="inlineStr">
        <is>
          <t>gezamenlijke verwerkingsverantwoordelijken</t>
        </is>
      </c>
      <c r="G45" s="7" t="inlineStr">
        <is>
          <t>32016R0679:verwerkingsverantwoordelijke</t>
        </is>
      </c>
      <c r="H45" s="7" t="inlineStr">
        <is>
          <t>32016R0679:verwerkingsverantwoordelijke</t>
        </is>
      </c>
      <c r="I45" s="7" t="n"/>
      <c r="J45" s="7" t="inlineStr">
        <is>
          <t>gezamen verwerkingsverantwoord / verwerkingsverantwoord</t>
        </is>
      </c>
      <c r="K45" s="7" t="n">
        <v>0</v>
      </c>
      <c r="L45" s="7" t="n">
        <v>0</v>
      </c>
      <c r="M45" s="7" t="n">
        <v>1</v>
      </c>
      <c r="N45" s="7" t="inlineStr">
        <is>
          <t>32016R0679:26:2:1</t>
        </is>
      </c>
    </row>
    <row r="46">
      <c r="A46" s="7" t="n">
        <v>45</v>
      </c>
      <c r="B46" s="7" t="inlineStr">
        <is>
          <t>EU | not_actor</t>
        </is>
      </c>
      <c r="C46" s="7" t="inlineStr">
        <is>
          <t>sample</t>
        </is>
      </c>
      <c r="D46" s="7" t="inlineStr">
        <is>
          <t>EU</t>
        </is>
      </c>
      <c r="E46" s="7" t="inlineStr">
        <is>
          <t>not_actor</t>
        </is>
      </c>
      <c r="F46" s="7" t="inlineStr">
        <is>
          <t>uitvoeringshandelingen</t>
        </is>
      </c>
      <c r="G46" s="7" t="inlineStr">
        <is>
          <t>not_actor</t>
        </is>
      </c>
      <c r="H46" s="7" t="n"/>
      <c r="I46" s="7" t="n"/>
      <c r="J46" s="7" t="inlineStr">
        <is>
          <t>uitvoeringshandel</t>
        </is>
      </c>
      <c r="K46" s="7" t="n">
        <v>0</v>
      </c>
      <c r="L46" s="7" t="n">
        <v>0</v>
      </c>
      <c r="M46" s="7" t="n">
        <v>3</v>
      </c>
      <c r="N46" s="7" t="inlineStr">
        <is>
          <t>32024R1689:58:1:2</t>
        </is>
      </c>
    </row>
    <row r="47">
      <c r="A47" s="7" t="n">
        <v>46</v>
      </c>
      <c r="B47" s="7" t="inlineStr">
        <is>
          <t>EU | not_actor</t>
        </is>
      </c>
      <c r="C47" s="7" t="inlineStr">
        <is>
          <t>sample</t>
        </is>
      </c>
      <c r="D47" s="7" t="inlineStr">
        <is>
          <t>EU</t>
        </is>
      </c>
      <c r="E47" s="7" t="inlineStr">
        <is>
          <t>not_actor</t>
        </is>
      </c>
      <c r="F47" s="7" t="inlineStr">
        <is>
          <t>uitvoeringshandelingen</t>
        </is>
      </c>
      <c r="G47" s="7" t="inlineStr">
        <is>
          <t>not_actor</t>
        </is>
      </c>
      <c r="H47" s="7" t="n"/>
      <c r="I47" s="7" t="n"/>
      <c r="J47" s="7" t="inlineStr">
        <is>
          <t>uitvoeringshandel</t>
        </is>
      </c>
      <c r="K47" s="7" t="n">
        <v>0</v>
      </c>
      <c r="L47" s="7" t="n">
        <v>0</v>
      </c>
      <c r="M47" s="7" t="n">
        <v>3</v>
      </c>
      <c r="N47" s="7" t="inlineStr">
        <is>
          <t>32024R1689:92:6:9</t>
        </is>
      </c>
    </row>
    <row r="48">
      <c r="A48" s="7" t="n">
        <v>47</v>
      </c>
      <c r="B48" s="7" t="inlineStr">
        <is>
          <t>EU | fallback</t>
        </is>
      </c>
      <c r="C48" s="7" t="inlineStr">
        <is>
          <t>sample</t>
        </is>
      </c>
      <c r="D48" s="7" t="inlineStr">
        <is>
          <t>EU</t>
        </is>
      </c>
      <c r="E48" s="7" t="inlineStr">
        <is>
          <t>fallback</t>
        </is>
      </c>
      <c r="F48" s="7" t="inlineStr">
        <is>
          <t>personeelsleden van de ondersteunende toezichthoudende autoriteit</t>
        </is>
      </c>
      <c r="G48" s="7" t="inlineStr">
        <is>
          <t>class:office</t>
        </is>
      </c>
      <c r="H48" s="7" t="n"/>
      <c r="I48" s="7" t="inlineStr">
        <is>
          <t>office</t>
        </is>
      </c>
      <c r="J48" s="7" t="inlineStr">
        <is>
          <t>personeelslid ondersteun toezichthoud autoriteit / personeelslid ondersteun toezichthoud / personeelslid ondersteun / personeelslid</t>
        </is>
      </c>
      <c r="K48" s="7" t="n">
        <v>0</v>
      </c>
      <c r="L48" s="7" t="n">
        <v>0</v>
      </c>
      <c r="M48" s="7" t="n">
        <v>1</v>
      </c>
      <c r="N48" s="7" t="inlineStr">
        <is>
          <t>32016R0679:62:3:6</t>
        </is>
      </c>
    </row>
    <row r="49">
      <c r="A49" s="7" t="n">
        <v>48</v>
      </c>
      <c r="B49" s="7" t="inlineStr">
        <is>
          <t>EU | shortened</t>
        </is>
      </c>
      <c r="C49" s="7" t="inlineStr">
        <is>
          <t>sample</t>
        </is>
      </c>
      <c r="D49" s="7" t="inlineStr">
        <is>
          <t>EU</t>
        </is>
      </c>
      <c r="E49" s="7" t="inlineStr">
        <is>
          <t>shortened</t>
        </is>
      </c>
      <c r="F49" s="7" t="inlineStr">
        <is>
          <t>Nationale markttoezichtautoriteiten</t>
        </is>
      </c>
      <c r="G49" s="7" t="inlineStr">
        <is>
          <t>32024R1689:markttoezichtautoriteit</t>
        </is>
      </c>
      <c r="H49" s="7" t="inlineStr">
        <is>
          <t>32024R1689:markttoezichtautoriteit</t>
        </is>
      </c>
      <c r="I49" s="7" t="n"/>
      <c r="J49" s="7" t="inlineStr">
        <is>
          <t>national markttoezichtautoriteit / markttoezichtautoriteit</t>
        </is>
      </c>
      <c r="K49" s="7" t="n">
        <v>0</v>
      </c>
      <c r="L49" s="7" t="n">
        <v>0</v>
      </c>
      <c r="M49" s="7" t="n">
        <v>2</v>
      </c>
      <c r="N49" s="7" t="inlineStr">
        <is>
          <t>32024R1689:5:6:15</t>
        </is>
      </c>
    </row>
    <row r="50">
      <c r="A50" s="7" t="n">
        <v>49</v>
      </c>
      <c r="B50" s="7" t="inlineStr">
        <is>
          <t>EU | shortened</t>
        </is>
      </c>
      <c r="C50" s="7" t="inlineStr">
        <is>
          <t>sample</t>
        </is>
      </c>
      <c r="D50" s="7" t="inlineStr">
        <is>
          <t>EU</t>
        </is>
      </c>
      <c r="E50" s="7" t="inlineStr">
        <is>
          <t>shortened</t>
        </is>
      </c>
      <c r="F50" s="7" t="inlineStr">
        <is>
          <t>relevante markttoezichtautoriteit</t>
        </is>
      </c>
      <c r="G50" s="7" t="inlineStr">
        <is>
          <t>32024R1689:markttoezichtautoriteit</t>
        </is>
      </c>
      <c r="H50" s="7" t="inlineStr">
        <is>
          <t>32024R1689:markttoezichtautoriteit</t>
        </is>
      </c>
      <c r="I50" s="7" t="n"/>
      <c r="J50" s="7" t="inlineStr">
        <is>
          <t>relevant markttoezichtautoriteit / markttoezichtautoriteit</t>
        </is>
      </c>
      <c r="K50" s="7" t="n">
        <v>0</v>
      </c>
      <c r="L50" s="7" t="n">
        <v>0</v>
      </c>
      <c r="M50" s="7" t="n">
        <v>2</v>
      </c>
      <c r="N50" s="7" t="inlineStr">
        <is>
          <t>32024R1689:85:whole:1</t>
        </is>
      </c>
    </row>
    <row r="51">
      <c r="A51" s="7" t="n">
        <v>50</v>
      </c>
      <c r="B51" s="7" t="inlineStr">
        <is>
          <t>EU | exact</t>
        </is>
      </c>
      <c r="C51" s="7" t="inlineStr">
        <is>
          <t>sample</t>
        </is>
      </c>
      <c r="D51" s="7" t="inlineStr">
        <is>
          <t>EU</t>
        </is>
      </c>
      <c r="E51" s="7" t="inlineStr">
        <is>
          <t>exact</t>
        </is>
      </c>
      <c r="F51" s="7" t="inlineStr">
        <is>
          <t>voorzitter van het Comité</t>
        </is>
      </c>
      <c r="G51" s="7" t="inlineStr">
        <is>
          <t>KEY:32016R0679:voorzitter</t>
        </is>
      </c>
      <c r="H51" s="7" t="inlineStr">
        <is>
          <t>KEY:32016R0679:voorzitter</t>
        </is>
      </c>
      <c r="I51" s="7" t="n"/>
      <c r="J51" s="7" t="inlineStr">
        <is>
          <t>voorzitter comit / voorzitter</t>
        </is>
      </c>
      <c r="K51" s="7" t="n">
        <v>0</v>
      </c>
      <c r="L51" s="7" t="n">
        <v>0</v>
      </c>
      <c r="M51" s="7" t="n">
        <v>6</v>
      </c>
      <c r="N51" s="7" t="inlineStr">
        <is>
          <t>32016R0679:64:5:10</t>
        </is>
      </c>
    </row>
    <row r="52">
      <c r="A52" s="7" t="n">
        <v>51</v>
      </c>
      <c r="B52" s="7" t="inlineStr">
        <is>
          <t>EU | fallback</t>
        </is>
      </c>
      <c r="C52" s="7" t="inlineStr">
        <is>
          <t>sample</t>
        </is>
      </c>
      <c r="D52" s="7" t="inlineStr">
        <is>
          <t>EU</t>
        </is>
      </c>
      <c r="E52" s="7" t="inlineStr">
        <is>
          <t>fallback</t>
        </is>
      </c>
      <c r="F52" s="7" t="inlineStr">
        <is>
          <t>leden van toezichthoudende autoriteiten</t>
        </is>
      </c>
      <c r="G52" s="7" t="inlineStr">
        <is>
          <t>class:office</t>
        </is>
      </c>
      <c r="H52" s="7" t="n"/>
      <c r="I52" s="7" t="inlineStr">
        <is>
          <t>office</t>
        </is>
      </c>
      <c r="J52" s="7" t="inlineStr">
        <is>
          <t>lid toezichthoud autoriteit / lid toezichthoud / lid</t>
        </is>
      </c>
      <c r="K52" s="7" t="n">
        <v>0</v>
      </c>
      <c r="L52" s="7" t="n">
        <v>0</v>
      </c>
      <c r="M52" s="7" t="n">
        <v>2</v>
      </c>
      <c r="N52" s="7" t="inlineStr">
        <is>
          <t>32016R0679:52:3:5</t>
        </is>
      </c>
    </row>
    <row r="53">
      <c r="A53" s="7" t="n">
        <v>52</v>
      </c>
      <c r="B53" s="7" t="inlineStr">
        <is>
          <t>census</t>
        </is>
      </c>
      <c r="C53" s="7" t="inlineStr">
        <is>
          <t>census</t>
        </is>
      </c>
      <c r="D53" s="7" t="inlineStr">
        <is>
          <t>EU</t>
        </is>
      </c>
      <c r="E53" s="7" t="inlineStr">
        <is>
          <t>shortened</t>
        </is>
      </c>
      <c r="F53" s="7" t="inlineStr">
        <is>
          <t>Aanbieders van AI-systemen met een hoog risico</t>
        </is>
      </c>
      <c r="G53" s="7" t="inlineStr">
        <is>
          <t>32024R1689:aanbieder</t>
        </is>
      </c>
      <c r="H53" s="7" t="inlineStr">
        <is>
          <t>32024R1689:aanbieder</t>
        </is>
      </c>
      <c r="I53" s="7" t="n"/>
      <c r="J53" s="7" t="inlineStr">
        <is>
          <t>aanbieder aisystem hog risico / aanbieder aisystem hog / aanbieder aisystem / aanbieder</t>
        </is>
      </c>
      <c r="K53" s="7" t="n">
        <v>17</v>
      </c>
      <c r="L53" s="7" t="n">
        <v>0</v>
      </c>
      <c r="M53" s="7" t="n">
        <v>17</v>
      </c>
      <c r="N53" s="7" t="inlineStr">
        <is>
          <t>32024R1689:16:whole:12, 32024R1689:16:whole:10, 32024R1689:19:1:1</t>
        </is>
      </c>
    </row>
    <row r="54">
      <c r="A54" s="7" t="n">
        <v>53</v>
      </c>
      <c r="B54" s="7" t="inlineStr">
        <is>
          <t>EU | exact</t>
        </is>
      </c>
      <c r="C54" s="7" t="inlineStr">
        <is>
          <t>sample</t>
        </is>
      </c>
      <c r="D54" s="7" t="inlineStr">
        <is>
          <t>EU</t>
        </is>
      </c>
      <c r="E54" s="7" t="inlineStr">
        <is>
          <t>exact</t>
        </is>
      </c>
      <c r="F54" s="7" t="inlineStr">
        <is>
          <t>verenigingen</t>
        </is>
      </c>
      <c r="G54" s="7" t="inlineStr">
        <is>
          <t>KEY:32016R0679:vereniging</t>
        </is>
      </c>
      <c r="H54" s="7" t="inlineStr">
        <is>
          <t>KEY:32016R0679:vereniging</t>
        </is>
      </c>
      <c r="I54" s="7" t="n"/>
      <c r="J54" s="7" t="inlineStr">
        <is>
          <t>veren</t>
        </is>
      </c>
      <c r="K54" s="7" t="n">
        <v>0</v>
      </c>
      <c r="L54" s="7" t="n">
        <v>0</v>
      </c>
      <c r="M54" s="7" t="n">
        <v>3</v>
      </c>
      <c r="N54" s="7" t="inlineStr">
        <is>
          <t>32016R0679:40:5:8</t>
        </is>
      </c>
    </row>
    <row r="55">
      <c r="A55" s="7" t="n">
        <v>54</v>
      </c>
      <c r="B55" s="7" t="inlineStr">
        <is>
          <t>census</t>
        </is>
      </c>
      <c r="C55" s="7" t="inlineStr">
        <is>
          <t>census</t>
        </is>
      </c>
      <c r="D55" s="7" t="inlineStr">
        <is>
          <t>EU</t>
        </is>
      </c>
      <c r="E55" s="7" t="inlineStr">
        <is>
          <t>exact</t>
        </is>
      </c>
      <c r="F55" s="7" t="inlineStr">
        <is>
          <t>lidstaat</t>
        </is>
      </c>
      <c r="G55" s="7" t="inlineStr">
        <is>
          <t>KEY:EU:lidstaat</t>
        </is>
      </c>
      <c r="H55" s="7" t="inlineStr">
        <is>
          <t>KEY:EU:lidstaat</t>
        </is>
      </c>
      <c r="I55" s="7" t="n"/>
      <c r="J55" s="7" t="inlineStr">
        <is>
          <t>lidstat</t>
        </is>
      </c>
      <c r="K55" s="7" t="n">
        <v>37</v>
      </c>
      <c r="L55" s="7" t="n">
        <v>0</v>
      </c>
      <c r="M55" s="7" t="n">
        <v>37</v>
      </c>
      <c r="N55" s="7" t="inlineStr">
        <is>
          <t>32016R0679:54:1:7, 32024R1689:99:8:13, 32016R0679:83:7:8</t>
        </is>
      </c>
    </row>
    <row r="56">
      <c r="A56" s="7" t="n">
        <v>55</v>
      </c>
      <c r="B56" s="7" t="inlineStr">
        <is>
          <t>EU | fallback</t>
        </is>
      </c>
      <c r="C56" s="7" t="inlineStr">
        <is>
          <t>sample</t>
        </is>
      </c>
      <c r="D56" s="7" t="inlineStr">
        <is>
          <t>EU</t>
        </is>
      </c>
      <c r="E56" s="7" t="inlineStr">
        <is>
          <t>fallback</t>
        </is>
      </c>
      <c r="F56" s="7" t="inlineStr">
        <is>
          <t>organisaties</t>
        </is>
      </c>
      <c r="G56" s="7" t="inlineStr">
        <is>
          <t>class:party</t>
        </is>
      </c>
      <c r="H56" s="7" t="n"/>
      <c r="I56" s="7" t="inlineStr">
        <is>
          <t>party</t>
        </is>
      </c>
      <c r="J56" s="7" t="inlineStr">
        <is>
          <t>organisatie</t>
        </is>
      </c>
      <c r="K56" s="7" t="n">
        <v>0</v>
      </c>
      <c r="L56" s="7" t="n">
        <v>0</v>
      </c>
      <c r="M56" s="7" t="n">
        <v>2</v>
      </c>
      <c r="N56" s="7" t="inlineStr">
        <is>
          <t>32024R1689:95:3:1</t>
        </is>
      </c>
    </row>
    <row r="57">
      <c r="A57" s="7" t="n">
        <v>56</v>
      </c>
      <c r="B57" s="7" t="inlineStr">
        <is>
          <t>EU | shortened</t>
        </is>
      </c>
      <c r="C57" s="7" t="inlineStr">
        <is>
          <t>sample</t>
        </is>
      </c>
      <c r="D57" s="7" t="inlineStr">
        <is>
          <t>EU</t>
        </is>
      </c>
      <c r="E57" s="7" t="inlineStr">
        <is>
          <t>shortened</t>
        </is>
      </c>
      <c r="F57" s="7" t="inlineStr">
        <is>
          <t>potentiële aanbieders</t>
        </is>
      </c>
      <c r="G57" s="7" t="inlineStr">
        <is>
          <t>32024R1689:aanbieder</t>
        </is>
      </c>
      <c r="H57" s="7" t="inlineStr">
        <is>
          <t>32024R1689:aanbieder</t>
        </is>
      </c>
      <c r="I57" s="7" t="n"/>
      <c r="J57" s="7" t="inlineStr">
        <is>
          <t>potentiel aanbieder / aanbieder</t>
        </is>
      </c>
      <c r="K57" s="7" t="n">
        <v>0</v>
      </c>
      <c r="L57" s="7" t="n">
        <v>0</v>
      </c>
      <c r="M57" s="7" t="n">
        <v>4</v>
      </c>
      <c r="N57" s="7" t="inlineStr">
        <is>
          <t>32024R1689:57:12:24</t>
        </is>
      </c>
    </row>
    <row r="58">
      <c r="A58" s="7" t="n">
        <v>57</v>
      </c>
      <c r="B58" s="7" t="inlineStr">
        <is>
          <t>EU | not_actor</t>
        </is>
      </c>
      <c r="C58" s="7" t="inlineStr">
        <is>
          <t>sample</t>
        </is>
      </c>
      <c r="D58" s="7" t="inlineStr">
        <is>
          <t>EU</t>
        </is>
      </c>
      <c r="E58" s="7" t="inlineStr">
        <is>
          <t>not_actor</t>
        </is>
      </c>
      <c r="F58" s="7" t="inlineStr">
        <is>
          <t>Toestemmingen</t>
        </is>
      </c>
      <c r="G58" s="7" t="inlineStr">
        <is>
          <t>not_actor</t>
        </is>
      </c>
      <c r="H58" s="7" t="n"/>
      <c r="I58" s="7" t="n"/>
      <c r="J58" s="7" t="inlineStr">
        <is>
          <t>toestemm</t>
        </is>
      </c>
      <c r="K58" s="7" t="n">
        <v>0</v>
      </c>
      <c r="L58" s="7" t="n">
        <v>0</v>
      </c>
      <c r="M58" s="7" t="n">
        <v>1</v>
      </c>
      <c r="N58" s="7" t="inlineStr">
        <is>
          <t>32016R0679:46:5:6</t>
        </is>
      </c>
    </row>
    <row r="59">
      <c r="A59" s="7" t="n">
        <v>58</v>
      </c>
      <c r="B59" s="7" t="inlineStr">
        <is>
          <t>EU | fallback</t>
        </is>
      </c>
      <c r="C59" s="7" t="inlineStr">
        <is>
          <t>sample</t>
        </is>
      </c>
      <c r="D59" s="7" t="inlineStr">
        <is>
          <t>EU</t>
        </is>
      </c>
      <c r="E59" s="7" t="inlineStr">
        <is>
          <t>fallback</t>
        </is>
      </c>
      <c r="F59" s="7" t="inlineStr">
        <is>
          <t>dochteronderneming</t>
        </is>
      </c>
      <c r="G59" s="7" t="inlineStr">
        <is>
          <t>class:party</t>
        </is>
      </c>
      <c r="H59" s="7" t="n"/>
      <c r="I59" s="7" t="inlineStr">
        <is>
          <t>party</t>
        </is>
      </c>
      <c r="J59" s="7" t="inlineStr">
        <is>
          <t>dochterondernem</t>
        </is>
      </c>
      <c r="K59" s="7" t="n">
        <v>0</v>
      </c>
      <c r="L59" s="7" t="n">
        <v>0</v>
      </c>
      <c r="M59" s="7" t="n">
        <v>1</v>
      </c>
      <c r="N59" s="7" t="inlineStr">
        <is>
          <t>32024R1689:33:3:4</t>
        </is>
      </c>
    </row>
    <row r="60">
      <c r="A60" s="7" t="n">
        <v>59</v>
      </c>
      <c r="B60" s="7" t="inlineStr">
        <is>
          <t>EU | shortened</t>
        </is>
      </c>
      <c r="C60" s="7" t="inlineStr">
        <is>
          <t>sample</t>
        </is>
      </c>
      <c r="D60" s="7" t="inlineStr">
        <is>
          <t>EU</t>
        </is>
      </c>
      <c r="E60" s="7" t="inlineStr">
        <is>
          <t>shortened</t>
        </is>
      </c>
      <c r="F60" s="7" t="inlineStr">
        <is>
          <t>Gebruiksverantwoordelijken van een systeem voor het herkennen van emoties of een systeem voor biometrische categorisering</t>
        </is>
      </c>
      <c r="G60" s="7" t="inlineStr">
        <is>
          <t>32024R1689:gebruiksverantwoordelijke</t>
        </is>
      </c>
      <c r="H60" s="7" t="inlineStr">
        <is>
          <t>32024R1689:gebruiksverantwoordelijke</t>
        </is>
      </c>
      <c r="I60" s="7" t="n"/>
      <c r="J60" s="7" t="inlineStr">
        <is>
          <t>gebruiksverantwoord system herkenn emotie system biometrisch categoriser / gebruiksverantwoord system herkenn emotie system biometrisch / gebruiksverantwoord system herkenn emotie system / gebruiksverantwoord system herkenn emotie / gebruiksverantwoord system herkenn / gebruiksverantwoord system / gebruiksverantwoord</t>
        </is>
      </c>
      <c r="K60" s="7" t="n">
        <v>0</v>
      </c>
      <c r="L60" s="7" t="n">
        <v>0</v>
      </c>
      <c r="M60" s="7" t="n">
        <v>2</v>
      </c>
      <c r="N60" s="7" t="inlineStr">
        <is>
          <t>32024R1689:50:3:5</t>
        </is>
      </c>
    </row>
    <row r="61">
      <c r="A61" s="7" t="n">
        <v>60</v>
      </c>
      <c r="B61" s="7" t="inlineStr">
        <is>
          <t>census</t>
        </is>
      </c>
      <c r="C61" s="7" t="inlineStr">
        <is>
          <t>census</t>
        </is>
      </c>
      <c r="D61" s="7" t="inlineStr">
        <is>
          <t>EU</t>
        </is>
      </c>
      <c r="E61" s="7" t="inlineStr">
        <is>
          <t>exact</t>
        </is>
      </c>
      <c r="F61" s="7" t="inlineStr">
        <is>
          <t>nationale bevoegde autoriteiten</t>
        </is>
      </c>
      <c r="G61" s="7" t="inlineStr">
        <is>
          <t>32024R1689:nationale_bevoegde_autoriteit</t>
        </is>
      </c>
      <c r="H61" s="7" t="inlineStr">
        <is>
          <t>32024R1689:nationale_bevoegde_autoriteit</t>
        </is>
      </c>
      <c r="I61" s="7" t="n"/>
      <c r="J61" s="7" t="inlineStr">
        <is>
          <t>national bevoegd autoriteit / bevoegd autoriteit / autoriteit</t>
        </is>
      </c>
      <c r="K61" s="7" t="n">
        <v>16</v>
      </c>
      <c r="L61" s="7" t="n">
        <v>0</v>
      </c>
      <c r="M61" s="7" t="n">
        <v>16</v>
      </c>
      <c r="N61" s="7" t="inlineStr">
        <is>
          <t>32024R1689:70:8:14, 32024R1689:57:11:19, 32024R1689:70:3:7</t>
        </is>
      </c>
    </row>
    <row r="62">
      <c r="A62" s="7" t="n">
        <v>61</v>
      </c>
      <c r="B62" s="7" t="inlineStr">
        <is>
          <t>EU | exact</t>
        </is>
      </c>
      <c r="C62" s="7" t="inlineStr">
        <is>
          <t>sample</t>
        </is>
      </c>
      <c r="D62" s="7" t="inlineStr">
        <is>
          <t>EU</t>
        </is>
      </c>
      <c r="E62" s="7" t="inlineStr">
        <is>
          <t>exact</t>
        </is>
      </c>
      <c r="F62" s="7" t="inlineStr">
        <is>
          <t>importeur</t>
        </is>
      </c>
      <c r="G62" s="7" t="inlineStr">
        <is>
          <t>32024R1689:importeur</t>
        </is>
      </c>
      <c r="H62" s="7" t="inlineStr">
        <is>
          <t>32024R1689:importeur</t>
        </is>
      </c>
      <c r="I62" s="7" t="n"/>
      <c r="J62" s="7" t="inlineStr">
        <is>
          <t>importeur</t>
        </is>
      </c>
      <c r="K62" s="7" t="n">
        <v>0</v>
      </c>
      <c r="L62" s="7" t="n">
        <v>0</v>
      </c>
      <c r="M62" s="7" t="n">
        <v>3</v>
      </c>
      <c r="N62" s="7" t="inlineStr">
        <is>
          <t>32024R1689:25:1:1</t>
        </is>
      </c>
    </row>
    <row r="63">
      <c r="A63" s="7" t="n">
        <v>62</v>
      </c>
      <c r="B63" s="7" t="inlineStr">
        <is>
          <t>EU | exact</t>
        </is>
      </c>
      <c r="C63" s="7" t="inlineStr">
        <is>
          <t>sample</t>
        </is>
      </c>
      <c r="D63" s="7" t="inlineStr">
        <is>
          <t>EU</t>
        </is>
      </c>
      <c r="E63" s="7" t="inlineStr">
        <is>
          <t>exact</t>
        </is>
      </c>
      <c r="F63" s="7" t="inlineStr">
        <is>
          <t>markttoezichtautoriteiten</t>
        </is>
      </c>
      <c r="G63" s="7" t="inlineStr">
        <is>
          <t>32024R1689:markttoezichtautoriteit</t>
        </is>
      </c>
      <c r="H63" s="7" t="inlineStr">
        <is>
          <t>32024R1689:markttoezichtautoriteit</t>
        </is>
      </c>
      <c r="I63" s="7" t="n"/>
      <c r="J63" s="7" t="inlineStr">
        <is>
          <t>markttoezichtautoriteit</t>
        </is>
      </c>
      <c r="K63" s="7" t="n">
        <v>0</v>
      </c>
      <c r="L63" s="7" t="n">
        <v>0</v>
      </c>
      <c r="M63" s="7" t="n">
        <v>9</v>
      </c>
      <c r="N63" s="7" t="inlineStr">
        <is>
          <t>32024R1689:74:5:4</t>
        </is>
      </c>
    </row>
    <row r="64">
      <c r="A64" s="7" t="n">
        <v>63</v>
      </c>
      <c r="B64" s="7" t="inlineStr">
        <is>
          <t>EU | not_actor</t>
        </is>
      </c>
      <c r="C64" s="7" t="inlineStr">
        <is>
          <t>sample</t>
        </is>
      </c>
      <c r="D64" s="7" t="inlineStr">
        <is>
          <t>EU</t>
        </is>
      </c>
      <c r="E64" s="7" t="inlineStr">
        <is>
          <t>not_actor</t>
        </is>
      </c>
      <c r="F64" s="7" t="inlineStr">
        <is>
          <t>bijzondere categorieën persoonsgegevens</t>
        </is>
      </c>
      <c r="G64" s="7" t="inlineStr">
        <is>
          <t>not_actor</t>
        </is>
      </c>
      <c r="H64" s="7" t="n"/>
      <c r="I64" s="7" t="n"/>
      <c r="J64" s="7" t="inlineStr">
        <is>
          <t>bijzonder categorieen persoonsgegeven / categorieen persoonsgegeven / persoonsgegeven</t>
        </is>
      </c>
      <c r="K64" s="7" t="n">
        <v>0</v>
      </c>
      <c r="L64" s="7" t="n">
        <v>0</v>
      </c>
      <c r="M64" s="7" t="n">
        <v>4</v>
      </c>
      <c r="N64" s="7" t="inlineStr">
        <is>
          <t>32024R1689:10:5:7</t>
        </is>
      </c>
    </row>
    <row r="65">
      <c r="A65" s="7" t="n">
        <v>64</v>
      </c>
      <c r="B65" s="7" t="inlineStr">
        <is>
          <t>EU | not_actor</t>
        </is>
      </c>
      <c r="C65" s="7" t="inlineStr">
        <is>
          <t>sample</t>
        </is>
      </c>
      <c r="D65" s="7" t="inlineStr">
        <is>
          <t>EU</t>
        </is>
      </c>
      <c r="E65" s="7" t="inlineStr">
        <is>
          <t>not_actor</t>
        </is>
      </c>
      <c r="F65" s="7" t="inlineStr">
        <is>
          <t>certificaten van de aangemelde instantie</t>
        </is>
      </c>
      <c r="G65" s="7" t="inlineStr">
        <is>
          <t>not_actor</t>
        </is>
      </c>
      <c r="H65" s="7" t="n"/>
      <c r="I65" s="7" t="n"/>
      <c r="J65" s="7" t="inlineStr">
        <is>
          <t>certificat aangemeld instantie / certificat aangemeld / certificat</t>
        </is>
      </c>
      <c r="K65" s="7" t="n">
        <v>0</v>
      </c>
      <c r="L65" s="7" t="n">
        <v>0</v>
      </c>
      <c r="M65" s="7" t="n">
        <v>1</v>
      </c>
      <c r="N65" s="7" t="inlineStr">
        <is>
          <t>32024R1689:36:3:4</t>
        </is>
      </c>
    </row>
    <row r="66">
      <c r="A66" s="7" t="n">
        <v>65</v>
      </c>
      <c r="B66" s="7" t="inlineStr">
        <is>
          <t>EU | exact</t>
        </is>
      </c>
      <c r="C66" s="7" t="inlineStr">
        <is>
          <t>sample</t>
        </is>
      </c>
      <c r="D66" s="7" t="inlineStr">
        <is>
          <t>EU</t>
        </is>
      </c>
      <c r="E66" s="7" t="inlineStr">
        <is>
          <t>exact</t>
        </is>
      </c>
      <c r="F66" s="7" t="inlineStr">
        <is>
          <t>secretariaat</t>
        </is>
      </c>
      <c r="G66" s="7" t="inlineStr">
        <is>
          <t>KEY:32016R0679:secretariaat</t>
        </is>
      </c>
      <c r="H66" s="7" t="inlineStr">
        <is>
          <t>KEY:32016R0679:secretariaat</t>
        </is>
      </c>
      <c r="I66" s="7" t="n"/>
      <c r="J66" s="7" t="inlineStr">
        <is>
          <t>secretariaat</t>
        </is>
      </c>
      <c r="K66" s="7" t="n">
        <v>0</v>
      </c>
      <c r="L66" s="7" t="n">
        <v>0</v>
      </c>
      <c r="M66" s="7" t="n">
        <v>9</v>
      </c>
      <c r="N66" s="7" t="inlineStr">
        <is>
          <t>32016R0679:75:6:5</t>
        </is>
      </c>
    </row>
    <row r="67">
      <c r="A67" s="7" t="n">
        <v>66</v>
      </c>
      <c r="B67" s="7" t="inlineStr">
        <is>
          <t>census</t>
        </is>
      </c>
      <c r="C67" s="7" t="inlineStr">
        <is>
          <t>census</t>
        </is>
      </c>
      <c r="D67" s="7" t="inlineStr">
        <is>
          <t>EU</t>
        </is>
      </c>
      <c r="E67" s="7" t="inlineStr">
        <is>
          <t>exact</t>
        </is>
      </c>
      <c r="F67" s="7" t="inlineStr">
        <is>
          <t>aangemelde instantie</t>
        </is>
      </c>
      <c r="G67" s="7" t="inlineStr">
        <is>
          <t>32024R1689:aangemelde_instantie</t>
        </is>
      </c>
      <c r="H67" s="7" t="inlineStr">
        <is>
          <t>32024R1689:aangemelde_instantie</t>
        </is>
      </c>
      <c r="I67" s="7" t="n"/>
      <c r="J67" s="7" t="inlineStr">
        <is>
          <t>aangemeld instantie / instantie</t>
        </is>
      </c>
      <c r="K67" s="7" t="n">
        <v>16</v>
      </c>
      <c r="L67" s="7" t="n">
        <v>0</v>
      </c>
      <c r="M67" s="7" t="n">
        <v>16</v>
      </c>
      <c r="N67" s="7" t="inlineStr">
        <is>
          <t>32024R1689:45:2:7, 32024R1689:45:2:10, 32024R1689:31:11:13</t>
        </is>
      </c>
    </row>
    <row r="68">
      <c r="A68" s="7" t="n">
        <v>67</v>
      </c>
      <c r="B68" s="7" t="inlineStr">
        <is>
          <t>EU | shortened</t>
        </is>
      </c>
      <c r="C68" s="7" t="inlineStr">
        <is>
          <t>sample</t>
        </is>
      </c>
      <c r="D68" s="7" t="inlineStr">
        <is>
          <t>EU</t>
        </is>
      </c>
      <c r="E68" s="7" t="inlineStr">
        <is>
          <t>shortened</t>
        </is>
      </c>
      <c r="F68" s="7" t="inlineStr">
        <is>
          <t>betrokken aanbieder</t>
        </is>
      </c>
      <c r="G68" s="7" t="inlineStr">
        <is>
          <t>32024R1689:aanbieder</t>
        </is>
      </c>
      <c r="H68" s="7" t="inlineStr">
        <is>
          <t>32024R1689:aanbieder</t>
        </is>
      </c>
      <c r="I68" s="7" t="n"/>
      <c r="J68" s="7" t="inlineStr">
        <is>
          <t>betrok aanbieder / aanbieder</t>
        </is>
      </c>
      <c r="K68" s="7" t="n">
        <v>0</v>
      </c>
      <c r="L68" s="7" t="n">
        <v>0</v>
      </c>
      <c r="M68" s="7" t="n">
        <v>5</v>
      </c>
      <c r="N68" s="7" t="inlineStr">
        <is>
          <t>32024R1689:52:1:1</t>
        </is>
      </c>
    </row>
    <row r="69">
      <c r="A69" s="7" t="n">
        <v>68</v>
      </c>
      <c r="B69" s="7" t="inlineStr">
        <is>
          <t>census</t>
        </is>
      </c>
      <c r="C69" s="7" t="inlineStr">
        <is>
          <t>census</t>
        </is>
      </c>
      <c r="D69" s="7" t="inlineStr">
        <is>
          <t>EU</t>
        </is>
      </c>
      <c r="E69" s="7" t="inlineStr">
        <is>
          <t>exact</t>
        </is>
      </c>
      <c r="F69" s="7" t="inlineStr">
        <is>
          <t>verwerkingsverantwoordelijke</t>
        </is>
      </c>
      <c r="G69" s="7" t="inlineStr">
        <is>
          <t>32016R0679:verwerkingsverantwoordelijke</t>
        </is>
      </c>
      <c r="H69" s="7" t="inlineStr">
        <is>
          <t>32016R0679:verwerkingsverantwoordelijke</t>
        </is>
      </c>
      <c r="I69" s="7" t="n"/>
      <c r="J69" s="7" t="inlineStr">
        <is>
          <t>verwerkingsverantwoord</t>
        </is>
      </c>
      <c r="K69" s="7" t="n">
        <v>99</v>
      </c>
      <c r="L69" s="7" t="n">
        <v>0</v>
      </c>
      <c r="M69" s="7" t="n">
        <v>99</v>
      </c>
      <c r="N69" s="7" t="inlineStr">
        <is>
          <t>32016R0679:82:4:5, 32016R0679:32:1:1, 32016R0679:35:1:1</t>
        </is>
      </c>
    </row>
    <row r="70">
      <c r="A70" s="7" t="n">
        <v>69</v>
      </c>
      <c r="B70" s="7" t="inlineStr">
        <is>
          <t>EU | not_actor</t>
        </is>
      </c>
      <c r="C70" s="7" t="inlineStr">
        <is>
          <t>sample</t>
        </is>
      </c>
      <c r="D70" s="7" t="inlineStr">
        <is>
          <t>EU</t>
        </is>
      </c>
      <c r="E70" s="7" t="inlineStr">
        <is>
          <t>not_actor</t>
        </is>
      </c>
      <c r="F70" s="7" t="inlineStr">
        <is>
          <t>verslag</t>
        </is>
      </c>
      <c r="G70" s="7" t="inlineStr">
        <is>
          <t>not_actor</t>
        </is>
      </c>
      <c r="H70" s="7" t="n"/>
      <c r="I70" s="7" t="n"/>
      <c r="J70" s="7" t="inlineStr">
        <is>
          <t>verslag</t>
        </is>
      </c>
      <c r="K70" s="7" t="n">
        <v>0</v>
      </c>
      <c r="L70" s="7" t="n">
        <v>0</v>
      </c>
      <c r="M70" s="7" t="n">
        <v>4</v>
      </c>
      <c r="N70" s="7" t="inlineStr">
        <is>
          <t>32024R1689:112:3:7</t>
        </is>
      </c>
    </row>
    <row r="71">
      <c r="A71" s="7" t="n">
        <v>70</v>
      </c>
      <c r="B71" s="7" t="inlineStr">
        <is>
          <t>census</t>
        </is>
      </c>
      <c r="C71" s="7" t="inlineStr">
        <is>
          <t>census</t>
        </is>
      </c>
      <c r="D71" s="7" t="inlineStr">
        <is>
          <t>EU</t>
        </is>
      </c>
      <c r="E71" s="7" t="inlineStr">
        <is>
          <t>exact</t>
        </is>
      </c>
      <c r="F71" s="7" t="inlineStr">
        <is>
          <t>aanbieder</t>
        </is>
      </c>
      <c r="G71" s="7" t="inlineStr">
        <is>
          <t>32024R1689:aanbieder</t>
        </is>
      </c>
      <c r="H71" s="7" t="inlineStr">
        <is>
          <t>32024R1689:aanbieder</t>
        </is>
      </c>
      <c r="I71" s="7" t="n"/>
      <c r="J71" s="7" t="inlineStr">
        <is>
          <t>aanbieder</t>
        </is>
      </c>
      <c r="K71" s="7" t="n">
        <v>21</v>
      </c>
      <c r="L71" s="7" t="n">
        <v>0</v>
      </c>
      <c r="M71" s="7" t="n">
        <v>21</v>
      </c>
      <c r="N71" s="7" t="inlineStr">
        <is>
          <t>32024R1689:25:2:6, 32024R1689:49:2:2, 32024R1689:6:4:3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7" t="inlineStr">
        <is>
          <t>stratum</t>
        </is>
      </c>
      <c r="B1" s="7" t="inlineStr">
        <is>
          <t>source</t>
        </is>
      </c>
      <c r="C1" s="7" t="inlineStr">
        <is>
          <t>level</t>
        </is>
      </c>
      <c r="D1" s="7" t="inlineStr">
        <is>
          <t>N_h</t>
        </is>
      </c>
    </row>
    <row r="2">
      <c r="A2" s="7" t="inlineStr">
        <is>
          <t>EU | exact</t>
        </is>
      </c>
      <c r="B2" s="7" t="inlineStr">
        <is>
          <t>EU</t>
        </is>
      </c>
      <c r="C2" s="7" t="inlineStr">
        <is>
          <t>exact</t>
        </is>
      </c>
      <c r="D2" s="7" t="n">
        <v>191</v>
      </c>
    </row>
    <row r="3">
      <c r="A3" s="7" t="inlineStr">
        <is>
          <t>EU | shortened</t>
        </is>
      </c>
      <c r="B3" s="7" t="inlineStr">
        <is>
          <t>EU</t>
        </is>
      </c>
      <c r="C3" s="7" t="inlineStr">
        <is>
          <t>shortened</t>
        </is>
      </c>
      <c r="D3" s="7" t="n">
        <v>106</v>
      </c>
    </row>
    <row r="4">
      <c r="A4" s="7" t="inlineStr">
        <is>
          <t>EU | fallback</t>
        </is>
      </c>
      <c r="B4" s="7" t="inlineStr">
        <is>
          <t>EU</t>
        </is>
      </c>
      <c r="C4" s="7" t="inlineStr">
        <is>
          <t>fallback</t>
        </is>
      </c>
      <c r="D4" s="7" t="n">
        <v>82</v>
      </c>
    </row>
    <row r="5">
      <c r="A5" s="7" t="inlineStr">
        <is>
          <t>EU | not_actor</t>
        </is>
      </c>
      <c r="B5" s="7" t="inlineStr">
        <is>
          <t>EU</t>
        </is>
      </c>
      <c r="C5" s="7" t="inlineStr">
        <is>
          <t>not_actor</t>
        </is>
      </c>
      <c r="D5" s="7" t="n">
        <v>142</v>
      </c>
    </row>
    <row r="6">
      <c r="A6" s="7" t="inlineStr">
        <is>
          <t>NL | exact</t>
        </is>
      </c>
      <c r="B6" s="7" t="inlineStr">
        <is>
          <t>NL</t>
        </is>
      </c>
      <c r="C6" s="7" t="inlineStr">
        <is>
          <t>exact</t>
        </is>
      </c>
      <c r="D6" s="7" t="n">
        <v>0</v>
      </c>
    </row>
    <row r="7">
      <c r="A7" s="7" t="inlineStr">
        <is>
          <t>NL | shortened</t>
        </is>
      </c>
      <c r="B7" s="7" t="inlineStr">
        <is>
          <t>NL</t>
        </is>
      </c>
      <c r="C7" s="7" t="inlineStr">
        <is>
          <t>shortened</t>
        </is>
      </c>
      <c r="D7" s="7" t="n">
        <v>0</v>
      </c>
    </row>
    <row r="8">
      <c r="A8" s="7" t="inlineStr">
        <is>
          <t>NL | fallback</t>
        </is>
      </c>
      <c r="B8" s="7" t="inlineStr">
        <is>
          <t>NL</t>
        </is>
      </c>
      <c r="C8" s="7" t="inlineStr">
        <is>
          <t>fallback</t>
        </is>
      </c>
      <c r="D8" s="7" t="n">
        <v>0</v>
      </c>
    </row>
    <row r="9">
      <c r="A9" s="7" t="inlineStr">
        <is>
          <t>NL | not_actor</t>
        </is>
      </c>
      <c r="B9" s="7" t="inlineStr">
        <is>
          <t>NL</t>
        </is>
      </c>
      <c r="C9" s="7" t="inlineStr">
        <is>
          <t>not_actor</t>
        </is>
      </c>
      <c r="D9" s="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44" customWidth="1" min="1" max="1"/>
    <col width="34" customWidth="1" min="2" max="2"/>
    <col width="22" customWidth="1" min="3" max="3"/>
    <col width="14" customWidth="1" min="4" max="4"/>
    <col width="12" customWidth="1" min="5" max="5"/>
    <col width="10" customWidth="1" min="6" max="6"/>
    <col width="70" customWidth="1" min="7" max="7"/>
  </cols>
  <sheetData>
    <row r="1">
      <c r="A1" s="8" t="inlineStr">
        <is>
          <t>Sample design</t>
        </is>
      </c>
    </row>
    <row r="2" ht="520" customHeight="1">
      <c r="A2" s="2" t="inlineStr">
        <is>
          <t>What is validated. Each actor unit of a norm is mapped to an inventory actor (exact or shortened match), to the broad class of its head word (fallback) or to nothing (not an actor, dropped). Each result is a claim the labeller checks from the norm text: is this the actor, is it an actor of this class without an entry, is it really not an actor?
Population. The sampling unit is an actor unit as it occurs in a norm, so a unit used in many norms counts as often as it is used downstream, and each is judged in its own norm. 1,290 unit occurrences: EU 1,290, Dutch 0. Norms with status pronoun, missing or no_units have no unit and make no mapping claim; they are exact counts (table below). The source is taken from the document id: BWBR ids are Dutch, all others EU.
Census. The result of a unit is the same wherever it gets the same ID, class or 'not an actor', so one judgement settles all those occurrences. The 20 most frequent (unit, result) groups are judged in full, each once, against up to 3 contexts taken in turn from both sources. They are the top of the frequency ranking, ties broken alphabetically, fixed before any judging. A census group that fits some uses but not others is labelled partial. The coverage curve below shows where a further group would cover little more than one sampled unit.
Strata. Outside the census, units are stratified by source, so the EU-Dutch comparison gets the same number of judgements on each side, and by match level, because each level makes a different claim and can fail at its own rate. Each source gets 50 judgements: a floor of 8 per stratum, the rest in proportion to N_h. A norm gives at most 1 sampled unit.
Precision. In the worst case (50% in every stratum) each source's precision is known to about +/-5 points (EU) and +/-nan (Dutch), at 80% to +/-4 and +/-nan; the EU-Dutch difference to about +/-nan points. The census adds no sampling error. Overall figures weight each stratum by N_h and each census group by its occurrences, never by row count.
Blind. The labeller sees the norm, the unit and what it was mapped to, but not the match level or the role keys; those are in the hidden key sheet, and the rows are shuffled. A fallback or 'not an actor' result is visible as such, since it is the claim being judged.
Consistency. Every distinct unit was mapped again with the current inventory; 3 of 304 differed. Adding actors to the inventory changes the strata, so the sample is drawn after the inventory is updated.</t>
        </is>
      </c>
    </row>
    <row r="4">
      <c r="A4" s="3" t="inlineStr">
        <is>
          <t>stratum</t>
        </is>
      </c>
      <c r="B4" s="3" t="inlineStr">
        <is>
          <t>source</t>
        </is>
      </c>
      <c r="C4" s="3" t="inlineStr">
        <is>
          <t>level</t>
        </is>
      </c>
      <c r="D4" s="3" t="inlineStr">
        <is>
          <t>population N_h</t>
        </is>
      </c>
      <c r="E4" s="3" t="inlineStr">
        <is>
          <t>share of source</t>
        </is>
      </c>
      <c r="F4" s="3" t="inlineStr">
        <is>
          <t>n sampled</t>
        </is>
      </c>
      <c r="G4" s="3" t="inlineStr">
        <is>
          <t>why this stratum and this n</t>
        </is>
      </c>
    </row>
    <row r="5">
      <c r="A5" s="9" t="inlineStr">
        <is>
          <t>EU | exact</t>
        </is>
      </c>
      <c r="B5" s="9" t="inlineStr">
        <is>
          <t>EU</t>
        </is>
      </c>
      <c r="C5" s="9" t="inlineStr">
        <is>
          <t>exact</t>
        </is>
      </c>
      <c r="D5" s="10" t="n">
        <v>191</v>
      </c>
      <c r="E5" s="11">
        <f>IFERROR(D5/SUMIFS($D$5:$D$12,$B$5:$B$12,B5),0)</f>
        <v/>
      </c>
      <c r="F5" s="9" t="n">
        <v>15</v>
      </c>
      <c r="G5" s="2" t="inlineStr">
        <is>
          <t>The full role key equals an inventory label or alias: the safest route. Checks the inventory entries of the common actors.</t>
        </is>
      </c>
    </row>
    <row r="6">
      <c r="A6" s="9" t="inlineStr">
        <is>
          <t>EU | shortened</t>
        </is>
      </c>
      <c r="B6" s="9" t="inlineStr">
        <is>
          <t>EU</t>
        </is>
      </c>
      <c r="C6" s="9" t="inlineStr">
        <is>
          <t>shortened</t>
        </is>
      </c>
      <c r="D6" s="10" t="n">
        <v>106</v>
      </c>
      <c r="E6" s="11">
        <f>IFERROR(D6/SUMIFS($D$5:$D$12,$B$5:$B$12,B6),0)</f>
        <v/>
      </c>
      <c r="F6" s="9" t="n">
        <v>11</v>
      </c>
      <c r="G6" s="2" t="inlineStr">
        <is>
          <t>Words were dropped until a key matched: the riskiest route to an ID (an entry too broad, or the wrong one).</t>
        </is>
      </c>
    </row>
    <row r="7">
      <c r="A7" s="9" t="inlineStr">
        <is>
          <t>EU | fallback</t>
        </is>
      </c>
      <c r="B7" s="9" t="inlineStr">
        <is>
          <t>EU</t>
        </is>
      </c>
      <c r="C7" s="9" t="inlineStr">
        <is>
          <t>fallback</t>
        </is>
      </c>
      <c r="D7" s="10" t="n">
        <v>82</v>
      </c>
      <c r="E7" s="11">
        <f>IFERROR(D7/SUMIFS($D$5:$D$12,$B$5:$B$12,B7),0)</f>
        <v/>
      </c>
      <c r="F7" s="9" t="n">
        <v>11</v>
      </c>
      <c r="G7" s="2" t="inlineStr">
        <is>
          <t>No entry matched; only the head word's class. Is it an actor, is the class right, and was an inventory entry missed?</t>
        </is>
      </c>
    </row>
    <row r="8">
      <c r="A8" s="9" t="inlineStr">
        <is>
          <t>EU | not_actor</t>
        </is>
      </c>
      <c r="B8" s="9" t="inlineStr">
        <is>
          <t>EU</t>
        </is>
      </c>
      <c r="C8" s="9" t="inlineStr">
        <is>
          <t>not_actor</t>
        </is>
      </c>
      <c r="D8" s="10" t="n">
        <v>142</v>
      </c>
      <c r="E8" s="11">
        <f>IFERROR(D8/SUMIFS($D$5:$D$12,$B$5:$B$12,B8),0)</f>
        <v/>
      </c>
      <c r="F8" s="9" t="n">
        <v>13</v>
      </c>
      <c r="G8" s="2" t="inlineStr">
        <is>
          <t>Dropped as not an actor. Its errors are actors lost to the whole actor filter (recall of the mapping).</t>
        </is>
      </c>
    </row>
    <row r="9">
      <c r="A9" s="9" t="inlineStr">
        <is>
          <t>NL | exact</t>
        </is>
      </c>
      <c r="B9" s="9" t="inlineStr">
        <is>
          <t>NL</t>
        </is>
      </c>
      <c r="C9" s="9" t="inlineStr">
        <is>
          <t>exact</t>
        </is>
      </c>
      <c r="D9" s="10" t="n">
        <v>0</v>
      </c>
      <c r="E9" s="11">
        <f>IFERROR(D9/SUMIFS($D$5:$D$12,$B$5:$B$12,B9),0)</f>
        <v/>
      </c>
      <c r="F9" s="9" t="n">
        <v>0</v>
      </c>
      <c r="G9" s="2" t="inlineStr">
        <is>
          <t>The full role key equals an inventory label or alias: the safest route. Checks the inventory entries of the common actors.</t>
        </is>
      </c>
    </row>
    <row r="10">
      <c r="A10" s="9" t="inlineStr">
        <is>
          <t>NL | shortened</t>
        </is>
      </c>
      <c r="B10" s="9" t="inlineStr">
        <is>
          <t>NL</t>
        </is>
      </c>
      <c r="C10" s="9" t="inlineStr">
        <is>
          <t>shortened</t>
        </is>
      </c>
      <c r="D10" s="10" t="n">
        <v>0</v>
      </c>
      <c r="E10" s="11">
        <f>IFERROR(D10/SUMIFS($D$5:$D$12,$B$5:$B$12,B10),0)</f>
        <v/>
      </c>
      <c r="F10" s="9" t="n">
        <v>0</v>
      </c>
      <c r="G10" s="2" t="inlineStr">
        <is>
          <t>Words were dropped until a key matched: the riskiest route to an ID (an entry too broad, or the wrong one).</t>
        </is>
      </c>
    </row>
    <row r="11">
      <c r="A11" s="9" t="inlineStr">
        <is>
          <t>NL | fallback</t>
        </is>
      </c>
      <c r="B11" s="9" t="inlineStr">
        <is>
          <t>NL</t>
        </is>
      </c>
      <c r="C11" s="9" t="inlineStr">
        <is>
          <t>fallback</t>
        </is>
      </c>
      <c r="D11" s="10" t="n">
        <v>0</v>
      </c>
      <c r="E11" s="11">
        <f>IFERROR(D11/SUMIFS($D$5:$D$12,$B$5:$B$12,B11),0)</f>
        <v/>
      </c>
      <c r="F11" s="9" t="n">
        <v>0</v>
      </c>
      <c r="G11" s="2" t="inlineStr">
        <is>
          <t>No entry matched; only the head word's class. Is it an actor, is the class right, and was an inventory entry missed?</t>
        </is>
      </c>
    </row>
    <row r="12">
      <c r="A12" s="9" t="inlineStr">
        <is>
          <t>NL | not_actor</t>
        </is>
      </c>
      <c r="B12" s="9" t="inlineStr">
        <is>
          <t>NL</t>
        </is>
      </c>
      <c r="C12" s="9" t="inlineStr">
        <is>
          <t>not_actor</t>
        </is>
      </c>
      <c r="D12" s="10" t="n">
        <v>0</v>
      </c>
      <c r="E12" s="11">
        <f>IFERROR(D12/SUMIFS($D$5:$D$12,$B$5:$B$12,B12),0)</f>
        <v/>
      </c>
      <c r="F12" s="9" t="n">
        <v>0</v>
      </c>
      <c r="G12" s="2" t="inlineStr">
        <is>
          <t>Dropped as not an actor. Its errors are actors lost to the whole actor filter (recall of the mapping).</t>
        </is>
      </c>
    </row>
    <row r="13">
      <c r="A13" s="8" t="inlineStr">
        <is>
          <t>total outside the census</t>
        </is>
      </c>
      <c r="D13" s="12">
        <f>SUM(D5:D12)</f>
        <v/>
      </c>
      <c r="F13" s="8">
        <f>SUM(F5:F12)</f>
        <v/>
      </c>
    </row>
    <row r="15">
      <c r="A15" s="8" t="inlineStr">
        <is>
          <t>Census: the 20 most frequent (unit, result) groups, judged once each</t>
        </is>
      </c>
    </row>
    <row r="16">
      <c r="A16" s="3" t="inlineStr">
        <is>
          <t>#</t>
        </is>
      </c>
      <c r="B16" s="3" t="inlineStr">
        <is>
          <t>unit</t>
        </is>
      </c>
      <c r="C16" s="3" t="inlineStr">
        <is>
          <t>assigned</t>
        </is>
      </c>
      <c r="D16" s="3" t="inlineStr">
        <is>
          <t>level</t>
        </is>
      </c>
      <c r="E16" s="3" t="inlineStr">
        <is>
          <t>EU</t>
        </is>
      </c>
      <c r="F16" s="3" t="inlineStr">
        <is>
          <t>NL</t>
        </is>
      </c>
    </row>
    <row r="17">
      <c r="A17" s="9" t="n">
        <v>1</v>
      </c>
      <c r="B17" s="9" t="inlineStr">
        <is>
          <t>Commissie</t>
        </is>
      </c>
      <c r="C17" s="9" t="inlineStr">
        <is>
          <t>KEY:EU:commissie</t>
        </is>
      </c>
      <c r="D17" s="9" t="inlineStr">
        <is>
          <t>exact</t>
        </is>
      </c>
      <c r="E17" s="10" t="n">
        <v>160</v>
      </c>
      <c r="F17" s="10" t="n">
        <v>0</v>
      </c>
    </row>
    <row r="18">
      <c r="A18" s="9" t="n">
        <v>2</v>
      </c>
      <c r="B18" s="9" t="inlineStr">
        <is>
          <t>verwerkingsverantwoordelijke</t>
        </is>
      </c>
      <c r="C18" s="9" t="inlineStr">
        <is>
          <t>32016R0679:verwerkingsverantwoordelijke</t>
        </is>
      </c>
      <c r="D18" s="9" t="inlineStr">
        <is>
          <t>exact</t>
        </is>
      </c>
      <c r="E18" s="10" t="n">
        <v>99</v>
      </c>
      <c r="F18" s="10" t="n">
        <v>0</v>
      </c>
    </row>
    <row r="19">
      <c r="A19" s="9" t="n">
        <v>3</v>
      </c>
      <c r="B19" s="9" t="inlineStr">
        <is>
          <t>toezichthoudende autoriteit</t>
        </is>
      </c>
      <c r="C19" s="9" t="inlineStr">
        <is>
          <t>32016R0679:toezichthoudende_autoriteit</t>
        </is>
      </c>
      <c r="D19" s="9" t="inlineStr">
        <is>
          <t>exact</t>
        </is>
      </c>
      <c r="E19" s="10" t="n">
        <v>80</v>
      </c>
      <c r="F19" s="10" t="n">
        <v>0</v>
      </c>
    </row>
    <row r="20">
      <c r="A20" s="9" t="n">
        <v>4</v>
      </c>
      <c r="B20" s="9" t="inlineStr">
        <is>
          <t>Comité</t>
        </is>
      </c>
      <c r="C20" s="9" t="inlineStr">
        <is>
          <t>KEY:32016R0679:comite</t>
        </is>
      </c>
      <c r="D20" s="9" t="inlineStr">
        <is>
          <t>exact</t>
        </is>
      </c>
      <c r="E20" s="10" t="n">
        <v>50</v>
      </c>
      <c r="F20" s="10" t="n">
        <v>0</v>
      </c>
    </row>
    <row r="21">
      <c r="A21" s="9" t="n">
        <v>5</v>
      </c>
      <c r="B21" s="9" t="inlineStr">
        <is>
          <t>lidstaten</t>
        </is>
      </c>
      <c r="C21" s="9" t="inlineStr">
        <is>
          <t>KEY:EU:lidstaat</t>
        </is>
      </c>
      <c r="D21" s="9" t="inlineStr">
        <is>
          <t>exact</t>
        </is>
      </c>
      <c r="E21" s="10" t="n">
        <v>45</v>
      </c>
      <c r="F21" s="10" t="n">
        <v>0</v>
      </c>
    </row>
    <row r="22">
      <c r="A22" s="9" t="n">
        <v>6</v>
      </c>
      <c r="B22" s="9" t="inlineStr">
        <is>
          <t>AI-bureau</t>
        </is>
      </c>
      <c r="C22" s="9" t="inlineStr">
        <is>
          <t>32024R1689:aibureau</t>
        </is>
      </c>
      <c r="D22" s="9" t="inlineStr">
        <is>
          <t>exact</t>
        </is>
      </c>
      <c r="E22" s="10" t="n">
        <v>37</v>
      </c>
      <c r="F22" s="10" t="n">
        <v>0</v>
      </c>
    </row>
    <row r="23">
      <c r="A23" s="9" t="n">
        <v>7</v>
      </c>
      <c r="B23" s="9" t="inlineStr">
        <is>
          <t>lidstaat</t>
        </is>
      </c>
      <c r="C23" s="9" t="inlineStr">
        <is>
          <t>KEY:EU:lidstaat</t>
        </is>
      </c>
      <c r="D23" s="9" t="inlineStr">
        <is>
          <t>exact</t>
        </is>
      </c>
      <c r="E23" s="10" t="n">
        <v>37</v>
      </c>
      <c r="F23" s="10" t="n">
        <v>0</v>
      </c>
    </row>
    <row r="24">
      <c r="A24" s="9" t="n">
        <v>8</v>
      </c>
      <c r="B24" s="9" t="inlineStr">
        <is>
          <t>verwerker</t>
        </is>
      </c>
      <c r="C24" s="9" t="inlineStr">
        <is>
          <t>32016R0679:verwerker</t>
        </is>
      </c>
      <c r="D24" s="9" t="inlineStr">
        <is>
          <t>exact</t>
        </is>
      </c>
      <c r="E24" s="10" t="n">
        <v>36</v>
      </c>
      <c r="F24" s="10" t="n">
        <v>0</v>
      </c>
    </row>
    <row r="25">
      <c r="A25" s="9" t="n">
        <v>9</v>
      </c>
      <c r="B25" s="9" t="inlineStr">
        <is>
          <t>betrokkene</t>
        </is>
      </c>
      <c r="C25" s="9" t="inlineStr">
        <is>
          <t>32016R0679:de_betrokkene</t>
        </is>
      </c>
      <c r="D25" s="9" t="inlineStr">
        <is>
          <t>exact</t>
        </is>
      </c>
      <c r="E25" s="10" t="n">
        <v>26</v>
      </c>
      <c r="F25" s="10" t="n">
        <v>0</v>
      </c>
    </row>
    <row r="26">
      <c r="A26" s="9" t="n">
        <v>10</v>
      </c>
      <c r="B26" s="9" t="inlineStr">
        <is>
          <t>Aangemelde instanties</t>
        </is>
      </c>
      <c r="C26" s="9" t="inlineStr">
        <is>
          <t>32024R1689:aangemelde_instantie</t>
        </is>
      </c>
      <c r="D26" s="9" t="inlineStr">
        <is>
          <t>exact</t>
        </is>
      </c>
      <c r="E26" s="10" t="n">
        <v>24</v>
      </c>
      <c r="F26" s="10" t="n">
        <v>0</v>
      </c>
    </row>
    <row r="27">
      <c r="A27" s="9" t="n">
        <v>11</v>
      </c>
      <c r="B27" s="9" t="inlineStr">
        <is>
          <t>aanmeldende autoriteit</t>
        </is>
      </c>
      <c r="C27" s="9" t="inlineStr">
        <is>
          <t>32024R1689:aanmeldende_autoriteit</t>
        </is>
      </c>
      <c r="D27" s="9" t="inlineStr">
        <is>
          <t>exact</t>
        </is>
      </c>
      <c r="E27" s="10" t="n">
        <v>23</v>
      </c>
      <c r="F27" s="10" t="n">
        <v>0</v>
      </c>
    </row>
    <row r="28">
      <c r="A28" s="9" t="n">
        <v>12</v>
      </c>
      <c r="B28" s="9" t="inlineStr">
        <is>
          <t>aanbieder</t>
        </is>
      </c>
      <c r="C28" s="9" t="inlineStr">
        <is>
          <t>32024R1689:aanbieder</t>
        </is>
      </c>
      <c r="D28" s="9" t="inlineStr">
        <is>
          <t>exact</t>
        </is>
      </c>
      <c r="E28" s="10" t="n">
        <v>21</v>
      </c>
      <c r="F28" s="10" t="n">
        <v>0</v>
      </c>
    </row>
    <row r="29">
      <c r="A29" s="9" t="n">
        <v>13</v>
      </c>
      <c r="B29" s="9" t="inlineStr">
        <is>
          <t>leidende toezichthoudende autoriteit</t>
        </is>
      </c>
      <c r="C29" s="9" t="inlineStr">
        <is>
          <t>KEY:32016R0679:leidende_toezichthoudende_autoriteit</t>
        </is>
      </c>
      <c r="D29" s="9" t="inlineStr">
        <is>
          <t>exact</t>
        </is>
      </c>
      <c r="E29" s="10" t="n">
        <v>19</v>
      </c>
      <c r="F29" s="10" t="n">
        <v>0</v>
      </c>
    </row>
    <row r="30">
      <c r="A30" s="9" t="n">
        <v>14</v>
      </c>
      <c r="B30" s="9" t="inlineStr">
        <is>
          <t>aanbieders</t>
        </is>
      </c>
      <c r="C30" s="9" t="inlineStr">
        <is>
          <t>32024R1689:aanbieder</t>
        </is>
      </c>
      <c r="D30" s="9" t="inlineStr">
        <is>
          <t>exact</t>
        </is>
      </c>
      <c r="E30" s="10" t="n">
        <v>17</v>
      </c>
      <c r="F30" s="10" t="n">
        <v>0</v>
      </c>
    </row>
    <row r="31">
      <c r="A31" s="9" t="n">
        <v>15</v>
      </c>
      <c r="B31" s="9" t="inlineStr">
        <is>
          <t>Aanbieders van AI-systemen met een hoog risico</t>
        </is>
      </c>
      <c r="C31" s="9" t="inlineStr">
        <is>
          <t>32024R1689:aanbieder</t>
        </is>
      </c>
      <c r="D31" s="9" t="inlineStr">
        <is>
          <t>shortened</t>
        </is>
      </c>
      <c r="E31" s="10" t="n">
        <v>17</v>
      </c>
      <c r="F31" s="10" t="n">
        <v>0</v>
      </c>
    </row>
    <row r="32">
      <c r="A32" s="9" t="n">
        <v>16</v>
      </c>
      <c r="B32" s="9" t="inlineStr">
        <is>
          <t>aangemelde instantie</t>
        </is>
      </c>
      <c r="C32" s="9" t="inlineStr">
        <is>
          <t>32024R1689:aangemelde_instantie</t>
        </is>
      </c>
      <c r="D32" s="9" t="inlineStr">
        <is>
          <t>exact</t>
        </is>
      </c>
      <c r="E32" s="10" t="n">
        <v>16</v>
      </c>
      <c r="F32" s="10" t="n">
        <v>0</v>
      </c>
    </row>
    <row r="33">
      <c r="A33" s="9" t="n">
        <v>17</v>
      </c>
      <c r="B33" s="9" t="inlineStr">
        <is>
          <t>nationale bevoegde autoriteiten</t>
        </is>
      </c>
      <c r="C33" s="9" t="inlineStr">
        <is>
          <t>32024R1689:nationale_bevoegde_autoriteit</t>
        </is>
      </c>
      <c r="D33" s="9" t="inlineStr">
        <is>
          <t>exact</t>
        </is>
      </c>
      <c r="E33" s="10" t="n">
        <v>16</v>
      </c>
      <c r="F33" s="10" t="n">
        <v>0</v>
      </c>
    </row>
    <row r="34">
      <c r="A34" s="9" t="n">
        <v>18</v>
      </c>
      <c r="B34" s="9" t="inlineStr">
        <is>
          <t>toezichthoudende autoriteiten</t>
        </is>
      </c>
      <c r="C34" s="9" t="inlineStr">
        <is>
          <t>32016R0679:toezichthoudende_autoriteit</t>
        </is>
      </c>
      <c r="D34" s="9" t="inlineStr">
        <is>
          <t>exact</t>
        </is>
      </c>
      <c r="E34" s="10" t="n">
        <v>16</v>
      </c>
      <c r="F34" s="10" t="n">
        <v>0</v>
      </c>
    </row>
    <row r="35">
      <c r="A35" s="9" t="n">
        <v>19</v>
      </c>
      <c r="B35" s="9" t="inlineStr">
        <is>
          <t>functionaris voor gegevensbescherming</t>
        </is>
      </c>
      <c r="C35" s="9" t="inlineStr">
        <is>
          <t>KEY:32016R0679:functionaris_voor_gegevensbescherming</t>
        </is>
      </c>
      <c r="D35" s="9" t="inlineStr">
        <is>
          <t>exact</t>
        </is>
      </c>
      <c r="E35" s="10" t="n">
        <v>15</v>
      </c>
      <c r="F35" s="10" t="n">
        <v>0</v>
      </c>
    </row>
    <row r="36">
      <c r="A36" s="9" t="n">
        <v>20</v>
      </c>
      <c r="B36" s="9" t="inlineStr">
        <is>
          <t>gebruiksverantwoordelijke</t>
        </is>
      </c>
      <c r="C36" s="9" t="inlineStr">
        <is>
          <t>32024R1689:gebruiksverantwoordelijke</t>
        </is>
      </c>
      <c r="D36" s="9" t="inlineStr">
        <is>
          <t>exact</t>
        </is>
      </c>
      <c r="E36" s="10" t="n">
        <v>15</v>
      </c>
      <c r="F36" s="10" t="n">
        <v>0</v>
      </c>
    </row>
    <row r="37">
      <c r="A37" s="8" t="inlineStr">
        <is>
          <t>total</t>
        </is>
      </c>
      <c r="E37" s="12">
        <f>SUM(E17:E36)</f>
        <v/>
      </c>
      <c r="F37" s="12">
        <f>SUM(F17:F36)</f>
        <v/>
      </c>
    </row>
    <row r="39">
      <c r="A39" s="8" t="inlineStr">
        <is>
          <t>Coverage: share of unit occurrences covered by the most frequent groups</t>
        </is>
      </c>
    </row>
    <row r="40">
      <c r="A40" s="3" t="inlineStr">
        <is>
          <t>census size</t>
        </is>
      </c>
      <c r="B40" s="3" t="inlineStr">
        <is>
          <t>EU</t>
        </is>
      </c>
      <c r="C40" s="3" t="inlineStr">
        <is>
          <t>NL</t>
        </is>
      </c>
    </row>
    <row r="41">
      <c r="A41" s="9" t="n">
        <v>5</v>
      </c>
      <c r="B41" s="11" t="n">
        <v>0.3364341085271318</v>
      </c>
      <c r="C41" s="11" t="n">
        <v>0</v>
      </c>
    </row>
    <row r="42">
      <c r="A42" s="9" t="n">
        <v>10</v>
      </c>
      <c r="B42" s="11" t="n">
        <v>0.4604651162790698</v>
      </c>
      <c r="C42" s="11" t="n">
        <v>0</v>
      </c>
    </row>
    <row r="43">
      <c r="A43" s="9" t="n">
        <v>20</v>
      </c>
      <c r="B43" s="11" t="n">
        <v>0.5961240310077519</v>
      </c>
      <c r="C43" s="11" t="n">
        <v>0</v>
      </c>
    </row>
    <row r="44">
      <c r="A44" s="9" t="n">
        <v>30</v>
      </c>
      <c r="B44" s="11" t="n">
        <v>0.6736434108527132</v>
      </c>
      <c r="C44" s="11" t="n">
        <v>0</v>
      </c>
    </row>
    <row r="45">
      <c r="A45" s="9" t="n">
        <v>50</v>
      </c>
      <c r="B45" s="11" t="n">
        <v>0.7496124031007751</v>
      </c>
      <c r="C45" s="11" t="n">
        <v>0</v>
      </c>
    </row>
    <row r="46">
      <c r="A46" s="9" t="n">
        <v>100</v>
      </c>
      <c r="B46" s="11" t="n">
        <v>0.8395348837209302</v>
      </c>
      <c r="C46" s="11" t="n">
        <v>0</v>
      </c>
    </row>
    <row r="48">
      <c r="A48" s="8" t="inlineStr">
        <is>
          <t>Exact counts (not sampled)</t>
        </is>
      </c>
    </row>
    <row r="49">
      <c r="A49" s="3" t="inlineStr"/>
      <c r="B49" s="3" t="inlineStr">
        <is>
          <t>EU</t>
        </is>
      </c>
      <c r="C49" s="3" t="inlineStr">
        <is>
          <t>NL</t>
        </is>
      </c>
      <c r="D49" s="3" t="inlineStr">
        <is>
          <t>total</t>
        </is>
      </c>
    </row>
    <row r="50">
      <c r="A50" s="8" t="inlineStr">
        <is>
          <t>norms</t>
        </is>
      </c>
    </row>
    <row r="51">
      <c r="A51" s="9" t="inlineStr">
        <is>
          <t xml:space="preserve">   ... status fallback</t>
        </is>
      </c>
      <c r="B51" s="10" t="n">
        <v>54</v>
      </c>
      <c r="C51" s="10" t="n">
        <v>0</v>
      </c>
      <c r="D51" s="10">
        <f>B51+C51</f>
        <v/>
      </c>
    </row>
    <row r="52">
      <c r="A52" s="9" t="inlineStr">
        <is>
          <t xml:space="preserve">   ... status mapped</t>
        </is>
      </c>
      <c r="B52" s="10" t="n">
        <v>976</v>
      </c>
      <c r="C52" s="10" t="n">
        <v>0</v>
      </c>
      <c r="D52" s="10">
        <f>B52+C52</f>
        <v/>
      </c>
    </row>
    <row r="53">
      <c r="A53" s="9" t="inlineStr">
        <is>
          <t xml:space="preserve">   ... status not_actor</t>
        </is>
      </c>
      <c r="B53" s="10" t="n">
        <v>126</v>
      </c>
      <c r="C53" s="10" t="n">
        <v>0</v>
      </c>
      <c r="D53" s="10">
        <f>B53+C53</f>
        <v/>
      </c>
    </row>
    <row r="54">
      <c r="A54" s="9" t="inlineStr">
        <is>
          <t xml:space="preserve">   ... status missing (no unit, no claim)</t>
        </is>
      </c>
      <c r="B54" s="10" t="n">
        <v>177</v>
      </c>
      <c r="C54" s="10" t="n">
        <v>0</v>
      </c>
      <c r="D54" s="10">
        <f>B54+C54</f>
        <v/>
      </c>
    </row>
    <row r="55">
      <c r="A55" s="9" t="inlineStr">
        <is>
          <t xml:space="preserve">   ... status no_units (no unit, no claim)</t>
        </is>
      </c>
      <c r="B55" s="10" t="n">
        <v>3</v>
      </c>
      <c r="C55" s="10" t="n">
        <v>0</v>
      </c>
      <c r="D55" s="10">
        <f>B55+C55</f>
        <v/>
      </c>
    </row>
    <row r="56">
      <c r="A56" s="9" t="inlineStr">
        <is>
          <t xml:space="preserve">   ... status pronoun (no unit, no claim)</t>
        </is>
      </c>
      <c r="B56" s="10" t="n">
        <v>74</v>
      </c>
      <c r="C56" s="10" t="n">
        <v>0</v>
      </c>
      <c r="D56" s="10">
        <f>B56+C56</f>
        <v/>
      </c>
    </row>
    <row r="57">
      <c r="A57" s="8" t="inlineStr">
        <is>
          <t>unit occurrences</t>
        </is>
      </c>
    </row>
    <row r="58">
      <c r="A58" s="9" t="inlineStr">
        <is>
          <t xml:space="preserve">   ... exact</t>
        </is>
      </c>
      <c r="B58" s="10" t="n">
        <v>943</v>
      </c>
      <c r="C58" s="10" t="n">
        <v>0</v>
      </c>
      <c r="D58" s="10">
        <f>B58+C58</f>
        <v/>
      </c>
    </row>
    <row r="59">
      <c r="A59" s="9" t="inlineStr">
        <is>
          <t xml:space="preserve">   ... shortened</t>
        </is>
      </c>
      <c r="B59" s="10" t="n">
        <v>123</v>
      </c>
      <c r="C59" s="10" t="n">
        <v>0</v>
      </c>
      <c r="D59" s="10">
        <f>B59+C59</f>
        <v/>
      </c>
    </row>
    <row r="60">
      <c r="A60" s="9" t="inlineStr">
        <is>
          <t xml:space="preserve">   ... fallback</t>
        </is>
      </c>
      <c r="B60" s="10" t="n">
        <v>82</v>
      </c>
      <c r="C60" s="10" t="n">
        <v>0</v>
      </c>
      <c r="D60" s="10">
        <f>B60+C60</f>
        <v/>
      </c>
    </row>
    <row r="61">
      <c r="A61" s="9" t="inlineStr">
        <is>
          <t xml:space="preserve">   ... not_actor</t>
        </is>
      </c>
      <c r="B61" s="10" t="n">
        <v>142</v>
      </c>
      <c r="C61" s="10" t="n">
        <v>0</v>
      </c>
      <c r="D61" s="10">
        <f>B61+C61</f>
        <v/>
      </c>
    </row>
    <row r="62">
      <c r="A62" s="13" t="inlineStr">
        <is>
          <t>Settings: census 20, contexts 3, per source 50, floor 8, max per norm 1, seed 42</t>
        </is>
      </c>
    </row>
  </sheetData>
  <mergeCells count="1">
    <mergeCell ref="A2:G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22" customWidth="1" min="1" max="1"/>
    <col width="7" customWidth="1" min="2" max="2"/>
    <col width="8" customWidth="1" min="3" max="3"/>
    <col width="8" customWidth="1" min="4" max="4"/>
    <col width="8" customWidth="1" min="5" max="5"/>
    <col width="8" customWidth="1" min="6" max="6"/>
    <col width="8" customWidth="1" min="7" max="7"/>
    <col width="8" customWidth="1" min="8" max="8"/>
    <col width="8" customWidth="1" min="9" max="9"/>
    <col width="13" customWidth="1" min="10" max="10"/>
    <col width="13" customWidth="1" min="11" max="11"/>
  </cols>
  <sheetData>
    <row r="1">
      <c r="A1" s="3" t="inlineStr">
        <is>
          <t>stratum</t>
        </is>
      </c>
      <c r="B1" s="3" t="inlineStr">
        <is>
          <t>rows</t>
        </is>
      </c>
      <c r="C1" s="3" t="inlineStr">
        <is>
          <t>judged</t>
        </is>
      </c>
      <c r="D1" s="3" t="inlineStr">
        <is>
          <t>correct</t>
        </is>
      </c>
      <c r="E1" s="3" t="inlineStr">
        <is>
          <t>partial</t>
        </is>
      </c>
      <c r="F1" s="3" t="inlineStr">
        <is>
          <t>wrong</t>
        </is>
      </c>
      <c r="G1" s="3" t="inlineStr">
        <is>
          <t>unclear</t>
        </is>
      </c>
      <c r="H1" s="3" t="inlineStr">
        <is>
          <t>strict</t>
        </is>
      </c>
      <c r="I1" s="3" t="inlineStr">
        <is>
          <t>lenient</t>
        </is>
      </c>
      <c r="J1" s="3" t="inlineStr">
        <is>
          <t>strict 95% low</t>
        </is>
      </c>
      <c r="K1" s="3" t="inlineStr">
        <is>
          <t>strict 95% high</t>
        </is>
      </c>
      <c r="M1" s="14" t="inlineStr">
        <is>
          <t>z</t>
        </is>
      </c>
    </row>
    <row r="2">
      <c r="A2" s="9" t="inlineStr">
        <is>
          <t>EU | exact</t>
        </is>
      </c>
      <c r="B2" s="9">
        <f>COUNTIFS(key!$B$2:$B$71,A2)</f>
        <v/>
      </c>
      <c r="C2" s="9">
        <f>COUNTIFS(key!$B$2:$B$71,A2,Review!$G$2:$G$71,"&lt;&gt;")</f>
        <v/>
      </c>
      <c r="D2" s="9">
        <f>COUNTIFS(key!$B$2:$B$71,A2,Review!$G$2:$G$71,"correct")</f>
        <v/>
      </c>
      <c r="E2" s="9">
        <f>COUNTIFS(key!$B$2:$B$71,A2,Review!$G$2:$G$71,"partial")</f>
        <v/>
      </c>
      <c r="F2" s="9">
        <f>COUNTIFS(key!$B$2:$B$71,A2,Review!$G$2:$G$71,"wrong")</f>
        <v/>
      </c>
      <c r="G2" s="9">
        <f>COUNTIFS(key!$B$2:$B$71,A2,Review!$G$2:$G$71,"unclear")</f>
        <v/>
      </c>
      <c r="H2" s="15">
        <f>IFERROR(D2/(C2-G2),"")</f>
        <v/>
      </c>
      <c r="I2" s="15">
        <f>IFERROR((D2+E2)/(C2-G2),"")</f>
        <v/>
      </c>
      <c r="J2" s="15">
        <f>IFERROR(MAX(0,(H2+$M$2^2/(2*(C2-G2)))/(1+$M$2^2/(C2-G2))-$M$2*SQRT(H2*(1-H2)/(C2-G2)+$M$2^2/(4*(C2-G2)^2))/(1+$M$2^2/(C2-G2))),"")</f>
        <v/>
      </c>
      <c r="K2" s="15">
        <f>IFERROR(MIN(1,(H2+$M$2^2/(2*(C2-G2)))/(1+$M$2^2/(C2-G2))+$M$2*SQRT(H2*(1-H2)/(C2-G2)+$M$2^2/(4*(C2-G2)^2))/(1+$M$2^2/(C2-G2))),"")</f>
        <v/>
      </c>
      <c r="M2" s="16" t="n">
        <v>1.96</v>
      </c>
    </row>
    <row r="3">
      <c r="A3" s="9" t="inlineStr">
        <is>
          <t>EU | shortened</t>
        </is>
      </c>
      <c r="B3" s="9">
        <f>COUNTIFS(key!$B$2:$B$71,A3)</f>
        <v/>
      </c>
      <c r="C3" s="9">
        <f>COUNTIFS(key!$B$2:$B$71,A3,Review!$G$2:$G$71,"&lt;&gt;")</f>
        <v/>
      </c>
      <c r="D3" s="9">
        <f>COUNTIFS(key!$B$2:$B$71,A3,Review!$G$2:$G$71,"correct")</f>
        <v/>
      </c>
      <c r="E3" s="9">
        <f>COUNTIFS(key!$B$2:$B$71,A3,Review!$G$2:$G$71,"partial")</f>
        <v/>
      </c>
      <c r="F3" s="9">
        <f>COUNTIFS(key!$B$2:$B$71,A3,Review!$G$2:$G$71,"wrong")</f>
        <v/>
      </c>
      <c r="G3" s="9">
        <f>COUNTIFS(key!$B$2:$B$71,A3,Review!$G$2:$G$71,"unclear")</f>
        <v/>
      </c>
      <c r="H3" s="15">
        <f>IFERROR(D3/(C3-G3),"")</f>
        <v/>
      </c>
      <c r="I3" s="15">
        <f>IFERROR((D3+E3)/(C3-G3),"")</f>
        <v/>
      </c>
      <c r="J3" s="15">
        <f>IFERROR(MAX(0,(H3+$M$2^2/(2*(C3-G3)))/(1+$M$2^2/(C3-G3))-$M$2*SQRT(H3*(1-H3)/(C3-G3)+$M$2^2/(4*(C3-G3)^2))/(1+$M$2^2/(C3-G3))),"")</f>
        <v/>
      </c>
      <c r="K3" s="15">
        <f>IFERROR(MIN(1,(H3+$M$2^2/(2*(C3-G3)))/(1+$M$2^2/(C3-G3))+$M$2*SQRT(H3*(1-H3)/(C3-G3)+$M$2^2/(4*(C3-G3)^2))/(1+$M$2^2/(C3-G3))),"")</f>
        <v/>
      </c>
    </row>
    <row r="4">
      <c r="A4" s="9" t="inlineStr">
        <is>
          <t>EU | fallback</t>
        </is>
      </c>
      <c r="B4" s="9">
        <f>COUNTIFS(key!$B$2:$B$71,A4)</f>
        <v/>
      </c>
      <c r="C4" s="9">
        <f>COUNTIFS(key!$B$2:$B$71,A4,Review!$G$2:$G$71,"&lt;&gt;")</f>
        <v/>
      </c>
      <c r="D4" s="9">
        <f>COUNTIFS(key!$B$2:$B$71,A4,Review!$G$2:$G$71,"correct")</f>
        <v/>
      </c>
      <c r="E4" s="9">
        <f>COUNTIFS(key!$B$2:$B$71,A4,Review!$G$2:$G$71,"partial")</f>
        <v/>
      </c>
      <c r="F4" s="9">
        <f>COUNTIFS(key!$B$2:$B$71,A4,Review!$G$2:$G$71,"wrong")</f>
        <v/>
      </c>
      <c r="G4" s="9">
        <f>COUNTIFS(key!$B$2:$B$71,A4,Review!$G$2:$G$71,"unclear")</f>
        <v/>
      </c>
      <c r="H4" s="15">
        <f>IFERROR(D4/(C4-G4),"")</f>
        <v/>
      </c>
      <c r="I4" s="15">
        <f>IFERROR((D4+E4)/(C4-G4),"")</f>
        <v/>
      </c>
      <c r="J4" s="15">
        <f>IFERROR(MAX(0,(H4+$M$2^2/(2*(C4-G4)))/(1+$M$2^2/(C4-G4))-$M$2*SQRT(H4*(1-H4)/(C4-G4)+$M$2^2/(4*(C4-G4)^2))/(1+$M$2^2/(C4-G4))),"")</f>
        <v/>
      </c>
      <c r="K4" s="15">
        <f>IFERROR(MIN(1,(H4+$M$2^2/(2*(C4-G4)))/(1+$M$2^2/(C4-G4))+$M$2*SQRT(H4*(1-H4)/(C4-G4)+$M$2^2/(4*(C4-G4)^2))/(1+$M$2^2/(C4-G4))),"")</f>
        <v/>
      </c>
    </row>
    <row r="5">
      <c r="A5" s="9" t="inlineStr">
        <is>
          <t>EU | not_actor</t>
        </is>
      </c>
      <c r="B5" s="9">
        <f>COUNTIFS(key!$B$2:$B$71,A5)</f>
        <v/>
      </c>
      <c r="C5" s="9">
        <f>COUNTIFS(key!$B$2:$B$71,A5,Review!$G$2:$G$71,"&lt;&gt;")</f>
        <v/>
      </c>
      <c r="D5" s="9">
        <f>COUNTIFS(key!$B$2:$B$71,A5,Review!$G$2:$G$71,"correct")</f>
        <v/>
      </c>
      <c r="E5" s="9">
        <f>COUNTIFS(key!$B$2:$B$71,A5,Review!$G$2:$G$71,"partial")</f>
        <v/>
      </c>
      <c r="F5" s="9">
        <f>COUNTIFS(key!$B$2:$B$71,A5,Review!$G$2:$G$71,"wrong")</f>
        <v/>
      </c>
      <c r="G5" s="9">
        <f>COUNTIFS(key!$B$2:$B$71,A5,Review!$G$2:$G$71,"unclear")</f>
        <v/>
      </c>
      <c r="H5" s="15">
        <f>IFERROR(D5/(C5-G5),"")</f>
        <v/>
      </c>
      <c r="I5" s="15">
        <f>IFERROR((D5+E5)/(C5-G5),"")</f>
        <v/>
      </c>
      <c r="J5" s="15">
        <f>IFERROR(MAX(0,(H5+$M$2^2/(2*(C5-G5)))/(1+$M$2^2/(C5-G5))-$M$2*SQRT(H5*(1-H5)/(C5-G5)+$M$2^2/(4*(C5-G5)^2))/(1+$M$2^2/(C5-G5))),"")</f>
        <v/>
      </c>
      <c r="K5" s="15">
        <f>IFERROR(MIN(1,(H5+$M$2^2/(2*(C5-G5)))/(1+$M$2^2/(C5-G5))+$M$2*SQRT(H5*(1-H5)/(C5-G5)+$M$2^2/(4*(C5-G5)^2))/(1+$M$2^2/(C5-G5))),"")</f>
        <v/>
      </c>
    </row>
    <row r="6">
      <c r="A6" s="9" t="inlineStr">
        <is>
          <t>NL | exact</t>
        </is>
      </c>
      <c r="B6" s="9">
        <f>COUNTIFS(key!$B$2:$B$71,A6)</f>
        <v/>
      </c>
      <c r="C6" s="9">
        <f>COUNTIFS(key!$B$2:$B$71,A6,Review!$G$2:$G$71,"&lt;&gt;")</f>
        <v/>
      </c>
      <c r="D6" s="9">
        <f>COUNTIFS(key!$B$2:$B$71,A6,Review!$G$2:$G$71,"correct")</f>
        <v/>
      </c>
      <c r="E6" s="9">
        <f>COUNTIFS(key!$B$2:$B$71,A6,Review!$G$2:$G$71,"partial")</f>
        <v/>
      </c>
      <c r="F6" s="9">
        <f>COUNTIFS(key!$B$2:$B$71,A6,Review!$G$2:$G$71,"wrong")</f>
        <v/>
      </c>
      <c r="G6" s="9">
        <f>COUNTIFS(key!$B$2:$B$71,A6,Review!$G$2:$G$71,"unclear")</f>
        <v/>
      </c>
      <c r="H6" s="15">
        <f>IFERROR(D6/(C6-G6),"")</f>
        <v/>
      </c>
      <c r="I6" s="15">
        <f>IFERROR((D6+E6)/(C6-G6),"")</f>
        <v/>
      </c>
      <c r="J6" s="15">
        <f>IFERROR(MAX(0,(H6+$M$2^2/(2*(C6-G6)))/(1+$M$2^2/(C6-G6))-$M$2*SQRT(H6*(1-H6)/(C6-G6)+$M$2^2/(4*(C6-G6)^2))/(1+$M$2^2/(C6-G6))),"")</f>
        <v/>
      </c>
      <c r="K6" s="15">
        <f>IFERROR(MIN(1,(H6+$M$2^2/(2*(C6-G6)))/(1+$M$2^2/(C6-G6))+$M$2*SQRT(H6*(1-H6)/(C6-G6)+$M$2^2/(4*(C6-G6)^2))/(1+$M$2^2/(C6-G6))),"")</f>
        <v/>
      </c>
    </row>
    <row r="7">
      <c r="A7" s="9" t="inlineStr">
        <is>
          <t>NL | shortened</t>
        </is>
      </c>
      <c r="B7" s="9">
        <f>COUNTIFS(key!$B$2:$B$71,A7)</f>
        <v/>
      </c>
      <c r="C7" s="9">
        <f>COUNTIFS(key!$B$2:$B$71,A7,Review!$G$2:$G$71,"&lt;&gt;")</f>
        <v/>
      </c>
      <c r="D7" s="9">
        <f>COUNTIFS(key!$B$2:$B$71,A7,Review!$G$2:$G$71,"correct")</f>
        <v/>
      </c>
      <c r="E7" s="9">
        <f>COUNTIFS(key!$B$2:$B$71,A7,Review!$G$2:$G$71,"partial")</f>
        <v/>
      </c>
      <c r="F7" s="9">
        <f>COUNTIFS(key!$B$2:$B$71,A7,Review!$G$2:$G$71,"wrong")</f>
        <v/>
      </c>
      <c r="G7" s="9">
        <f>COUNTIFS(key!$B$2:$B$71,A7,Review!$G$2:$G$71,"unclear")</f>
        <v/>
      </c>
      <c r="H7" s="15">
        <f>IFERROR(D7/(C7-G7),"")</f>
        <v/>
      </c>
      <c r="I7" s="15">
        <f>IFERROR((D7+E7)/(C7-G7),"")</f>
        <v/>
      </c>
      <c r="J7" s="15">
        <f>IFERROR(MAX(0,(H7+$M$2^2/(2*(C7-G7)))/(1+$M$2^2/(C7-G7))-$M$2*SQRT(H7*(1-H7)/(C7-G7)+$M$2^2/(4*(C7-G7)^2))/(1+$M$2^2/(C7-G7))),"")</f>
        <v/>
      </c>
      <c r="K7" s="15">
        <f>IFERROR(MIN(1,(H7+$M$2^2/(2*(C7-G7)))/(1+$M$2^2/(C7-G7))+$M$2*SQRT(H7*(1-H7)/(C7-G7)+$M$2^2/(4*(C7-G7)^2))/(1+$M$2^2/(C7-G7))),"")</f>
        <v/>
      </c>
    </row>
    <row r="8">
      <c r="A8" s="9" t="inlineStr">
        <is>
          <t>NL | fallback</t>
        </is>
      </c>
      <c r="B8" s="9">
        <f>COUNTIFS(key!$B$2:$B$71,A8)</f>
        <v/>
      </c>
      <c r="C8" s="9">
        <f>COUNTIFS(key!$B$2:$B$71,A8,Review!$G$2:$G$71,"&lt;&gt;")</f>
        <v/>
      </c>
      <c r="D8" s="9">
        <f>COUNTIFS(key!$B$2:$B$71,A8,Review!$G$2:$G$71,"correct")</f>
        <v/>
      </c>
      <c r="E8" s="9">
        <f>COUNTIFS(key!$B$2:$B$71,A8,Review!$G$2:$G$71,"partial")</f>
        <v/>
      </c>
      <c r="F8" s="9">
        <f>COUNTIFS(key!$B$2:$B$71,A8,Review!$G$2:$G$71,"wrong")</f>
        <v/>
      </c>
      <c r="G8" s="9">
        <f>COUNTIFS(key!$B$2:$B$71,A8,Review!$G$2:$G$71,"unclear")</f>
        <v/>
      </c>
      <c r="H8" s="15">
        <f>IFERROR(D8/(C8-G8),"")</f>
        <v/>
      </c>
      <c r="I8" s="15">
        <f>IFERROR((D8+E8)/(C8-G8),"")</f>
        <v/>
      </c>
      <c r="J8" s="15">
        <f>IFERROR(MAX(0,(H8+$M$2^2/(2*(C8-G8)))/(1+$M$2^2/(C8-G8))-$M$2*SQRT(H8*(1-H8)/(C8-G8)+$M$2^2/(4*(C8-G8)^2))/(1+$M$2^2/(C8-G8))),"")</f>
        <v/>
      </c>
      <c r="K8" s="15">
        <f>IFERROR(MIN(1,(H8+$M$2^2/(2*(C8-G8)))/(1+$M$2^2/(C8-G8))+$M$2*SQRT(H8*(1-H8)/(C8-G8)+$M$2^2/(4*(C8-G8)^2))/(1+$M$2^2/(C8-G8))),"")</f>
        <v/>
      </c>
    </row>
    <row r="9">
      <c r="A9" s="9" t="inlineStr">
        <is>
          <t>NL | not_actor</t>
        </is>
      </c>
      <c r="B9" s="9">
        <f>COUNTIFS(key!$B$2:$B$71,A9)</f>
        <v/>
      </c>
      <c r="C9" s="9">
        <f>COUNTIFS(key!$B$2:$B$71,A9,Review!$G$2:$G$71,"&lt;&gt;")</f>
        <v/>
      </c>
      <c r="D9" s="9">
        <f>COUNTIFS(key!$B$2:$B$71,A9,Review!$G$2:$G$71,"correct")</f>
        <v/>
      </c>
      <c r="E9" s="9">
        <f>COUNTIFS(key!$B$2:$B$71,A9,Review!$G$2:$G$71,"partial")</f>
        <v/>
      </c>
      <c r="F9" s="9">
        <f>COUNTIFS(key!$B$2:$B$71,A9,Review!$G$2:$G$71,"wrong")</f>
        <v/>
      </c>
      <c r="G9" s="9">
        <f>COUNTIFS(key!$B$2:$B$71,A9,Review!$G$2:$G$71,"unclear")</f>
        <v/>
      </c>
      <c r="H9" s="15">
        <f>IFERROR(D9/(C9-G9),"")</f>
        <v/>
      </c>
      <c r="I9" s="15">
        <f>IFERROR((D9+E9)/(C9-G9),"")</f>
        <v/>
      </c>
      <c r="J9" s="15">
        <f>IFERROR(MAX(0,(H9+$M$2^2/(2*(C9-G9)))/(1+$M$2^2/(C9-G9))-$M$2*SQRT(H9*(1-H9)/(C9-G9)+$M$2^2/(4*(C9-G9)^2))/(1+$M$2^2/(C9-G9))),"")</f>
        <v/>
      </c>
      <c r="K9" s="15">
        <f>IFERROR(MIN(1,(H9+$M$2^2/(2*(C9-G9)))/(1+$M$2^2/(C9-G9))+$M$2*SQRT(H9*(1-H9)/(C9-G9)+$M$2^2/(4*(C9-G9)^2))/(1+$M$2^2/(C9-G9))),"")</f>
        <v/>
      </c>
    </row>
    <row r="10">
      <c r="A10" s="9" t="inlineStr">
        <is>
          <t>census</t>
        </is>
      </c>
      <c r="B10" s="9">
        <f>COUNTIFS(key!$B$2:$B$71,A10)</f>
        <v/>
      </c>
      <c r="C10" s="9">
        <f>COUNTIFS(key!$B$2:$B$71,A10,Review!$G$2:$G$71,"&lt;&gt;")</f>
        <v/>
      </c>
      <c r="D10" s="9">
        <f>COUNTIFS(key!$B$2:$B$71,A10,Review!$G$2:$G$71,"correct")</f>
        <v/>
      </c>
      <c r="E10" s="9">
        <f>COUNTIFS(key!$B$2:$B$71,A10,Review!$G$2:$G$71,"partial")</f>
        <v/>
      </c>
      <c r="F10" s="9">
        <f>COUNTIFS(key!$B$2:$B$71,A10,Review!$G$2:$G$71,"wrong")</f>
        <v/>
      </c>
      <c r="G10" s="9">
        <f>COUNTIFS(key!$B$2:$B$71,A10,Review!$G$2:$G$71,"unclear")</f>
        <v/>
      </c>
      <c r="H10" s="15">
        <f>IFERROR(D10/(C10-G10),"")</f>
        <v/>
      </c>
      <c r="I10" s="15">
        <f>IFERROR((D10+E10)/(C10-G10),"")</f>
        <v/>
      </c>
      <c r="J10" s="15">
        <f>IFERROR(MAX(0,(H10+$M$2^2/(2*(C10-G10)))/(1+$M$2^2/(C10-G10))-$M$2*SQRT(H10*(1-H10)/(C10-G10)+$M$2^2/(4*(C10-G10)^2))/(1+$M$2^2/(C10-G10))),"")</f>
        <v/>
      </c>
      <c r="K10" s="15">
        <f>IFERROR(MIN(1,(H10+$M$2^2/(2*(C10-G10)))/(1+$M$2^2/(C10-G10))+$M$2*SQRT(H10*(1-H10)/(C10-G10)+$M$2^2/(4*(C10-G10)^2))/(1+$M$2^2/(C10-G10))),"")</f>
        <v/>
      </c>
    </row>
    <row r="12">
      <c r="A12" s="13" t="inlineStr">
        <is>
          <t>Per stratum, unweighted; 'unclear' is excluded. Census rows count once each here; the review step weights them by their occurrences.</t>
        </is>
      </c>
    </row>
    <row r="13">
      <c r="A13" s="13" t="inlineStr">
        <is>
          <t>Weighted figures per source and level, the EU-Dutch difference, lost actors, error kinds and inventory additions: python actor_map_review.py review --xlsx &lt;this file&gt;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2026-10-27T11:45:41Z</dcterms:created>
  <dcterms:modified xmlns:dcterms="http://purl.org/dc/terms/" xmlns:xsi="http://www.w3.org/2001/XMLSchema-instance" xsi:type="dcterms:W3CDTF">2026-10-27T11:45:42Z</dcterms:modified>
</cp:coreProperties>
</file>